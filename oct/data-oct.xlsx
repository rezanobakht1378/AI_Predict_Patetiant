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Projects\AI_Predict_Patetiant\oct\"/>
    </mc:Choice>
  </mc:AlternateContent>
  <xr:revisionPtr revIDLastSave="0" documentId="13_ncr:1_{84169CA9-0C8B-4CE1-9B6A-33F8BA01B98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7" i="1" l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61" i="1"/>
  <c r="BT62" i="1"/>
  <c r="BT63" i="1"/>
  <c r="BT64" i="1"/>
  <c r="BT85" i="1"/>
  <c r="BT87" i="1"/>
  <c r="BT88" i="1"/>
  <c r="BT89" i="1"/>
  <c r="BT261" i="1"/>
  <c r="BT268" i="1"/>
  <c r="BT270" i="1"/>
  <c r="BT273" i="1"/>
  <c r="BT276" i="1"/>
  <c r="BT279" i="1"/>
  <c r="BT280" i="1"/>
  <c r="BT282" i="1"/>
  <c r="BT284" i="1"/>
  <c r="BT285" i="1"/>
  <c r="BT286" i="1"/>
  <c r="BT287" i="1"/>
  <c r="BT288" i="1"/>
  <c r="BT289" i="1"/>
  <c r="BT290" i="1"/>
  <c r="BT291" i="1"/>
  <c r="BT293" i="1"/>
  <c r="BT294" i="1"/>
  <c r="BT295" i="1"/>
  <c r="BT296" i="1"/>
  <c r="BT297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4" i="1"/>
  <c r="BT421" i="1"/>
  <c r="BT422" i="1"/>
  <c r="BT423" i="1"/>
  <c r="BT443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9" i="1"/>
  <c r="BT473" i="1"/>
  <c r="BT474" i="1"/>
  <c r="BT475" i="1"/>
  <c r="BT476" i="1"/>
  <c r="BT477" i="1"/>
  <c r="BT478" i="1"/>
  <c r="BT479" i="1"/>
  <c r="BT494" i="1"/>
  <c r="BT495" i="1"/>
  <c r="BT505" i="1"/>
  <c r="BT23" i="1"/>
  <c r="BT24" i="1"/>
  <c r="BT25" i="1"/>
  <c r="BT26" i="1"/>
  <c r="BT19" i="1"/>
  <c r="BT21" i="1"/>
  <c r="BT22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61" i="1"/>
  <c r="BS62" i="1"/>
  <c r="BS63" i="1"/>
  <c r="BS64" i="1"/>
  <c r="BS85" i="1"/>
  <c r="BS87" i="1"/>
  <c r="BS88" i="1"/>
  <c r="BS89" i="1"/>
  <c r="BS261" i="1"/>
  <c r="BS268" i="1"/>
  <c r="BS270" i="1"/>
  <c r="BS273" i="1"/>
  <c r="BS276" i="1"/>
  <c r="BS279" i="1"/>
  <c r="BS280" i="1"/>
  <c r="BS282" i="1"/>
  <c r="BS284" i="1"/>
  <c r="BS285" i="1"/>
  <c r="BS286" i="1"/>
  <c r="BS287" i="1"/>
  <c r="BS288" i="1"/>
  <c r="BS289" i="1"/>
  <c r="BS290" i="1"/>
  <c r="BS291" i="1"/>
  <c r="BS293" i="1"/>
  <c r="BS294" i="1"/>
  <c r="BS295" i="1"/>
  <c r="BS296" i="1"/>
  <c r="BS297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4" i="1"/>
  <c r="BS421" i="1"/>
  <c r="BS422" i="1"/>
  <c r="BS423" i="1"/>
  <c r="BS443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9" i="1"/>
  <c r="BS473" i="1"/>
  <c r="BS474" i="1"/>
  <c r="BS475" i="1"/>
  <c r="BS476" i="1"/>
  <c r="BS477" i="1"/>
  <c r="BS478" i="1"/>
  <c r="BS479" i="1"/>
  <c r="BS494" i="1"/>
  <c r="BS495" i="1"/>
  <c r="BS505" i="1"/>
  <c r="BS19" i="1"/>
  <c r="BS21" i="1"/>
  <c r="BS22" i="1"/>
  <c r="BS23" i="1"/>
  <c r="BS24" i="1"/>
  <c r="BS25" i="1"/>
  <c r="BS26" i="1"/>
  <c r="BS27" i="1"/>
  <c r="BS28" i="1"/>
  <c r="BS29" i="1"/>
  <c r="CA19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61" i="1"/>
  <c r="CA62" i="1"/>
  <c r="CA63" i="1"/>
  <c r="CA64" i="1"/>
  <c r="CA85" i="1"/>
  <c r="CA87" i="1"/>
  <c r="CA88" i="1"/>
  <c r="CA89" i="1"/>
  <c r="CA261" i="1"/>
  <c r="CA268" i="1"/>
  <c r="CA270" i="1"/>
  <c r="CA273" i="1"/>
  <c r="CA276" i="1"/>
  <c r="CA279" i="1"/>
  <c r="CA280" i="1"/>
  <c r="CA282" i="1"/>
  <c r="CA284" i="1"/>
  <c r="CA285" i="1"/>
  <c r="CA286" i="1"/>
  <c r="CA287" i="1"/>
  <c r="CA288" i="1"/>
  <c r="CA289" i="1"/>
  <c r="CA290" i="1"/>
  <c r="CA291" i="1"/>
  <c r="CA293" i="1"/>
  <c r="CA294" i="1"/>
  <c r="CA295" i="1"/>
  <c r="CA296" i="1"/>
  <c r="CA297" i="1"/>
  <c r="CA299" i="1"/>
  <c r="CA300" i="1"/>
  <c r="CA301" i="1"/>
  <c r="CA302" i="1"/>
  <c r="CA303" i="1"/>
  <c r="CA304" i="1"/>
  <c r="CA305" i="1"/>
  <c r="CA306" i="1"/>
  <c r="CA307" i="1"/>
  <c r="CA308" i="1"/>
  <c r="CA309" i="1"/>
  <c r="CA310" i="1"/>
  <c r="CA311" i="1"/>
  <c r="CA312" i="1"/>
  <c r="CA313" i="1"/>
  <c r="CA314" i="1"/>
  <c r="CA315" i="1"/>
  <c r="CA316" i="1"/>
  <c r="CA317" i="1"/>
  <c r="CA318" i="1"/>
  <c r="CA319" i="1"/>
  <c r="CA320" i="1"/>
  <c r="CA321" i="1"/>
  <c r="CA322" i="1"/>
  <c r="CA323" i="1"/>
  <c r="CA324" i="1"/>
  <c r="CA325" i="1"/>
  <c r="CA326" i="1"/>
  <c r="CA327" i="1"/>
  <c r="CA328" i="1"/>
  <c r="CA329" i="1"/>
  <c r="CA330" i="1"/>
  <c r="CA331" i="1"/>
  <c r="CA332" i="1"/>
  <c r="CA333" i="1"/>
  <c r="CA334" i="1"/>
  <c r="CA335" i="1"/>
  <c r="CA336" i="1"/>
  <c r="CA337" i="1"/>
  <c r="CA338" i="1"/>
  <c r="CA339" i="1"/>
  <c r="CA340" i="1"/>
  <c r="CA341" i="1"/>
  <c r="CA342" i="1"/>
  <c r="CA343" i="1"/>
  <c r="CA344" i="1"/>
  <c r="CA345" i="1"/>
  <c r="CA346" i="1"/>
  <c r="CA347" i="1"/>
  <c r="CA348" i="1"/>
  <c r="CA349" i="1"/>
  <c r="CA350" i="1"/>
  <c r="CA351" i="1"/>
  <c r="CA352" i="1"/>
  <c r="CA353" i="1"/>
  <c r="CA354" i="1"/>
  <c r="CA355" i="1"/>
  <c r="CA356" i="1"/>
  <c r="CA357" i="1"/>
  <c r="CA358" i="1"/>
  <c r="CA359" i="1"/>
  <c r="CA360" i="1"/>
  <c r="CA361" i="1"/>
  <c r="CA362" i="1"/>
  <c r="CA363" i="1"/>
  <c r="CA364" i="1"/>
  <c r="CA365" i="1"/>
  <c r="CA366" i="1"/>
  <c r="CA367" i="1"/>
  <c r="CA368" i="1"/>
  <c r="CA369" i="1"/>
  <c r="CA370" i="1"/>
  <c r="CA371" i="1"/>
  <c r="CA372" i="1"/>
  <c r="CA373" i="1"/>
  <c r="CA374" i="1"/>
  <c r="CA375" i="1"/>
  <c r="CA376" i="1"/>
  <c r="CA377" i="1"/>
  <c r="CA378" i="1"/>
  <c r="CA379" i="1"/>
  <c r="CA380" i="1"/>
  <c r="CA381" i="1"/>
  <c r="CA382" i="1"/>
  <c r="CA383" i="1"/>
  <c r="CA384" i="1"/>
  <c r="CA385" i="1"/>
  <c r="CA386" i="1"/>
  <c r="CA387" i="1"/>
  <c r="CA388" i="1"/>
  <c r="CA389" i="1"/>
  <c r="CA390" i="1"/>
  <c r="CA391" i="1"/>
  <c r="CA392" i="1"/>
  <c r="CA393" i="1"/>
  <c r="CA394" i="1"/>
  <c r="CA395" i="1"/>
  <c r="CA396" i="1"/>
  <c r="CA397" i="1"/>
  <c r="CA398" i="1"/>
  <c r="CA399" i="1"/>
  <c r="CA400" i="1"/>
  <c r="CA401" i="1"/>
  <c r="CA402" i="1"/>
  <c r="CA403" i="1"/>
  <c r="CA404" i="1"/>
  <c r="CA405" i="1"/>
  <c r="CA406" i="1"/>
  <c r="CA407" i="1"/>
  <c r="CA408" i="1"/>
  <c r="CA409" i="1"/>
  <c r="CA410" i="1"/>
  <c r="CA411" i="1"/>
  <c r="CA412" i="1"/>
  <c r="CA414" i="1"/>
  <c r="CA421" i="1"/>
  <c r="CA422" i="1"/>
  <c r="CA423" i="1"/>
  <c r="CA443" i="1"/>
  <c r="CA445" i="1"/>
  <c r="CA446" i="1"/>
  <c r="CA447" i="1"/>
  <c r="CA448" i="1"/>
  <c r="CA449" i="1"/>
  <c r="CA450" i="1"/>
  <c r="CA451" i="1"/>
  <c r="CA452" i="1"/>
  <c r="CA453" i="1"/>
  <c r="CA454" i="1"/>
  <c r="CA455" i="1"/>
  <c r="CA456" i="1"/>
  <c r="CA457" i="1"/>
  <c r="CA459" i="1"/>
  <c r="CA473" i="1"/>
  <c r="CA474" i="1"/>
  <c r="CA475" i="1"/>
  <c r="CA476" i="1"/>
  <c r="CA477" i="1"/>
  <c r="CA478" i="1"/>
  <c r="CA479" i="1"/>
  <c r="CA494" i="1"/>
  <c r="CA495" i="1"/>
  <c r="CA505" i="1"/>
  <c r="BZ19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61" i="1"/>
  <c r="BZ62" i="1"/>
  <c r="BZ63" i="1"/>
  <c r="BZ64" i="1"/>
  <c r="BZ85" i="1"/>
  <c r="BZ87" i="1"/>
  <c r="BZ88" i="1"/>
  <c r="BZ89" i="1"/>
  <c r="BZ261" i="1"/>
  <c r="BZ268" i="1"/>
  <c r="BZ270" i="1"/>
  <c r="BZ273" i="1"/>
  <c r="BZ276" i="1"/>
  <c r="BZ279" i="1"/>
  <c r="BZ280" i="1"/>
  <c r="BZ282" i="1"/>
  <c r="BZ284" i="1"/>
  <c r="BZ285" i="1"/>
  <c r="BZ286" i="1"/>
  <c r="BZ287" i="1"/>
  <c r="BZ288" i="1"/>
  <c r="BZ289" i="1"/>
  <c r="BZ290" i="1"/>
  <c r="BZ291" i="1"/>
  <c r="BZ293" i="1"/>
  <c r="BZ294" i="1"/>
  <c r="BZ295" i="1"/>
  <c r="BZ296" i="1"/>
  <c r="BZ297" i="1"/>
  <c r="BZ299" i="1"/>
  <c r="BZ300" i="1"/>
  <c r="BZ301" i="1"/>
  <c r="BZ302" i="1"/>
  <c r="BZ303" i="1"/>
  <c r="BZ304" i="1"/>
  <c r="BZ305" i="1"/>
  <c r="BZ306" i="1"/>
  <c r="BZ307" i="1"/>
  <c r="BZ308" i="1"/>
  <c r="BZ309" i="1"/>
  <c r="BZ310" i="1"/>
  <c r="BZ311" i="1"/>
  <c r="BZ312" i="1"/>
  <c r="BZ313" i="1"/>
  <c r="BZ314" i="1"/>
  <c r="BZ315" i="1"/>
  <c r="BZ316" i="1"/>
  <c r="BZ317" i="1"/>
  <c r="BZ318" i="1"/>
  <c r="BZ319" i="1"/>
  <c r="BZ320" i="1"/>
  <c r="BZ321" i="1"/>
  <c r="BZ322" i="1"/>
  <c r="BZ323" i="1"/>
  <c r="BZ324" i="1"/>
  <c r="BZ325" i="1"/>
  <c r="BZ326" i="1"/>
  <c r="BZ327" i="1"/>
  <c r="BZ328" i="1"/>
  <c r="BZ329" i="1"/>
  <c r="BZ330" i="1"/>
  <c r="BZ331" i="1"/>
  <c r="BZ332" i="1"/>
  <c r="BZ333" i="1"/>
  <c r="BZ334" i="1"/>
  <c r="BZ335" i="1"/>
  <c r="BZ336" i="1"/>
  <c r="BZ337" i="1"/>
  <c r="BZ338" i="1"/>
  <c r="BZ339" i="1"/>
  <c r="BZ340" i="1"/>
  <c r="BZ341" i="1"/>
  <c r="BZ342" i="1"/>
  <c r="BZ343" i="1"/>
  <c r="BZ344" i="1"/>
  <c r="BZ345" i="1"/>
  <c r="BZ346" i="1"/>
  <c r="BZ347" i="1"/>
  <c r="BZ348" i="1"/>
  <c r="BZ349" i="1"/>
  <c r="BZ350" i="1"/>
  <c r="BZ351" i="1"/>
  <c r="BZ352" i="1"/>
  <c r="BZ353" i="1"/>
  <c r="BZ354" i="1"/>
  <c r="BZ355" i="1"/>
  <c r="BZ356" i="1"/>
  <c r="BZ357" i="1"/>
  <c r="BZ358" i="1"/>
  <c r="BZ359" i="1"/>
  <c r="BZ360" i="1"/>
  <c r="BZ361" i="1"/>
  <c r="BZ362" i="1"/>
  <c r="BZ363" i="1"/>
  <c r="BZ364" i="1"/>
  <c r="BZ365" i="1"/>
  <c r="BZ366" i="1"/>
  <c r="BZ367" i="1"/>
  <c r="BZ368" i="1"/>
  <c r="BZ369" i="1"/>
  <c r="BZ370" i="1"/>
  <c r="BZ371" i="1"/>
  <c r="BZ372" i="1"/>
  <c r="BZ373" i="1"/>
  <c r="BZ374" i="1"/>
  <c r="BZ375" i="1"/>
  <c r="BZ376" i="1"/>
  <c r="BZ377" i="1"/>
  <c r="BZ378" i="1"/>
  <c r="BZ379" i="1"/>
  <c r="BZ380" i="1"/>
  <c r="BZ381" i="1"/>
  <c r="BZ382" i="1"/>
  <c r="BZ383" i="1"/>
  <c r="BZ384" i="1"/>
  <c r="BZ385" i="1"/>
  <c r="BZ386" i="1"/>
  <c r="BZ387" i="1"/>
  <c r="BZ388" i="1"/>
  <c r="BZ389" i="1"/>
  <c r="BZ390" i="1"/>
  <c r="BZ391" i="1"/>
  <c r="BZ392" i="1"/>
  <c r="BZ393" i="1"/>
  <c r="BZ394" i="1"/>
  <c r="BZ395" i="1"/>
  <c r="BZ396" i="1"/>
  <c r="BZ397" i="1"/>
  <c r="BZ398" i="1"/>
  <c r="BZ399" i="1"/>
  <c r="BZ400" i="1"/>
  <c r="BZ401" i="1"/>
  <c r="BZ402" i="1"/>
  <c r="BZ403" i="1"/>
  <c r="BZ404" i="1"/>
  <c r="BZ405" i="1"/>
  <c r="BZ406" i="1"/>
  <c r="BZ407" i="1"/>
  <c r="BZ408" i="1"/>
  <c r="BZ409" i="1"/>
  <c r="BZ410" i="1"/>
  <c r="BZ411" i="1"/>
  <c r="BZ412" i="1"/>
  <c r="BZ414" i="1"/>
  <c r="BZ421" i="1"/>
  <c r="BZ422" i="1"/>
  <c r="BZ423" i="1"/>
  <c r="BZ443" i="1"/>
  <c r="BZ445" i="1"/>
  <c r="BZ446" i="1"/>
  <c r="BZ447" i="1"/>
  <c r="BZ448" i="1"/>
  <c r="BZ449" i="1"/>
  <c r="BZ450" i="1"/>
  <c r="BZ451" i="1"/>
  <c r="BZ452" i="1"/>
  <c r="BZ453" i="1"/>
  <c r="BZ454" i="1"/>
  <c r="BZ455" i="1"/>
  <c r="BZ456" i="1"/>
  <c r="BZ457" i="1"/>
  <c r="BZ459" i="1"/>
  <c r="BZ473" i="1"/>
  <c r="BZ474" i="1"/>
  <c r="BZ475" i="1"/>
  <c r="BZ476" i="1"/>
  <c r="BZ477" i="1"/>
  <c r="BZ478" i="1"/>
  <c r="BZ479" i="1"/>
  <c r="BZ494" i="1"/>
  <c r="BZ495" i="1"/>
  <c r="BZ505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61" i="1"/>
  <c r="CI62" i="1"/>
  <c r="CI63" i="1"/>
  <c r="CI64" i="1"/>
  <c r="CI85" i="1"/>
  <c r="CI87" i="1"/>
  <c r="CI88" i="1"/>
  <c r="CI89" i="1"/>
  <c r="CI261" i="1"/>
  <c r="CI268" i="1"/>
  <c r="CI270" i="1"/>
  <c r="CI273" i="1"/>
  <c r="CI276" i="1"/>
  <c r="CI279" i="1"/>
  <c r="CI280" i="1"/>
  <c r="CI282" i="1"/>
  <c r="CI284" i="1"/>
  <c r="CI285" i="1"/>
  <c r="CI286" i="1"/>
  <c r="CI287" i="1"/>
  <c r="CI288" i="1"/>
  <c r="CI289" i="1"/>
  <c r="CI290" i="1"/>
  <c r="CI291" i="1"/>
  <c r="CI293" i="1"/>
  <c r="CI294" i="1"/>
  <c r="CI295" i="1"/>
  <c r="CI296" i="1"/>
  <c r="CI297" i="1"/>
  <c r="CI299" i="1"/>
  <c r="CI300" i="1"/>
  <c r="CI301" i="1"/>
  <c r="CI302" i="1"/>
  <c r="CI303" i="1"/>
  <c r="CI304" i="1"/>
  <c r="CI305" i="1"/>
  <c r="CI306" i="1"/>
  <c r="CI307" i="1"/>
  <c r="CI308" i="1"/>
  <c r="CI309" i="1"/>
  <c r="CI310" i="1"/>
  <c r="CI311" i="1"/>
  <c r="CI312" i="1"/>
  <c r="CI313" i="1"/>
  <c r="CI314" i="1"/>
  <c r="CI315" i="1"/>
  <c r="CI316" i="1"/>
  <c r="CI317" i="1"/>
  <c r="CI318" i="1"/>
  <c r="CI319" i="1"/>
  <c r="CI320" i="1"/>
  <c r="CI321" i="1"/>
  <c r="CI322" i="1"/>
  <c r="CI323" i="1"/>
  <c r="CI324" i="1"/>
  <c r="CI325" i="1"/>
  <c r="CI326" i="1"/>
  <c r="CI327" i="1"/>
  <c r="CI328" i="1"/>
  <c r="CI329" i="1"/>
  <c r="CI330" i="1"/>
  <c r="CI331" i="1"/>
  <c r="CI332" i="1"/>
  <c r="CI333" i="1"/>
  <c r="CI334" i="1"/>
  <c r="CI335" i="1"/>
  <c r="CI336" i="1"/>
  <c r="CI337" i="1"/>
  <c r="CI338" i="1"/>
  <c r="CI339" i="1"/>
  <c r="CI340" i="1"/>
  <c r="CI341" i="1"/>
  <c r="CI342" i="1"/>
  <c r="CI343" i="1"/>
  <c r="CI344" i="1"/>
  <c r="CI345" i="1"/>
  <c r="CI346" i="1"/>
  <c r="CI347" i="1"/>
  <c r="CI348" i="1"/>
  <c r="CI349" i="1"/>
  <c r="CI350" i="1"/>
  <c r="CI351" i="1"/>
  <c r="CI352" i="1"/>
  <c r="CI353" i="1"/>
  <c r="CI354" i="1"/>
  <c r="CI355" i="1"/>
  <c r="CI356" i="1"/>
  <c r="CI357" i="1"/>
  <c r="CI358" i="1"/>
  <c r="CI359" i="1"/>
  <c r="CI360" i="1"/>
  <c r="CI361" i="1"/>
  <c r="CI362" i="1"/>
  <c r="CI363" i="1"/>
  <c r="CI364" i="1"/>
  <c r="CI365" i="1"/>
  <c r="CI366" i="1"/>
  <c r="CI367" i="1"/>
  <c r="CI368" i="1"/>
  <c r="CI369" i="1"/>
  <c r="CI370" i="1"/>
  <c r="CI371" i="1"/>
  <c r="CI372" i="1"/>
  <c r="CI373" i="1"/>
  <c r="CI374" i="1"/>
  <c r="CI375" i="1"/>
  <c r="CI376" i="1"/>
  <c r="CI377" i="1"/>
  <c r="CI378" i="1"/>
  <c r="CI379" i="1"/>
  <c r="CI380" i="1"/>
  <c r="CI381" i="1"/>
  <c r="CI382" i="1"/>
  <c r="CI383" i="1"/>
  <c r="CI384" i="1"/>
  <c r="CI385" i="1"/>
  <c r="CI386" i="1"/>
  <c r="CI387" i="1"/>
  <c r="CI388" i="1"/>
  <c r="CI389" i="1"/>
  <c r="CI390" i="1"/>
  <c r="CI391" i="1"/>
  <c r="CI392" i="1"/>
  <c r="CI393" i="1"/>
  <c r="CI394" i="1"/>
  <c r="CI395" i="1"/>
  <c r="CI396" i="1"/>
  <c r="CI397" i="1"/>
  <c r="CI398" i="1"/>
  <c r="CI399" i="1"/>
  <c r="CI400" i="1"/>
  <c r="CI401" i="1"/>
  <c r="CI402" i="1"/>
  <c r="CI403" i="1"/>
  <c r="CI404" i="1"/>
  <c r="CI405" i="1"/>
  <c r="CI406" i="1"/>
  <c r="CI407" i="1"/>
  <c r="CI408" i="1"/>
  <c r="CI409" i="1"/>
  <c r="CI410" i="1"/>
  <c r="CI411" i="1"/>
  <c r="CI412" i="1"/>
  <c r="CI414" i="1"/>
  <c r="CI421" i="1"/>
  <c r="CI422" i="1"/>
  <c r="CI423" i="1"/>
  <c r="CI443" i="1"/>
  <c r="CI445" i="1"/>
  <c r="CI446" i="1"/>
  <c r="CI447" i="1"/>
  <c r="CI448" i="1"/>
  <c r="CI449" i="1"/>
  <c r="CI450" i="1"/>
  <c r="CI451" i="1"/>
  <c r="CI452" i="1"/>
  <c r="CI453" i="1"/>
  <c r="CI454" i="1"/>
  <c r="CI455" i="1"/>
  <c r="CI456" i="1"/>
  <c r="CI457" i="1"/>
  <c r="CI459" i="1"/>
  <c r="CI473" i="1"/>
  <c r="CI474" i="1"/>
  <c r="CI475" i="1"/>
  <c r="CI476" i="1"/>
  <c r="CI477" i="1"/>
  <c r="CI478" i="1"/>
  <c r="CI479" i="1"/>
  <c r="CI494" i="1"/>
  <c r="CI495" i="1"/>
  <c r="CI505" i="1"/>
  <c r="CI21" i="1"/>
  <c r="CI22" i="1"/>
  <c r="CI23" i="1"/>
  <c r="CI24" i="1"/>
  <c r="CI25" i="1"/>
  <c r="CI26" i="1"/>
  <c r="CI27" i="1"/>
  <c r="CI28" i="1"/>
  <c r="CI29" i="1"/>
  <c r="CI19" i="1"/>
  <c r="CH22" i="1"/>
  <c r="CH23" i="1"/>
  <c r="CH24" i="1"/>
  <c r="CH25" i="1"/>
  <c r="CH26" i="1"/>
  <c r="CH27" i="1"/>
  <c r="CH28" i="1"/>
  <c r="CH29" i="1"/>
  <c r="CH30" i="1"/>
  <c r="CH31" i="1"/>
  <c r="CH32" i="1"/>
  <c r="CH33" i="1"/>
  <c r="CH34" i="1"/>
  <c r="CH35" i="1"/>
  <c r="CH36" i="1"/>
  <c r="CH37" i="1"/>
  <c r="CH38" i="1"/>
  <c r="CH39" i="1"/>
  <c r="CH40" i="1"/>
  <c r="CH41" i="1"/>
  <c r="CH42" i="1"/>
  <c r="CH43" i="1"/>
  <c r="CH44" i="1"/>
  <c r="CH45" i="1"/>
  <c r="CH46" i="1"/>
  <c r="CH47" i="1"/>
  <c r="CH48" i="1"/>
  <c r="CH49" i="1"/>
  <c r="CH50" i="1"/>
  <c r="CH51" i="1"/>
  <c r="CH52" i="1"/>
  <c r="CH53" i="1"/>
  <c r="CH54" i="1"/>
  <c r="CH61" i="1"/>
  <c r="CH62" i="1"/>
  <c r="CH63" i="1"/>
  <c r="CH64" i="1"/>
  <c r="CH85" i="1"/>
  <c r="CH87" i="1"/>
  <c r="CH88" i="1"/>
  <c r="CH89" i="1"/>
  <c r="CH261" i="1"/>
  <c r="CH268" i="1"/>
  <c r="CH270" i="1"/>
  <c r="CH273" i="1"/>
  <c r="CH276" i="1"/>
  <c r="CH279" i="1"/>
  <c r="CH280" i="1"/>
  <c r="CH282" i="1"/>
  <c r="CH284" i="1"/>
  <c r="CH285" i="1"/>
  <c r="CH286" i="1"/>
  <c r="CH287" i="1"/>
  <c r="CH288" i="1"/>
  <c r="CH289" i="1"/>
  <c r="CH290" i="1"/>
  <c r="CH291" i="1"/>
  <c r="CH293" i="1"/>
  <c r="CH294" i="1"/>
  <c r="CH295" i="1"/>
  <c r="CH296" i="1"/>
  <c r="CH297" i="1"/>
  <c r="CH299" i="1"/>
  <c r="CH300" i="1"/>
  <c r="CH301" i="1"/>
  <c r="CH302" i="1"/>
  <c r="CH303" i="1"/>
  <c r="CH304" i="1"/>
  <c r="CH305" i="1"/>
  <c r="CH306" i="1"/>
  <c r="CH307" i="1"/>
  <c r="CH308" i="1"/>
  <c r="CH309" i="1"/>
  <c r="CH310" i="1"/>
  <c r="CH311" i="1"/>
  <c r="CH312" i="1"/>
  <c r="CH313" i="1"/>
  <c r="CH314" i="1"/>
  <c r="CH315" i="1"/>
  <c r="CH316" i="1"/>
  <c r="CH317" i="1"/>
  <c r="CH318" i="1"/>
  <c r="CH319" i="1"/>
  <c r="CH320" i="1"/>
  <c r="CH321" i="1"/>
  <c r="CH322" i="1"/>
  <c r="CH323" i="1"/>
  <c r="CH324" i="1"/>
  <c r="CH325" i="1"/>
  <c r="CH326" i="1"/>
  <c r="CH327" i="1"/>
  <c r="CH328" i="1"/>
  <c r="CH329" i="1"/>
  <c r="CH330" i="1"/>
  <c r="CH331" i="1"/>
  <c r="CH332" i="1"/>
  <c r="CH333" i="1"/>
  <c r="CH334" i="1"/>
  <c r="CH335" i="1"/>
  <c r="CH336" i="1"/>
  <c r="CH337" i="1"/>
  <c r="CH338" i="1"/>
  <c r="CH339" i="1"/>
  <c r="CH340" i="1"/>
  <c r="CH341" i="1"/>
  <c r="CH342" i="1"/>
  <c r="CH343" i="1"/>
  <c r="CH344" i="1"/>
  <c r="CH345" i="1"/>
  <c r="CH346" i="1"/>
  <c r="CH347" i="1"/>
  <c r="CH348" i="1"/>
  <c r="CH349" i="1"/>
  <c r="CH350" i="1"/>
  <c r="CH351" i="1"/>
  <c r="CH352" i="1"/>
  <c r="CH353" i="1"/>
  <c r="CH354" i="1"/>
  <c r="CH355" i="1"/>
  <c r="CH356" i="1"/>
  <c r="CH357" i="1"/>
  <c r="CH358" i="1"/>
  <c r="CH359" i="1"/>
  <c r="CH360" i="1"/>
  <c r="CH361" i="1"/>
  <c r="CH362" i="1"/>
  <c r="CH363" i="1"/>
  <c r="CH364" i="1"/>
  <c r="CH365" i="1"/>
  <c r="CH366" i="1"/>
  <c r="CH367" i="1"/>
  <c r="CH368" i="1"/>
  <c r="CH369" i="1"/>
  <c r="CH370" i="1"/>
  <c r="CH371" i="1"/>
  <c r="CH372" i="1"/>
  <c r="CH373" i="1"/>
  <c r="CH374" i="1"/>
  <c r="CH375" i="1"/>
  <c r="CH376" i="1"/>
  <c r="CH377" i="1"/>
  <c r="CH378" i="1"/>
  <c r="CH379" i="1"/>
  <c r="CH380" i="1"/>
  <c r="CH381" i="1"/>
  <c r="CH382" i="1"/>
  <c r="CH383" i="1"/>
  <c r="CH384" i="1"/>
  <c r="CH385" i="1"/>
  <c r="CH386" i="1"/>
  <c r="CH387" i="1"/>
  <c r="CH388" i="1"/>
  <c r="CH389" i="1"/>
  <c r="CH390" i="1"/>
  <c r="CH391" i="1"/>
  <c r="CH392" i="1"/>
  <c r="CH393" i="1"/>
  <c r="CH394" i="1"/>
  <c r="CH395" i="1"/>
  <c r="CH396" i="1"/>
  <c r="CH397" i="1"/>
  <c r="CH398" i="1"/>
  <c r="CH399" i="1"/>
  <c r="CH400" i="1"/>
  <c r="CH401" i="1"/>
  <c r="CH402" i="1"/>
  <c r="CH403" i="1"/>
  <c r="CH404" i="1"/>
  <c r="CH405" i="1"/>
  <c r="CH406" i="1"/>
  <c r="CH407" i="1"/>
  <c r="CH408" i="1"/>
  <c r="CH409" i="1"/>
  <c r="CH410" i="1"/>
  <c r="CH411" i="1"/>
  <c r="CH412" i="1"/>
  <c r="CH414" i="1"/>
  <c r="CH421" i="1"/>
  <c r="CH422" i="1"/>
  <c r="CH423" i="1"/>
  <c r="CH443" i="1"/>
  <c r="CH445" i="1"/>
  <c r="CH446" i="1"/>
  <c r="CH447" i="1"/>
  <c r="CH448" i="1"/>
  <c r="CH449" i="1"/>
  <c r="CH450" i="1"/>
  <c r="CH451" i="1"/>
  <c r="CH452" i="1"/>
  <c r="CH453" i="1"/>
  <c r="CH454" i="1"/>
  <c r="CH455" i="1"/>
  <c r="CH456" i="1"/>
  <c r="CH457" i="1"/>
  <c r="CH459" i="1"/>
  <c r="CH473" i="1"/>
  <c r="CH474" i="1"/>
  <c r="CH475" i="1"/>
  <c r="CH476" i="1"/>
  <c r="CH477" i="1"/>
  <c r="CH478" i="1"/>
  <c r="CH479" i="1"/>
  <c r="CH494" i="1"/>
  <c r="CH495" i="1"/>
  <c r="CH505" i="1"/>
  <c r="CH19" i="1"/>
  <c r="CH21" i="1"/>
  <c r="CO17" i="1"/>
  <c r="CO18" i="1"/>
  <c r="CO19" i="1"/>
  <c r="CO20" i="1"/>
  <c r="CO21" i="1"/>
  <c r="CO22" i="1"/>
  <c r="CO23" i="1"/>
  <c r="CO24" i="1"/>
  <c r="CO25" i="1"/>
  <c r="CO26" i="1"/>
  <c r="CO27" i="1"/>
  <c r="CO28" i="1"/>
  <c r="CO29" i="1"/>
  <c r="CO30" i="1"/>
  <c r="CO31" i="1"/>
  <c r="CO32" i="1"/>
  <c r="CO33" i="1"/>
  <c r="CO34" i="1"/>
  <c r="CO35" i="1"/>
  <c r="CO36" i="1"/>
  <c r="CO37" i="1"/>
  <c r="CO38" i="1"/>
  <c r="CO39" i="1"/>
  <c r="CO40" i="1"/>
  <c r="CO41" i="1"/>
  <c r="CO42" i="1"/>
  <c r="CO43" i="1"/>
  <c r="CO44" i="1"/>
  <c r="CO45" i="1"/>
  <c r="CO46" i="1"/>
  <c r="CO47" i="1"/>
  <c r="CO48" i="1"/>
  <c r="CO49" i="1"/>
  <c r="CO50" i="1"/>
  <c r="CO51" i="1"/>
  <c r="CO52" i="1"/>
  <c r="CO53" i="1"/>
  <c r="CO54" i="1"/>
  <c r="CO57" i="1"/>
  <c r="CO58" i="1"/>
  <c r="CO59" i="1"/>
  <c r="CO60" i="1"/>
  <c r="CO61" i="1"/>
  <c r="CO62" i="1"/>
  <c r="CO63" i="1"/>
  <c r="CO64" i="1"/>
  <c r="CO76" i="1"/>
  <c r="CO77" i="1"/>
  <c r="CO78" i="1"/>
  <c r="CO79" i="1"/>
  <c r="CO80" i="1"/>
  <c r="CO81" i="1"/>
  <c r="CO82" i="1"/>
  <c r="CO83" i="1"/>
  <c r="CO84" i="1"/>
  <c r="CO85" i="1"/>
  <c r="CO86" i="1"/>
  <c r="CO87" i="1"/>
  <c r="CO88" i="1"/>
  <c r="CO89" i="1"/>
  <c r="CO180" i="1"/>
  <c r="CO181" i="1"/>
  <c r="CO183" i="1"/>
  <c r="CO186" i="1"/>
  <c r="CO187" i="1"/>
  <c r="CO188" i="1"/>
  <c r="CO189" i="1"/>
  <c r="CO192" i="1"/>
  <c r="CO193" i="1"/>
  <c r="CO194" i="1"/>
  <c r="CO197" i="1"/>
  <c r="CO198" i="1"/>
  <c r="CO199" i="1"/>
  <c r="CO200" i="1"/>
  <c r="CO201" i="1"/>
  <c r="CO202" i="1"/>
  <c r="CO203" i="1"/>
  <c r="CO204" i="1"/>
  <c r="CO205" i="1"/>
  <c r="CO206" i="1"/>
  <c r="CO207" i="1"/>
  <c r="CO208" i="1"/>
  <c r="CO210" i="1"/>
  <c r="CO211" i="1"/>
  <c r="CO212" i="1"/>
  <c r="CO213" i="1"/>
  <c r="CO214" i="1"/>
  <c r="CO215" i="1"/>
  <c r="CO216" i="1"/>
  <c r="CO217" i="1"/>
  <c r="CO218" i="1"/>
  <c r="CO219" i="1"/>
  <c r="CO220" i="1"/>
  <c r="CO221" i="1"/>
  <c r="CO222" i="1"/>
  <c r="CO223" i="1"/>
  <c r="CO224" i="1"/>
  <c r="CO225" i="1"/>
  <c r="CO226" i="1"/>
  <c r="CO227" i="1"/>
  <c r="CO228" i="1"/>
  <c r="CO229" i="1"/>
  <c r="CO230" i="1"/>
  <c r="CO231" i="1"/>
  <c r="CO232" i="1"/>
  <c r="CO233" i="1"/>
  <c r="CO234" i="1"/>
  <c r="CO235" i="1"/>
  <c r="CO236" i="1"/>
  <c r="CO237" i="1"/>
  <c r="CO238" i="1"/>
  <c r="CO239" i="1"/>
  <c r="CO240" i="1"/>
  <c r="CO241" i="1"/>
  <c r="CO242" i="1"/>
  <c r="CO243" i="1"/>
  <c r="CO244" i="1"/>
  <c r="CO245" i="1"/>
  <c r="CO246" i="1"/>
  <c r="CO247" i="1"/>
  <c r="CO248" i="1"/>
  <c r="CO249" i="1"/>
  <c r="CO250" i="1"/>
  <c r="CO251" i="1"/>
  <c r="CO252" i="1"/>
  <c r="CO254" i="1"/>
  <c r="CO255" i="1"/>
  <c r="CO256" i="1"/>
  <c r="CO257" i="1"/>
  <c r="CO258" i="1"/>
  <c r="CO259" i="1"/>
  <c r="CO260" i="1"/>
  <c r="CO261" i="1"/>
  <c r="CO262" i="1"/>
  <c r="CO263" i="1"/>
  <c r="CO264" i="1"/>
  <c r="CO265" i="1"/>
  <c r="CO266" i="1"/>
  <c r="CO267" i="1"/>
  <c r="CO268" i="1"/>
  <c r="CO269" i="1"/>
  <c r="CO270" i="1"/>
  <c r="CO271" i="1"/>
  <c r="CO273" i="1"/>
  <c r="CO274" i="1"/>
  <c r="CO275" i="1"/>
  <c r="CO276" i="1"/>
  <c r="CO277" i="1"/>
  <c r="CO278" i="1"/>
  <c r="CO279" i="1"/>
  <c r="CO280" i="1"/>
  <c r="CO281" i="1"/>
  <c r="CO282" i="1"/>
  <c r="CO283" i="1"/>
  <c r="CO284" i="1"/>
  <c r="CO285" i="1"/>
  <c r="CO286" i="1"/>
  <c r="CO287" i="1"/>
  <c r="CO288" i="1"/>
  <c r="CO289" i="1"/>
  <c r="CO290" i="1"/>
  <c r="CO291" i="1"/>
  <c r="CO292" i="1"/>
  <c r="CO293" i="1"/>
  <c r="CO294" i="1"/>
  <c r="CO295" i="1"/>
  <c r="CO296" i="1"/>
  <c r="CO297" i="1"/>
  <c r="CO299" i="1"/>
  <c r="CO300" i="1"/>
  <c r="CO301" i="1"/>
  <c r="CO302" i="1"/>
  <c r="CO303" i="1"/>
  <c r="CO304" i="1"/>
  <c r="CO305" i="1"/>
  <c r="CO306" i="1"/>
  <c r="CO307" i="1"/>
  <c r="CO308" i="1"/>
  <c r="CO309" i="1"/>
  <c r="CO310" i="1"/>
  <c r="CO311" i="1"/>
  <c r="CO312" i="1"/>
  <c r="CO313" i="1"/>
  <c r="CO314" i="1"/>
  <c r="CO315" i="1"/>
  <c r="CO316" i="1"/>
  <c r="CO317" i="1"/>
  <c r="CO318" i="1"/>
  <c r="CO319" i="1"/>
  <c r="CO320" i="1"/>
  <c r="CO321" i="1"/>
  <c r="CO322" i="1"/>
  <c r="CO323" i="1"/>
  <c r="CO324" i="1"/>
  <c r="CO325" i="1"/>
  <c r="CO326" i="1"/>
  <c r="CO327" i="1"/>
  <c r="CO328" i="1"/>
  <c r="CO329" i="1"/>
  <c r="CO330" i="1"/>
  <c r="CO331" i="1"/>
  <c r="CO332" i="1"/>
  <c r="CO333" i="1"/>
  <c r="CO334" i="1"/>
  <c r="CO335" i="1"/>
  <c r="CO336" i="1"/>
  <c r="CO337" i="1"/>
  <c r="CO338" i="1"/>
  <c r="CO339" i="1"/>
  <c r="CO340" i="1"/>
  <c r="CO341" i="1"/>
  <c r="CO342" i="1"/>
  <c r="CO343" i="1"/>
  <c r="CO344" i="1"/>
  <c r="CO345" i="1"/>
  <c r="CO346" i="1"/>
  <c r="CO347" i="1"/>
  <c r="CO348" i="1"/>
  <c r="CO349" i="1"/>
  <c r="CO350" i="1"/>
  <c r="CO351" i="1"/>
  <c r="CO352" i="1"/>
  <c r="CO353" i="1"/>
  <c r="CO354" i="1"/>
  <c r="CO355" i="1"/>
  <c r="CO356" i="1"/>
  <c r="CO357" i="1"/>
  <c r="CO358" i="1"/>
  <c r="CO359" i="1"/>
  <c r="CO360" i="1"/>
  <c r="CO361" i="1"/>
  <c r="CO362" i="1"/>
  <c r="CO363" i="1"/>
  <c r="CO364" i="1"/>
  <c r="CO365" i="1"/>
  <c r="CO366" i="1"/>
  <c r="CO367" i="1"/>
  <c r="CO368" i="1"/>
  <c r="CO369" i="1"/>
  <c r="CO370" i="1"/>
  <c r="CO371" i="1"/>
  <c r="CO372" i="1"/>
  <c r="CO373" i="1"/>
  <c r="CO374" i="1"/>
  <c r="CO375" i="1"/>
  <c r="CO376" i="1"/>
  <c r="CO377" i="1"/>
  <c r="CO378" i="1"/>
  <c r="CO379" i="1"/>
  <c r="CO380" i="1"/>
  <c r="CO381" i="1"/>
  <c r="CO382" i="1"/>
  <c r="CO383" i="1"/>
  <c r="CO384" i="1"/>
  <c r="CO385" i="1"/>
  <c r="CO386" i="1"/>
  <c r="CO387" i="1"/>
  <c r="CO388" i="1"/>
  <c r="CO389" i="1"/>
  <c r="CO390" i="1"/>
  <c r="CO391" i="1"/>
  <c r="CO392" i="1"/>
  <c r="CO393" i="1"/>
  <c r="CO394" i="1"/>
  <c r="CO395" i="1"/>
  <c r="CO396" i="1"/>
  <c r="CO397" i="1"/>
  <c r="CO398" i="1"/>
  <c r="CO399" i="1"/>
  <c r="CO400" i="1"/>
  <c r="CO401" i="1"/>
  <c r="CO402" i="1"/>
  <c r="CO403" i="1"/>
  <c r="CO404" i="1"/>
  <c r="CO405" i="1"/>
  <c r="CO406" i="1"/>
  <c r="CO407" i="1"/>
  <c r="CO408" i="1"/>
  <c r="CO409" i="1"/>
  <c r="CO410" i="1"/>
  <c r="CO411" i="1"/>
  <c r="CO412" i="1"/>
  <c r="CO414" i="1"/>
  <c r="CO416" i="1"/>
  <c r="CO420" i="1"/>
  <c r="CO421" i="1"/>
  <c r="CO422" i="1"/>
  <c r="CO423" i="1"/>
  <c r="CO434" i="1"/>
  <c r="CO435" i="1"/>
  <c r="CO436" i="1"/>
  <c r="CO437" i="1"/>
  <c r="CO438" i="1"/>
  <c r="CO439" i="1"/>
  <c r="CO440" i="1"/>
  <c r="CO441" i="1"/>
  <c r="CO442" i="1"/>
  <c r="CO443" i="1"/>
  <c r="CO444" i="1"/>
  <c r="CO445" i="1"/>
  <c r="CO446" i="1"/>
  <c r="CO447" i="1"/>
  <c r="CO448" i="1"/>
  <c r="CO449" i="1"/>
  <c r="CO450" i="1"/>
  <c r="CO451" i="1"/>
  <c r="CO452" i="1"/>
  <c r="CO453" i="1"/>
  <c r="CO454" i="1"/>
  <c r="CO455" i="1"/>
  <c r="CO456" i="1"/>
  <c r="CO457" i="1"/>
  <c r="CO459" i="1"/>
  <c r="CO470" i="1"/>
  <c r="CO471" i="1"/>
  <c r="CO472" i="1"/>
  <c r="CO473" i="1"/>
  <c r="CO474" i="1"/>
  <c r="CO475" i="1"/>
  <c r="CO476" i="1"/>
  <c r="CO477" i="1"/>
  <c r="CO478" i="1"/>
  <c r="CO479" i="1"/>
  <c r="CO488" i="1"/>
  <c r="CO489" i="1"/>
  <c r="CO490" i="1"/>
  <c r="CO491" i="1"/>
  <c r="CO492" i="1"/>
  <c r="CO493" i="1"/>
  <c r="CO494" i="1"/>
  <c r="CO495" i="1"/>
  <c r="CO496" i="1"/>
  <c r="CO498" i="1"/>
  <c r="CO500" i="1"/>
  <c r="CO501" i="1"/>
  <c r="CO502" i="1"/>
  <c r="CO503" i="1"/>
  <c r="CO504" i="1"/>
  <c r="CO505" i="1"/>
  <c r="CO9" i="1"/>
  <c r="CO11" i="1"/>
  <c r="CO12" i="1"/>
  <c r="CO13" i="1"/>
  <c r="CO14" i="1"/>
  <c r="CO15" i="1"/>
  <c r="CO16" i="1"/>
  <c r="CU9" i="1"/>
  <c r="CV9" i="1" s="1"/>
  <c r="CU11" i="1"/>
  <c r="CV11" i="1" s="1"/>
  <c r="CU12" i="1"/>
  <c r="CV12" i="1" s="1"/>
  <c r="CU13" i="1"/>
  <c r="CV13" i="1" s="1"/>
  <c r="CU14" i="1"/>
  <c r="CV14" i="1" s="1"/>
  <c r="CU15" i="1"/>
  <c r="CV15" i="1" s="1"/>
  <c r="CU16" i="1"/>
  <c r="CV16" i="1" s="1"/>
  <c r="CU17" i="1"/>
  <c r="CV17" i="1" s="1"/>
  <c r="CU18" i="1"/>
  <c r="CV18" i="1" s="1"/>
  <c r="CU19" i="1"/>
  <c r="CV19" i="1" s="1"/>
  <c r="CU20" i="1"/>
  <c r="CV20" i="1" s="1"/>
  <c r="CU21" i="1"/>
  <c r="CV21" i="1" s="1"/>
  <c r="CU22" i="1"/>
  <c r="CV22" i="1" s="1"/>
  <c r="CU23" i="1"/>
  <c r="CV23" i="1" s="1"/>
  <c r="CU24" i="1"/>
  <c r="CV24" i="1" s="1"/>
  <c r="CU25" i="1"/>
  <c r="CV25" i="1" s="1"/>
  <c r="CU26" i="1"/>
  <c r="CV26" i="1" s="1"/>
  <c r="CU27" i="1"/>
  <c r="CV27" i="1" s="1"/>
  <c r="CU28" i="1"/>
  <c r="CV28" i="1" s="1"/>
  <c r="CU29" i="1"/>
  <c r="CV29" i="1" s="1"/>
  <c r="CU30" i="1"/>
  <c r="CV30" i="1" s="1"/>
  <c r="CU31" i="1"/>
  <c r="CV31" i="1" s="1"/>
  <c r="CU32" i="1"/>
  <c r="CV32" i="1" s="1"/>
  <c r="CU33" i="1"/>
  <c r="CV33" i="1" s="1"/>
  <c r="CU34" i="1"/>
  <c r="CV34" i="1" s="1"/>
  <c r="CU35" i="1"/>
  <c r="CV35" i="1" s="1"/>
  <c r="CU36" i="1"/>
  <c r="CV36" i="1" s="1"/>
  <c r="CU37" i="1"/>
  <c r="CV37" i="1" s="1"/>
  <c r="CU38" i="1"/>
  <c r="CV38" i="1" s="1"/>
  <c r="CU39" i="1"/>
  <c r="CV39" i="1" s="1"/>
  <c r="CU40" i="1"/>
  <c r="CV40" i="1" s="1"/>
  <c r="CU41" i="1"/>
  <c r="CV41" i="1" s="1"/>
  <c r="CU42" i="1"/>
  <c r="CV42" i="1" s="1"/>
  <c r="CU43" i="1"/>
  <c r="CV43" i="1" s="1"/>
  <c r="CU44" i="1"/>
  <c r="CV44" i="1" s="1"/>
  <c r="CU45" i="1"/>
  <c r="CV45" i="1" s="1"/>
  <c r="CU46" i="1"/>
  <c r="CV46" i="1" s="1"/>
  <c r="CU47" i="1"/>
  <c r="CV47" i="1" s="1"/>
  <c r="CU48" i="1"/>
  <c r="CV48" i="1" s="1"/>
  <c r="CU49" i="1"/>
  <c r="CV49" i="1" s="1"/>
  <c r="CU50" i="1"/>
  <c r="CV50" i="1" s="1"/>
  <c r="CU51" i="1"/>
  <c r="CV51" i="1" s="1"/>
  <c r="CU52" i="1"/>
  <c r="CV52" i="1" s="1"/>
  <c r="CU53" i="1"/>
  <c r="CV53" i="1" s="1"/>
  <c r="CU54" i="1"/>
  <c r="CV54" i="1" s="1"/>
  <c r="CU57" i="1"/>
  <c r="CV57" i="1" s="1"/>
  <c r="CU58" i="1"/>
  <c r="CV58" i="1" s="1"/>
  <c r="CU59" i="1"/>
  <c r="CV59" i="1" s="1"/>
  <c r="CU60" i="1"/>
  <c r="CV60" i="1" s="1"/>
  <c r="CU61" i="1"/>
  <c r="CV61" i="1" s="1"/>
  <c r="CU62" i="1"/>
  <c r="CV62" i="1" s="1"/>
  <c r="CU63" i="1"/>
  <c r="CV63" i="1" s="1"/>
  <c r="CU64" i="1"/>
  <c r="CV64" i="1" s="1"/>
  <c r="CU76" i="1"/>
  <c r="CV76" i="1" s="1"/>
  <c r="CU77" i="1"/>
  <c r="CV77" i="1" s="1"/>
  <c r="CU78" i="1"/>
  <c r="CV78" i="1" s="1"/>
  <c r="CU79" i="1"/>
  <c r="CV79" i="1" s="1"/>
  <c r="CU80" i="1"/>
  <c r="CV80" i="1" s="1"/>
  <c r="CU81" i="1"/>
  <c r="CV81" i="1" s="1"/>
  <c r="CU82" i="1"/>
  <c r="CV82" i="1" s="1"/>
  <c r="CU83" i="1"/>
  <c r="CV83" i="1" s="1"/>
  <c r="CU84" i="1"/>
  <c r="CV84" i="1" s="1"/>
  <c r="CU85" i="1"/>
  <c r="CV85" i="1" s="1"/>
  <c r="CU86" i="1"/>
  <c r="CV86" i="1" s="1"/>
  <c r="CU87" i="1"/>
  <c r="CV87" i="1" s="1"/>
  <c r="CU88" i="1"/>
  <c r="CV88" i="1" s="1"/>
  <c r="CU89" i="1"/>
  <c r="CV89" i="1" s="1"/>
  <c r="CU180" i="1"/>
  <c r="CV180" i="1" s="1"/>
  <c r="CU181" i="1"/>
  <c r="CV181" i="1" s="1"/>
  <c r="CU183" i="1"/>
  <c r="CV183" i="1" s="1"/>
  <c r="CU186" i="1"/>
  <c r="CV186" i="1" s="1"/>
  <c r="CU187" i="1"/>
  <c r="CV187" i="1" s="1"/>
  <c r="CU188" i="1"/>
  <c r="CV188" i="1" s="1"/>
  <c r="CU189" i="1"/>
  <c r="CV189" i="1" s="1"/>
  <c r="CU192" i="1"/>
  <c r="CV192" i="1" s="1"/>
  <c r="CU193" i="1"/>
  <c r="CV193" i="1" s="1"/>
  <c r="CU194" i="1"/>
  <c r="CV194" i="1" s="1"/>
  <c r="CU197" i="1"/>
  <c r="CV197" i="1" s="1"/>
  <c r="CU198" i="1"/>
  <c r="CV198" i="1" s="1"/>
  <c r="CU199" i="1"/>
  <c r="CV199" i="1" s="1"/>
  <c r="CU200" i="1"/>
  <c r="CV200" i="1" s="1"/>
  <c r="CU201" i="1"/>
  <c r="CV201" i="1" s="1"/>
  <c r="CU202" i="1"/>
  <c r="CV202" i="1" s="1"/>
  <c r="CU203" i="1"/>
  <c r="CV203" i="1" s="1"/>
  <c r="CU204" i="1"/>
  <c r="CV204" i="1" s="1"/>
  <c r="CU205" i="1"/>
  <c r="CV205" i="1" s="1"/>
  <c r="CU206" i="1"/>
  <c r="CV206" i="1" s="1"/>
  <c r="CU207" i="1"/>
  <c r="CV207" i="1" s="1"/>
  <c r="CU208" i="1"/>
  <c r="CV208" i="1" s="1"/>
  <c r="CU210" i="1"/>
  <c r="CV210" i="1" s="1"/>
  <c r="CU211" i="1"/>
  <c r="CV211" i="1" s="1"/>
  <c r="CU212" i="1"/>
  <c r="CV212" i="1" s="1"/>
  <c r="CU213" i="1"/>
  <c r="CV213" i="1" s="1"/>
  <c r="CU214" i="1"/>
  <c r="CV214" i="1" s="1"/>
  <c r="CU215" i="1"/>
  <c r="CV215" i="1" s="1"/>
  <c r="CU216" i="1"/>
  <c r="CV216" i="1" s="1"/>
  <c r="CU217" i="1"/>
  <c r="CV217" i="1" s="1"/>
  <c r="CU218" i="1"/>
  <c r="CV218" i="1" s="1"/>
  <c r="CU219" i="1"/>
  <c r="CV219" i="1" s="1"/>
  <c r="CU220" i="1"/>
  <c r="CV220" i="1" s="1"/>
  <c r="CU221" i="1"/>
  <c r="CV221" i="1" s="1"/>
  <c r="CU222" i="1"/>
  <c r="CV222" i="1" s="1"/>
  <c r="CU223" i="1"/>
  <c r="CV223" i="1" s="1"/>
  <c r="CU224" i="1"/>
  <c r="CV224" i="1" s="1"/>
  <c r="CU225" i="1"/>
  <c r="CV225" i="1" s="1"/>
  <c r="CU226" i="1"/>
  <c r="CV226" i="1" s="1"/>
  <c r="CU227" i="1"/>
  <c r="CV227" i="1" s="1"/>
  <c r="CU228" i="1"/>
  <c r="CV228" i="1" s="1"/>
  <c r="CU229" i="1"/>
  <c r="CV229" i="1" s="1"/>
  <c r="CU230" i="1"/>
  <c r="CV230" i="1" s="1"/>
  <c r="CU231" i="1"/>
  <c r="CV231" i="1" s="1"/>
  <c r="CU232" i="1"/>
  <c r="CV232" i="1" s="1"/>
  <c r="CU233" i="1"/>
  <c r="CV233" i="1" s="1"/>
  <c r="CU234" i="1"/>
  <c r="CV234" i="1" s="1"/>
  <c r="CU235" i="1"/>
  <c r="CV235" i="1" s="1"/>
  <c r="CU236" i="1"/>
  <c r="CV236" i="1" s="1"/>
  <c r="CU237" i="1"/>
  <c r="CV237" i="1" s="1"/>
  <c r="CU238" i="1"/>
  <c r="CV238" i="1" s="1"/>
  <c r="CU239" i="1"/>
  <c r="CV239" i="1" s="1"/>
  <c r="CU240" i="1"/>
  <c r="CV240" i="1" s="1"/>
  <c r="CU241" i="1"/>
  <c r="CV241" i="1" s="1"/>
  <c r="CU242" i="1"/>
  <c r="CV242" i="1" s="1"/>
  <c r="CU243" i="1"/>
  <c r="CV243" i="1" s="1"/>
  <c r="CU244" i="1"/>
  <c r="CV244" i="1" s="1"/>
  <c r="CU245" i="1"/>
  <c r="CV245" i="1" s="1"/>
  <c r="CU246" i="1"/>
  <c r="CV246" i="1" s="1"/>
  <c r="CU247" i="1"/>
  <c r="CV247" i="1" s="1"/>
  <c r="CU248" i="1"/>
  <c r="CV248" i="1" s="1"/>
  <c r="CU249" i="1"/>
  <c r="CV249" i="1" s="1"/>
  <c r="CU250" i="1"/>
  <c r="CV250" i="1" s="1"/>
  <c r="CU251" i="1"/>
  <c r="CV251" i="1" s="1"/>
  <c r="CU252" i="1"/>
  <c r="CV252" i="1" s="1"/>
  <c r="CU254" i="1"/>
  <c r="CV254" i="1" s="1"/>
  <c r="CU255" i="1"/>
  <c r="CV255" i="1" s="1"/>
  <c r="CU256" i="1"/>
  <c r="CV256" i="1" s="1"/>
  <c r="CU257" i="1"/>
  <c r="CV257" i="1" s="1"/>
  <c r="CU258" i="1"/>
  <c r="CV258" i="1" s="1"/>
  <c r="CU259" i="1"/>
  <c r="CV259" i="1" s="1"/>
  <c r="CU260" i="1"/>
  <c r="CV260" i="1" s="1"/>
  <c r="CU261" i="1"/>
  <c r="CV261" i="1" s="1"/>
  <c r="CU262" i="1"/>
  <c r="CV262" i="1" s="1"/>
  <c r="CU263" i="1"/>
  <c r="CV263" i="1" s="1"/>
  <c r="CU264" i="1"/>
  <c r="CV264" i="1" s="1"/>
  <c r="CU265" i="1"/>
  <c r="CV265" i="1" s="1"/>
  <c r="CU266" i="1"/>
  <c r="CV266" i="1" s="1"/>
  <c r="CU267" i="1"/>
  <c r="CV267" i="1" s="1"/>
  <c r="CU268" i="1"/>
  <c r="CV268" i="1" s="1"/>
  <c r="CU269" i="1"/>
  <c r="CV269" i="1" s="1"/>
  <c r="CU270" i="1"/>
  <c r="CV270" i="1" s="1"/>
  <c r="CU271" i="1"/>
  <c r="CV271" i="1" s="1"/>
  <c r="CU273" i="1"/>
  <c r="CV273" i="1" s="1"/>
  <c r="CU274" i="1"/>
  <c r="CV274" i="1" s="1"/>
  <c r="CU275" i="1"/>
  <c r="CV275" i="1" s="1"/>
  <c r="CU276" i="1"/>
  <c r="CV276" i="1" s="1"/>
  <c r="CU277" i="1"/>
  <c r="CV277" i="1" s="1"/>
  <c r="CU278" i="1"/>
  <c r="CV278" i="1" s="1"/>
  <c r="CU279" i="1"/>
  <c r="CV279" i="1" s="1"/>
  <c r="CU280" i="1"/>
  <c r="CV280" i="1" s="1"/>
  <c r="CU281" i="1"/>
  <c r="CV281" i="1" s="1"/>
  <c r="CU282" i="1"/>
  <c r="CV282" i="1" s="1"/>
  <c r="CU283" i="1"/>
  <c r="CV283" i="1" s="1"/>
  <c r="CU284" i="1"/>
  <c r="CV284" i="1" s="1"/>
  <c r="CU285" i="1"/>
  <c r="CV285" i="1" s="1"/>
  <c r="CU286" i="1"/>
  <c r="CV286" i="1" s="1"/>
  <c r="CU287" i="1"/>
  <c r="CV287" i="1" s="1"/>
  <c r="CU288" i="1"/>
  <c r="CV288" i="1" s="1"/>
  <c r="CU289" i="1"/>
  <c r="CV289" i="1" s="1"/>
  <c r="CU290" i="1"/>
  <c r="CV290" i="1" s="1"/>
  <c r="CU291" i="1"/>
  <c r="CV291" i="1" s="1"/>
  <c r="CU292" i="1"/>
  <c r="CV292" i="1" s="1"/>
  <c r="CU293" i="1"/>
  <c r="CV293" i="1" s="1"/>
  <c r="CU294" i="1"/>
  <c r="CV294" i="1" s="1"/>
  <c r="CU295" i="1"/>
  <c r="CV295" i="1" s="1"/>
  <c r="CU296" i="1"/>
  <c r="CV296" i="1" s="1"/>
  <c r="CU297" i="1"/>
  <c r="CV297" i="1" s="1"/>
  <c r="CU299" i="1"/>
  <c r="CV299" i="1" s="1"/>
  <c r="CU300" i="1"/>
  <c r="CV300" i="1" s="1"/>
  <c r="CU301" i="1"/>
  <c r="CV301" i="1" s="1"/>
  <c r="CU302" i="1"/>
  <c r="CV302" i="1" s="1"/>
  <c r="CU303" i="1"/>
  <c r="CV303" i="1" s="1"/>
  <c r="CU304" i="1"/>
  <c r="CV304" i="1" s="1"/>
  <c r="CU305" i="1"/>
  <c r="CV305" i="1" s="1"/>
  <c r="CU306" i="1"/>
  <c r="CV306" i="1" s="1"/>
  <c r="CU307" i="1"/>
  <c r="CV307" i="1" s="1"/>
  <c r="CU308" i="1"/>
  <c r="CV308" i="1" s="1"/>
  <c r="CU309" i="1"/>
  <c r="CV309" i="1" s="1"/>
  <c r="CU310" i="1"/>
  <c r="CV310" i="1" s="1"/>
  <c r="CU311" i="1"/>
  <c r="CV311" i="1" s="1"/>
  <c r="CU312" i="1"/>
  <c r="CV312" i="1" s="1"/>
  <c r="CU313" i="1"/>
  <c r="CV313" i="1" s="1"/>
  <c r="CU314" i="1"/>
  <c r="CV314" i="1" s="1"/>
  <c r="CU315" i="1"/>
  <c r="CV315" i="1" s="1"/>
  <c r="CU316" i="1"/>
  <c r="CV316" i="1" s="1"/>
  <c r="CU317" i="1"/>
  <c r="CV317" i="1" s="1"/>
  <c r="CU318" i="1"/>
  <c r="CV318" i="1" s="1"/>
  <c r="CU319" i="1"/>
  <c r="CV319" i="1" s="1"/>
  <c r="CU320" i="1"/>
  <c r="CV320" i="1" s="1"/>
  <c r="CU321" i="1"/>
  <c r="CV321" i="1" s="1"/>
  <c r="CU322" i="1"/>
  <c r="CV322" i="1" s="1"/>
  <c r="CU323" i="1"/>
  <c r="CV323" i="1" s="1"/>
  <c r="CU324" i="1"/>
  <c r="CV324" i="1" s="1"/>
  <c r="CU325" i="1"/>
  <c r="CV325" i="1" s="1"/>
  <c r="CU326" i="1"/>
  <c r="CV326" i="1" s="1"/>
  <c r="CU327" i="1"/>
  <c r="CV327" i="1" s="1"/>
  <c r="CU328" i="1"/>
  <c r="CV328" i="1" s="1"/>
  <c r="CU329" i="1"/>
  <c r="CV329" i="1" s="1"/>
  <c r="CU330" i="1"/>
  <c r="CV330" i="1" s="1"/>
  <c r="CU331" i="1"/>
  <c r="CV331" i="1" s="1"/>
  <c r="CU332" i="1"/>
  <c r="CV332" i="1" s="1"/>
  <c r="CU333" i="1"/>
  <c r="CV333" i="1" s="1"/>
  <c r="CU334" i="1"/>
  <c r="CV334" i="1" s="1"/>
  <c r="CU335" i="1"/>
  <c r="CV335" i="1" s="1"/>
  <c r="CU336" i="1"/>
  <c r="CV336" i="1" s="1"/>
  <c r="CU337" i="1"/>
  <c r="CV337" i="1" s="1"/>
  <c r="CU338" i="1"/>
  <c r="CV338" i="1" s="1"/>
  <c r="CU339" i="1"/>
  <c r="CV339" i="1" s="1"/>
  <c r="CU340" i="1"/>
  <c r="CV340" i="1" s="1"/>
  <c r="CU341" i="1"/>
  <c r="CV341" i="1" s="1"/>
  <c r="CU342" i="1"/>
  <c r="CV342" i="1" s="1"/>
  <c r="CU343" i="1"/>
  <c r="CV343" i="1" s="1"/>
  <c r="CU344" i="1"/>
  <c r="CV344" i="1" s="1"/>
  <c r="CU345" i="1"/>
  <c r="CV345" i="1" s="1"/>
  <c r="CU346" i="1"/>
  <c r="CV346" i="1" s="1"/>
  <c r="CU347" i="1"/>
  <c r="CV347" i="1" s="1"/>
  <c r="CU348" i="1"/>
  <c r="CV348" i="1" s="1"/>
  <c r="CU349" i="1"/>
  <c r="CV349" i="1" s="1"/>
  <c r="CU350" i="1"/>
  <c r="CV350" i="1" s="1"/>
  <c r="CU351" i="1"/>
  <c r="CV351" i="1" s="1"/>
  <c r="CU352" i="1"/>
  <c r="CV352" i="1" s="1"/>
  <c r="CU353" i="1"/>
  <c r="CV353" i="1" s="1"/>
  <c r="CU354" i="1"/>
  <c r="CV354" i="1" s="1"/>
  <c r="CU355" i="1"/>
  <c r="CV355" i="1" s="1"/>
  <c r="CU356" i="1"/>
  <c r="CV356" i="1" s="1"/>
  <c r="CU357" i="1"/>
  <c r="CV357" i="1" s="1"/>
  <c r="CU358" i="1"/>
  <c r="CV358" i="1" s="1"/>
  <c r="CU359" i="1"/>
  <c r="CV359" i="1" s="1"/>
  <c r="CU360" i="1"/>
  <c r="CV360" i="1" s="1"/>
  <c r="CU361" i="1"/>
  <c r="CV361" i="1" s="1"/>
  <c r="CU362" i="1"/>
  <c r="CV362" i="1" s="1"/>
  <c r="CU363" i="1"/>
  <c r="CV363" i="1" s="1"/>
  <c r="CU364" i="1"/>
  <c r="CV364" i="1" s="1"/>
  <c r="CU365" i="1"/>
  <c r="CV365" i="1" s="1"/>
  <c r="CU366" i="1"/>
  <c r="CV366" i="1" s="1"/>
  <c r="CU367" i="1"/>
  <c r="CV367" i="1" s="1"/>
  <c r="CU368" i="1"/>
  <c r="CV368" i="1" s="1"/>
  <c r="CU369" i="1"/>
  <c r="CV369" i="1" s="1"/>
  <c r="CU370" i="1"/>
  <c r="CV370" i="1" s="1"/>
  <c r="CU371" i="1"/>
  <c r="CV371" i="1" s="1"/>
  <c r="CU372" i="1"/>
  <c r="CV372" i="1" s="1"/>
  <c r="CU373" i="1"/>
  <c r="CV373" i="1" s="1"/>
  <c r="CU374" i="1"/>
  <c r="CV374" i="1" s="1"/>
  <c r="CU375" i="1"/>
  <c r="CV375" i="1" s="1"/>
  <c r="CU376" i="1"/>
  <c r="CV376" i="1" s="1"/>
  <c r="CU377" i="1"/>
  <c r="CV377" i="1" s="1"/>
  <c r="CU378" i="1"/>
  <c r="CV378" i="1" s="1"/>
  <c r="CU379" i="1"/>
  <c r="CV379" i="1" s="1"/>
  <c r="CU380" i="1"/>
  <c r="CV380" i="1" s="1"/>
  <c r="CU381" i="1"/>
  <c r="CV381" i="1" s="1"/>
  <c r="CU382" i="1"/>
  <c r="CV382" i="1" s="1"/>
  <c r="CU383" i="1"/>
  <c r="CV383" i="1" s="1"/>
  <c r="CU384" i="1"/>
  <c r="CV384" i="1" s="1"/>
  <c r="CU385" i="1"/>
  <c r="CV385" i="1" s="1"/>
  <c r="CU386" i="1"/>
  <c r="CV386" i="1" s="1"/>
  <c r="CU387" i="1"/>
  <c r="CV387" i="1" s="1"/>
  <c r="CU388" i="1"/>
  <c r="CV388" i="1" s="1"/>
  <c r="CU389" i="1"/>
  <c r="CV389" i="1" s="1"/>
  <c r="CU390" i="1"/>
  <c r="CV390" i="1" s="1"/>
  <c r="CU391" i="1"/>
  <c r="CV391" i="1" s="1"/>
  <c r="CU392" i="1"/>
  <c r="CV392" i="1" s="1"/>
  <c r="CU393" i="1"/>
  <c r="CV393" i="1" s="1"/>
  <c r="CU394" i="1"/>
  <c r="CV394" i="1" s="1"/>
  <c r="CU395" i="1"/>
  <c r="CV395" i="1" s="1"/>
  <c r="CU396" i="1"/>
  <c r="CV396" i="1" s="1"/>
  <c r="CU397" i="1"/>
  <c r="CV397" i="1" s="1"/>
  <c r="CU398" i="1"/>
  <c r="CV398" i="1" s="1"/>
  <c r="CU399" i="1"/>
  <c r="CV399" i="1" s="1"/>
  <c r="CU400" i="1"/>
  <c r="CV400" i="1" s="1"/>
  <c r="CU401" i="1"/>
  <c r="CV401" i="1" s="1"/>
  <c r="CU402" i="1"/>
  <c r="CV402" i="1" s="1"/>
  <c r="CU403" i="1"/>
  <c r="CV403" i="1" s="1"/>
  <c r="CU404" i="1"/>
  <c r="CV404" i="1" s="1"/>
  <c r="CU405" i="1"/>
  <c r="CV405" i="1" s="1"/>
  <c r="CU406" i="1"/>
  <c r="CV406" i="1" s="1"/>
  <c r="CU407" i="1"/>
  <c r="CV407" i="1" s="1"/>
  <c r="CU408" i="1"/>
  <c r="CV408" i="1" s="1"/>
  <c r="CU409" i="1"/>
  <c r="CV409" i="1" s="1"/>
  <c r="CU410" i="1"/>
  <c r="CV410" i="1" s="1"/>
  <c r="CU411" i="1"/>
  <c r="CV411" i="1" s="1"/>
  <c r="CU412" i="1"/>
  <c r="CV412" i="1" s="1"/>
  <c r="CU414" i="1"/>
  <c r="CV414" i="1" s="1"/>
  <c r="CU416" i="1"/>
  <c r="CV416" i="1" s="1"/>
  <c r="CU420" i="1"/>
  <c r="CV420" i="1" s="1"/>
  <c r="CU421" i="1"/>
  <c r="CV421" i="1" s="1"/>
  <c r="CU422" i="1"/>
  <c r="CV422" i="1" s="1"/>
  <c r="CU423" i="1"/>
  <c r="CV423" i="1" s="1"/>
  <c r="CU434" i="1"/>
  <c r="CV434" i="1" s="1"/>
  <c r="CU435" i="1"/>
  <c r="CV435" i="1" s="1"/>
  <c r="CU436" i="1"/>
  <c r="CV436" i="1" s="1"/>
  <c r="CU437" i="1"/>
  <c r="CV437" i="1" s="1"/>
  <c r="CU438" i="1"/>
  <c r="CV438" i="1" s="1"/>
  <c r="CU439" i="1"/>
  <c r="CV439" i="1" s="1"/>
  <c r="CU440" i="1"/>
  <c r="CV440" i="1" s="1"/>
  <c r="CU441" i="1"/>
  <c r="CV441" i="1" s="1"/>
  <c r="CU442" i="1"/>
  <c r="CV442" i="1" s="1"/>
  <c r="CU443" i="1"/>
  <c r="CV443" i="1" s="1"/>
  <c r="CU444" i="1"/>
  <c r="CV444" i="1" s="1"/>
  <c r="CU445" i="1"/>
  <c r="CV445" i="1" s="1"/>
  <c r="CU446" i="1"/>
  <c r="CV446" i="1" s="1"/>
  <c r="CU447" i="1"/>
  <c r="CV447" i="1" s="1"/>
  <c r="CU448" i="1"/>
  <c r="CV448" i="1" s="1"/>
  <c r="CU449" i="1"/>
  <c r="CV449" i="1" s="1"/>
  <c r="CU450" i="1"/>
  <c r="CV450" i="1" s="1"/>
  <c r="CU451" i="1"/>
  <c r="CV451" i="1" s="1"/>
  <c r="CU452" i="1"/>
  <c r="CV452" i="1" s="1"/>
  <c r="CU453" i="1"/>
  <c r="CV453" i="1" s="1"/>
  <c r="CU454" i="1"/>
  <c r="CV454" i="1" s="1"/>
  <c r="CU455" i="1"/>
  <c r="CV455" i="1" s="1"/>
  <c r="CU456" i="1"/>
  <c r="CV456" i="1" s="1"/>
  <c r="CU457" i="1"/>
  <c r="CV457" i="1" s="1"/>
  <c r="CU459" i="1"/>
  <c r="CV459" i="1" s="1"/>
  <c r="CU470" i="1"/>
  <c r="CV470" i="1" s="1"/>
  <c r="CU471" i="1"/>
  <c r="CV471" i="1" s="1"/>
  <c r="CU472" i="1"/>
  <c r="CV472" i="1" s="1"/>
  <c r="CU473" i="1"/>
  <c r="CV473" i="1" s="1"/>
  <c r="CU474" i="1"/>
  <c r="CV474" i="1" s="1"/>
  <c r="CU475" i="1"/>
  <c r="CV475" i="1" s="1"/>
  <c r="CU476" i="1"/>
  <c r="CV476" i="1" s="1"/>
  <c r="CU477" i="1"/>
  <c r="CV477" i="1" s="1"/>
  <c r="CU478" i="1"/>
  <c r="CV478" i="1" s="1"/>
  <c r="CU479" i="1"/>
  <c r="CV479" i="1" s="1"/>
  <c r="CU488" i="1"/>
  <c r="CV488" i="1" s="1"/>
  <c r="CU489" i="1"/>
  <c r="CV489" i="1" s="1"/>
  <c r="CU490" i="1"/>
  <c r="CV490" i="1" s="1"/>
  <c r="CU491" i="1"/>
  <c r="CV491" i="1" s="1"/>
  <c r="CU492" i="1"/>
  <c r="CV492" i="1" s="1"/>
  <c r="CU493" i="1"/>
  <c r="CV493" i="1" s="1"/>
  <c r="CU494" i="1"/>
  <c r="CV494" i="1" s="1"/>
  <c r="CU495" i="1"/>
  <c r="CV495" i="1" s="1"/>
  <c r="CU496" i="1"/>
  <c r="CV496" i="1" s="1"/>
  <c r="CU498" i="1"/>
  <c r="CV498" i="1" s="1"/>
  <c r="CU500" i="1"/>
  <c r="CV500" i="1" s="1"/>
  <c r="CU501" i="1"/>
  <c r="CV501" i="1" s="1"/>
  <c r="CU502" i="1"/>
  <c r="CV502" i="1" s="1"/>
  <c r="CU503" i="1"/>
  <c r="CV503" i="1" s="1"/>
  <c r="CU504" i="1"/>
  <c r="CV504" i="1" s="1"/>
  <c r="CU505" i="1"/>
  <c r="CV505" i="1" s="1"/>
  <c r="DB12" i="1"/>
  <c r="DC12" i="1" s="1"/>
  <c r="DB13" i="1"/>
  <c r="DC13" i="1" s="1"/>
  <c r="DB14" i="1"/>
  <c r="DC14" i="1" s="1"/>
  <c r="DB15" i="1"/>
  <c r="DC15" i="1" s="1"/>
  <c r="DB16" i="1"/>
  <c r="DC16" i="1" s="1"/>
  <c r="DB17" i="1"/>
  <c r="DC17" i="1" s="1"/>
  <c r="DB18" i="1"/>
  <c r="DC18" i="1" s="1"/>
  <c r="DB19" i="1"/>
  <c r="DC19" i="1" s="1"/>
  <c r="DB20" i="1"/>
  <c r="DC20" i="1" s="1"/>
  <c r="DB21" i="1"/>
  <c r="DC21" i="1" s="1"/>
  <c r="DB22" i="1"/>
  <c r="DC22" i="1" s="1"/>
  <c r="DB23" i="1"/>
  <c r="DC23" i="1" s="1"/>
  <c r="DB24" i="1"/>
  <c r="DC24" i="1" s="1"/>
  <c r="DB25" i="1"/>
  <c r="DC25" i="1" s="1"/>
  <c r="DB26" i="1"/>
  <c r="DC26" i="1" s="1"/>
  <c r="DB27" i="1"/>
  <c r="DC27" i="1" s="1"/>
  <c r="DB28" i="1"/>
  <c r="DC28" i="1" s="1"/>
  <c r="DB29" i="1"/>
  <c r="DC29" i="1" s="1"/>
  <c r="DB30" i="1"/>
  <c r="DC30" i="1" s="1"/>
  <c r="DB31" i="1"/>
  <c r="DC31" i="1" s="1"/>
  <c r="DB32" i="1"/>
  <c r="DC32" i="1" s="1"/>
  <c r="DB33" i="1"/>
  <c r="DC33" i="1" s="1"/>
  <c r="DB34" i="1"/>
  <c r="DC34" i="1" s="1"/>
  <c r="DB35" i="1"/>
  <c r="DC35" i="1" s="1"/>
  <c r="DB36" i="1"/>
  <c r="DC36" i="1" s="1"/>
  <c r="DB37" i="1"/>
  <c r="DC37" i="1" s="1"/>
  <c r="DB38" i="1"/>
  <c r="DC38" i="1" s="1"/>
  <c r="DB39" i="1"/>
  <c r="DC39" i="1" s="1"/>
  <c r="DB40" i="1"/>
  <c r="DC40" i="1" s="1"/>
  <c r="DB41" i="1"/>
  <c r="DC41" i="1" s="1"/>
  <c r="DB42" i="1"/>
  <c r="DC42" i="1" s="1"/>
  <c r="DB43" i="1"/>
  <c r="DC43" i="1" s="1"/>
  <c r="DB44" i="1"/>
  <c r="DC44" i="1" s="1"/>
  <c r="DB45" i="1"/>
  <c r="DC45" i="1" s="1"/>
  <c r="DB46" i="1"/>
  <c r="DC46" i="1" s="1"/>
  <c r="DB47" i="1"/>
  <c r="DC47" i="1" s="1"/>
  <c r="DB48" i="1"/>
  <c r="DC48" i="1" s="1"/>
  <c r="DB49" i="1"/>
  <c r="DC49" i="1" s="1"/>
  <c r="DB50" i="1"/>
  <c r="DC50" i="1" s="1"/>
  <c r="DB51" i="1"/>
  <c r="DC51" i="1" s="1"/>
  <c r="DB52" i="1"/>
  <c r="DC52" i="1" s="1"/>
  <c r="DB53" i="1"/>
  <c r="DC53" i="1" s="1"/>
  <c r="DB54" i="1"/>
  <c r="DC54" i="1" s="1"/>
  <c r="DB57" i="1"/>
  <c r="DC57" i="1" s="1"/>
  <c r="DB58" i="1"/>
  <c r="DC58" i="1" s="1"/>
  <c r="DB59" i="1"/>
  <c r="DC59" i="1" s="1"/>
  <c r="DB60" i="1"/>
  <c r="DC60" i="1" s="1"/>
  <c r="DB61" i="1"/>
  <c r="DC61" i="1" s="1"/>
  <c r="DB62" i="1"/>
  <c r="DC62" i="1" s="1"/>
  <c r="DB63" i="1"/>
  <c r="DC63" i="1" s="1"/>
  <c r="DB64" i="1"/>
  <c r="DC64" i="1" s="1"/>
  <c r="DB76" i="1"/>
  <c r="DC76" i="1" s="1"/>
  <c r="DB77" i="1"/>
  <c r="DC77" i="1" s="1"/>
  <c r="DB78" i="1"/>
  <c r="DC78" i="1" s="1"/>
  <c r="DB79" i="1"/>
  <c r="DC79" i="1" s="1"/>
  <c r="DB80" i="1"/>
  <c r="DC80" i="1" s="1"/>
  <c r="DB81" i="1"/>
  <c r="DC81" i="1" s="1"/>
  <c r="DB82" i="1"/>
  <c r="DC82" i="1" s="1"/>
  <c r="DB83" i="1"/>
  <c r="DC83" i="1" s="1"/>
  <c r="DB84" i="1"/>
  <c r="DC84" i="1" s="1"/>
  <c r="DB85" i="1"/>
  <c r="DC85" i="1" s="1"/>
  <c r="DB86" i="1"/>
  <c r="DC86" i="1" s="1"/>
  <c r="DB87" i="1"/>
  <c r="DC87" i="1" s="1"/>
  <c r="DB88" i="1"/>
  <c r="DC88" i="1" s="1"/>
  <c r="DB89" i="1"/>
  <c r="DC89" i="1" s="1"/>
  <c r="DB180" i="1"/>
  <c r="DC180" i="1" s="1"/>
  <c r="DB181" i="1"/>
  <c r="DC181" i="1" s="1"/>
  <c r="DB183" i="1"/>
  <c r="DC183" i="1" s="1"/>
  <c r="DB186" i="1"/>
  <c r="DC186" i="1" s="1"/>
  <c r="DB187" i="1"/>
  <c r="DC187" i="1" s="1"/>
  <c r="DB188" i="1"/>
  <c r="DC188" i="1" s="1"/>
  <c r="DB189" i="1"/>
  <c r="DC189" i="1" s="1"/>
  <c r="DB192" i="1"/>
  <c r="DC192" i="1" s="1"/>
  <c r="DB193" i="1"/>
  <c r="DC193" i="1" s="1"/>
  <c r="DB194" i="1"/>
  <c r="DC194" i="1" s="1"/>
  <c r="DB197" i="1"/>
  <c r="DC197" i="1" s="1"/>
  <c r="DB198" i="1"/>
  <c r="DC198" i="1" s="1"/>
  <c r="DB199" i="1"/>
  <c r="DC199" i="1" s="1"/>
  <c r="DB200" i="1"/>
  <c r="DC200" i="1" s="1"/>
  <c r="DB201" i="1"/>
  <c r="DC201" i="1" s="1"/>
  <c r="DB202" i="1"/>
  <c r="DC202" i="1" s="1"/>
  <c r="DB203" i="1"/>
  <c r="DC203" i="1" s="1"/>
  <c r="DB204" i="1"/>
  <c r="DC204" i="1" s="1"/>
  <c r="DB205" i="1"/>
  <c r="DC205" i="1" s="1"/>
  <c r="DB206" i="1"/>
  <c r="DC206" i="1" s="1"/>
  <c r="DB207" i="1"/>
  <c r="DC207" i="1" s="1"/>
  <c r="DB208" i="1"/>
  <c r="DC208" i="1" s="1"/>
  <c r="DB210" i="1"/>
  <c r="DC210" i="1" s="1"/>
  <c r="DB211" i="1"/>
  <c r="DC211" i="1" s="1"/>
  <c r="DB212" i="1"/>
  <c r="DC212" i="1" s="1"/>
  <c r="DB213" i="1"/>
  <c r="DC213" i="1" s="1"/>
  <c r="DB214" i="1"/>
  <c r="DC214" i="1" s="1"/>
  <c r="DB215" i="1"/>
  <c r="DC215" i="1" s="1"/>
  <c r="DB216" i="1"/>
  <c r="DC216" i="1" s="1"/>
  <c r="DB217" i="1"/>
  <c r="DC217" i="1" s="1"/>
  <c r="DB218" i="1"/>
  <c r="DC218" i="1" s="1"/>
  <c r="DB219" i="1"/>
  <c r="DC219" i="1" s="1"/>
  <c r="DB220" i="1"/>
  <c r="DC220" i="1" s="1"/>
  <c r="DB221" i="1"/>
  <c r="DC221" i="1" s="1"/>
  <c r="DB222" i="1"/>
  <c r="DC222" i="1" s="1"/>
  <c r="DB223" i="1"/>
  <c r="DC223" i="1" s="1"/>
  <c r="DB224" i="1"/>
  <c r="DC224" i="1" s="1"/>
  <c r="DB225" i="1"/>
  <c r="DC225" i="1" s="1"/>
  <c r="DB226" i="1"/>
  <c r="DC226" i="1" s="1"/>
  <c r="DB227" i="1"/>
  <c r="DC227" i="1" s="1"/>
  <c r="DB228" i="1"/>
  <c r="DC228" i="1" s="1"/>
  <c r="DB229" i="1"/>
  <c r="DC229" i="1" s="1"/>
  <c r="DB230" i="1"/>
  <c r="DC230" i="1" s="1"/>
  <c r="DB231" i="1"/>
  <c r="DC231" i="1" s="1"/>
  <c r="DB232" i="1"/>
  <c r="DC232" i="1" s="1"/>
  <c r="DB233" i="1"/>
  <c r="DC233" i="1" s="1"/>
  <c r="DB234" i="1"/>
  <c r="DC234" i="1" s="1"/>
  <c r="DB235" i="1"/>
  <c r="DC235" i="1" s="1"/>
  <c r="DB236" i="1"/>
  <c r="DC236" i="1" s="1"/>
  <c r="DB237" i="1"/>
  <c r="DC237" i="1" s="1"/>
  <c r="DB238" i="1"/>
  <c r="DC238" i="1" s="1"/>
  <c r="DB239" i="1"/>
  <c r="DC239" i="1" s="1"/>
  <c r="DB240" i="1"/>
  <c r="DC240" i="1" s="1"/>
  <c r="DB241" i="1"/>
  <c r="DC241" i="1" s="1"/>
  <c r="DB242" i="1"/>
  <c r="DC242" i="1" s="1"/>
  <c r="DB243" i="1"/>
  <c r="DC243" i="1" s="1"/>
  <c r="DB244" i="1"/>
  <c r="DC244" i="1" s="1"/>
  <c r="DB245" i="1"/>
  <c r="DC245" i="1" s="1"/>
  <c r="DB246" i="1"/>
  <c r="DC246" i="1" s="1"/>
  <c r="DB247" i="1"/>
  <c r="DC247" i="1" s="1"/>
  <c r="DB248" i="1"/>
  <c r="DC248" i="1" s="1"/>
  <c r="DB249" i="1"/>
  <c r="DC249" i="1" s="1"/>
  <c r="DB250" i="1"/>
  <c r="DC250" i="1" s="1"/>
  <c r="DB251" i="1"/>
  <c r="DC251" i="1" s="1"/>
  <c r="DB252" i="1"/>
  <c r="DC252" i="1" s="1"/>
  <c r="DB254" i="1"/>
  <c r="DC254" i="1" s="1"/>
  <c r="DB255" i="1"/>
  <c r="DC255" i="1" s="1"/>
  <c r="DB256" i="1"/>
  <c r="DC256" i="1" s="1"/>
  <c r="DB257" i="1"/>
  <c r="DC257" i="1" s="1"/>
  <c r="DB258" i="1"/>
  <c r="DC258" i="1" s="1"/>
  <c r="DB259" i="1"/>
  <c r="DC259" i="1" s="1"/>
  <c r="DB260" i="1"/>
  <c r="DC260" i="1" s="1"/>
  <c r="DB261" i="1"/>
  <c r="DC261" i="1" s="1"/>
  <c r="DB262" i="1"/>
  <c r="DC262" i="1" s="1"/>
  <c r="DB263" i="1"/>
  <c r="DC263" i="1" s="1"/>
  <c r="DB264" i="1"/>
  <c r="DC264" i="1" s="1"/>
  <c r="DB265" i="1"/>
  <c r="DC265" i="1" s="1"/>
  <c r="DB266" i="1"/>
  <c r="DC266" i="1" s="1"/>
  <c r="DB267" i="1"/>
  <c r="DC267" i="1" s="1"/>
  <c r="DB268" i="1"/>
  <c r="DC268" i="1" s="1"/>
  <c r="DB269" i="1"/>
  <c r="DC269" i="1" s="1"/>
  <c r="DB270" i="1"/>
  <c r="DC270" i="1" s="1"/>
  <c r="DB271" i="1"/>
  <c r="DC271" i="1" s="1"/>
  <c r="DB273" i="1"/>
  <c r="DC273" i="1" s="1"/>
  <c r="DB274" i="1"/>
  <c r="DC274" i="1" s="1"/>
  <c r="DB275" i="1"/>
  <c r="DC275" i="1" s="1"/>
  <c r="DB276" i="1"/>
  <c r="DC276" i="1" s="1"/>
  <c r="DB277" i="1"/>
  <c r="DC277" i="1" s="1"/>
  <c r="DB278" i="1"/>
  <c r="DC278" i="1" s="1"/>
  <c r="DB279" i="1"/>
  <c r="DC279" i="1" s="1"/>
  <c r="DB280" i="1"/>
  <c r="DC280" i="1" s="1"/>
  <c r="DB281" i="1"/>
  <c r="DC281" i="1" s="1"/>
  <c r="DB282" i="1"/>
  <c r="DC282" i="1" s="1"/>
  <c r="DB283" i="1"/>
  <c r="DC283" i="1" s="1"/>
  <c r="DB284" i="1"/>
  <c r="DC284" i="1" s="1"/>
  <c r="DB285" i="1"/>
  <c r="DC285" i="1" s="1"/>
  <c r="DB286" i="1"/>
  <c r="DC286" i="1" s="1"/>
  <c r="DB287" i="1"/>
  <c r="DC287" i="1" s="1"/>
  <c r="DB288" i="1"/>
  <c r="DC288" i="1" s="1"/>
  <c r="DB289" i="1"/>
  <c r="DC289" i="1" s="1"/>
  <c r="DB290" i="1"/>
  <c r="DC290" i="1" s="1"/>
  <c r="DB291" i="1"/>
  <c r="DC291" i="1" s="1"/>
  <c r="DB292" i="1"/>
  <c r="DC292" i="1" s="1"/>
  <c r="DB293" i="1"/>
  <c r="DC293" i="1" s="1"/>
  <c r="DB294" i="1"/>
  <c r="DC294" i="1" s="1"/>
  <c r="DB295" i="1"/>
  <c r="DC295" i="1" s="1"/>
  <c r="DB296" i="1"/>
  <c r="DC296" i="1" s="1"/>
  <c r="DB297" i="1"/>
  <c r="DC297" i="1" s="1"/>
  <c r="DB299" i="1"/>
  <c r="DC299" i="1" s="1"/>
  <c r="DB300" i="1"/>
  <c r="DC300" i="1" s="1"/>
  <c r="DB301" i="1"/>
  <c r="DC301" i="1" s="1"/>
  <c r="DB302" i="1"/>
  <c r="DC302" i="1" s="1"/>
  <c r="DB303" i="1"/>
  <c r="DC303" i="1" s="1"/>
  <c r="DB304" i="1"/>
  <c r="DC304" i="1" s="1"/>
  <c r="DB305" i="1"/>
  <c r="DC305" i="1" s="1"/>
  <c r="DB306" i="1"/>
  <c r="DC306" i="1" s="1"/>
  <c r="DB307" i="1"/>
  <c r="DC307" i="1" s="1"/>
  <c r="DB308" i="1"/>
  <c r="DC308" i="1" s="1"/>
  <c r="DB309" i="1"/>
  <c r="DC309" i="1" s="1"/>
  <c r="DB310" i="1"/>
  <c r="DC310" i="1" s="1"/>
  <c r="DB311" i="1"/>
  <c r="DC311" i="1" s="1"/>
  <c r="DB312" i="1"/>
  <c r="DC312" i="1" s="1"/>
  <c r="DB313" i="1"/>
  <c r="DC313" i="1" s="1"/>
  <c r="DB314" i="1"/>
  <c r="DC314" i="1" s="1"/>
  <c r="DB315" i="1"/>
  <c r="DC315" i="1" s="1"/>
  <c r="DB316" i="1"/>
  <c r="DC316" i="1" s="1"/>
  <c r="DB317" i="1"/>
  <c r="DC317" i="1" s="1"/>
  <c r="DB318" i="1"/>
  <c r="DC318" i="1" s="1"/>
  <c r="DB319" i="1"/>
  <c r="DC319" i="1" s="1"/>
  <c r="DB320" i="1"/>
  <c r="DC320" i="1" s="1"/>
  <c r="DB321" i="1"/>
  <c r="DC321" i="1" s="1"/>
  <c r="DB322" i="1"/>
  <c r="DC322" i="1" s="1"/>
  <c r="DB323" i="1"/>
  <c r="DC323" i="1" s="1"/>
  <c r="DB324" i="1"/>
  <c r="DC324" i="1" s="1"/>
  <c r="DB325" i="1"/>
  <c r="DC325" i="1" s="1"/>
  <c r="DB326" i="1"/>
  <c r="DC326" i="1" s="1"/>
  <c r="DB327" i="1"/>
  <c r="DC327" i="1" s="1"/>
  <c r="DB328" i="1"/>
  <c r="DC328" i="1" s="1"/>
  <c r="DB329" i="1"/>
  <c r="DC329" i="1" s="1"/>
  <c r="DB330" i="1"/>
  <c r="DC330" i="1" s="1"/>
  <c r="DB331" i="1"/>
  <c r="DC331" i="1" s="1"/>
  <c r="DB332" i="1"/>
  <c r="DC332" i="1" s="1"/>
  <c r="DB333" i="1"/>
  <c r="DC333" i="1" s="1"/>
  <c r="DB334" i="1"/>
  <c r="DC334" i="1" s="1"/>
  <c r="DB335" i="1"/>
  <c r="DC335" i="1" s="1"/>
  <c r="DB336" i="1"/>
  <c r="DC336" i="1" s="1"/>
  <c r="DB337" i="1"/>
  <c r="DC337" i="1" s="1"/>
  <c r="DB338" i="1"/>
  <c r="DC338" i="1" s="1"/>
  <c r="DB339" i="1"/>
  <c r="DC339" i="1" s="1"/>
  <c r="DB340" i="1"/>
  <c r="DC340" i="1" s="1"/>
  <c r="DB341" i="1"/>
  <c r="DC341" i="1" s="1"/>
  <c r="DB342" i="1"/>
  <c r="DC342" i="1" s="1"/>
  <c r="DB343" i="1"/>
  <c r="DC343" i="1" s="1"/>
  <c r="DB344" i="1"/>
  <c r="DC344" i="1" s="1"/>
  <c r="DB345" i="1"/>
  <c r="DC345" i="1" s="1"/>
  <c r="DB346" i="1"/>
  <c r="DC346" i="1" s="1"/>
  <c r="DB347" i="1"/>
  <c r="DC347" i="1" s="1"/>
  <c r="DB348" i="1"/>
  <c r="DC348" i="1" s="1"/>
  <c r="DB349" i="1"/>
  <c r="DC349" i="1" s="1"/>
  <c r="DB350" i="1"/>
  <c r="DC350" i="1" s="1"/>
  <c r="DB351" i="1"/>
  <c r="DC351" i="1" s="1"/>
  <c r="DB352" i="1"/>
  <c r="DC352" i="1" s="1"/>
  <c r="DB353" i="1"/>
  <c r="DC353" i="1" s="1"/>
  <c r="DB354" i="1"/>
  <c r="DC354" i="1" s="1"/>
  <c r="DB355" i="1"/>
  <c r="DC355" i="1" s="1"/>
  <c r="DB356" i="1"/>
  <c r="DC356" i="1" s="1"/>
  <c r="DB357" i="1"/>
  <c r="DC357" i="1" s="1"/>
  <c r="DB358" i="1"/>
  <c r="DC358" i="1" s="1"/>
  <c r="DB359" i="1"/>
  <c r="DC359" i="1" s="1"/>
  <c r="DB360" i="1"/>
  <c r="DC360" i="1" s="1"/>
  <c r="DB361" i="1"/>
  <c r="DC361" i="1" s="1"/>
  <c r="DB362" i="1"/>
  <c r="DC362" i="1" s="1"/>
  <c r="DB363" i="1"/>
  <c r="DC363" i="1" s="1"/>
  <c r="DB364" i="1"/>
  <c r="DC364" i="1" s="1"/>
  <c r="DB365" i="1"/>
  <c r="DC365" i="1" s="1"/>
  <c r="DB366" i="1"/>
  <c r="DC366" i="1" s="1"/>
  <c r="DB367" i="1"/>
  <c r="DC367" i="1" s="1"/>
  <c r="DB368" i="1"/>
  <c r="DC368" i="1" s="1"/>
  <c r="DB369" i="1"/>
  <c r="DC369" i="1" s="1"/>
  <c r="DB370" i="1"/>
  <c r="DC370" i="1" s="1"/>
  <c r="DB371" i="1"/>
  <c r="DC371" i="1" s="1"/>
  <c r="DB372" i="1"/>
  <c r="DC372" i="1" s="1"/>
  <c r="DB373" i="1"/>
  <c r="DC373" i="1" s="1"/>
  <c r="DB374" i="1"/>
  <c r="DC374" i="1" s="1"/>
  <c r="DB375" i="1"/>
  <c r="DC375" i="1" s="1"/>
  <c r="DB376" i="1"/>
  <c r="DC376" i="1" s="1"/>
  <c r="DB377" i="1"/>
  <c r="DC377" i="1" s="1"/>
  <c r="DB378" i="1"/>
  <c r="DC378" i="1" s="1"/>
  <c r="DB379" i="1"/>
  <c r="DC379" i="1" s="1"/>
  <c r="DB380" i="1"/>
  <c r="DC380" i="1" s="1"/>
  <c r="DB381" i="1"/>
  <c r="DC381" i="1" s="1"/>
  <c r="DB382" i="1"/>
  <c r="DC382" i="1" s="1"/>
  <c r="DB383" i="1"/>
  <c r="DC383" i="1" s="1"/>
  <c r="DB384" i="1"/>
  <c r="DC384" i="1" s="1"/>
  <c r="DB385" i="1"/>
  <c r="DC385" i="1" s="1"/>
  <c r="DB386" i="1"/>
  <c r="DC386" i="1" s="1"/>
  <c r="DB387" i="1"/>
  <c r="DC387" i="1" s="1"/>
  <c r="DB388" i="1"/>
  <c r="DC388" i="1" s="1"/>
  <c r="DB389" i="1"/>
  <c r="DC389" i="1" s="1"/>
  <c r="DB390" i="1"/>
  <c r="DC390" i="1" s="1"/>
  <c r="DB391" i="1"/>
  <c r="DC391" i="1" s="1"/>
  <c r="DB392" i="1"/>
  <c r="DC392" i="1" s="1"/>
  <c r="DB393" i="1"/>
  <c r="DC393" i="1" s="1"/>
  <c r="DB394" i="1"/>
  <c r="DC394" i="1" s="1"/>
  <c r="DB395" i="1"/>
  <c r="DC395" i="1" s="1"/>
  <c r="DB396" i="1"/>
  <c r="DC396" i="1" s="1"/>
  <c r="DB397" i="1"/>
  <c r="DC397" i="1" s="1"/>
  <c r="DB398" i="1"/>
  <c r="DC398" i="1" s="1"/>
  <c r="DB399" i="1"/>
  <c r="DC399" i="1" s="1"/>
  <c r="DB400" i="1"/>
  <c r="DC400" i="1" s="1"/>
  <c r="DB401" i="1"/>
  <c r="DC401" i="1" s="1"/>
  <c r="DB402" i="1"/>
  <c r="DC402" i="1" s="1"/>
  <c r="DB403" i="1"/>
  <c r="DC403" i="1" s="1"/>
  <c r="DB404" i="1"/>
  <c r="DC404" i="1" s="1"/>
  <c r="DB405" i="1"/>
  <c r="DC405" i="1" s="1"/>
  <c r="DB406" i="1"/>
  <c r="DC406" i="1" s="1"/>
  <c r="DB407" i="1"/>
  <c r="DC407" i="1" s="1"/>
  <c r="DB408" i="1"/>
  <c r="DC408" i="1" s="1"/>
  <c r="DB409" i="1"/>
  <c r="DC409" i="1" s="1"/>
  <c r="DB410" i="1"/>
  <c r="DC410" i="1" s="1"/>
  <c r="DB411" i="1"/>
  <c r="DC411" i="1" s="1"/>
  <c r="DB412" i="1"/>
  <c r="DC412" i="1" s="1"/>
  <c r="DB414" i="1"/>
  <c r="DC414" i="1" s="1"/>
  <c r="DB416" i="1"/>
  <c r="DC416" i="1" s="1"/>
  <c r="DB420" i="1"/>
  <c r="DC420" i="1" s="1"/>
  <c r="DB421" i="1"/>
  <c r="DC421" i="1" s="1"/>
  <c r="DB422" i="1"/>
  <c r="DC422" i="1" s="1"/>
  <c r="DB423" i="1"/>
  <c r="DC423" i="1" s="1"/>
  <c r="DB434" i="1"/>
  <c r="DC434" i="1" s="1"/>
  <c r="DB435" i="1"/>
  <c r="DC435" i="1" s="1"/>
  <c r="DB436" i="1"/>
  <c r="DC436" i="1" s="1"/>
  <c r="DB437" i="1"/>
  <c r="DC437" i="1" s="1"/>
  <c r="DB438" i="1"/>
  <c r="DC438" i="1" s="1"/>
  <c r="DB439" i="1"/>
  <c r="DC439" i="1" s="1"/>
  <c r="DB440" i="1"/>
  <c r="DC440" i="1" s="1"/>
  <c r="DB441" i="1"/>
  <c r="DC441" i="1" s="1"/>
  <c r="DB442" i="1"/>
  <c r="DC442" i="1" s="1"/>
  <c r="DB443" i="1"/>
  <c r="DC443" i="1" s="1"/>
  <c r="DB444" i="1"/>
  <c r="DC444" i="1" s="1"/>
  <c r="DB445" i="1"/>
  <c r="DC445" i="1" s="1"/>
  <c r="DB446" i="1"/>
  <c r="DC446" i="1" s="1"/>
  <c r="DB447" i="1"/>
  <c r="DC447" i="1" s="1"/>
  <c r="DB448" i="1"/>
  <c r="DC448" i="1" s="1"/>
  <c r="DB449" i="1"/>
  <c r="DC449" i="1" s="1"/>
  <c r="DB450" i="1"/>
  <c r="DC450" i="1" s="1"/>
  <c r="DB451" i="1"/>
  <c r="DC451" i="1" s="1"/>
  <c r="DB452" i="1"/>
  <c r="DC452" i="1" s="1"/>
  <c r="DB453" i="1"/>
  <c r="DC453" i="1" s="1"/>
  <c r="DB454" i="1"/>
  <c r="DC454" i="1" s="1"/>
  <c r="DB455" i="1"/>
  <c r="DC455" i="1" s="1"/>
  <c r="DB456" i="1"/>
  <c r="DC456" i="1" s="1"/>
  <c r="DB457" i="1"/>
  <c r="DC457" i="1" s="1"/>
  <c r="DB459" i="1"/>
  <c r="DC459" i="1" s="1"/>
  <c r="DB470" i="1"/>
  <c r="DC470" i="1" s="1"/>
  <c r="DB471" i="1"/>
  <c r="DC471" i="1" s="1"/>
  <c r="DB472" i="1"/>
  <c r="DC472" i="1" s="1"/>
  <c r="DB473" i="1"/>
  <c r="DC473" i="1" s="1"/>
  <c r="DB474" i="1"/>
  <c r="DC474" i="1" s="1"/>
  <c r="DB475" i="1"/>
  <c r="DC475" i="1" s="1"/>
  <c r="DB476" i="1"/>
  <c r="DC476" i="1" s="1"/>
  <c r="DB477" i="1"/>
  <c r="DC477" i="1" s="1"/>
  <c r="DB478" i="1"/>
  <c r="DC478" i="1" s="1"/>
  <c r="DB479" i="1"/>
  <c r="DC479" i="1" s="1"/>
  <c r="DB488" i="1"/>
  <c r="DC488" i="1" s="1"/>
  <c r="DB489" i="1"/>
  <c r="DC489" i="1" s="1"/>
  <c r="DB490" i="1"/>
  <c r="DC490" i="1" s="1"/>
  <c r="DB491" i="1"/>
  <c r="DC491" i="1" s="1"/>
  <c r="DB492" i="1"/>
  <c r="DC492" i="1" s="1"/>
  <c r="DB493" i="1"/>
  <c r="DC493" i="1" s="1"/>
  <c r="DB494" i="1"/>
  <c r="DC494" i="1" s="1"/>
  <c r="DB495" i="1"/>
  <c r="DC495" i="1" s="1"/>
  <c r="DB496" i="1"/>
  <c r="DC496" i="1" s="1"/>
  <c r="DB498" i="1"/>
  <c r="DC498" i="1" s="1"/>
  <c r="DB500" i="1"/>
  <c r="DC500" i="1" s="1"/>
  <c r="DB501" i="1"/>
  <c r="DC501" i="1" s="1"/>
  <c r="DB502" i="1"/>
  <c r="DC502" i="1" s="1"/>
  <c r="DB503" i="1"/>
  <c r="DC503" i="1" s="1"/>
  <c r="DB504" i="1"/>
  <c r="DC504" i="1" s="1"/>
  <c r="DB505" i="1"/>
  <c r="DC505" i="1" s="1"/>
  <c r="DB9" i="1"/>
  <c r="DC9" i="1" s="1"/>
  <c r="DB11" i="1"/>
  <c r="DC11" i="1" s="1"/>
  <c r="DA18" i="1" l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7" i="1"/>
  <c r="DA58" i="1"/>
  <c r="DA59" i="1"/>
  <c r="DA60" i="1"/>
  <c r="DA61" i="1"/>
  <c r="DA62" i="1"/>
  <c r="DA63" i="1"/>
  <c r="DA64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180" i="1"/>
  <c r="DA181" i="1"/>
  <c r="DA183" i="1"/>
  <c r="DA186" i="1"/>
  <c r="DA187" i="1"/>
  <c r="DA188" i="1"/>
  <c r="DA189" i="1"/>
  <c r="DA192" i="1"/>
  <c r="DA193" i="1"/>
  <c r="DA194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4" i="1"/>
  <c r="DA255" i="1"/>
  <c r="DA256" i="1"/>
  <c r="DA257" i="1"/>
  <c r="DA258" i="1"/>
  <c r="DA259" i="1"/>
  <c r="DA260" i="1"/>
  <c r="DA261" i="1"/>
  <c r="DA262" i="1"/>
  <c r="DA263" i="1"/>
  <c r="DA264" i="1"/>
  <c r="DA265" i="1"/>
  <c r="DA266" i="1"/>
  <c r="DA267" i="1"/>
  <c r="DA268" i="1"/>
  <c r="DA269" i="1"/>
  <c r="DA270" i="1"/>
  <c r="DA271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9" i="1"/>
  <c r="DA300" i="1"/>
  <c r="DA301" i="1"/>
  <c r="DA302" i="1"/>
  <c r="DA303" i="1"/>
  <c r="DA304" i="1"/>
  <c r="DA305" i="1"/>
  <c r="DA306" i="1"/>
  <c r="DA307" i="1"/>
  <c r="DA308" i="1"/>
  <c r="DA309" i="1"/>
  <c r="DA310" i="1"/>
  <c r="DA311" i="1"/>
  <c r="DA312" i="1"/>
  <c r="DA313" i="1"/>
  <c r="DA314" i="1"/>
  <c r="DA315" i="1"/>
  <c r="DA316" i="1"/>
  <c r="DA317" i="1"/>
  <c r="DA318" i="1"/>
  <c r="DA319" i="1"/>
  <c r="DA320" i="1"/>
  <c r="DA321" i="1"/>
  <c r="DA322" i="1"/>
  <c r="DA323" i="1"/>
  <c r="DA324" i="1"/>
  <c r="DA325" i="1"/>
  <c r="DA326" i="1"/>
  <c r="DA327" i="1"/>
  <c r="DA328" i="1"/>
  <c r="DA329" i="1"/>
  <c r="DA330" i="1"/>
  <c r="DA331" i="1"/>
  <c r="DA332" i="1"/>
  <c r="DA333" i="1"/>
  <c r="DA334" i="1"/>
  <c r="DA335" i="1"/>
  <c r="DA336" i="1"/>
  <c r="DA337" i="1"/>
  <c r="DA338" i="1"/>
  <c r="DA339" i="1"/>
  <c r="DA340" i="1"/>
  <c r="DA341" i="1"/>
  <c r="DA342" i="1"/>
  <c r="DA343" i="1"/>
  <c r="DA344" i="1"/>
  <c r="DA345" i="1"/>
  <c r="DA346" i="1"/>
  <c r="DA347" i="1"/>
  <c r="DA348" i="1"/>
  <c r="DA349" i="1"/>
  <c r="DA350" i="1"/>
  <c r="DA351" i="1"/>
  <c r="DA352" i="1"/>
  <c r="DA353" i="1"/>
  <c r="DA354" i="1"/>
  <c r="DA355" i="1"/>
  <c r="DA356" i="1"/>
  <c r="DA357" i="1"/>
  <c r="DA358" i="1"/>
  <c r="DA359" i="1"/>
  <c r="DA360" i="1"/>
  <c r="DA361" i="1"/>
  <c r="DA362" i="1"/>
  <c r="DA363" i="1"/>
  <c r="DA364" i="1"/>
  <c r="DA365" i="1"/>
  <c r="DA366" i="1"/>
  <c r="DA367" i="1"/>
  <c r="DA368" i="1"/>
  <c r="DA369" i="1"/>
  <c r="DA370" i="1"/>
  <c r="DA371" i="1"/>
  <c r="DA372" i="1"/>
  <c r="DA373" i="1"/>
  <c r="DA374" i="1"/>
  <c r="DA375" i="1"/>
  <c r="DA376" i="1"/>
  <c r="DA377" i="1"/>
  <c r="DA378" i="1"/>
  <c r="DA379" i="1"/>
  <c r="DA380" i="1"/>
  <c r="DA381" i="1"/>
  <c r="DA382" i="1"/>
  <c r="DA383" i="1"/>
  <c r="DA384" i="1"/>
  <c r="DA385" i="1"/>
  <c r="DA386" i="1"/>
  <c r="DA387" i="1"/>
  <c r="DA388" i="1"/>
  <c r="DA389" i="1"/>
  <c r="DA390" i="1"/>
  <c r="DA391" i="1"/>
  <c r="DA392" i="1"/>
  <c r="DA393" i="1"/>
  <c r="DA394" i="1"/>
  <c r="DA395" i="1"/>
  <c r="DA396" i="1"/>
  <c r="DA397" i="1"/>
  <c r="DA398" i="1"/>
  <c r="DA399" i="1"/>
  <c r="DA400" i="1"/>
  <c r="DA401" i="1"/>
  <c r="DA402" i="1"/>
  <c r="DA403" i="1"/>
  <c r="DA404" i="1"/>
  <c r="DA405" i="1"/>
  <c r="DA406" i="1"/>
  <c r="DA407" i="1"/>
  <c r="DA408" i="1"/>
  <c r="DA409" i="1"/>
  <c r="DA410" i="1"/>
  <c r="DA411" i="1"/>
  <c r="DA412" i="1"/>
  <c r="DA414" i="1"/>
  <c r="DA416" i="1"/>
  <c r="DA420" i="1"/>
  <c r="DA421" i="1"/>
  <c r="DA422" i="1"/>
  <c r="DA423" i="1"/>
  <c r="DA434" i="1"/>
  <c r="DA435" i="1"/>
  <c r="DA436" i="1"/>
  <c r="DA437" i="1"/>
  <c r="DA438" i="1"/>
  <c r="DA439" i="1"/>
  <c r="DA440" i="1"/>
  <c r="DA441" i="1"/>
  <c r="DA442" i="1"/>
  <c r="DA443" i="1"/>
  <c r="DA444" i="1"/>
  <c r="DA445" i="1"/>
  <c r="DA446" i="1"/>
  <c r="DA447" i="1"/>
  <c r="DA448" i="1"/>
  <c r="DA449" i="1"/>
  <c r="DA450" i="1"/>
  <c r="DA451" i="1"/>
  <c r="DA452" i="1"/>
  <c r="DA453" i="1"/>
  <c r="DA454" i="1"/>
  <c r="DA455" i="1"/>
  <c r="DA456" i="1"/>
  <c r="DA457" i="1"/>
  <c r="DA459" i="1"/>
  <c r="DA470" i="1"/>
  <c r="DA471" i="1"/>
  <c r="DA472" i="1"/>
  <c r="DA473" i="1"/>
  <c r="DA474" i="1"/>
  <c r="DA475" i="1"/>
  <c r="DA476" i="1"/>
  <c r="DA477" i="1"/>
  <c r="DA478" i="1"/>
  <c r="DA479" i="1"/>
  <c r="DA488" i="1"/>
  <c r="DA489" i="1"/>
  <c r="DA490" i="1"/>
  <c r="DA491" i="1"/>
  <c r="DA492" i="1"/>
  <c r="DA493" i="1"/>
  <c r="DA494" i="1"/>
  <c r="DA495" i="1"/>
  <c r="DA496" i="1"/>
  <c r="DA498" i="1"/>
  <c r="DA500" i="1"/>
  <c r="DA501" i="1"/>
  <c r="DA502" i="1"/>
  <c r="DA503" i="1"/>
  <c r="DA504" i="1"/>
  <c r="DA505" i="1"/>
  <c r="DA9" i="1"/>
  <c r="DA11" i="1"/>
  <c r="DA12" i="1"/>
  <c r="DA13" i="1"/>
  <c r="DA14" i="1"/>
  <c r="DA15" i="1"/>
  <c r="DA16" i="1"/>
  <c r="DA17" i="1"/>
  <c r="DD17" i="1"/>
  <c r="O12" i="2" l="1"/>
  <c r="O11" i="2"/>
  <c r="O10" i="2"/>
  <c r="O9" i="2"/>
  <c r="K16" i="2"/>
  <c r="K15" i="2"/>
  <c r="K14" i="2"/>
  <c r="K13" i="2"/>
  <c r="K12" i="2"/>
  <c r="K11" i="2"/>
  <c r="K10" i="2"/>
  <c r="DD474" i="1" l="1"/>
  <c r="DE474" i="1" s="1"/>
  <c r="DD300" i="1"/>
  <c r="DE300" i="1" s="1"/>
  <c r="DD267" i="1"/>
  <c r="DE267" i="1" s="1"/>
  <c r="DD317" i="1"/>
  <c r="DE317" i="1" s="1"/>
  <c r="DD392" i="1"/>
  <c r="DE392" i="1" s="1"/>
  <c r="DD289" i="1"/>
  <c r="DE289" i="1" s="1"/>
  <c r="DD224" i="1"/>
  <c r="DE224" i="1" s="1"/>
  <c r="DD320" i="1"/>
  <c r="DE320" i="1" s="1"/>
  <c r="DD209" i="1"/>
  <c r="DD277" i="1"/>
  <c r="DE277" i="1" s="1"/>
  <c r="DD292" i="1"/>
  <c r="DE292" i="1" s="1"/>
  <c r="DD132" i="1"/>
  <c r="DD146" i="1"/>
  <c r="DD166" i="1"/>
  <c r="DD213" i="1"/>
  <c r="DE213" i="1" s="1"/>
  <c r="DD219" i="1"/>
  <c r="DE219" i="1" s="1"/>
  <c r="DD416" i="1"/>
  <c r="DE416" i="1" s="1"/>
  <c r="DD269" i="1"/>
  <c r="DE269" i="1" s="1"/>
  <c r="DD29" i="1"/>
  <c r="DE29" i="1" s="1"/>
  <c r="DD357" i="1"/>
  <c r="DE357" i="1" s="1"/>
  <c r="DD477" i="1"/>
  <c r="DE477" i="1" s="1"/>
  <c r="DD129" i="1"/>
  <c r="DD470" i="1"/>
  <c r="DE470" i="1" s="1"/>
  <c r="DD275" i="1"/>
  <c r="DE275" i="1" s="1"/>
  <c r="DD475" i="1"/>
  <c r="DE475" i="1" s="1"/>
  <c r="CW430" i="1"/>
  <c r="CW429" i="1"/>
  <c r="CW474" i="1"/>
  <c r="CX474" i="1" s="1"/>
  <c r="CW300" i="1"/>
  <c r="CX300" i="1" s="1"/>
  <c r="CW267" i="1"/>
  <c r="CX267" i="1" s="1"/>
  <c r="CW317" i="1"/>
  <c r="CX317" i="1" s="1"/>
  <c r="CW392" i="1"/>
  <c r="CX392" i="1" s="1"/>
  <c r="CW289" i="1"/>
  <c r="CX289" i="1" s="1"/>
  <c r="CW224" i="1"/>
  <c r="CX224" i="1" s="1"/>
  <c r="CW320" i="1"/>
  <c r="CX320" i="1" s="1"/>
  <c r="CW209" i="1"/>
  <c r="CW277" i="1"/>
  <c r="CX277" i="1" s="1"/>
  <c r="CW292" i="1"/>
  <c r="CX292" i="1" s="1"/>
  <c r="CW132" i="1"/>
  <c r="CW146" i="1"/>
  <c r="CW166" i="1"/>
  <c r="CW213" i="1"/>
  <c r="CX213" i="1" s="1"/>
  <c r="CW219" i="1"/>
  <c r="CX219" i="1" s="1"/>
  <c r="CW416" i="1"/>
  <c r="CX416" i="1" s="1"/>
  <c r="CW269" i="1"/>
  <c r="CX269" i="1" s="1"/>
  <c r="CW29" i="1"/>
  <c r="CX29" i="1" s="1"/>
  <c r="CW357" i="1"/>
  <c r="CX357" i="1" s="1"/>
  <c r="CW477" i="1"/>
  <c r="CX477" i="1" s="1"/>
  <c r="CW129" i="1"/>
  <c r="CW470" i="1"/>
  <c r="CX470" i="1" s="1"/>
  <c r="CW275" i="1"/>
  <c r="CX275" i="1" s="1"/>
  <c r="CW475" i="1"/>
  <c r="CX475" i="1" s="1"/>
  <c r="CP430" i="1"/>
  <c r="CQ430" i="1" s="1"/>
  <c r="CP429" i="1"/>
  <c r="CQ429" i="1" s="1"/>
  <c r="CP474" i="1"/>
  <c r="CQ474" i="1" s="1"/>
  <c r="CP300" i="1"/>
  <c r="CQ300" i="1" s="1"/>
  <c r="CP267" i="1"/>
  <c r="CQ267" i="1" s="1"/>
  <c r="CP317" i="1"/>
  <c r="CQ317" i="1" s="1"/>
  <c r="CP392" i="1"/>
  <c r="CQ392" i="1" s="1"/>
  <c r="CP289" i="1"/>
  <c r="CQ289" i="1" s="1"/>
  <c r="CP224" i="1"/>
  <c r="CQ224" i="1" s="1"/>
  <c r="CP320" i="1"/>
  <c r="CQ320" i="1" s="1"/>
  <c r="CP209" i="1"/>
  <c r="CQ209" i="1" s="1"/>
  <c r="CP277" i="1"/>
  <c r="CQ277" i="1" s="1"/>
  <c r="CP292" i="1"/>
  <c r="CQ292" i="1" s="1"/>
  <c r="CP132" i="1"/>
  <c r="CQ132" i="1" s="1"/>
  <c r="CP146" i="1"/>
  <c r="CQ146" i="1" s="1"/>
  <c r="CP166" i="1"/>
  <c r="CQ166" i="1" s="1"/>
  <c r="CP213" i="1"/>
  <c r="CQ213" i="1" s="1"/>
  <c r="CP219" i="1"/>
  <c r="CQ219" i="1" s="1"/>
  <c r="CP416" i="1"/>
  <c r="CQ416" i="1" s="1"/>
  <c r="CP269" i="1"/>
  <c r="CQ269" i="1" s="1"/>
  <c r="CP29" i="1"/>
  <c r="CQ29" i="1" s="1"/>
  <c r="CP357" i="1"/>
  <c r="CQ357" i="1" s="1"/>
  <c r="CP477" i="1"/>
  <c r="CQ477" i="1" s="1"/>
  <c r="CP129" i="1"/>
  <c r="CQ129" i="1" s="1"/>
  <c r="CP470" i="1"/>
  <c r="CQ470" i="1" s="1"/>
  <c r="CP275" i="1"/>
  <c r="CQ275" i="1" s="1"/>
  <c r="CP475" i="1"/>
  <c r="CQ475" i="1" s="1"/>
  <c r="CK430" i="1"/>
  <c r="CK474" i="1"/>
  <c r="CK300" i="1"/>
  <c r="CL300" i="1" s="1"/>
  <c r="CK267" i="1"/>
  <c r="CK317" i="1"/>
  <c r="CK392" i="1"/>
  <c r="CK289" i="1"/>
  <c r="CK224" i="1"/>
  <c r="CK182" i="1"/>
  <c r="CK320" i="1"/>
  <c r="CK209" i="1"/>
  <c r="CK277" i="1"/>
  <c r="CK292" i="1"/>
  <c r="CK132" i="1"/>
  <c r="CK146" i="1"/>
  <c r="CK185" i="1"/>
  <c r="CK213" i="1"/>
  <c r="CK219" i="1"/>
  <c r="CK416" i="1"/>
  <c r="CK269" i="1"/>
  <c r="CK29" i="1"/>
  <c r="CK357" i="1"/>
  <c r="CK477" i="1"/>
  <c r="CK129" i="1"/>
  <c r="CK470" i="1"/>
  <c r="CK275" i="1"/>
  <c r="CK475" i="1"/>
  <c r="CL475" i="1" s="1"/>
  <c r="CJ474" i="1"/>
  <c r="CJ300" i="1"/>
  <c r="CJ317" i="1"/>
  <c r="CJ392" i="1"/>
  <c r="CJ289" i="1"/>
  <c r="CJ320" i="1"/>
  <c r="CJ29" i="1"/>
  <c r="CJ357" i="1"/>
  <c r="CJ477" i="1"/>
  <c r="CJ475" i="1"/>
  <c r="CD506" i="1"/>
  <c r="CC474" i="1"/>
  <c r="CT474" i="1" s="1"/>
  <c r="CC300" i="1"/>
  <c r="CC267" i="1"/>
  <c r="CC317" i="1"/>
  <c r="CT317" i="1" s="1"/>
  <c r="CC392" i="1"/>
  <c r="CE392" i="1" s="1"/>
  <c r="CC289" i="1"/>
  <c r="CT289" i="1" s="1"/>
  <c r="CC224" i="1"/>
  <c r="CC182" i="1"/>
  <c r="CC320" i="1"/>
  <c r="CT320" i="1" s="1"/>
  <c r="CC209" i="1"/>
  <c r="CC277" i="1"/>
  <c r="CC292" i="1"/>
  <c r="CC132" i="1"/>
  <c r="CC146" i="1"/>
  <c r="CC185" i="1"/>
  <c r="CC213" i="1"/>
  <c r="CC219" i="1"/>
  <c r="CC416" i="1"/>
  <c r="CC269" i="1"/>
  <c r="CC29" i="1"/>
  <c r="CT29" i="1" s="1"/>
  <c r="CC357" i="1"/>
  <c r="CT357" i="1" s="1"/>
  <c r="CC477" i="1"/>
  <c r="CE477" i="1" s="1"/>
  <c r="CC129" i="1"/>
  <c r="CC470" i="1"/>
  <c r="CC275" i="1"/>
  <c r="CC475" i="1"/>
  <c r="CE475" i="1" s="1"/>
  <c r="CB474" i="1"/>
  <c r="CB300" i="1"/>
  <c r="CB317" i="1"/>
  <c r="CB392" i="1"/>
  <c r="CB289" i="1"/>
  <c r="CB320" i="1"/>
  <c r="CB29" i="1"/>
  <c r="CB357" i="1"/>
  <c r="CB477" i="1"/>
  <c r="CB475" i="1"/>
  <c r="BV204" i="1"/>
  <c r="BV478" i="1"/>
  <c r="BV454" i="1"/>
  <c r="BV453" i="1"/>
  <c r="BV449" i="1"/>
  <c r="BV33" i="1"/>
  <c r="BV15" i="1"/>
  <c r="BV439" i="1"/>
  <c r="BV496" i="1"/>
  <c r="BV435" i="1"/>
  <c r="BV9" i="1"/>
  <c r="BV419" i="1"/>
  <c r="BV468" i="1"/>
  <c r="BV430" i="1"/>
  <c r="BV474" i="1"/>
  <c r="BV300" i="1"/>
  <c r="CN300" i="1" s="1"/>
  <c r="BV267" i="1"/>
  <c r="BV317" i="1"/>
  <c r="BV392" i="1"/>
  <c r="CN392" i="1" s="1"/>
  <c r="BV289" i="1"/>
  <c r="BV224" i="1"/>
  <c r="BV182" i="1"/>
  <c r="BV320" i="1"/>
  <c r="BV209" i="1"/>
  <c r="BV277" i="1"/>
  <c r="BV292" i="1"/>
  <c r="BV132" i="1"/>
  <c r="BV146" i="1"/>
  <c r="BV185" i="1"/>
  <c r="BV213" i="1"/>
  <c r="BV219" i="1"/>
  <c r="BV416" i="1"/>
  <c r="BV269" i="1"/>
  <c r="BV29" i="1"/>
  <c r="BV357" i="1"/>
  <c r="BV477" i="1"/>
  <c r="CN477" i="1" s="1"/>
  <c r="BV129" i="1"/>
  <c r="BV470" i="1"/>
  <c r="BV275" i="1"/>
  <c r="BV475" i="1"/>
  <c r="CN475" i="1" s="1"/>
  <c r="BU439" i="1"/>
  <c r="BU468" i="1"/>
  <c r="BU300" i="1"/>
  <c r="BU416" i="1"/>
  <c r="BU29" i="1"/>
  <c r="BU357" i="1"/>
  <c r="BU470" i="1"/>
  <c r="BU275" i="1"/>
  <c r="BP269" i="1"/>
  <c r="BP29" i="1"/>
  <c r="BP357" i="1"/>
  <c r="BP477" i="1"/>
  <c r="BP129" i="1"/>
  <c r="BP470" i="1"/>
  <c r="BP275" i="1"/>
  <c r="BP429" i="1"/>
  <c r="BP6" i="1"/>
  <c r="BP474" i="1"/>
  <c r="BP172" i="1"/>
  <c r="BP300" i="1"/>
  <c r="BP267" i="1"/>
  <c r="BP392" i="1"/>
  <c r="BP289" i="1"/>
  <c r="BP224" i="1"/>
  <c r="BP182" i="1"/>
  <c r="BP320" i="1"/>
  <c r="BP209" i="1"/>
  <c r="BP277" i="1"/>
  <c r="BP292" i="1"/>
  <c r="BP132" i="1"/>
  <c r="BP166" i="1"/>
  <c r="BP185" i="1"/>
  <c r="BP213" i="1"/>
  <c r="BP219" i="1"/>
  <c r="BP416" i="1"/>
  <c r="BP475" i="1"/>
  <c r="BP508" i="1"/>
  <c r="BO507" i="1"/>
  <c r="BP507" i="1" s="1"/>
  <c r="BI429" i="1"/>
  <c r="CB429" i="1" s="1"/>
  <c r="CC429" i="1" s="1"/>
  <c r="BI6" i="1"/>
  <c r="CB6" i="1" s="1"/>
  <c r="CC6" i="1" s="1"/>
  <c r="BI474" i="1"/>
  <c r="BI172" i="1"/>
  <c r="BI300" i="1"/>
  <c r="BI267" i="1"/>
  <c r="CB267" i="1" s="1"/>
  <c r="BI392" i="1"/>
  <c r="BI289" i="1"/>
  <c r="BJ289" i="1" s="1"/>
  <c r="BI224" i="1"/>
  <c r="BI182" i="1"/>
  <c r="BJ182" i="1" s="1"/>
  <c r="BI320" i="1"/>
  <c r="BJ320" i="1" s="1"/>
  <c r="BI209" i="1"/>
  <c r="BI277" i="1"/>
  <c r="BI292" i="1"/>
  <c r="BI132" i="1"/>
  <c r="BI166" i="1"/>
  <c r="BI185" i="1"/>
  <c r="BI213" i="1"/>
  <c r="CB213" i="1" s="1"/>
  <c r="BI219" i="1"/>
  <c r="BI416" i="1"/>
  <c r="BJ416" i="1" s="1"/>
  <c r="BI269" i="1"/>
  <c r="BI29" i="1"/>
  <c r="BJ29" i="1" s="1"/>
  <c r="BI357" i="1"/>
  <c r="BI477" i="1"/>
  <c r="BI129" i="1"/>
  <c r="BI470" i="1"/>
  <c r="CB470" i="1" s="1"/>
  <c r="BI275" i="1"/>
  <c r="BI475" i="1"/>
  <c r="BD6" i="1"/>
  <c r="BD474" i="1"/>
  <c r="BD172" i="1"/>
  <c r="BD300" i="1"/>
  <c r="BD267" i="1"/>
  <c r="BD392" i="1"/>
  <c r="BD289" i="1"/>
  <c r="BD224" i="1"/>
  <c r="BD182" i="1"/>
  <c r="BD320" i="1"/>
  <c r="BD209" i="1"/>
  <c r="BD277" i="1"/>
  <c r="BD292" i="1"/>
  <c r="BD132" i="1"/>
  <c r="BD166" i="1"/>
  <c r="BD185" i="1"/>
  <c r="BD213" i="1"/>
  <c r="BD219" i="1"/>
  <c r="BD416" i="1"/>
  <c r="BD269" i="1"/>
  <c r="BD29" i="1"/>
  <c r="BD357" i="1"/>
  <c r="BD477" i="1"/>
  <c r="BD129" i="1"/>
  <c r="BD470" i="1"/>
  <c r="BD275" i="1"/>
  <c r="BD475" i="1"/>
  <c r="BD506" i="1"/>
  <c r="BD507" i="1"/>
  <c r="BD508" i="1"/>
  <c r="BD509" i="1"/>
  <c r="BD510" i="1"/>
  <c r="BD511" i="1"/>
  <c r="AY6" i="1"/>
  <c r="BO6" i="1" s="1"/>
  <c r="AY474" i="1"/>
  <c r="BO474" i="1" s="1"/>
  <c r="AY172" i="1"/>
  <c r="BO172" i="1" s="1"/>
  <c r="AY300" i="1"/>
  <c r="BO300" i="1" s="1"/>
  <c r="AY267" i="1"/>
  <c r="BO267" i="1" s="1"/>
  <c r="AY317" i="1"/>
  <c r="AY392" i="1"/>
  <c r="BO392" i="1" s="1"/>
  <c r="AY289" i="1"/>
  <c r="BO289" i="1" s="1"/>
  <c r="AY224" i="1"/>
  <c r="BO224" i="1" s="1"/>
  <c r="AY182" i="1"/>
  <c r="BO182" i="1" s="1"/>
  <c r="AY320" i="1"/>
  <c r="BO320" i="1" s="1"/>
  <c r="AY209" i="1"/>
  <c r="BO209" i="1" s="1"/>
  <c r="AY277" i="1"/>
  <c r="BO277" i="1" s="1"/>
  <c r="AY292" i="1"/>
  <c r="BO292" i="1" s="1"/>
  <c r="AY132" i="1"/>
  <c r="BO132" i="1" s="1"/>
  <c r="AY166" i="1"/>
  <c r="BO166" i="1" s="1"/>
  <c r="AY176" i="1"/>
  <c r="BO176" i="1" s="1"/>
  <c r="BP176" i="1" s="1"/>
  <c r="AY185" i="1"/>
  <c r="BO185" i="1" s="1"/>
  <c r="AY213" i="1"/>
  <c r="BO213" i="1" s="1"/>
  <c r="AY219" i="1"/>
  <c r="BO219" i="1" s="1"/>
  <c r="AY416" i="1"/>
  <c r="BO416" i="1" s="1"/>
  <c r="AY269" i="1"/>
  <c r="BO269" i="1" s="1"/>
  <c r="AY29" i="1"/>
  <c r="BO29" i="1" s="1"/>
  <c r="AY357" i="1"/>
  <c r="BO357" i="1" s="1"/>
  <c r="AY477" i="1"/>
  <c r="BO477" i="1" s="1"/>
  <c r="AY129" i="1"/>
  <c r="BO129" i="1" s="1"/>
  <c r="AY470" i="1"/>
  <c r="BO470" i="1" s="1"/>
  <c r="AY275" i="1"/>
  <c r="BO275" i="1" s="1"/>
  <c r="AY475" i="1"/>
  <c r="BO475" i="1" s="1"/>
  <c r="AX506" i="1"/>
  <c r="AY506" i="1" s="1"/>
  <c r="BO506" i="1" s="1"/>
  <c r="AU6" i="1"/>
  <c r="BH6" i="1" s="1"/>
  <c r="AU474" i="1"/>
  <c r="BH474" i="1" s="1"/>
  <c r="AU172" i="1"/>
  <c r="BH172" i="1" s="1"/>
  <c r="AU300" i="1"/>
  <c r="BH300" i="1" s="1"/>
  <c r="AU267" i="1"/>
  <c r="BH267" i="1" s="1"/>
  <c r="AU317" i="1"/>
  <c r="AU392" i="1"/>
  <c r="BH392" i="1" s="1"/>
  <c r="AU289" i="1"/>
  <c r="BH289" i="1" s="1"/>
  <c r="AU224" i="1"/>
  <c r="BH224" i="1" s="1"/>
  <c r="AU182" i="1"/>
  <c r="BH182" i="1" s="1"/>
  <c r="AU320" i="1"/>
  <c r="BH320" i="1" s="1"/>
  <c r="AU209" i="1"/>
  <c r="BH209" i="1" s="1"/>
  <c r="AU277" i="1"/>
  <c r="BH277" i="1" s="1"/>
  <c r="AU292" i="1"/>
  <c r="BH292" i="1" s="1"/>
  <c r="AU132" i="1"/>
  <c r="BH132" i="1" s="1"/>
  <c r="AU166" i="1"/>
  <c r="BH166" i="1" s="1"/>
  <c r="AU176" i="1"/>
  <c r="BH176" i="1" s="1"/>
  <c r="BI176" i="1" s="1"/>
  <c r="BJ176" i="1" s="1"/>
  <c r="AU185" i="1"/>
  <c r="BH185" i="1" s="1"/>
  <c r="AU213" i="1"/>
  <c r="BH213" i="1" s="1"/>
  <c r="AU219" i="1"/>
  <c r="BH219" i="1" s="1"/>
  <c r="AU416" i="1"/>
  <c r="BH416" i="1" s="1"/>
  <c r="AU269" i="1"/>
  <c r="BH269" i="1" s="1"/>
  <c r="AU29" i="1"/>
  <c r="BH29" i="1" s="1"/>
  <c r="AU357" i="1"/>
  <c r="BH357" i="1" s="1"/>
  <c r="AU477" i="1"/>
  <c r="BH477" i="1" s="1"/>
  <c r="AU129" i="1"/>
  <c r="BH129" i="1" s="1"/>
  <c r="AU470" i="1"/>
  <c r="BH470" i="1" s="1"/>
  <c r="AU275" i="1"/>
  <c r="BH275" i="1" s="1"/>
  <c r="AU475" i="1"/>
  <c r="BH475" i="1" s="1"/>
  <c r="AU506" i="1"/>
  <c r="BH506" i="1" s="1"/>
  <c r="AQ289" i="1"/>
  <c r="BC289" i="1" s="1"/>
  <c r="AQ224" i="1"/>
  <c r="BC224" i="1" s="1"/>
  <c r="AQ182" i="1"/>
  <c r="BC182" i="1" s="1"/>
  <c r="AQ320" i="1"/>
  <c r="BC320" i="1" s="1"/>
  <c r="AQ209" i="1"/>
  <c r="BC209" i="1" s="1"/>
  <c r="AQ277" i="1"/>
  <c r="BC277" i="1" s="1"/>
  <c r="AQ292" i="1"/>
  <c r="BC292" i="1" s="1"/>
  <c r="AQ132" i="1"/>
  <c r="BC132" i="1" s="1"/>
  <c r="AQ166" i="1"/>
  <c r="BC166" i="1" s="1"/>
  <c r="AQ176" i="1"/>
  <c r="BC176" i="1" s="1"/>
  <c r="BD176" i="1" s="1"/>
  <c r="AQ185" i="1"/>
  <c r="BC185" i="1" s="1"/>
  <c r="AQ213" i="1"/>
  <c r="BC213" i="1" s="1"/>
  <c r="AQ219" i="1"/>
  <c r="BC219" i="1" s="1"/>
  <c r="AQ416" i="1"/>
  <c r="BC416" i="1" s="1"/>
  <c r="AQ269" i="1"/>
  <c r="BC269" i="1" s="1"/>
  <c r="AQ29" i="1"/>
  <c r="BC29" i="1" s="1"/>
  <c r="AQ357" i="1"/>
  <c r="BC357" i="1" s="1"/>
  <c r="AQ477" i="1"/>
  <c r="BC477" i="1" s="1"/>
  <c r="AQ129" i="1"/>
  <c r="BC129" i="1" s="1"/>
  <c r="AQ470" i="1"/>
  <c r="BC470" i="1" s="1"/>
  <c r="AQ275" i="1"/>
  <c r="BC275" i="1" s="1"/>
  <c r="AQ475" i="1"/>
  <c r="BC475" i="1" s="1"/>
  <c r="AQ474" i="1"/>
  <c r="BC474" i="1" s="1"/>
  <c r="AQ172" i="1"/>
  <c r="BC172" i="1" s="1"/>
  <c r="AQ300" i="1"/>
  <c r="BC300" i="1" s="1"/>
  <c r="AQ267" i="1"/>
  <c r="BC267" i="1" s="1"/>
  <c r="AQ317" i="1"/>
  <c r="BC317" i="1" s="1"/>
  <c r="BD317" i="1" s="1"/>
  <c r="AQ392" i="1"/>
  <c r="BC392" i="1" s="1"/>
  <c r="CH267" i="1" l="1"/>
  <c r="CI267" i="1" s="1"/>
  <c r="CH224" i="1"/>
  <c r="CI224" i="1" s="1"/>
  <c r="CH277" i="1"/>
  <c r="CI277" i="1" s="1"/>
  <c r="CH292" i="1"/>
  <c r="CI292" i="1" s="1"/>
  <c r="CH132" i="1"/>
  <c r="CI132" i="1" s="1"/>
  <c r="CH213" i="1"/>
  <c r="CI213" i="1" s="1"/>
  <c r="CH219" i="1"/>
  <c r="CI219" i="1" s="1"/>
  <c r="CH416" i="1"/>
  <c r="CI416" i="1" s="1"/>
  <c r="CH269" i="1"/>
  <c r="CI269" i="1" s="1"/>
  <c r="CH470" i="1"/>
  <c r="CI470" i="1" s="1"/>
  <c r="BZ277" i="1"/>
  <c r="CA277" i="1" s="1"/>
  <c r="BZ132" i="1"/>
  <c r="CA132" i="1" s="1"/>
  <c r="BZ269" i="1"/>
  <c r="CA269" i="1" s="1"/>
  <c r="BZ129" i="1"/>
  <c r="CA129" i="1" s="1"/>
  <c r="CH275" i="1"/>
  <c r="CI275" i="1" s="1"/>
  <c r="BZ185" i="1"/>
  <c r="CA185" i="1" s="1"/>
  <c r="BZ429" i="1"/>
  <c r="CA429" i="1" s="1"/>
  <c r="BZ6" i="1"/>
  <c r="CA6" i="1" s="1"/>
  <c r="DA182" i="1"/>
  <c r="CH182" i="1"/>
  <c r="CI182" i="1" s="1"/>
  <c r="DA209" i="1"/>
  <c r="CH209" i="1"/>
  <c r="CI209" i="1" s="1"/>
  <c r="DA146" i="1"/>
  <c r="DA185" i="1"/>
  <c r="CH185" i="1"/>
  <c r="CI185" i="1" s="1"/>
  <c r="DA129" i="1"/>
  <c r="CH129" i="1"/>
  <c r="CI129" i="1" s="1"/>
  <c r="CT267" i="1"/>
  <c r="BZ267" i="1"/>
  <c r="CA267" i="1" s="1"/>
  <c r="CT224" i="1"/>
  <c r="BZ224" i="1"/>
  <c r="CA224" i="1" s="1"/>
  <c r="CE182" i="1"/>
  <c r="CW182" i="1" s="1"/>
  <c r="BZ182" i="1"/>
  <c r="CA182" i="1" s="1"/>
  <c r="CT209" i="1"/>
  <c r="BZ209" i="1"/>
  <c r="CA209" i="1" s="1"/>
  <c r="CT292" i="1"/>
  <c r="BZ292" i="1"/>
  <c r="CA292" i="1" s="1"/>
  <c r="CT146" i="1"/>
  <c r="CT213" i="1"/>
  <c r="BZ213" i="1"/>
  <c r="CA213" i="1" s="1"/>
  <c r="CT219" i="1"/>
  <c r="BZ219" i="1"/>
  <c r="CA219" i="1" s="1"/>
  <c r="CE416" i="1"/>
  <c r="BZ416" i="1"/>
  <c r="CA416" i="1" s="1"/>
  <c r="CT470" i="1"/>
  <c r="BZ470" i="1"/>
  <c r="CA470" i="1" s="1"/>
  <c r="CT275" i="1"/>
  <c r="BZ275" i="1"/>
  <c r="CA275" i="1" s="1"/>
  <c r="BQ29" i="1"/>
  <c r="BQ357" i="1"/>
  <c r="BQ477" i="1"/>
  <c r="BQ429" i="1"/>
  <c r="BQ6" i="1"/>
  <c r="BQ474" i="1"/>
  <c r="BQ300" i="1"/>
  <c r="BQ392" i="1"/>
  <c r="BQ289" i="1"/>
  <c r="BQ320" i="1"/>
  <c r="BQ166" i="1"/>
  <c r="BQ475" i="1"/>
  <c r="BQ176" i="1"/>
  <c r="BE470" i="1"/>
  <c r="BE29" i="1"/>
  <c r="BE300" i="1"/>
  <c r="BE176" i="1"/>
  <c r="BE416" i="1"/>
  <c r="BE172" i="1"/>
  <c r="BE275" i="1"/>
  <c r="BE357" i="1"/>
  <c r="BS219" i="1"/>
  <c r="BT219" i="1" s="1"/>
  <c r="BS132" i="1"/>
  <c r="BT132" i="1" s="1"/>
  <c r="BW15" i="1"/>
  <c r="BS470" i="1"/>
  <c r="BT470" i="1" s="1"/>
  <c r="BS213" i="1"/>
  <c r="BT213" i="1" s="1"/>
  <c r="BS182" i="1"/>
  <c r="BT182" i="1" s="1"/>
  <c r="BW435" i="1"/>
  <c r="CN275" i="1"/>
  <c r="BS275" i="1"/>
  <c r="BT275" i="1" s="1"/>
  <c r="BW9" i="1"/>
  <c r="BS292" i="1"/>
  <c r="BT292" i="1" s="1"/>
  <c r="BS129" i="1"/>
  <c r="BT129" i="1" s="1"/>
  <c r="CN269" i="1"/>
  <c r="BS269" i="1"/>
  <c r="BT269" i="1" s="1"/>
  <c r="BS185" i="1"/>
  <c r="BT185" i="1" s="1"/>
  <c r="CN277" i="1"/>
  <c r="BS277" i="1"/>
  <c r="BT277" i="1" s="1"/>
  <c r="BS224" i="1"/>
  <c r="BT224" i="1" s="1"/>
  <c r="BW267" i="1"/>
  <c r="BS267" i="1"/>
  <c r="BT267" i="1" s="1"/>
  <c r="BW496" i="1"/>
  <c r="CN416" i="1"/>
  <c r="BS416" i="1"/>
  <c r="BT416" i="1" s="1"/>
  <c r="BS209" i="1"/>
  <c r="BT209" i="1" s="1"/>
  <c r="BW439" i="1"/>
  <c r="CO209" i="1"/>
  <c r="CN132" i="1"/>
  <c r="CO132" i="1"/>
  <c r="CN182" i="1"/>
  <c r="CN430" i="1"/>
  <c r="CO430" i="1"/>
  <c r="CN129" i="1"/>
  <c r="CO129" i="1"/>
  <c r="CN185" i="1"/>
  <c r="BW468" i="1"/>
  <c r="BW146" i="1"/>
  <c r="CO146" i="1"/>
  <c r="BW419" i="1"/>
  <c r="CX209" i="1"/>
  <c r="CU209" i="1"/>
  <c r="CV209" i="1" s="1"/>
  <c r="DE209" i="1"/>
  <c r="DB209" i="1"/>
  <c r="DC209" i="1" s="1"/>
  <c r="CX146" i="1"/>
  <c r="CU146" i="1"/>
  <c r="CV146" i="1" s="1"/>
  <c r="CX132" i="1"/>
  <c r="CU132" i="1"/>
  <c r="CV132" i="1" s="1"/>
  <c r="CX429" i="1"/>
  <c r="CU429" i="1"/>
  <c r="CV429" i="1" s="1"/>
  <c r="CX430" i="1"/>
  <c r="CX129" i="1"/>
  <c r="CU129" i="1"/>
  <c r="CV129" i="1" s="1"/>
  <c r="CX166" i="1"/>
  <c r="DE132" i="1"/>
  <c r="DB132" i="1"/>
  <c r="DC132" i="1" s="1"/>
  <c r="DE129" i="1"/>
  <c r="DB129" i="1"/>
  <c r="DC129" i="1" s="1"/>
  <c r="DE166" i="1"/>
  <c r="DE146" i="1"/>
  <c r="DB146" i="1"/>
  <c r="DC146" i="1" s="1"/>
  <c r="CL430" i="1"/>
  <c r="DA430" i="1"/>
  <c r="CL132" i="1"/>
  <c r="DA132" i="1"/>
  <c r="BU213" i="1"/>
  <c r="BE213" i="1"/>
  <c r="BU182" i="1"/>
  <c r="BE182" i="1"/>
  <c r="BU6" i="1"/>
  <c r="BV6" i="1" s="1"/>
  <c r="BS6" i="1" s="1"/>
  <c r="BT6" i="1" s="1"/>
  <c r="BE6" i="1"/>
  <c r="BU317" i="1"/>
  <c r="BE317" i="1"/>
  <c r="BU129" i="1"/>
  <c r="BE129" i="1"/>
  <c r="BU269" i="1"/>
  <c r="BE269" i="1"/>
  <c r="BU185" i="1"/>
  <c r="BE185" i="1"/>
  <c r="BU277" i="1"/>
  <c r="BE277" i="1"/>
  <c r="BU224" i="1"/>
  <c r="BE224" i="1"/>
  <c r="BU292" i="1"/>
  <c r="BE292" i="1"/>
  <c r="BU267" i="1"/>
  <c r="BE267" i="1"/>
  <c r="BU475" i="1"/>
  <c r="BE475" i="1"/>
  <c r="BU477" i="1"/>
  <c r="BE477" i="1"/>
  <c r="BU166" i="1"/>
  <c r="BV166" i="1" s="1"/>
  <c r="BE166" i="1"/>
  <c r="BU209" i="1"/>
  <c r="BE209" i="1"/>
  <c r="BU289" i="1"/>
  <c r="BE289" i="1"/>
  <c r="BU219" i="1"/>
  <c r="BE219" i="1"/>
  <c r="BU132" i="1"/>
  <c r="BE132" i="1"/>
  <c r="BU320" i="1"/>
  <c r="BE320" i="1"/>
  <c r="BU392" i="1"/>
  <c r="BE392" i="1"/>
  <c r="BU474" i="1"/>
  <c r="BE474" i="1"/>
  <c r="CJ209" i="1"/>
  <c r="BQ209" i="1"/>
  <c r="CJ172" i="1"/>
  <c r="CK172" i="1" s="1"/>
  <c r="BQ172" i="1"/>
  <c r="CJ275" i="1"/>
  <c r="BQ275" i="1"/>
  <c r="CJ219" i="1"/>
  <c r="BQ219" i="1"/>
  <c r="CJ132" i="1"/>
  <c r="BQ132" i="1"/>
  <c r="CJ470" i="1"/>
  <c r="BQ470" i="1"/>
  <c r="CJ416" i="1"/>
  <c r="BQ416" i="1"/>
  <c r="CJ213" i="1"/>
  <c r="BQ213" i="1"/>
  <c r="CJ292" i="1"/>
  <c r="BQ292" i="1"/>
  <c r="CJ182" i="1"/>
  <c r="BQ182" i="1"/>
  <c r="CJ267" i="1"/>
  <c r="BQ267" i="1"/>
  <c r="CJ129" i="1"/>
  <c r="BQ129" i="1"/>
  <c r="CJ269" i="1"/>
  <c r="BQ269" i="1"/>
  <c r="CJ185" i="1"/>
  <c r="BQ185" i="1"/>
  <c r="CJ277" i="1"/>
  <c r="BQ277" i="1"/>
  <c r="CJ224" i="1"/>
  <c r="BQ224" i="1"/>
  <c r="CD392" i="1"/>
  <c r="CD474" i="1"/>
  <c r="CT477" i="1"/>
  <c r="CT182" i="1"/>
  <c r="CL277" i="1"/>
  <c r="CD475" i="1"/>
  <c r="CD477" i="1"/>
  <c r="CE292" i="1"/>
  <c r="CD129" i="1"/>
  <c r="CD269" i="1"/>
  <c r="CD185" i="1"/>
  <c r="CD320" i="1"/>
  <c r="CE474" i="1"/>
  <c r="CL129" i="1"/>
  <c r="CD357" i="1"/>
  <c r="CD300" i="1"/>
  <c r="BW392" i="1"/>
  <c r="CE275" i="1"/>
  <c r="CE209" i="1"/>
  <c r="CL269" i="1"/>
  <c r="CT416" i="1"/>
  <c r="CT392" i="1"/>
  <c r="CD132" i="1"/>
  <c r="CD277" i="1"/>
  <c r="BW475" i="1"/>
  <c r="BW430" i="1"/>
  <c r="CE357" i="1"/>
  <c r="CE224" i="1"/>
  <c r="CL185" i="1"/>
  <c r="DD185" i="1" s="1"/>
  <c r="BW477" i="1"/>
  <c r="CB277" i="1"/>
  <c r="CD29" i="1"/>
  <c r="CE219" i="1"/>
  <c r="CE317" i="1"/>
  <c r="CT475" i="1"/>
  <c r="CJ176" i="1"/>
  <c r="CK176" i="1" s="1"/>
  <c r="BU176" i="1"/>
  <c r="BV176" i="1" s="1"/>
  <c r="BS176" i="1" s="1"/>
  <c r="BT176" i="1" s="1"/>
  <c r="BU172" i="1"/>
  <c r="BV172" i="1" s="1"/>
  <c r="BS172" i="1" s="1"/>
  <c r="BT172" i="1" s="1"/>
  <c r="BH317" i="1"/>
  <c r="BI317" i="1" s="1"/>
  <c r="BO317" i="1"/>
  <c r="BP317" i="1" s="1"/>
  <c r="CT429" i="1"/>
  <c r="CE429" i="1"/>
  <c r="BJ392" i="1"/>
  <c r="BW320" i="1"/>
  <c r="CN320" i="1"/>
  <c r="BW289" i="1"/>
  <c r="CN289" i="1"/>
  <c r="CN146" i="1"/>
  <c r="CB176" i="1"/>
  <c r="CC176" i="1" s="1"/>
  <c r="BZ176" i="1" s="1"/>
  <c r="CA176" i="1" s="1"/>
  <c r="CB172" i="1"/>
  <c r="CC172" i="1" s="1"/>
  <c r="BZ172" i="1" s="1"/>
  <c r="CA172" i="1" s="1"/>
  <c r="BJ475" i="1"/>
  <c r="BJ172" i="1"/>
  <c r="CN267" i="1"/>
  <c r="CD416" i="1"/>
  <c r="CB416" i="1"/>
  <c r="CD182" i="1"/>
  <c r="CB182" i="1"/>
  <c r="BJ477" i="1"/>
  <c r="BW470" i="1"/>
  <c r="CN470" i="1"/>
  <c r="BW29" i="1"/>
  <c r="CN29" i="1"/>
  <c r="BW213" i="1"/>
  <c r="CN213" i="1"/>
  <c r="CD275" i="1"/>
  <c r="CB275" i="1"/>
  <c r="CD219" i="1"/>
  <c r="CB219" i="1"/>
  <c r="CB166" i="1"/>
  <c r="CC166" i="1" s="1"/>
  <c r="CD292" i="1"/>
  <c r="CB292" i="1"/>
  <c r="CD209" i="1"/>
  <c r="CB209" i="1"/>
  <c r="CD224" i="1"/>
  <c r="CB224" i="1"/>
  <c r="BJ275" i="1"/>
  <c r="BJ357" i="1"/>
  <c r="BJ219" i="1"/>
  <c r="BJ166" i="1"/>
  <c r="BJ292" i="1"/>
  <c r="BJ209" i="1"/>
  <c r="BJ224" i="1"/>
  <c r="BJ474" i="1"/>
  <c r="CJ166" i="1"/>
  <c r="CK166" i="1" s="1"/>
  <c r="BW275" i="1"/>
  <c r="BW269" i="1"/>
  <c r="BW132" i="1"/>
  <c r="BW300" i="1"/>
  <c r="CB129" i="1"/>
  <c r="CB269" i="1"/>
  <c r="CT129" i="1"/>
  <c r="CE129" i="1"/>
  <c r="CT269" i="1"/>
  <c r="CE269" i="1"/>
  <c r="CT185" i="1"/>
  <c r="CE185" i="1"/>
  <c r="CW185" i="1" s="1"/>
  <c r="CD213" i="1"/>
  <c r="CD289" i="1"/>
  <c r="CL182" i="1"/>
  <c r="DD182" i="1" s="1"/>
  <c r="CL392" i="1"/>
  <c r="CT6" i="1"/>
  <c r="CE6" i="1"/>
  <c r="CW6" i="1" s="1"/>
  <c r="BJ470" i="1"/>
  <c r="BJ213" i="1"/>
  <c r="BJ267" i="1"/>
  <c r="BJ6" i="1"/>
  <c r="CJ6" i="1"/>
  <c r="CK6" i="1" s="1"/>
  <c r="BW416" i="1"/>
  <c r="BW182" i="1"/>
  <c r="CP182" i="1" s="1"/>
  <c r="CQ182" i="1" s="1"/>
  <c r="CB185" i="1"/>
  <c r="CD267" i="1"/>
  <c r="CL477" i="1"/>
  <c r="CL416" i="1"/>
  <c r="CD429" i="1"/>
  <c r="BJ129" i="1"/>
  <c r="BJ269" i="1"/>
  <c r="BJ185" i="1"/>
  <c r="BJ132" i="1"/>
  <c r="BJ277" i="1"/>
  <c r="BJ300" i="1"/>
  <c r="CJ429" i="1"/>
  <c r="CK429" i="1" s="1"/>
  <c r="CH429" i="1" s="1"/>
  <c r="CI429" i="1" s="1"/>
  <c r="CN357" i="1"/>
  <c r="BW357" i="1"/>
  <c r="CN219" i="1"/>
  <c r="BW219" i="1"/>
  <c r="CN292" i="1"/>
  <c r="BW292" i="1"/>
  <c r="CN209" i="1"/>
  <c r="BW209" i="1"/>
  <c r="CN224" i="1"/>
  <c r="BW224" i="1"/>
  <c r="CN317" i="1"/>
  <c r="BW317" i="1"/>
  <c r="CN474" i="1"/>
  <c r="BW474" i="1"/>
  <c r="BW129" i="1"/>
  <c r="BW185" i="1"/>
  <c r="CP185" i="1" s="1"/>
  <c r="CQ185" i="1" s="1"/>
  <c r="BW277" i="1"/>
  <c r="CB132" i="1"/>
  <c r="CT132" i="1"/>
  <c r="CE132" i="1"/>
  <c r="CT277" i="1"/>
  <c r="CE277" i="1"/>
  <c r="CT300" i="1"/>
  <c r="CE300" i="1"/>
  <c r="CD470" i="1"/>
  <c r="CD6" i="1"/>
  <c r="CE470" i="1"/>
  <c r="CE29" i="1"/>
  <c r="CE213" i="1"/>
  <c r="CE146" i="1"/>
  <c r="CE320" i="1"/>
  <c r="CE289" i="1"/>
  <c r="CE267" i="1"/>
  <c r="CL275" i="1"/>
  <c r="CL357" i="1"/>
  <c r="CL219" i="1"/>
  <c r="CL292" i="1"/>
  <c r="CL209" i="1"/>
  <c r="CL224" i="1"/>
  <c r="CL317" i="1"/>
  <c r="CL474" i="1"/>
  <c r="CL470" i="1"/>
  <c r="CL29" i="1"/>
  <c r="CL213" i="1"/>
  <c r="CL146" i="1"/>
  <c r="CL320" i="1"/>
  <c r="CL289" i="1"/>
  <c r="CL267" i="1"/>
  <c r="AN474" i="1"/>
  <c r="AN172" i="1"/>
  <c r="AN300" i="1"/>
  <c r="AN267" i="1"/>
  <c r="AN317" i="1"/>
  <c r="AN392" i="1"/>
  <c r="AN289" i="1"/>
  <c r="BM289" i="1" s="1"/>
  <c r="BN289" i="1" s="1"/>
  <c r="AN224" i="1"/>
  <c r="AN182" i="1"/>
  <c r="AN320" i="1"/>
  <c r="BM320" i="1" s="1"/>
  <c r="BN320" i="1" s="1"/>
  <c r="AN209" i="1"/>
  <c r="AN277" i="1"/>
  <c r="AN292" i="1"/>
  <c r="AN176" i="1"/>
  <c r="BM176" i="1" s="1"/>
  <c r="BN176" i="1" s="1"/>
  <c r="AN185" i="1"/>
  <c r="AN213" i="1"/>
  <c r="AN219" i="1"/>
  <c r="AN416" i="1"/>
  <c r="AN269" i="1"/>
  <c r="AN357" i="1"/>
  <c r="AN477" i="1"/>
  <c r="AN129" i="1"/>
  <c r="AN470" i="1"/>
  <c r="AN275" i="1"/>
  <c r="AN475" i="1"/>
  <c r="AM506" i="1"/>
  <c r="AH474" i="1"/>
  <c r="AE474" i="1" s="1"/>
  <c r="AF474" i="1" s="1"/>
  <c r="AH172" i="1"/>
  <c r="AH300" i="1"/>
  <c r="AH267" i="1"/>
  <c r="AH317" i="1"/>
  <c r="AH392" i="1"/>
  <c r="AH289" i="1"/>
  <c r="AH224" i="1"/>
  <c r="AH182" i="1"/>
  <c r="AH320" i="1"/>
  <c r="AH209" i="1"/>
  <c r="AH277" i="1"/>
  <c r="AH292" i="1"/>
  <c r="AH176" i="1"/>
  <c r="AH185" i="1"/>
  <c r="AH213" i="1"/>
  <c r="AH219" i="1"/>
  <c r="AH416" i="1"/>
  <c r="AH269" i="1"/>
  <c r="AH357" i="1"/>
  <c r="AH477" i="1"/>
  <c r="AH129" i="1"/>
  <c r="AH470" i="1"/>
  <c r="AH275" i="1"/>
  <c r="AH475" i="1"/>
  <c r="AB474" i="1"/>
  <c r="AB172" i="1"/>
  <c r="AB300" i="1"/>
  <c r="AB267" i="1"/>
  <c r="AB317" i="1"/>
  <c r="AB392" i="1"/>
  <c r="AB289" i="1"/>
  <c r="AB224" i="1"/>
  <c r="AB182" i="1"/>
  <c r="AB320" i="1"/>
  <c r="AB209" i="1"/>
  <c r="AB277" i="1"/>
  <c r="AB292" i="1"/>
  <c r="AB176" i="1"/>
  <c r="AB185" i="1"/>
  <c r="AB213" i="1"/>
  <c r="AB219" i="1"/>
  <c r="AB416" i="1"/>
  <c r="AB269" i="1"/>
  <c r="AB357" i="1"/>
  <c r="AB477" i="1"/>
  <c r="AB129" i="1"/>
  <c r="AB470" i="1"/>
  <c r="AB275" i="1"/>
  <c r="AB475" i="1"/>
  <c r="W6" i="1"/>
  <c r="W474" i="1"/>
  <c r="AM474" i="1" s="1"/>
  <c r="W172" i="1"/>
  <c r="AM172" i="1" s="1"/>
  <c r="W300" i="1"/>
  <c r="AM300" i="1" s="1"/>
  <c r="W267" i="1"/>
  <c r="AM267" i="1" s="1"/>
  <c r="W392" i="1"/>
  <c r="AM392" i="1" s="1"/>
  <c r="W289" i="1"/>
  <c r="AM289" i="1" s="1"/>
  <c r="W224" i="1"/>
  <c r="AM224" i="1" s="1"/>
  <c r="W182" i="1"/>
  <c r="AM182" i="1" s="1"/>
  <c r="W320" i="1"/>
  <c r="AM320" i="1" s="1"/>
  <c r="W209" i="1"/>
  <c r="AM209" i="1" s="1"/>
  <c r="W277" i="1"/>
  <c r="AM277" i="1" s="1"/>
  <c r="W292" i="1"/>
  <c r="AM292" i="1" s="1"/>
  <c r="W132" i="1"/>
  <c r="AM132" i="1" s="1"/>
  <c r="AN132" i="1" s="1"/>
  <c r="W166" i="1"/>
  <c r="AM166" i="1" s="1"/>
  <c r="W176" i="1"/>
  <c r="AM176" i="1" s="1"/>
  <c r="W185" i="1"/>
  <c r="AM185" i="1" s="1"/>
  <c r="W213" i="1"/>
  <c r="AM213" i="1" s="1"/>
  <c r="W416" i="1"/>
  <c r="AM416" i="1" s="1"/>
  <c r="W269" i="1"/>
  <c r="AM269" i="1" s="1"/>
  <c r="W29" i="1"/>
  <c r="W357" i="1"/>
  <c r="AM357" i="1" s="1"/>
  <c r="W477" i="1"/>
  <c r="AM477" i="1" s="1"/>
  <c r="W470" i="1"/>
  <c r="AM470" i="1" s="1"/>
  <c r="W275" i="1"/>
  <c r="AM275" i="1" s="1"/>
  <c r="W475" i="1"/>
  <c r="AM475" i="1" s="1"/>
  <c r="V6" i="1"/>
  <c r="V474" i="1"/>
  <c r="V172" i="1"/>
  <c r="V300" i="1"/>
  <c r="V267" i="1"/>
  <c r="V317" i="1"/>
  <c r="W317" i="1" s="1"/>
  <c r="AM317" i="1" s="1"/>
  <c r="V392" i="1"/>
  <c r="V289" i="1"/>
  <c r="V224" i="1"/>
  <c r="V182" i="1"/>
  <c r="V320" i="1"/>
  <c r="V209" i="1"/>
  <c r="V277" i="1"/>
  <c r="V292" i="1"/>
  <c r="V132" i="1"/>
  <c r="V146" i="1"/>
  <c r="W146" i="1" s="1"/>
  <c r="V166" i="1"/>
  <c r="V176" i="1"/>
  <c r="V185" i="1"/>
  <c r="V213" i="1"/>
  <c r="V219" i="1"/>
  <c r="W219" i="1" s="1"/>
  <c r="AM219" i="1" s="1"/>
  <c r="V416" i="1"/>
  <c r="V269" i="1"/>
  <c r="V29" i="1"/>
  <c r="V357" i="1"/>
  <c r="V477" i="1"/>
  <c r="V129" i="1"/>
  <c r="W129" i="1" s="1"/>
  <c r="AM129" i="1" s="1"/>
  <c r="V470" i="1"/>
  <c r="V275" i="1"/>
  <c r="V475" i="1"/>
  <c r="S6" i="1"/>
  <c r="AG6" i="1" s="1"/>
  <c r="AH6" i="1" s="1"/>
  <c r="AE6" i="1" s="1"/>
  <c r="AF6" i="1" s="1"/>
  <c r="S474" i="1"/>
  <c r="AA474" i="1" s="1"/>
  <c r="S172" i="1"/>
  <c r="AG172" i="1" s="1"/>
  <c r="S300" i="1"/>
  <c r="AG300" i="1" s="1"/>
  <c r="S267" i="1"/>
  <c r="AG267" i="1" s="1"/>
  <c r="S392" i="1"/>
  <c r="AG392" i="1" s="1"/>
  <c r="S289" i="1"/>
  <c r="AG289" i="1" s="1"/>
  <c r="S224" i="1"/>
  <c r="AA224" i="1" s="1"/>
  <c r="S182" i="1"/>
  <c r="AG182" i="1" s="1"/>
  <c r="S320" i="1"/>
  <c r="AA320" i="1" s="1"/>
  <c r="S209" i="1"/>
  <c r="AA209" i="1" s="1"/>
  <c r="S277" i="1"/>
  <c r="AA277" i="1" s="1"/>
  <c r="S292" i="1"/>
  <c r="AA292" i="1" s="1"/>
  <c r="S132" i="1"/>
  <c r="AA132" i="1" s="1"/>
  <c r="S166" i="1"/>
  <c r="S176" i="1"/>
  <c r="AG176" i="1" s="1"/>
  <c r="S185" i="1"/>
  <c r="AA185" i="1" s="1"/>
  <c r="S213" i="1"/>
  <c r="AA213" i="1" s="1"/>
  <c r="S416" i="1"/>
  <c r="AG416" i="1" s="1"/>
  <c r="S269" i="1"/>
  <c r="AA269" i="1" s="1"/>
  <c r="S29" i="1"/>
  <c r="AA29" i="1" s="1"/>
  <c r="S357" i="1"/>
  <c r="AA357" i="1" s="1"/>
  <c r="S477" i="1"/>
  <c r="AG477" i="1" s="1"/>
  <c r="S470" i="1"/>
  <c r="AA470" i="1" s="1"/>
  <c r="S275" i="1"/>
  <c r="AA275" i="1" s="1"/>
  <c r="S475" i="1"/>
  <c r="AG475" i="1" s="1"/>
  <c r="R6" i="1"/>
  <c r="R474" i="1"/>
  <c r="R172" i="1"/>
  <c r="R300" i="1"/>
  <c r="R267" i="1"/>
  <c r="R317" i="1"/>
  <c r="S317" i="1" s="1"/>
  <c r="R392" i="1"/>
  <c r="R289" i="1"/>
  <c r="R224" i="1"/>
  <c r="R182" i="1"/>
  <c r="R320" i="1"/>
  <c r="R209" i="1"/>
  <c r="R277" i="1"/>
  <c r="R292" i="1"/>
  <c r="R132" i="1"/>
  <c r="R146" i="1"/>
  <c r="S146" i="1" s="1"/>
  <c r="R166" i="1"/>
  <c r="R176" i="1"/>
  <c r="R185" i="1"/>
  <c r="R213" i="1"/>
  <c r="R219" i="1"/>
  <c r="S219" i="1" s="1"/>
  <c r="R416" i="1"/>
  <c r="R269" i="1"/>
  <c r="R29" i="1"/>
  <c r="R357" i="1"/>
  <c r="R477" i="1"/>
  <c r="R129" i="1"/>
  <c r="S129" i="1" s="1"/>
  <c r="R470" i="1"/>
  <c r="R275" i="1"/>
  <c r="R475" i="1"/>
  <c r="O474" i="1"/>
  <c r="O172" i="1"/>
  <c r="O300" i="1"/>
  <c r="O267" i="1"/>
  <c r="O392" i="1"/>
  <c r="O289" i="1"/>
  <c r="O224" i="1"/>
  <c r="O182" i="1"/>
  <c r="O320" i="1"/>
  <c r="O209" i="1"/>
  <c r="O277" i="1"/>
  <c r="O292" i="1"/>
  <c r="O132" i="1"/>
  <c r="O166" i="1"/>
  <c r="O176" i="1"/>
  <c r="O185" i="1"/>
  <c r="O213" i="1"/>
  <c r="O416" i="1"/>
  <c r="O269" i="1"/>
  <c r="O29" i="1"/>
  <c r="O357" i="1"/>
  <c r="O477" i="1"/>
  <c r="O470" i="1"/>
  <c r="O275" i="1"/>
  <c r="O475" i="1"/>
  <c r="N6" i="1"/>
  <c r="N474" i="1"/>
  <c r="N172" i="1"/>
  <c r="N300" i="1"/>
  <c r="N267" i="1"/>
  <c r="N317" i="1"/>
  <c r="O317" i="1" s="1"/>
  <c r="N392" i="1"/>
  <c r="N289" i="1"/>
  <c r="N224" i="1"/>
  <c r="N182" i="1"/>
  <c r="N320" i="1"/>
  <c r="N209" i="1"/>
  <c r="N277" i="1"/>
  <c r="N292" i="1"/>
  <c r="N132" i="1"/>
  <c r="N146" i="1"/>
  <c r="O146" i="1" s="1"/>
  <c r="N166" i="1"/>
  <c r="N176" i="1"/>
  <c r="N185" i="1"/>
  <c r="N213" i="1"/>
  <c r="N219" i="1"/>
  <c r="O219" i="1" s="1"/>
  <c r="N416" i="1"/>
  <c r="N269" i="1"/>
  <c r="N29" i="1"/>
  <c r="N357" i="1"/>
  <c r="N477" i="1"/>
  <c r="N129" i="1"/>
  <c r="O129" i="1" s="1"/>
  <c r="N470" i="1"/>
  <c r="N275" i="1"/>
  <c r="N475" i="1"/>
  <c r="CX182" i="1" l="1"/>
  <c r="CU182" i="1"/>
  <c r="CV182" i="1" s="1"/>
  <c r="DA176" i="1"/>
  <c r="CH176" i="1"/>
  <c r="CI176" i="1" s="1"/>
  <c r="BQ317" i="1"/>
  <c r="BM317" i="1"/>
  <c r="BN317" i="1" s="1"/>
  <c r="DA172" i="1"/>
  <c r="CH172" i="1"/>
  <c r="CI172" i="1" s="1"/>
  <c r="CD166" i="1"/>
  <c r="BZ166" i="1"/>
  <c r="CA166" i="1" s="1"/>
  <c r="DA166" i="1"/>
  <c r="DB166" i="1"/>
  <c r="DC166" i="1" s="1"/>
  <c r="CH166" i="1"/>
  <c r="CI166" i="1" s="1"/>
  <c r="DA6" i="1"/>
  <c r="CH6" i="1"/>
  <c r="CI6" i="1" s="1"/>
  <c r="AX474" i="1"/>
  <c r="BM474" i="1"/>
  <c r="BN474" i="1" s="1"/>
  <c r="AK474" i="1"/>
  <c r="AL474" i="1" s="1"/>
  <c r="AX172" i="1"/>
  <c r="BM172" i="1"/>
  <c r="BN172" i="1" s="1"/>
  <c r="AK172" i="1"/>
  <c r="AL172" i="1" s="1"/>
  <c r="AX300" i="1"/>
  <c r="BM300" i="1"/>
  <c r="BN300" i="1" s="1"/>
  <c r="AK300" i="1"/>
  <c r="AL300" i="1" s="1"/>
  <c r="AX267" i="1"/>
  <c r="BM267" i="1"/>
  <c r="BN267" i="1" s="1"/>
  <c r="AK267" i="1"/>
  <c r="AL267" i="1" s="1"/>
  <c r="AX317" i="1"/>
  <c r="AK317" i="1"/>
  <c r="AL317" i="1" s="1"/>
  <c r="AX392" i="1"/>
  <c r="BM392" i="1"/>
  <c r="BN392" i="1" s="1"/>
  <c r="AK392" i="1"/>
  <c r="AL392" i="1" s="1"/>
  <c r="AX289" i="1"/>
  <c r="AK289" i="1"/>
  <c r="AL289" i="1" s="1"/>
  <c r="AX224" i="1"/>
  <c r="BM224" i="1"/>
  <c r="BN224" i="1" s="1"/>
  <c r="AK224" i="1"/>
  <c r="AL224" i="1" s="1"/>
  <c r="AX182" i="1"/>
  <c r="AK182" i="1"/>
  <c r="AL182" i="1" s="1"/>
  <c r="BM182" i="1"/>
  <c r="BN182" i="1" s="1"/>
  <c r="AX320" i="1"/>
  <c r="AK320" i="1"/>
  <c r="AL320" i="1" s="1"/>
  <c r="AX209" i="1"/>
  <c r="BM209" i="1"/>
  <c r="BN209" i="1" s="1"/>
  <c r="AK209" i="1"/>
  <c r="AL209" i="1" s="1"/>
  <c r="AX277" i="1"/>
  <c r="BM277" i="1"/>
  <c r="BN277" i="1" s="1"/>
  <c r="AK277" i="1"/>
  <c r="AL277" i="1" s="1"/>
  <c r="AX292" i="1"/>
  <c r="BM292" i="1"/>
  <c r="BN292" i="1" s="1"/>
  <c r="AK292" i="1"/>
  <c r="AL292" i="1" s="1"/>
  <c r="AX176" i="1"/>
  <c r="AK176" i="1"/>
  <c r="AL176" i="1" s="1"/>
  <c r="AX185" i="1"/>
  <c r="AK185" i="1"/>
  <c r="AL185" i="1" s="1"/>
  <c r="BM185" i="1"/>
  <c r="BN185" i="1" s="1"/>
  <c r="AX213" i="1"/>
  <c r="AK213" i="1"/>
  <c r="AL213" i="1" s="1"/>
  <c r="BM213" i="1"/>
  <c r="BN213" i="1" s="1"/>
  <c r="AX219" i="1"/>
  <c r="AK219" i="1"/>
  <c r="AL219" i="1" s="1"/>
  <c r="BM219" i="1"/>
  <c r="BN219" i="1" s="1"/>
  <c r="AX416" i="1"/>
  <c r="AK416" i="1"/>
  <c r="AL416" i="1" s="1"/>
  <c r="BM416" i="1"/>
  <c r="BN416" i="1" s="1"/>
  <c r="AX269" i="1"/>
  <c r="BM269" i="1"/>
  <c r="BN269" i="1" s="1"/>
  <c r="AK269" i="1"/>
  <c r="AL269" i="1" s="1"/>
  <c r="AX357" i="1"/>
  <c r="AK357" i="1"/>
  <c r="AL357" i="1" s="1"/>
  <c r="BM357" i="1"/>
  <c r="BN357" i="1" s="1"/>
  <c r="AX477" i="1"/>
  <c r="AK477" i="1"/>
  <c r="AL477" i="1" s="1"/>
  <c r="BM477" i="1"/>
  <c r="BN477" i="1" s="1"/>
  <c r="AX129" i="1"/>
  <c r="BM129" i="1"/>
  <c r="BN129" i="1" s="1"/>
  <c r="AK129" i="1"/>
  <c r="AL129" i="1" s="1"/>
  <c r="AX470" i="1"/>
  <c r="AK470" i="1"/>
  <c r="AL470" i="1" s="1"/>
  <c r="BM470" i="1"/>
  <c r="BN470" i="1" s="1"/>
  <c r="AX275" i="1"/>
  <c r="BM275" i="1"/>
  <c r="BN275" i="1" s="1"/>
  <c r="AK275" i="1"/>
  <c r="AL275" i="1" s="1"/>
  <c r="AX475" i="1"/>
  <c r="BM475" i="1"/>
  <c r="BN475" i="1" s="1"/>
  <c r="AK475" i="1"/>
  <c r="AL475" i="1" s="1"/>
  <c r="AT172" i="1"/>
  <c r="AE172" i="1"/>
  <c r="AF172" i="1" s="1"/>
  <c r="AT300" i="1"/>
  <c r="AE300" i="1"/>
  <c r="AF300" i="1" s="1"/>
  <c r="AT267" i="1"/>
  <c r="AE267" i="1"/>
  <c r="AF267" i="1" s="1"/>
  <c r="AT317" i="1"/>
  <c r="AE317" i="1"/>
  <c r="AF317" i="1" s="1"/>
  <c r="AT392" i="1"/>
  <c r="AE392" i="1"/>
  <c r="AF392" i="1" s="1"/>
  <c r="AT289" i="1"/>
  <c r="AE289" i="1"/>
  <c r="AF289" i="1" s="1"/>
  <c r="AT224" i="1"/>
  <c r="AE224" i="1"/>
  <c r="AF224" i="1" s="1"/>
  <c r="AT182" i="1"/>
  <c r="AE182" i="1"/>
  <c r="AF182" i="1" s="1"/>
  <c r="AT320" i="1"/>
  <c r="AE320" i="1"/>
  <c r="AF320" i="1" s="1"/>
  <c r="AT209" i="1"/>
  <c r="AE209" i="1"/>
  <c r="AF209" i="1" s="1"/>
  <c r="AT277" i="1"/>
  <c r="AE277" i="1"/>
  <c r="AF277" i="1" s="1"/>
  <c r="AT292" i="1"/>
  <c r="AE292" i="1"/>
  <c r="AF292" i="1" s="1"/>
  <c r="AT176" i="1"/>
  <c r="AE176" i="1"/>
  <c r="AF176" i="1" s="1"/>
  <c r="AT185" i="1"/>
  <c r="AE185" i="1"/>
  <c r="AF185" i="1" s="1"/>
  <c r="AT213" i="1"/>
  <c r="AE213" i="1"/>
  <c r="AF213" i="1" s="1"/>
  <c r="AT219" i="1"/>
  <c r="AE219" i="1"/>
  <c r="AF219" i="1" s="1"/>
  <c r="AT416" i="1"/>
  <c r="AE416" i="1"/>
  <c r="AF416" i="1" s="1"/>
  <c r="AT269" i="1"/>
  <c r="AE269" i="1"/>
  <c r="AF269" i="1" s="1"/>
  <c r="AT357" i="1"/>
  <c r="AE357" i="1"/>
  <c r="AF357" i="1" s="1"/>
  <c r="AT477" i="1"/>
  <c r="AE477" i="1"/>
  <c r="AF477" i="1" s="1"/>
  <c r="AT129" i="1"/>
  <c r="AE129" i="1"/>
  <c r="AF129" i="1" s="1"/>
  <c r="AT470" i="1"/>
  <c r="AE470" i="1"/>
  <c r="AF470" i="1" s="1"/>
  <c r="AT275" i="1"/>
  <c r="AE275" i="1"/>
  <c r="AF275" i="1" s="1"/>
  <c r="AT475" i="1"/>
  <c r="AE475" i="1"/>
  <c r="AF475" i="1" s="1"/>
  <c r="AP474" i="1"/>
  <c r="Y474" i="1"/>
  <c r="Z474" i="1" s="1"/>
  <c r="AP172" i="1"/>
  <c r="Y172" i="1"/>
  <c r="Z172" i="1" s="1"/>
  <c r="AP300" i="1"/>
  <c r="Y300" i="1"/>
  <c r="Z300" i="1" s="1"/>
  <c r="AP267" i="1"/>
  <c r="Y267" i="1"/>
  <c r="Z267" i="1" s="1"/>
  <c r="AP317" i="1"/>
  <c r="Y317" i="1"/>
  <c r="Z317" i="1" s="1"/>
  <c r="AP392" i="1"/>
  <c r="Y392" i="1"/>
  <c r="Z392" i="1" s="1"/>
  <c r="AP289" i="1"/>
  <c r="Y289" i="1"/>
  <c r="Z289" i="1" s="1"/>
  <c r="AP224" i="1"/>
  <c r="Y224" i="1"/>
  <c r="Z224" i="1" s="1"/>
  <c r="AP182" i="1"/>
  <c r="Y182" i="1"/>
  <c r="Z182" i="1" s="1"/>
  <c r="AP320" i="1"/>
  <c r="Y320" i="1"/>
  <c r="Z320" i="1" s="1"/>
  <c r="AP209" i="1"/>
  <c r="Y209" i="1"/>
  <c r="Z209" i="1" s="1"/>
  <c r="AP277" i="1"/>
  <c r="Y277" i="1"/>
  <c r="Z277" i="1" s="1"/>
  <c r="AP292" i="1"/>
  <c r="Y292" i="1"/>
  <c r="Z292" i="1" s="1"/>
  <c r="AP176" i="1"/>
  <c r="Y176" i="1"/>
  <c r="Z176" i="1" s="1"/>
  <c r="AP185" i="1"/>
  <c r="Y185" i="1"/>
  <c r="Z185" i="1" s="1"/>
  <c r="AP213" i="1"/>
  <c r="Y213" i="1"/>
  <c r="Z213" i="1" s="1"/>
  <c r="AP219" i="1"/>
  <c r="Y219" i="1"/>
  <c r="Z219" i="1" s="1"/>
  <c r="AP416" i="1"/>
  <c r="Y416" i="1"/>
  <c r="Z416" i="1" s="1"/>
  <c r="AP269" i="1"/>
  <c r="Y269" i="1"/>
  <c r="Z269" i="1" s="1"/>
  <c r="AP357" i="1"/>
  <c r="Y357" i="1"/>
  <c r="Z357" i="1" s="1"/>
  <c r="AP477" i="1"/>
  <c r="Y477" i="1"/>
  <c r="Z477" i="1" s="1"/>
  <c r="AP129" i="1"/>
  <c r="Y129" i="1"/>
  <c r="Z129" i="1" s="1"/>
  <c r="AP470" i="1"/>
  <c r="Y470" i="1"/>
  <c r="Z470" i="1" s="1"/>
  <c r="AP275" i="1"/>
  <c r="Y275" i="1"/>
  <c r="Z275" i="1" s="1"/>
  <c r="AP475" i="1"/>
  <c r="Y475" i="1"/>
  <c r="Z475" i="1" s="1"/>
  <c r="AX132" i="1"/>
  <c r="AK132" i="1"/>
  <c r="AL132" i="1" s="1"/>
  <c r="BM132" i="1"/>
  <c r="BN132" i="1" s="1"/>
  <c r="BA392" i="1"/>
  <c r="BB392" i="1" s="1"/>
  <c r="BA357" i="1"/>
  <c r="BB357" i="1" s="1"/>
  <c r="BA172" i="1"/>
  <c r="BB172" i="1" s="1"/>
  <c r="BA475" i="1"/>
  <c r="BB475" i="1" s="1"/>
  <c r="BA269" i="1"/>
  <c r="BB269" i="1" s="1"/>
  <c r="BA267" i="1"/>
  <c r="BB267" i="1" s="1"/>
  <c r="BA320" i="1"/>
  <c r="BB320" i="1" s="1"/>
  <c r="BA416" i="1"/>
  <c r="BB416" i="1" s="1"/>
  <c r="BA176" i="1"/>
  <c r="BB176" i="1" s="1"/>
  <c r="BA224" i="1"/>
  <c r="BB224" i="1" s="1"/>
  <c r="BA129" i="1"/>
  <c r="BB129" i="1" s="1"/>
  <c r="BA182" i="1"/>
  <c r="BB182" i="1" s="1"/>
  <c r="BA275" i="1"/>
  <c r="BB275" i="1" s="1"/>
  <c r="BA289" i="1"/>
  <c r="BB289" i="1" s="1"/>
  <c r="BA277" i="1"/>
  <c r="BB277" i="1" s="1"/>
  <c r="BA317" i="1"/>
  <c r="BB317" i="1" s="1"/>
  <c r="BA292" i="1"/>
  <c r="BB292" i="1" s="1"/>
  <c r="BA470" i="1"/>
  <c r="BB470" i="1" s="1"/>
  <c r="BA474" i="1"/>
  <c r="BB474" i="1" s="1"/>
  <c r="BA219" i="1"/>
  <c r="BB219" i="1" s="1"/>
  <c r="BA209" i="1"/>
  <c r="BB209" i="1" s="1"/>
  <c r="BA477" i="1"/>
  <c r="BB477" i="1" s="1"/>
  <c r="BA300" i="1"/>
  <c r="BB300" i="1" s="1"/>
  <c r="BA185" i="1"/>
  <c r="BB185" i="1" s="1"/>
  <c r="BA213" i="1"/>
  <c r="BB213" i="1" s="1"/>
  <c r="CO166" i="1"/>
  <c r="BS166" i="1"/>
  <c r="BT166" i="1" s="1"/>
  <c r="CU166" i="1"/>
  <c r="CV166" i="1" s="1"/>
  <c r="CO182" i="1"/>
  <c r="BW6" i="1"/>
  <c r="CP6" i="1" s="1"/>
  <c r="CQ6" i="1" s="1"/>
  <c r="CO185" i="1"/>
  <c r="CX6" i="1"/>
  <c r="CU6" i="1"/>
  <c r="CV6" i="1" s="1"/>
  <c r="CX185" i="1"/>
  <c r="CU185" i="1"/>
  <c r="CV185" i="1" s="1"/>
  <c r="DE182" i="1"/>
  <c r="DB182" i="1"/>
  <c r="DC182" i="1" s="1"/>
  <c r="DE185" i="1"/>
  <c r="DB185" i="1"/>
  <c r="DC185" i="1" s="1"/>
  <c r="CL429" i="1"/>
  <c r="DA429" i="1"/>
  <c r="AB29" i="1"/>
  <c r="Y29" i="1" s="1"/>
  <c r="Z29" i="1" s="1"/>
  <c r="CN6" i="1"/>
  <c r="AG317" i="1"/>
  <c r="AA317" i="1"/>
  <c r="AG474" i="1"/>
  <c r="AG292" i="1"/>
  <c r="CL176" i="1"/>
  <c r="DD176" i="1" s="1"/>
  <c r="AA219" i="1"/>
  <c r="AG219" i="1"/>
  <c r="CD317" i="1"/>
  <c r="BJ317" i="1"/>
  <c r="AG275" i="1"/>
  <c r="CL6" i="1"/>
  <c r="DD6" i="1" s="1"/>
  <c r="CL166" i="1"/>
  <c r="CN166" i="1"/>
  <c r="BW166" i="1"/>
  <c r="CE172" i="1"/>
  <c r="CW172" i="1" s="1"/>
  <c r="CT172" i="1"/>
  <c r="CN176" i="1"/>
  <c r="BW176" i="1"/>
  <c r="CP176" i="1" s="1"/>
  <c r="CQ176" i="1" s="1"/>
  <c r="AB132" i="1"/>
  <c r="Y132" i="1" s="1"/>
  <c r="Z132" i="1" s="1"/>
  <c r="AG357" i="1"/>
  <c r="AG209" i="1"/>
  <c r="CD172" i="1"/>
  <c r="AG224" i="1"/>
  <c r="CE176" i="1"/>
  <c r="CW176" i="1" s="1"/>
  <c r="CT176" i="1"/>
  <c r="CN172" i="1"/>
  <c r="BW172" i="1"/>
  <c r="CP172" i="1" s="1"/>
  <c r="CQ172" i="1" s="1"/>
  <c r="AG166" i="1"/>
  <c r="AH166" i="1" s="1"/>
  <c r="CT166" i="1"/>
  <c r="CE166" i="1"/>
  <c r="CL172" i="1"/>
  <c r="DD172" i="1" s="1"/>
  <c r="CD176" i="1"/>
  <c r="AA146" i="1"/>
  <c r="AB146" i="1" s="1"/>
  <c r="Y146" i="1" s="1"/>
  <c r="Z146" i="1" s="1"/>
  <c r="AG146" i="1"/>
  <c r="AH146" i="1" s="1"/>
  <c r="AE146" i="1" s="1"/>
  <c r="AF146" i="1" s="1"/>
  <c r="AA129" i="1"/>
  <c r="AG129" i="1"/>
  <c r="AA416" i="1"/>
  <c r="AM146" i="1"/>
  <c r="AN146" i="1" s="1"/>
  <c r="AK146" i="1" s="1"/>
  <c r="AL146" i="1" s="1"/>
  <c r="AM6" i="1"/>
  <c r="AN6" i="1" s="1"/>
  <c r="AA289" i="1"/>
  <c r="AA267" i="1"/>
  <c r="AA6" i="1"/>
  <c r="AA166" i="1"/>
  <c r="AB166" i="1" s="1"/>
  <c r="Y166" i="1" s="1"/>
  <c r="Z166" i="1" s="1"/>
  <c r="AG470" i="1"/>
  <c r="AG29" i="1"/>
  <c r="AH29" i="1" s="1"/>
  <c r="AG213" i="1"/>
  <c r="AG320" i="1"/>
  <c r="AA300" i="1"/>
  <c r="AA475" i="1"/>
  <c r="AG269" i="1"/>
  <c r="AG185" i="1"/>
  <c r="AG132" i="1"/>
  <c r="AH132" i="1" s="1"/>
  <c r="AG277" i="1"/>
  <c r="AN166" i="1"/>
  <c r="AA477" i="1"/>
  <c r="AA176" i="1"/>
  <c r="AA182" i="1"/>
  <c r="AM29" i="1"/>
  <c r="AN29" i="1" s="1"/>
  <c r="AA392" i="1"/>
  <c r="AA172" i="1"/>
  <c r="O67" i="1"/>
  <c r="O226" i="1"/>
  <c r="O229" i="1"/>
  <c r="O105" i="1"/>
  <c r="O462" i="1"/>
  <c r="O218" i="1"/>
  <c r="O169" i="1"/>
  <c r="O75" i="1"/>
  <c r="O483" i="1"/>
  <c r="O465" i="1"/>
  <c r="O379" i="1"/>
  <c r="O64" i="1"/>
  <c r="O207" i="1"/>
  <c r="O482" i="1"/>
  <c r="O418" i="1"/>
  <c r="O460" i="1"/>
  <c r="O464" i="1"/>
  <c r="O428" i="1"/>
  <c r="O298" i="1"/>
  <c r="O353" i="1"/>
  <c r="O253" i="1"/>
  <c r="O221" i="1"/>
  <c r="O175" i="1"/>
  <c r="O60" i="1"/>
  <c r="O56" i="1"/>
  <c r="O448" i="1"/>
  <c r="O450" i="1"/>
  <c r="O272" i="1"/>
  <c r="O242" i="1"/>
  <c r="O334" i="1"/>
  <c r="O157" i="1"/>
  <c r="O240" i="1"/>
  <c r="O87" i="1"/>
  <c r="O280" i="1"/>
  <c r="O141" i="1"/>
  <c r="O315" i="1"/>
  <c r="O202" i="1"/>
  <c r="O405" i="1"/>
  <c r="O426" i="1"/>
  <c r="O485" i="1"/>
  <c r="O297" i="1"/>
  <c r="O58" i="1"/>
  <c r="O101" i="1"/>
  <c r="O495" i="1"/>
  <c r="O136" i="1"/>
  <c r="O264" i="1"/>
  <c r="O180" i="1"/>
  <c r="O411" i="1"/>
  <c r="O309" i="1"/>
  <c r="O345" i="1"/>
  <c r="O181" i="1"/>
  <c r="O97" i="1"/>
  <c r="O206" i="1"/>
  <c r="O282" i="1"/>
  <c r="O431" i="1"/>
  <c r="O459" i="1"/>
  <c r="O158" i="1"/>
  <c r="O179" i="1"/>
  <c r="O504" i="1"/>
  <c r="O347" i="1"/>
  <c r="O451" i="1"/>
  <c r="O501" i="1"/>
  <c r="O499" i="1"/>
  <c r="O432" i="1"/>
  <c r="O274" i="1"/>
  <c r="O503" i="1"/>
  <c r="O476" i="1"/>
  <c r="O505" i="1"/>
  <c r="O191" i="1"/>
  <c r="O494" i="1"/>
  <c r="O104" i="1"/>
  <c r="O493" i="1"/>
  <c r="O341" i="1"/>
  <c r="O72" i="1"/>
  <c r="O332" i="1"/>
  <c r="O123" i="1"/>
  <c r="O413" i="1"/>
  <c r="O497" i="1"/>
  <c r="O295" i="1"/>
  <c r="O223" i="1"/>
  <c r="O296" i="1"/>
  <c r="O165" i="1"/>
  <c r="O463" i="1"/>
  <c r="O170" i="1"/>
  <c r="O140" i="1"/>
  <c r="O228" i="1"/>
  <c r="O110" i="1"/>
  <c r="O388" i="1"/>
  <c r="O137" i="1"/>
  <c r="O119" i="1"/>
  <c r="O301" i="1"/>
  <c r="O308" i="1"/>
  <c r="O211" i="1"/>
  <c r="O396" i="1"/>
  <c r="O447" i="1"/>
  <c r="O214" i="1"/>
  <c r="O337" i="1"/>
  <c r="O394" i="1"/>
  <c r="O98" i="1"/>
  <c r="O167" i="1"/>
  <c r="O303" i="1"/>
  <c r="O159" i="1"/>
  <c r="O243" i="1"/>
  <c r="O197" i="1"/>
  <c r="O398" i="1"/>
  <c r="O461" i="1"/>
  <c r="O395" i="1"/>
  <c r="O230" i="1"/>
  <c r="O312" i="1"/>
  <c r="O65" i="1"/>
  <c r="O433" i="1"/>
  <c r="O425" i="1"/>
  <c r="O151" i="1"/>
  <c r="O117" i="1"/>
  <c r="O500" i="1"/>
  <c r="O446" i="1"/>
  <c r="O410" i="1"/>
  <c r="O73" i="1"/>
  <c r="O152" i="1"/>
  <c r="O492" i="1"/>
  <c r="O190" i="1"/>
  <c r="O266" i="1"/>
  <c r="O156" i="1"/>
  <c r="O502" i="1"/>
  <c r="O145" i="1"/>
  <c r="O335" i="1"/>
  <c r="O498" i="1"/>
  <c r="O422" i="1"/>
  <c r="O89" i="1"/>
  <c r="O103" i="1"/>
  <c r="O144" i="1"/>
  <c r="O472" i="1"/>
  <c r="O161" i="1"/>
  <c r="O195" i="1"/>
  <c r="O133" i="1"/>
  <c r="O122" i="1"/>
  <c r="O212" i="1"/>
  <c r="O469" i="1"/>
  <c r="O217" i="1"/>
  <c r="O128" i="1"/>
  <c r="O412" i="1"/>
  <c r="O150" i="1"/>
  <c r="O115" i="1"/>
  <c r="O193" i="1"/>
  <c r="O192" i="1"/>
  <c r="O480" i="1"/>
  <c r="O203" i="1"/>
  <c r="O142" i="1"/>
  <c r="O333" i="1"/>
  <c r="O355" i="1"/>
  <c r="O283" i="1"/>
  <c r="O153" i="1"/>
  <c r="O329" i="1"/>
  <c r="O360" i="1"/>
  <c r="O354" i="1"/>
  <c r="O420" i="1"/>
  <c r="O488" i="1"/>
  <c r="O442" i="1"/>
  <c r="O239" i="1"/>
  <c r="O336" i="1"/>
  <c r="O458" i="1"/>
  <c r="O246" i="1"/>
  <c r="O184" i="1"/>
  <c r="O436" i="1"/>
  <c r="O427" i="1"/>
  <c r="O414" i="1"/>
  <c r="O178" i="1"/>
  <c r="O121" i="1"/>
  <c r="O124" i="1"/>
  <c r="O375" i="1"/>
  <c r="O381" i="1"/>
  <c r="O367" i="1"/>
  <c r="O363" i="1"/>
  <c r="O366" i="1"/>
  <c r="O374" i="1"/>
  <c r="O361" i="1"/>
  <c r="O314" i="1"/>
  <c r="O319" i="1"/>
  <c r="O318" i="1"/>
  <c r="O372" i="1"/>
  <c r="O378" i="1"/>
  <c r="O370" i="1"/>
  <c r="O365" i="1"/>
  <c r="O350" i="1"/>
  <c r="O227" i="1"/>
  <c r="O216" i="1"/>
  <c r="O220" i="1"/>
  <c r="O386" i="1"/>
  <c r="O362" i="1"/>
  <c r="O356" i="1"/>
  <c r="O328" i="1"/>
  <c r="O249" i="1"/>
  <c r="O252" i="1"/>
  <c r="O306" i="1"/>
  <c r="O199" i="1"/>
  <c r="O241" i="1"/>
  <c r="O358" i="1"/>
  <c r="O160" i="1"/>
  <c r="O118" i="1"/>
  <c r="O62" i="1"/>
  <c r="O369" i="1"/>
  <c r="O286" i="1"/>
  <c r="O261" i="1"/>
  <c r="O231" i="1"/>
  <c r="O457" i="1"/>
  <c r="O455" i="1"/>
  <c r="O452" i="1"/>
  <c r="O25" i="1"/>
  <c r="O23" i="1"/>
  <c r="O48" i="1"/>
  <c r="O50" i="1"/>
  <c r="O37" i="1"/>
  <c r="O35" i="1"/>
  <c r="O441" i="1"/>
  <c r="O26" i="1"/>
  <c r="O424" i="1"/>
  <c r="O445" i="1"/>
  <c r="O38" i="1"/>
  <c r="O12" i="1"/>
  <c r="O18" i="1"/>
  <c r="O49" i="1"/>
  <c r="O36" i="1"/>
  <c r="O54" i="1"/>
  <c r="O52" i="1"/>
  <c r="O382" i="1"/>
  <c r="O45" i="1"/>
  <c r="O331" i="1"/>
  <c r="O325" i="1"/>
  <c r="O313" i="1"/>
  <c r="O32" i="1"/>
  <c r="O41" i="1"/>
  <c r="O349" i="1"/>
  <c r="O279" i="1"/>
  <c r="O16" i="1"/>
  <c r="O13" i="1"/>
  <c r="O2" i="1"/>
  <c r="O247" i="1"/>
  <c r="O415" i="1"/>
  <c r="O47" i="1"/>
  <c r="O28" i="1"/>
  <c r="O22" i="1"/>
  <c r="O11" i="1"/>
  <c r="O232" i="1"/>
  <c r="O285" i="1"/>
  <c r="O5" i="1"/>
  <c r="O3" i="1"/>
  <c r="O113" i="1"/>
  <c r="O385" i="1"/>
  <c r="O21" i="1"/>
  <c r="O17" i="1"/>
  <c r="O389" i="1"/>
  <c r="O368" i="1"/>
  <c r="O340" i="1"/>
  <c r="O46" i="1"/>
  <c r="O302" i="1"/>
  <c r="O473" i="1"/>
  <c r="O250" i="1"/>
  <c r="O235" i="1"/>
  <c r="O95" i="1"/>
  <c r="O91" i="1"/>
  <c r="O138" i="1"/>
  <c r="O262" i="1"/>
  <c r="O189" i="1"/>
  <c r="O377" i="1"/>
  <c r="O330" i="1"/>
  <c r="O316" i="1"/>
  <c r="O210" i="1"/>
  <c r="O391" i="1"/>
  <c r="O94" i="1"/>
  <c r="O327" i="1"/>
  <c r="O390" i="1"/>
  <c r="O339" i="1"/>
  <c r="O63" i="1"/>
  <c r="O351" i="1"/>
  <c r="O326" i="1"/>
  <c r="O304" i="1"/>
  <c r="O311" i="1"/>
  <c r="O346" i="1"/>
  <c r="O268" i="1"/>
  <c r="O92" i="1"/>
  <c r="O107" i="1"/>
  <c r="O305" i="1"/>
  <c r="O112" i="1"/>
  <c r="O307" i="1"/>
  <c r="O276" i="1"/>
  <c r="O245" i="1"/>
  <c r="O244" i="1"/>
  <c r="O130" i="1"/>
  <c r="O324" i="1"/>
  <c r="O135" i="1"/>
  <c r="O288" i="1"/>
  <c r="O162" i="1"/>
  <c r="O387" i="1"/>
  <c r="O409" i="1"/>
  <c r="O85" i="1"/>
  <c r="O237" i="1"/>
  <c r="O148" i="1"/>
  <c r="O233" i="1"/>
  <c r="O323" i="1"/>
  <c r="O438" i="1"/>
  <c r="O376" i="1"/>
  <c r="O149" i="1"/>
  <c r="O99" i="1"/>
  <c r="O407" i="1"/>
  <c r="O108" i="1"/>
  <c r="O321" i="1"/>
  <c r="O404" i="1"/>
  <c r="O401" i="1"/>
  <c r="O402" i="1"/>
  <c r="O397" i="1"/>
  <c r="O260" i="1"/>
  <c r="O471" i="1"/>
  <c r="O163" i="1"/>
  <c r="O205" i="1"/>
  <c r="O399" i="1"/>
  <c r="O364" i="1"/>
  <c r="O234" i="1"/>
  <c r="O222" i="1"/>
  <c r="O384" i="1"/>
  <c r="O139" i="1"/>
  <c r="O393" i="1"/>
  <c r="O343" i="1"/>
  <c r="O443" i="1"/>
  <c r="O423" i="1"/>
  <c r="O406" i="1"/>
  <c r="O322" i="1"/>
  <c r="O290" i="1"/>
  <c r="O291" i="1"/>
  <c r="O34" i="1"/>
  <c r="O342" i="1"/>
  <c r="O255" i="1"/>
  <c r="O481" i="1"/>
  <c r="O194" i="1"/>
  <c r="O201" i="1"/>
  <c r="O100" i="1"/>
  <c r="O109" i="1"/>
  <c r="O102" i="1"/>
  <c r="O421" i="1"/>
  <c r="O403" i="1"/>
  <c r="O479" i="1"/>
  <c r="O88" i="1"/>
  <c r="O86" i="1"/>
  <c r="O81" i="1"/>
  <c r="O489" i="1"/>
  <c r="O79" i="1"/>
  <c r="O491" i="1"/>
  <c r="O83" i="1"/>
  <c r="O84" i="1"/>
  <c r="O80" i="1"/>
  <c r="O440" i="1"/>
  <c r="O78" i="1"/>
  <c r="O77" i="1"/>
  <c r="O76" i="1"/>
  <c r="O487" i="1"/>
  <c r="O484" i="1"/>
  <c r="O74" i="1"/>
  <c r="O70" i="1"/>
  <c r="O69" i="1"/>
  <c r="O71" i="1"/>
  <c r="O143" i="1"/>
  <c r="O66" i="1"/>
  <c r="O270" i="1"/>
  <c r="O444" i="1"/>
  <c r="O257" i="1"/>
  <c r="O434" i="1"/>
  <c r="O254" i="1"/>
  <c r="O263" i="1"/>
  <c r="O147" i="1"/>
  <c r="O236" i="1"/>
  <c r="O437" i="1"/>
  <c r="O215" i="1"/>
  <c r="O177" i="1"/>
  <c r="O348" i="1"/>
  <c r="O251" i="1"/>
  <c r="O238" i="1"/>
  <c r="O466" i="1"/>
  <c r="O467" i="1"/>
  <c r="O44" i="1"/>
  <c r="O271" i="1"/>
  <c r="O256" i="1"/>
  <c r="O134" i="1"/>
  <c r="O173" i="1"/>
  <c r="O168" i="1"/>
  <c r="O155" i="1"/>
  <c r="O125" i="1"/>
  <c r="O164" i="1"/>
  <c r="O131" i="1"/>
  <c r="O114" i="1"/>
  <c r="O281" i="1"/>
  <c r="O204" i="1"/>
  <c r="O453" i="1"/>
  <c r="O449" i="1"/>
  <c r="O33" i="1"/>
  <c r="O15" i="1"/>
  <c r="O439" i="1"/>
  <c r="O496" i="1"/>
  <c r="O435" i="1"/>
  <c r="O9" i="1"/>
  <c r="O419" i="1"/>
  <c r="O468" i="1"/>
  <c r="O430" i="1"/>
  <c r="O429" i="1"/>
  <c r="O6" i="1"/>
  <c r="AT166" i="1" l="1"/>
  <c r="AE166" i="1"/>
  <c r="AF166" i="1" s="1"/>
  <c r="AX6" i="1"/>
  <c r="AK6" i="1"/>
  <c r="AL6" i="1" s="1"/>
  <c r="BM6" i="1"/>
  <c r="BN6" i="1" s="1"/>
  <c r="AT29" i="1"/>
  <c r="AE29" i="1"/>
  <c r="AF29" i="1" s="1"/>
  <c r="AT132" i="1"/>
  <c r="AE132" i="1"/>
  <c r="AF132" i="1" s="1"/>
  <c r="AX166" i="1"/>
  <c r="AK166" i="1"/>
  <c r="AL166" i="1" s="1"/>
  <c r="BM166" i="1"/>
  <c r="BN166" i="1" s="1"/>
  <c r="AX29" i="1"/>
  <c r="AK29" i="1"/>
  <c r="AL29" i="1" s="1"/>
  <c r="BM29" i="1"/>
  <c r="BN29" i="1" s="1"/>
  <c r="AP166" i="1"/>
  <c r="BA166" i="1"/>
  <c r="BB166" i="1" s="1"/>
  <c r="AP132" i="1"/>
  <c r="BA132" i="1"/>
  <c r="BB132" i="1" s="1"/>
  <c r="AP29" i="1"/>
  <c r="BA29" i="1"/>
  <c r="BB29" i="1" s="1"/>
  <c r="CO176" i="1"/>
  <c r="CO172" i="1"/>
  <c r="CO6" i="1"/>
  <c r="CX172" i="1"/>
  <c r="CU172" i="1"/>
  <c r="CV172" i="1" s="1"/>
  <c r="CX176" i="1"/>
  <c r="CU176" i="1"/>
  <c r="CV176" i="1" s="1"/>
  <c r="DE172" i="1"/>
  <c r="DB172" i="1"/>
  <c r="DC172" i="1" s="1"/>
  <c r="DE6" i="1"/>
  <c r="DB6" i="1"/>
  <c r="DC6" i="1" s="1"/>
  <c r="DE176" i="1"/>
  <c r="DB176" i="1"/>
  <c r="DC176" i="1" s="1"/>
  <c r="AP146" i="1"/>
  <c r="AQ146" i="1" s="1"/>
  <c r="BC146" i="1" s="1"/>
  <c r="BD146" i="1" s="1"/>
  <c r="AT146" i="1"/>
  <c r="AU146" i="1" s="1"/>
  <c r="AX146" i="1"/>
  <c r="AY146" i="1" s="1"/>
  <c r="AB6" i="1"/>
  <c r="Y6" i="1" s="1"/>
  <c r="Z6" i="1" s="1"/>
  <c r="DD226" i="1"/>
  <c r="DE226" i="1" s="1"/>
  <c r="DD338" i="1"/>
  <c r="DE338" i="1" s="1"/>
  <c r="DD229" i="1"/>
  <c r="DE229" i="1" s="1"/>
  <c r="DD105" i="1"/>
  <c r="DD462" i="1"/>
  <c r="DD218" i="1"/>
  <c r="DE218" i="1" s="1"/>
  <c r="DD169" i="1"/>
  <c r="DD75" i="1"/>
  <c r="DD465" i="1"/>
  <c r="DD379" i="1"/>
  <c r="DE379" i="1" s="1"/>
  <c r="DD64" i="1"/>
  <c r="DE64" i="1" s="1"/>
  <c r="DD207" i="1"/>
  <c r="DE207" i="1" s="1"/>
  <c r="DD418" i="1"/>
  <c r="DD460" i="1"/>
  <c r="DD464" i="1"/>
  <c r="DD428" i="1"/>
  <c r="DD353" i="1"/>
  <c r="DE353" i="1" s="1"/>
  <c r="DD221" i="1"/>
  <c r="DE221" i="1" s="1"/>
  <c r="DD60" i="1"/>
  <c r="DE60" i="1" s="1"/>
  <c r="DD56" i="1"/>
  <c r="DD448" i="1"/>
  <c r="DE448" i="1" s="1"/>
  <c r="DD450" i="1"/>
  <c r="DE450" i="1" s="1"/>
  <c r="DD120" i="1"/>
  <c r="DD242" i="1"/>
  <c r="DE242" i="1" s="1"/>
  <c r="DD334" i="1"/>
  <c r="DE334" i="1" s="1"/>
  <c r="DD157" i="1"/>
  <c r="DD240" i="1"/>
  <c r="DE240" i="1" s="1"/>
  <c r="DD87" i="1"/>
  <c r="DE87" i="1" s="1"/>
  <c r="DD280" i="1"/>
  <c r="DE280" i="1" s="1"/>
  <c r="DD141" i="1"/>
  <c r="DD315" i="1"/>
  <c r="DE315" i="1" s="1"/>
  <c r="DD202" i="1"/>
  <c r="DE202" i="1" s="1"/>
  <c r="DD405" i="1"/>
  <c r="DE405" i="1" s="1"/>
  <c r="DD426" i="1"/>
  <c r="DD183" i="1"/>
  <c r="DE183" i="1" s="1"/>
  <c r="DD485" i="1"/>
  <c r="DD297" i="1"/>
  <c r="DE297" i="1" s="1"/>
  <c r="DD225" i="1"/>
  <c r="DE225" i="1" s="1"/>
  <c r="DD58" i="1"/>
  <c r="DE58" i="1" s="1"/>
  <c r="DD495" i="1"/>
  <c r="DE495" i="1" s="1"/>
  <c r="DD200" i="1"/>
  <c r="DE200" i="1" s="1"/>
  <c r="DD136" i="1"/>
  <c r="DD264" i="1"/>
  <c r="DE264" i="1" s="1"/>
  <c r="DD344" i="1"/>
  <c r="DE344" i="1" s="1"/>
  <c r="DD180" i="1"/>
  <c r="DE180" i="1" s="1"/>
  <c r="DD411" i="1"/>
  <c r="DE411" i="1" s="1"/>
  <c r="DD309" i="1"/>
  <c r="DE309" i="1" s="1"/>
  <c r="DD345" i="1"/>
  <c r="DE345" i="1" s="1"/>
  <c r="DD181" i="1"/>
  <c r="DE181" i="1" s="1"/>
  <c r="DD97" i="1"/>
  <c r="DD206" i="1"/>
  <c r="DE206" i="1" s="1"/>
  <c r="DD282" i="1"/>
  <c r="DE282" i="1" s="1"/>
  <c r="DD154" i="1"/>
  <c r="DD431" i="1"/>
  <c r="DD459" i="1"/>
  <c r="DE459" i="1" s="1"/>
  <c r="DD158" i="1"/>
  <c r="DD278" i="1"/>
  <c r="DE278" i="1" s="1"/>
  <c r="DD504" i="1"/>
  <c r="DE504" i="1" s="1"/>
  <c r="DD347" i="1"/>
  <c r="DE347" i="1" s="1"/>
  <c r="DD451" i="1"/>
  <c r="DE451" i="1" s="1"/>
  <c r="DD501" i="1"/>
  <c r="DE501" i="1" s="1"/>
  <c r="DD499" i="1"/>
  <c r="DD274" i="1"/>
  <c r="DE274" i="1" s="1"/>
  <c r="DD503" i="1"/>
  <c r="DE503" i="1" s="1"/>
  <c r="DD476" i="1"/>
  <c r="DE476" i="1" s="1"/>
  <c r="DD505" i="1"/>
  <c r="DE505" i="1" s="1"/>
  <c r="DD494" i="1"/>
  <c r="DE494" i="1" s="1"/>
  <c r="DD493" i="1"/>
  <c r="DE493" i="1" s="1"/>
  <c r="DD341" i="1"/>
  <c r="DE341" i="1" s="1"/>
  <c r="DD72" i="1"/>
  <c r="DD332" i="1"/>
  <c r="DE332" i="1" s="1"/>
  <c r="DD123" i="1"/>
  <c r="DD497" i="1"/>
  <c r="DD295" i="1"/>
  <c r="DE295" i="1" s="1"/>
  <c r="DD127" i="1"/>
  <c r="DD223" i="1"/>
  <c r="DE223" i="1" s="1"/>
  <c r="DD296" i="1"/>
  <c r="DE296" i="1" s="1"/>
  <c r="DD463" i="1"/>
  <c r="DD170" i="1"/>
  <c r="DD140" i="1"/>
  <c r="DD228" i="1"/>
  <c r="DE228" i="1" s="1"/>
  <c r="DD110" i="1"/>
  <c r="DD388" i="1"/>
  <c r="DE388" i="1" s="1"/>
  <c r="DD137" i="1"/>
  <c r="DD119" i="1"/>
  <c r="DD301" i="1"/>
  <c r="DE301" i="1" s="1"/>
  <c r="DD308" i="1"/>
  <c r="DE308" i="1" s="1"/>
  <c r="DD211" i="1"/>
  <c r="DE211" i="1" s="1"/>
  <c r="DD352" i="1"/>
  <c r="DE352" i="1" s="1"/>
  <c r="DD396" i="1"/>
  <c r="DE396" i="1" s="1"/>
  <c r="DD447" i="1"/>
  <c r="DE447" i="1" s="1"/>
  <c r="DD214" i="1"/>
  <c r="DE214" i="1" s="1"/>
  <c r="DD337" i="1"/>
  <c r="DE337" i="1" s="1"/>
  <c r="DD394" i="1"/>
  <c r="DE394" i="1" s="1"/>
  <c r="DD98" i="1"/>
  <c r="DD167" i="1"/>
  <c r="DD303" i="1"/>
  <c r="DE303" i="1" s="1"/>
  <c r="DD159" i="1"/>
  <c r="DD243" i="1"/>
  <c r="DE243" i="1" s="1"/>
  <c r="DD456" i="1"/>
  <c r="DE456" i="1" s="1"/>
  <c r="DD197" i="1"/>
  <c r="DE197" i="1" s="1"/>
  <c r="DD398" i="1"/>
  <c r="DE398" i="1" s="1"/>
  <c r="DD408" i="1"/>
  <c r="DE408" i="1" s="1"/>
  <c r="DD294" i="1"/>
  <c r="DE294" i="1" s="1"/>
  <c r="DD395" i="1"/>
  <c r="DE395" i="1" s="1"/>
  <c r="DD230" i="1"/>
  <c r="DE230" i="1" s="1"/>
  <c r="DD284" i="1"/>
  <c r="DE284" i="1" s="1"/>
  <c r="DD198" i="1"/>
  <c r="DE198" i="1" s="1"/>
  <c r="DD188" i="1"/>
  <c r="DE188" i="1" s="1"/>
  <c r="DD312" i="1"/>
  <c r="DE312" i="1" s="1"/>
  <c r="DD55" i="1"/>
  <c r="DD65" i="1"/>
  <c r="DD433" i="1"/>
  <c r="DD425" i="1"/>
  <c r="DD151" i="1"/>
  <c r="DD171" i="1"/>
  <c r="DD500" i="1"/>
  <c r="DE500" i="1" s="1"/>
  <c r="DD446" i="1"/>
  <c r="DE446" i="1" s="1"/>
  <c r="DD410" i="1"/>
  <c r="DE410" i="1" s="1"/>
  <c r="DD73" i="1"/>
  <c r="DD68" i="1"/>
  <c r="DD152" i="1"/>
  <c r="DD492" i="1"/>
  <c r="DE492" i="1" s="1"/>
  <c r="DD266" i="1"/>
  <c r="DE266" i="1" s="1"/>
  <c r="DD156" i="1"/>
  <c r="DD502" i="1"/>
  <c r="DE502" i="1" s="1"/>
  <c r="DD145" i="1"/>
  <c r="DD335" i="1"/>
  <c r="DE335" i="1" s="1"/>
  <c r="DD498" i="1"/>
  <c r="DE498" i="1" s="1"/>
  <c r="DD422" i="1"/>
  <c r="DE422" i="1" s="1"/>
  <c r="DD89" i="1"/>
  <c r="DE89" i="1" s="1"/>
  <c r="DD103" i="1"/>
  <c r="DD144" i="1"/>
  <c r="DD472" i="1"/>
  <c r="DE472" i="1" s="1"/>
  <c r="DD161" i="1"/>
  <c r="DD133" i="1"/>
  <c r="DD122" i="1"/>
  <c r="DD265" i="1"/>
  <c r="DE265" i="1" s="1"/>
  <c r="DD212" i="1"/>
  <c r="DE212" i="1" s="1"/>
  <c r="DD469" i="1"/>
  <c r="DD217" i="1"/>
  <c r="DE217" i="1" s="1"/>
  <c r="DD128" i="1"/>
  <c r="DD412" i="1"/>
  <c r="DE412" i="1" s="1"/>
  <c r="DD150" i="1"/>
  <c r="DD193" i="1"/>
  <c r="DE193" i="1" s="1"/>
  <c r="DD186" i="1"/>
  <c r="DE186" i="1" s="1"/>
  <c r="DD359" i="1"/>
  <c r="DE359" i="1" s="1"/>
  <c r="DD192" i="1"/>
  <c r="DE192" i="1" s="1"/>
  <c r="DD82" i="1"/>
  <c r="DE82" i="1" s="1"/>
  <c r="DD248" i="1"/>
  <c r="DE248" i="1" s="1"/>
  <c r="DD480" i="1"/>
  <c r="DD203" i="1"/>
  <c r="DE203" i="1" s="1"/>
  <c r="DD142" i="1"/>
  <c r="DD333" i="1"/>
  <c r="DE333" i="1" s="1"/>
  <c r="DD355" i="1"/>
  <c r="DE355" i="1" s="1"/>
  <c r="DD283" i="1"/>
  <c r="DE283" i="1" s="1"/>
  <c r="DD153" i="1"/>
  <c r="DD329" i="1"/>
  <c r="DE329" i="1" s="1"/>
  <c r="DD360" i="1"/>
  <c r="DE360" i="1" s="1"/>
  <c r="DD354" i="1"/>
  <c r="DE354" i="1" s="1"/>
  <c r="DD420" i="1"/>
  <c r="DE420" i="1" s="1"/>
  <c r="DD488" i="1"/>
  <c r="DE488" i="1" s="1"/>
  <c r="DD442" i="1"/>
  <c r="DE442" i="1" s="1"/>
  <c r="DD239" i="1"/>
  <c r="DE239" i="1" s="1"/>
  <c r="DD336" i="1"/>
  <c r="DE336" i="1" s="1"/>
  <c r="DD246" i="1"/>
  <c r="DE246" i="1" s="1"/>
  <c r="DD436" i="1"/>
  <c r="DE436" i="1" s="1"/>
  <c r="DD427" i="1"/>
  <c r="DD414" i="1"/>
  <c r="DE414" i="1" s="1"/>
  <c r="DD121" i="1"/>
  <c r="DD124" i="1"/>
  <c r="DD375" i="1"/>
  <c r="DE375" i="1" s="1"/>
  <c r="DD381" i="1"/>
  <c r="DE381" i="1" s="1"/>
  <c r="DD373" i="1"/>
  <c r="DE373" i="1" s="1"/>
  <c r="DD367" i="1"/>
  <c r="DE367" i="1" s="1"/>
  <c r="DD363" i="1"/>
  <c r="DE363" i="1" s="1"/>
  <c r="DD366" i="1"/>
  <c r="DE366" i="1" s="1"/>
  <c r="DD371" i="1"/>
  <c r="DE371" i="1" s="1"/>
  <c r="DD374" i="1"/>
  <c r="DE374" i="1" s="1"/>
  <c r="DD380" i="1"/>
  <c r="DE380" i="1" s="1"/>
  <c r="DD361" i="1"/>
  <c r="DE361" i="1" s="1"/>
  <c r="DD314" i="1"/>
  <c r="DE314" i="1" s="1"/>
  <c r="DD319" i="1"/>
  <c r="DE319" i="1" s="1"/>
  <c r="DD318" i="1"/>
  <c r="DE318" i="1" s="1"/>
  <c r="DD372" i="1"/>
  <c r="DE372" i="1" s="1"/>
  <c r="DD378" i="1"/>
  <c r="DE378" i="1" s="1"/>
  <c r="DD370" i="1"/>
  <c r="DE370" i="1" s="1"/>
  <c r="DD365" i="1"/>
  <c r="DE365" i="1" s="1"/>
  <c r="DD350" i="1"/>
  <c r="DE350" i="1" s="1"/>
  <c r="DD227" i="1"/>
  <c r="DE227" i="1" s="1"/>
  <c r="DD216" i="1"/>
  <c r="DE216" i="1" s="1"/>
  <c r="DD220" i="1"/>
  <c r="DE220" i="1" s="1"/>
  <c r="DD386" i="1"/>
  <c r="DE386" i="1" s="1"/>
  <c r="DD362" i="1"/>
  <c r="DE362" i="1" s="1"/>
  <c r="DD356" i="1"/>
  <c r="DE356" i="1" s="1"/>
  <c r="DD328" i="1"/>
  <c r="DE328" i="1" s="1"/>
  <c r="DD249" i="1"/>
  <c r="DE249" i="1" s="1"/>
  <c r="DD252" i="1"/>
  <c r="DE252" i="1" s="1"/>
  <c r="DD306" i="1"/>
  <c r="DE306" i="1" s="1"/>
  <c r="DD199" i="1"/>
  <c r="DE199" i="1" s="1"/>
  <c r="DD241" i="1"/>
  <c r="DE241" i="1" s="1"/>
  <c r="DD358" i="1"/>
  <c r="DE358" i="1" s="1"/>
  <c r="DD62" i="1"/>
  <c r="DE62" i="1" s="1"/>
  <c r="DD369" i="1"/>
  <c r="DE369" i="1" s="1"/>
  <c r="DD286" i="1"/>
  <c r="DE286" i="1" s="1"/>
  <c r="DD261" i="1"/>
  <c r="DE261" i="1" s="1"/>
  <c r="DD231" i="1"/>
  <c r="DE231" i="1" s="1"/>
  <c r="DD208" i="1"/>
  <c r="DE208" i="1" s="1"/>
  <c r="DD457" i="1"/>
  <c r="DE457" i="1" s="1"/>
  <c r="DD455" i="1"/>
  <c r="DE455" i="1" s="1"/>
  <c r="DD51" i="1"/>
  <c r="DE51" i="1" s="1"/>
  <c r="DD452" i="1"/>
  <c r="DE452" i="1" s="1"/>
  <c r="DD25" i="1"/>
  <c r="DE25" i="1" s="1"/>
  <c r="DD23" i="1"/>
  <c r="DE23" i="1" s="1"/>
  <c r="DD20" i="1"/>
  <c r="DE20" i="1" s="1"/>
  <c r="DD14" i="1"/>
  <c r="DE14" i="1" s="1"/>
  <c r="DD48" i="1"/>
  <c r="DE48" i="1" s="1"/>
  <c r="DD50" i="1"/>
  <c r="DE50" i="1" s="1"/>
  <c r="DD37" i="1"/>
  <c r="DE37" i="1" s="1"/>
  <c r="DD35" i="1"/>
  <c r="DE35" i="1" s="1"/>
  <c r="DD30" i="1"/>
  <c r="DE30" i="1" s="1"/>
  <c r="DD441" i="1"/>
  <c r="DE441" i="1" s="1"/>
  <c r="DD26" i="1"/>
  <c r="DE26" i="1" s="1"/>
  <c r="DD24" i="1"/>
  <c r="DE24" i="1" s="1"/>
  <c r="DD424" i="1"/>
  <c r="DD39" i="1"/>
  <c r="DE39" i="1" s="1"/>
  <c r="DD53" i="1"/>
  <c r="DE53" i="1" s="1"/>
  <c r="DD445" i="1"/>
  <c r="DE445" i="1" s="1"/>
  <c r="DD38" i="1"/>
  <c r="DE38" i="1" s="1"/>
  <c r="DD61" i="1"/>
  <c r="DE61" i="1" s="1"/>
  <c r="DD12" i="1"/>
  <c r="DE12" i="1" s="1"/>
  <c r="DD43" i="1"/>
  <c r="DE43" i="1" s="1"/>
  <c r="DD18" i="1"/>
  <c r="DE18" i="1" s="1"/>
  <c r="DD49" i="1"/>
  <c r="DE49" i="1" s="1"/>
  <c r="DD36" i="1"/>
  <c r="DE36" i="1" s="1"/>
  <c r="DD54" i="1"/>
  <c r="DE54" i="1" s="1"/>
  <c r="DD52" i="1"/>
  <c r="DE52" i="1" s="1"/>
  <c r="DD382" i="1"/>
  <c r="DE382" i="1" s="1"/>
  <c r="DD45" i="1"/>
  <c r="DE45" i="1" s="1"/>
  <c r="DD331" i="1"/>
  <c r="DE331" i="1" s="1"/>
  <c r="DD325" i="1"/>
  <c r="DE325" i="1" s="1"/>
  <c r="DD313" i="1"/>
  <c r="DE313" i="1" s="1"/>
  <c r="DD32" i="1"/>
  <c r="DE32" i="1" s="1"/>
  <c r="DD41" i="1"/>
  <c r="DE41" i="1" s="1"/>
  <c r="DD349" i="1"/>
  <c r="DE349" i="1" s="1"/>
  <c r="DD27" i="1"/>
  <c r="DE27" i="1" s="1"/>
  <c r="DD31" i="1"/>
  <c r="DE31" i="1" s="1"/>
  <c r="DD279" i="1"/>
  <c r="DE279" i="1" s="1"/>
  <c r="DD19" i="1"/>
  <c r="DE19" i="1" s="1"/>
  <c r="DD16" i="1"/>
  <c r="DE16" i="1" s="1"/>
  <c r="DD13" i="1"/>
  <c r="DE13" i="1" s="1"/>
  <c r="DD2" i="1"/>
  <c r="DD299" i="1"/>
  <c r="DE299" i="1" s="1"/>
  <c r="DD247" i="1"/>
  <c r="DE247" i="1" s="1"/>
  <c r="DD415" i="1"/>
  <c r="DD42" i="1"/>
  <c r="DE42" i="1" s="1"/>
  <c r="DD47" i="1"/>
  <c r="DE47" i="1" s="1"/>
  <c r="DD28" i="1"/>
  <c r="DE28" i="1" s="1"/>
  <c r="DD22" i="1"/>
  <c r="DE22" i="1" s="1"/>
  <c r="DD11" i="1"/>
  <c r="DE11" i="1" s="1"/>
  <c r="DD232" i="1"/>
  <c r="DE232" i="1" s="1"/>
  <c r="DD285" i="1"/>
  <c r="DE285" i="1" s="1"/>
  <c r="DD5" i="1"/>
  <c r="DD3" i="1"/>
  <c r="DD385" i="1"/>
  <c r="DE385" i="1" s="1"/>
  <c r="DD21" i="1"/>
  <c r="DE21" i="1" s="1"/>
  <c r="DE17" i="1"/>
  <c r="DD40" i="1"/>
  <c r="DE40" i="1" s="1"/>
  <c r="DD389" i="1"/>
  <c r="DE389" i="1" s="1"/>
  <c r="DD368" i="1"/>
  <c r="DE368" i="1" s="1"/>
  <c r="DD340" i="1"/>
  <c r="DE340" i="1" s="1"/>
  <c r="DD46" i="1"/>
  <c r="DE46" i="1" s="1"/>
  <c r="DD302" i="1"/>
  <c r="DE302" i="1" s="1"/>
  <c r="DD473" i="1"/>
  <c r="DE473" i="1" s="1"/>
  <c r="DD250" i="1"/>
  <c r="DE250" i="1" s="1"/>
  <c r="DD235" i="1"/>
  <c r="DE235" i="1" s="1"/>
  <c r="DD95" i="1"/>
  <c r="DD91" i="1"/>
  <c r="DD106" i="1"/>
  <c r="DD138" i="1"/>
  <c r="DD262" i="1"/>
  <c r="DE262" i="1" s="1"/>
  <c r="DD189" i="1"/>
  <c r="DE189" i="1" s="1"/>
  <c r="DD377" i="1"/>
  <c r="DE377" i="1" s="1"/>
  <c r="DD258" i="1"/>
  <c r="DE258" i="1" s="1"/>
  <c r="DD330" i="1"/>
  <c r="DE330" i="1" s="1"/>
  <c r="DD316" i="1"/>
  <c r="DE316" i="1" s="1"/>
  <c r="DD210" i="1"/>
  <c r="DE210" i="1" s="1"/>
  <c r="DD93" i="1"/>
  <c r="DD391" i="1"/>
  <c r="DE391" i="1" s="1"/>
  <c r="DD94" i="1"/>
  <c r="DD327" i="1"/>
  <c r="DE327" i="1" s="1"/>
  <c r="DD390" i="1"/>
  <c r="DE390" i="1" s="1"/>
  <c r="DD339" i="1"/>
  <c r="DE339" i="1" s="1"/>
  <c r="DD63" i="1"/>
  <c r="DE63" i="1" s="1"/>
  <c r="DD351" i="1"/>
  <c r="DE351" i="1" s="1"/>
  <c r="DD326" i="1"/>
  <c r="DE326" i="1" s="1"/>
  <c r="DD304" i="1"/>
  <c r="DE304" i="1" s="1"/>
  <c r="DD311" i="1"/>
  <c r="DE311" i="1" s="1"/>
  <c r="DD346" i="1"/>
  <c r="DE346" i="1" s="1"/>
  <c r="DD310" i="1"/>
  <c r="DE310" i="1" s="1"/>
  <c r="DD268" i="1"/>
  <c r="DE268" i="1" s="1"/>
  <c r="DD107" i="1"/>
  <c r="DD305" i="1"/>
  <c r="DE305" i="1" s="1"/>
  <c r="DD112" i="1"/>
  <c r="DD126" i="1"/>
  <c r="DD307" i="1"/>
  <c r="DE307" i="1" s="1"/>
  <c r="DD276" i="1"/>
  <c r="DE276" i="1" s="1"/>
  <c r="DD245" i="1"/>
  <c r="DE245" i="1" s="1"/>
  <c r="DD244" i="1"/>
  <c r="DE244" i="1" s="1"/>
  <c r="DD324" i="1"/>
  <c r="DE324" i="1" s="1"/>
  <c r="DD293" i="1"/>
  <c r="DE293" i="1" s="1"/>
  <c r="DD135" i="1"/>
  <c r="DD288" i="1"/>
  <c r="DE288" i="1" s="1"/>
  <c r="DD387" i="1"/>
  <c r="DE387" i="1" s="1"/>
  <c r="DD409" i="1"/>
  <c r="DE409" i="1" s="1"/>
  <c r="DD85" i="1"/>
  <c r="DE85" i="1" s="1"/>
  <c r="DD237" i="1"/>
  <c r="DE237" i="1" s="1"/>
  <c r="DD57" i="1"/>
  <c r="DE57" i="1" s="1"/>
  <c r="DD148" i="1"/>
  <c r="DD233" i="1"/>
  <c r="DE233" i="1" s="1"/>
  <c r="DD383" i="1"/>
  <c r="DE383" i="1" s="1"/>
  <c r="DD490" i="1"/>
  <c r="DE490" i="1" s="1"/>
  <c r="DD323" i="1"/>
  <c r="DE323" i="1" s="1"/>
  <c r="DD438" i="1"/>
  <c r="DE438" i="1" s="1"/>
  <c r="DD376" i="1"/>
  <c r="DE376" i="1" s="1"/>
  <c r="DD99" i="1"/>
  <c r="DD407" i="1"/>
  <c r="DE407" i="1" s="1"/>
  <c r="DD321" i="1"/>
  <c r="DE321" i="1" s="1"/>
  <c r="DD404" i="1"/>
  <c r="DE404" i="1" s="1"/>
  <c r="DD401" i="1"/>
  <c r="DE401" i="1" s="1"/>
  <c r="DD400" i="1"/>
  <c r="DE400" i="1" s="1"/>
  <c r="DD402" i="1"/>
  <c r="DE402" i="1" s="1"/>
  <c r="DD397" i="1"/>
  <c r="DE397" i="1" s="1"/>
  <c r="DD260" i="1"/>
  <c r="DE260" i="1" s="1"/>
  <c r="DD471" i="1"/>
  <c r="DE471" i="1" s="1"/>
  <c r="DD163" i="1"/>
  <c r="DD205" i="1"/>
  <c r="DE205" i="1" s="1"/>
  <c r="DD399" i="1"/>
  <c r="DE399" i="1" s="1"/>
  <c r="DD364" i="1"/>
  <c r="DE364" i="1" s="1"/>
  <c r="DD234" i="1"/>
  <c r="DE234" i="1" s="1"/>
  <c r="DD222" i="1"/>
  <c r="DE222" i="1" s="1"/>
  <c r="DD187" i="1"/>
  <c r="DE187" i="1" s="1"/>
  <c r="DD384" i="1"/>
  <c r="DE384" i="1" s="1"/>
  <c r="DD273" i="1"/>
  <c r="DE273" i="1" s="1"/>
  <c r="DD139" i="1"/>
  <c r="DD393" i="1"/>
  <c r="DE393" i="1" s="1"/>
  <c r="DD343" i="1"/>
  <c r="DE343" i="1" s="1"/>
  <c r="DD443" i="1"/>
  <c r="DE443" i="1" s="1"/>
  <c r="DD423" i="1"/>
  <c r="DE423" i="1" s="1"/>
  <c r="DD406" i="1"/>
  <c r="DE406" i="1" s="1"/>
  <c r="DD322" i="1"/>
  <c r="DE322" i="1" s="1"/>
  <c r="DD290" i="1"/>
  <c r="DE290" i="1" s="1"/>
  <c r="DD291" i="1"/>
  <c r="DE291" i="1" s="1"/>
  <c r="DD34" i="1"/>
  <c r="DE34" i="1" s="1"/>
  <c r="DD342" i="1"/>
  <c r="DE342" i="1" s="1"/>
  <c r="DD287" i="1"/>
  <c r="DE287" i="1" s="1"/>
  <c r="DD259" i="1"/>
  <c r="DE259" i="1" s="1"/>
  <c r="DD255" i="1"/>
  <c r="DE255" i="1" s="1"/>
  <c r="DD194" i="1"/>
  <c r="DE194" i="1" s="1"/>
  <c r="DD201" i="1"/>
  <c r="DE201" i="1" s="1"/>
  <c r="DD100" i="1"/>
  <c r="DD102" i="1"/>
  <c r="DD421" i="1"/>
  <c r="DE421" i="1" s="1"/>
  <c r="DD403" i="1"/>
  <c r="DE403" i="1" s="1"/>
  <c r="DD479" i="1"/>
  <c r="DE479" i="1" s="1"/>
  <c r="DD88" i="1"/>
  <c r="DE88" i="1" s="1"/>
  <c r="DD86" i="1"/>
  <c r="DE86" i="1" s="1"/>
  <c r="DD81" i="1"/>
  <c r="DE81" i="1" s="1"/>
  <c r="DD489" i="1"/>
  <c r="DE489" i="1" s="1"/>
  <c r="DD79" i="1"/>
  <c r="DE79" i="1" s="1"/>
  <c r="DD491" i="1"/>
  <c r="DE491" i="1" s="1"/>
  <c r="DD83" i="1"/>
  <c r="DE83" i="1" s="1"/>
  <c r="DD84" i="1"/>
  <c r="DE84" i="1" s="1"/>
  <c r="DD80" i="1"/>
  <c r="DE80" i="1" s="1"/>
  <c r="DD440" i="1"/>
  <c r="DE440" i="1" s="1"/>
  <c r="DD78" i="1"/>
  <c r="DE78" i="1" s="1"/>
  <c r="DD77" i="1"/>
  <c r="DE77" i="1" s="1"/>
  <c r="DD76" i="1"/>
  <c r="DE76" i="1" s="1"/>
  <c r="DD59" i="1"/>
  <c r="DE59" i="1" s="1"/>
  <c r="DD487" i="1"/>
  <c r="DD69" i="1"/>
  <c r="DD71" i="1"/>
  <c r="DD143" i="1"/>
  <c r="DD270" i="1"/>
  <c r="DE270" i="1" s="1"/>
  <c r="DD444" i="1"/>
  <c r="DE444" i="1" s="1"/>
  <c r="DD257" i="1"/>
  <c r="DE257" i="1" s="1"/>
  <c r="DD434" i="1"/>
  <c r="DE434" i="1" s="1"/>
  <c r="DD254" i="1"/>
  <c r="DE254" i="1" s="1"/>
  <c r="DD263" i="1"/>
  <c r="DE263" i="1" s="1"/>
  <c r="DD174" i="1"/>
  <c r="DD147" i="1"/>
  <c r="DD236" i="1"/>
  <c r="DE236" i="1" s="1"/>
  <c r="DD437" i="1"/>
  <c r="DE437" i="1" s="1"/>
  <c r="DD215" i="1"/>
  <c r="DE215" i="1" s="1"/>
  <c r="DD177" i="1"/>
  <c r="DD348" i="1"/>
  <c r="DE348" i="1" s="1"/>
  <c r="DD251" i="1"/>
  <c r="DE251" i="1" s="1"/>
  <c r="DD238" i="1"/>
  <c r="DE238" i="1" s="1"/>
  <c r="DD466" i="1"/>
  <c r="DD116" i="1"/>
  <c r="DD467" i="1"/>
  <c r="DD44" i="1"/>
  <c r="DE44" i="1" s="1"/>
  <c r="DD271" i="1"/>
  <c r="DE271" i="1" s="1"/>
  <c r="DD256" i="1"/>
  <c r="DE256" i="1" s="1"/>
  <c r="DD134" i="1"/>
  <c r="DD173" i="1"/>
  <c r="DD168" i="1"/>
  <c r="DD155" i="1"/>
  <c r="DD125" i="1"/>
  <c r="DD164" i="1"/>
  <c r="DD131" i="1"/>
  <c r="DD114" i="1"/>
  <c r="DD281" i="1"/>
  <c r="DE281" i="1" s="1"/>
  <c r="DD204" i="1"/>
  <c r="DE204" i="1" s="1"/>
  <c r="DD478" i="1"/>
  <c r="DE478" i="1" s="1"/>
  <c r="DD454" i="1"/>
  <c r="DE454" i="1" s="1"/>
  <c r="DD453" i="1"/>
  <c r="DE453" i="1" s="1"/>
  <c r="DD449" i="1"/>
  <c r="DE449" i="1" s="1"/>
  <c r="DD33" i="1"/>
  <c r="DE33" i="1" s="1"/>
  <c r="DD15" i="1"/>
  <c r="DE15" i="1" s="1"/>
  <c r="DD439" i="1"/>
  <c r="DE439" i="1" s="1"/>
  <c r="DD496" i="1"/>
  <c r="DE496" i="1" s="1"/>
  <c r="DD435" i="1"/>
  <c r="DE435" i="1" s="1"/>
  <c r="DD9" i="1"/>
  <c r="DE9" i="1" s="1"/>
  <c r="DD419" i="1"/>
  <c r="DD468" i="1"/>
  <c r="DD430" i="1"/>
  <c r="DD429" i="1"/>
  <c r="D21" i="2"/>
  <c r="C21" i="2"/>
  <c r="BS146" i="1" l="1"/>
  <c r="BT146" i="1" s="1"/>
  <c r="BA146" i="1"/>
  <c r="BB146" i="1" s="1"/>
  <c r="AP6" i="1"/>
  <c r="BA6" i="1"/>
  <c r="BB6" i="1" s="1"/>
  <c r="DE164" i="1"/>
  <c r="DE174" i="1"/>
  <c r="DE71" i="1"/>
  <c r="DE425" i="1"/>
  <c r="DE97" i="1"/>
  <c r="DE136" i="1"/>
  <c r="DE141" i="1"/>
  <c r="DE419" i="1"/>
  <c r="DE125" i="1"/>
  <c r="DE134" i="1"/>
  <c r="DE467" i="1"/>
  <c r="DE69" i="1"/>
  <c r="DE100" i="1"/>
  <c r="DE139" i="1"/>
  <c r="DE126" i="1"/>
  <c r="DE95" i="1"/>
  <c r="DE424" i="1"/>
  <c r="DE153" i="1"/>
  <c r="DE142" i="1"/>
  <c r="DE122" i="1"/>
  <c r="DE144" i="1"/>
  <c r="DE156" i="1"/>
  <c r="DE68" i="1"/>
  <c r="DE433" i="1"/>
  <c r="DE119" i="1"/>
  <c r="DE497" i="1"/>
  <c r="DE154" i="1"/>
  <c r="DE418" i="1"/>
  <c r="DE465" i="1"/>
  <c r="DE462" i="1"/>
  <c r="DE102" i="1"/>
  <c r="DE99" i="1"/>
  <c r="DE107" i="1"/>
  <c r="DE121" i="1"/>
  <c r="DE152" i="1"/>
  <c r="DE159" i="1"/>
  <c r="DE431" i="1"/>
  <c r="DE429" i="1"/>
  <c r="DB429" i="1"/>
  <c r="DC429" i="1" s="1"/>
  <c r="DE114" i="1"/>
  <c r="DE155" i="1"/>
  <c r="DE116" i="1"/>
  <c r="DE487" i="1"/>
  <c r="DE163" i="1"/>
  <c r="DE135" i="1"/>
  <c r="DE112" i="1"/>
  <c r="DE93" i="1"/>
  <c r="DE138" i="1"/>
  <c r="DE3" i="1"/>
  <c r="DE2" i="1"/>
  <c r="DE427" i="1"/>
  <c r="DE150" i="1"/>
  <c r="DE469" i="1"/>
  <c r="DE133" i="1"/>
  <c r="DE103" i="1"/>
  <c r="DE73" i="1"/>
  <c r="DE171" i="1"/>
  <c r="DE65" i="1"/>
  <c r="DE167" i="1"/>
  <c r="DE137" i="1"/>
  <c r="DE140" i="1"/>
  <c r="DE123" i="1"/>
  <c r="DE158" i="1"/>
  <c r="DE485" i="1"/>
  <c r="DE56" i="1"/>
  <c r="DE428" i="1"/>
  <c r="DE75" i="1"/>
  <c r="DE105" i="1"/>
  <c r="DE468" i="1"/>
  <c r="DE173" i="1"/>
  <c r="DE94" i="1"/>
  <c r="DE91" i="1"/>
  <c r="DE128" i="1"/>
  <c r="DE110" i="1"/>
  <c r="DE463" i="1"/>
  <c r="DE72" i="1"/>
  <c r="DE499" i="1"/>
  <c r="DE426" i="1"/>
  <c r="DE157" i="1"/>
  <c r="DE460" i="1"/>
  <c r="DE430" i="1"/>
  <c r="DB430" i="1"/>
  <c r="DC430" i="1" s="1"/>
  <c r="DE131" i="1"/>
  <c r="DE168" i="1"/>
  <c r="DE466" i="1"/>
  <c r="DE177" i="1"/>
  <c r="DE147" i="1"/>
  <c r="DE143" i="1"/>
  <c r="DE148" i="1"/>
  <c r="DE106" i="1"/>
  <c r="DE5" i="1"/>
  <c r="DE415" i="1"/>
  <c r="DE124" i="1"/>
  <c r="DE480" i="1"/>
  <c r="DE161" i="1"/>
  <c r="DE145" i="1"/>
  <c r="DE151" i="1"/>
  <c r="DE55" i="1"/>
  <c r="DE98" i="1"/>
  <c r="DE170" i="1"/>
  <c r="DE127" i="1"/>
  <c r="DE120" i="1"/>
  <c r="DE464" i="1"/>
  <c r="DE169" i="1"/>
  <c r="BU146" i="1"/>
  <c r="BE146" i="1"/>
  <c r="BH146" i="1"/>
  <c r="BI146" i="1" s="1"/>
  <c r="BO146" i="1"/>
  <c r="BP146" i="1" s="1"/>
  <c r="CP418" i="1"/>
  <c r="CQ418" i="1" s="1"/>
  <c r="CP460" i="1"/>
  <c r="CQ460" i="1" s="1"/>
  <c r="CP464" i="1"/>
  <c r="CQ464" i="1" s="1"/>
  <c r="CP428" i="1"/>
  <c r="CQ428" i="1" s="1"/>
  <c r="CP353" i="1"/>
  <c r="CQ353" i="1" s="1"/>
  <c r="CP221" i="1"/>
  <c r="CQ221" i="1" s="1"/>
  <c r="CP60" i="1"/>
  <c r="CQ60" i="1" s="1"/>
  <c r="CP56" i="1"/>
  <c r="CQ56" i="1" s="1"/>
  <c r="CP448" i="1"/>
  <c r="CQ448" i="1" s="1"/>
  <c r="CP450" i="1"/>
  <c r="CQ450" i="1" s="1"/>
  <c r="CP120" i="1"/>
  <c r="CQ120" i="1" s="1"/>
  <c r="CP242" i="1"/>
  <c r="CQ242" i="1" s="1"/>
  <c r="CP334" i="1"/>
  <c r="CQ334" i="1" s="1"/>
  <c r="CP157" i="1"/>
  <c r="CQ157" i="1" s="1"/>
  <c r="CP240" i="1"/>
  <c r="CQ240" i="1" s="1"/>
  <c r="CP87" i="1"/>
  <c r="CQ87" i="1" s="1"/>
  <c r="CP280" i="1"/>
  <c r="CQ280" i="1" s="1"/>
  <c r="CP141" i="1"/>
  <c r="CQ141" i="1" s="1"/>
  <c r="CP315" i="1"/>
  <c r="CQ315" i="1" s="1"/>
  <c r="CP202" i="1"/>
  <c r="CQ202" i="1" s="1"/>
  <c r="CP405" i="1"/>
  <c r="CQ405" i="1" s="1"/>
  <c r="CP426" i="1"/>
  <c r="CQ426" i="1" s="1"/>
  <c r="CP183" i="1"/>
  <c r="CQ183" i="1" s="1"/>
  <c r="CP485" i="1"/>
  <c r="CQ485" i="1" s="1"/>
  <c r="CP297" i="1"/>
  <c r="CQ297" i="1" s="1"/>
  <c r="CP225" i="1"/>
  <c r="CQ225" i="1" s="1"/>
  <c r="CP58" i="1"/>
  <c r="CQ58" i="1" s="1"/>
  <c r="CP495" i="1"/>
  <c r="CQ495" i="1" s="1"/>
  <c r="CP200" i="1"/>
  <c r="CQ200" i="1" s="1"/>
  <c r="CP136" i="1"/>
  <c r="CQ136" i="1" s="1"/>
  <c r="CP264" i="1"/>
  <c r="CQ264" i="1" s="1"/>
  <c r="CP344" i="1"/>
  <c r="CQ344" i="1" s="1"/>
  <c r="CP180" i="1"/>
  <c r="CQ180" i="1" s="1"/>
  <c r="CP411" i="1"/>
  <c r="CQ411" i="1" s="1"/>
  <c r="CP309" i="1"/>
  <c r="CQ309" i="1" s="1"/>
  <c r="CP345" i="1"/>
  <c r="CQ345" i="1" s="1"/>
  <c r="CP181" i="1"/>
  <c r="CQ181" i="1" s="1"/>
  <c r="CP97" i="1"/>
  <c r="CQ97" i="1" s="1"/>
  <c r="CP206" i="1"/>
  <c r="CQ206" i="1" s="1"/>
  <c r="CP282" i="1"/>
  <c r="CQ282" i="1" s="1"/>
  <c r="CP154" i="1"/>
  <c r="CQ154" i="1" s="1"/>
  <c r="CP431" i="1"/>
  <c r="CQ431" i="1" s="1"/>
  <c r="CP459" i="1"/>
  <c r="CQ459" i="1" s="1"/>
  <c r="CP158" i="1"/>
  <c r="CQ158" i="1" s="1"/>
  <c r="CP278" i="1"/>
  <c r="CQ278" i="1" s="1"/>
  <c r="CP504" i="1"/>
  <c r="CQ504" i="1" s="1"/>
  <c r="CP347" i="1"/>
  <c r="CQ347" i="1" s="1"/>
  <c r="CP451" i="1"/>
  <c r="CQ451" i="1" s="1"/>
  <c r="CP501" i="1"/>
  <c r="CQ501" i="1" s="1"/>
  <c r="CP499" i="1"/>
  <c r="CQ499" i="1" s="1"/>
  <c r="CP274" i="1"/>
  <c r="CQ274" i="1" s="1"/>
  <c r="CP503" i="1"/>
  <c r="CQ503" i="1" s="1"/>
  <c r="CP476" i="1"/>
  <c r="CQ476" i="1" s="1"/>
  <c r="CP505" i="1"/>
  <c r="CQ505" i="1" s="1"/>
  <c r="CP494" i="1"/>
  <c r="CQ494" i="1" s="1"/>
  <c r="CP493" i="1"/>
  <c r="CQ493" i="1" s="1"/>
  <c r="CP341" i="1"/>
  <c r="CQ341" i="1" s="1"/>
  <c r="CP72" i="1"/>
  <c r="CQ72" i="1" s="1"/>
  <c r="CP332" i="1"/>
  <c r="CQ332" i="1" s="1"/>
  <c r="CP123" i="1"/>
  <c r="CQ123" i="1" s="1"/>
  <c r="CP497" i="1"/>
  <c r="CQ497" i="1" s="1"/>
  <c r="CP295" i="1"/>
  <c r="CQ295" i="1" s="1"/>
  <c r="CP127" i="1"/>
  <c r="CQ127" i="1" s="1"/>
  <c r="CP223" i="1"/>
  <c r="CQ223" i="1" s="1"/>
  <c r="CP296" i="1"/>
  <c r="CQ296" i="1" s="1"/>
  <c r="CP463" i="1"/>
  <c r="CQ463" i="1" s="1"/>
  <c r="CP170" i="1"/>
  <c r="CQ170" i="1" s="1"/>
  <c r="CP140" i="1"/>
  <c r="CQ140" i="1" s="1"/>
  <c r="CP228" i="1"/>
  <c r="CQ228" i="1" s="1"/>
  <c r="CP110" i="1"/>
  <c r="CQ110" i="1" s="1"/>
  <c r="CP388" i="1"/>
  <c r="CQ388" i="1" s="1"/>
  <c r="CP137" i="1"/>
  <c r="CQ137" i="1" s="1"/>
  <c r="CP119" i="1"/>
  <c r="CQ119" i="1" s="1"/>
  <c r="CP301" i="1"/>
  <c r="CQ301" i="1" s="1"/>
  <c r="CP308" i="1"/>
  <c r="CQ308" i="1" s="1"/>
  <c r="CP211" i="1"/>
  <c r="CQ211" i="1" s="1"/>
  <c r="CP352" i="1"/>
  <c r="CQ352" i="1" s="1"/>
  <c r="CP396" i="1"/>
  <c r="CQ396" i="1" s="1"/>
  <c r="CP447" i="1"/>
  <c r="CQ447" i="1" s="1"/>
  <c r="CP214" i="1"/>
  <c r="CQ214" i="1" s="1"/>
  <c r="CP337" i="1"/>
  <c r="CQ337" i="1" s="1"/>
  <c r="CP394" i="1"/>
  <c r="CQ394" i="1" s="1"/>
  <c r="CP98" i="1"/>
  <c r="CQ98" i="1" s="1"/>
  <c r="CP167" i="1"/>
  <c r="CQ167" i="1" s="1"/>
  <c r="CP303" i="1"/>
  <c r="CQ303" i="1" s="1"/>
  <c r="CP159" i="1"/>
  <c r="CQ159" i="1" s="1"/>
  <c r="CP243" i="1"/>
  <c r="CQ243" i="1" s="1"/>
  <c r="CP456" i="1"/>
  <c r="CQ456" i="1" s="1"/>
  <c r="CP197" i="1"/>
  <c r="CQ197" i="1" s="1"/>
  <c r="CP398" i="1"/>
  <c r="CQ398" i="1" s="1"/>
  <c r="CP408" i="1"/>
  <c r="CQ408" i="1" s="1"/>
  <c r="CP294" i="1"/>
  <c r="CQ294" i="1" s="1"/>
  <c r="CP395" i="1"/>
  <c r="CQ395" i="1" s="1"/>
  <c r="CP230" i="1"/>
  <c r="CQ230" i="1" s="1"/>
  <c r="CP284" i="1"/>
  <c r="CQ284" i="1" s="1"/>
  <c r="CP198" i="1"/>
  <c r="CQ198" i="1" s="1"/>
  <c r="CP188" i="1"/>
  <c r="CQ188" i="1" s="1"/>
  <c r="CP312" i="1"/>
  <c r="CQ312" i="1" s="1"/>
  <c r="CP55" i="1"/>
  <c r="CQ55" i="1" s="1"/>
  <c r="CP65" i="1"/>
  <c r="CQ65" i="1" s="1"/>
  <c r="CP433" i="1"/>
  <c r="CQ433" i="1" s="1"/>
  <c r="CP425" i="1"/>
  <c r="CQ425" i="1" s="1"/>
  <c r="CP151" i="1"/>
  <c r="CQ151" i="1" s="1"/>
  <c r="CP171" i="1"/>
  <c r="CQ171" i="1" s="1"/>
  <c r="CP500" i="1"/>
  <c r="CQ500" i="1" s="1"/>
  <c r="CP446" i="1"/>
  <c r="CQ446" i="1" s="1"/>
  <c r="CP410" i="1"/>
  <c r="CQ410" i="1" s="1"/>
  <c r="CP73" i="1"/>
  <c r="CQ73" i="1" s="1"/>
  <c r="CP68" i="1"/>
  <c r="CQ68" i="1" s="1"/>
  <c r="CP152" i="1"/>
  <c r="CQ152" i="1" s="1"/>
  <c r="CP492" i="1"/>
  <c r="CQ492" i="1" s="1"/>
  <c r="CP266" i="1"/>
  <c r="CQ266" i="1" s="1"/>
  <c r="CP156" i="1"/>
  <c r="CQ156" i="1" s="1"/>
  <c r="CP502" i="1"/>
  <c r="CQ502" i="1" s="1"/>
  <c r="CP145" i="1"/>
  <c r="CQ145" i="1" s="1"/>
  <c r="CP335" i="1"/>
  <c r="CQ335" i="1" s="1"/>
  <c r="CP498" i="1"/>
  <c r="CQ498" i="1" s="1"/>
  <c r="CP422" i="1"/>
  <c r="CQ422" i="1" s="1"/>
  <c r="CP89" i="1"/>
  <c r="CQ89" i="1" s="1"/>
  <c r="CP103" i="1"/>
  <c r="CQ103" i="1" s="1"/>
  <c r="CP144" i="1"/>
  <c r="CQ144" i="1" s="1"/>
  <c r="CP472" i="1"/>
  <c r="CQ472" i="1" s="1"/>
  <c r="CP161" i="1"/>
  <c r="CQ161" i="1" s="1"/>
  <c r="CP133" i="1"/>
  <c r="CQ133" i="1" s="1"/>
  <c r="CP122" i="1"/>
  <c r="CQ122" i="1" s="1"/>
  <c r="CP265" i="1"/>
  <c r="CQ265" i="1" s="1"/>
  <c r="CP212" i="1"/>
  <c r="CQ212" i="1" s="1"/>
  <c r="CP469" i="1"/>
  <c r="CQ469" i="1" s="1"/>
  <c r="CP217" i="1"/>
  <c r="CQ217" i="1" s="1"/>
  <c r="CP128" i="1"/>
  <c r="CQ128" i="1" s="1"/>
  <c r="CP412" i="1"/>
  <c r="CQ412" i="1" s="1"/>
  <c r="CP150" i="1"/>
  <c r="CQ150" i="1" s="1"/>
  <c r="CP193" i="1"/>
  <c r="CQ193" i="1" s="1"/>
  <c r="CP186" i="1"/>
  <c r="CQ186" i="1" s="1"/>
  <c r="CP359" i="1"/>
  <c r="CQ359" i="1" s="1"/>
  <c r="CP192" i="1"/>
  <c r="CQ192" i="1" s="1"/>
  <c r="CP82" i="1"/>
  <c r="CQ82" i="1" s="1"/>
  <c r="CP248" i="1"/>
  <c r="CQ248" i="1" s="1"/>
  <c r="CP480" i="1"/>
  <c r="CQ480" i="1" s="1"/>
  <c r="CP203" i="1"/>
  <c r="CQ203" i="1" s="1"/>
  <c r="CP142" i="1"/>
  <c r="CQ142" i="1" s="1"/>
  <c r="CP333" i="1"/>
  <c r="CQ333" i="1" s="1"/>
  <c r="CP355" i="1"/>
  <c r="CQ355" i="1" s="1"/>
  <c r="CP283" i="1"/>
  <c r="CQ283" i="1" s="1"/>
  <c r="CP153" i="1"/>
  <c r="CQ153" i="1" s="1"/>
  <c r="CP329" i="1"/>
  <c r="CQ329" i="1" s="1"/>
  <c r="CP360" i="1"/>
  <c r="CQ360" i="1" s="1"/>
  <c r="CP354" i="1"/>
  <c r="CQ354" i="1" s="1"/>
  <c r="CP420" i="1"/>
  <c r="CQ420" i="1" s="1"/>
  <c r="CP488" i="1"/>
  <c r="CQ488" i="1" s="1"/>
  <c r="CP442" i="1"/>
  <c r="CQ442" i="1" s="1"/>
  <c r="CP239" i="1"/>
  <c r="CQ239" i="1" s="1"/>
  <c r="CP336" i="1"/>
  <c r="CQ336" i="1" s="1"/>
  <c r="CP246" i="1"/>
  <c r="CQ246" i="1" s="1"/>
  <c r="CP436" i="1"/>
  <c r="CQ436" i="1" s="1"/>
  <c r="CP427" i="1"/>
  <c r="CQ427" i="1" s="1"/>
  <c r="CP414" i="1"/>
  <c r="CQ414" i="1" s="1"/>
  <c r="CP121" i="1"/>
  <c r="CQ121" i="1" s="1"/>
  <c r="CP124" i="1"/>
  <c r="CQ124" i="1" s="1"/>
  <c r="CP375" i="1"/>
  <c r="CQ375" i="1" s="1"/>
  <c r="CP381" i="1"/>
  <c r="CQ381" i="1" s="1"/>
  <c r="CP373" i="1"/>
  <c r="CQ373" i="1" s="1"/>
  <c r="CP367" i="1"/>
  <c r="CQ367" i="1" s="1"/>
  <c r="CP363" i="1"/>
  <c r="CQ363" i="1" s="1"/>
  <c r="CP366" i="1"/>
  <c r="CQ366" i="1" s="1"/>
  <c r="CP371" i="1"/>
  <c r="CQ371" i="1" s="1"/>
  <c r="CP374" i="1"/>
  <c r="CQ374" i="1" s="1"/>
  <c r="CP380" i="1"/>
  <c r="CQ380" i="1" s="1"/>
  <c r="CP361" i="1"/>
  <c r="CQ361" i="1" s="1"/>
  <c r="CP314" i="1"/>
  <c r="CQ314" i="1" s="1"/>
  <c r="CP319" i="1"/>
  <c r="CQ319" i="1" s="1"/>
  <c r="CP318" i="1"/>
  <c r="CQ318" i="1" s="1"/>
  <c r="CP372" i="1"/>
  <c r="CQ372" i="1" s="1"/>
  <c r="CP378" i="1"/>
  <c r="CQ378" i="1" s="1"/>
  <c r="CP370" i="1"/>
  <c r="CQ370" i="1" s="1"/>
  <c r="CP365" i="1"/>
  <c r="CQ365" i="1" s="1"/>
  <c r="CP350" i="1"/>
  <c r="CQ350" i="1" s="1"/>
  <c r="CP227" i="1"/>
  <c r="CQ227" i="1" s="1"/>
  <c r="CP216" i="1"/>
  <c r="CQ216" i="1" s="1"/>
  <c r="CP220" i="1"/>
  <c r="CQ220" i="1" s="1"/>
  <c r="CP386" i="1"/>
  <c r="CQ386" i="1" s="1"/>
  <c r="CP362" i="1"/>
  <c r="CQ362" i="1" s="1"/>
  <c r="CP356" i="1"/>
  <c r="CQ356" i="1" s="1"/>
  <c r="CP328" i="1"/>
  <c r="CQ328" i="1" s="1"/>
  <c r="CP249" i="1"/>
  <c r="CQ249" i="1" s="1"/>
  <c r="CP252" i="1"/>
  <c r="CQ252" i="1" s="1"/>
  <c r="CP306" i="1"/>
  <c r="CQ306" i="1" s="1"/>
  <c r="CP199" i="1"/>
  <c r="CQ199" i="1" s="1"/>
  <c r="CP241" i="1"/>
  <c r="CQ241" i="1" s="1"/>
  <c r="CP358" i="1"/>
  <c r="CQ358" i="1" s="1"/>
  <c r="CP62" i="1"/>
  <c r="CQ62" i="1" s="1"/>
  <c r="CP369" i="1"/>
  <c r="CQ369" i="1" s="1"/>
  <c r="CP286" i="1"/>
  <c r="CQ286" i="1" s="1"/>
  <c r="CP261" i="1"/>
  <c r="CQ261" i="1" s="1"/>
  <c r="CP231" i="1"/>
  <c r="CQ231" i="1" s="1"/>
  <c r="CP208" i="1"/>
  <c r="CQ208" i="1" s="1"/>
  <c r="CP457" i="1"/>
  <c r="CQ457" i="1" s="1"/>
  <c r="CP455" i="1"/>
  <c r="CQ455" i="1" s="1"/>
  <c r="CP51" i="1"/>
  <c r="CQ51" i="1" s="1"/>
  <c r="CP452" i="1"/>
  <c r="CQ452" i="1" s="1"/>
  <c r="CP25" i="1"/>
  <c r="CQ25" i="1" s="1"/>
  <c r="CP23" i="1"/>
  <c r="CQ23" i="1" s="1"/>
  <c r="CP20" i="1"/>
  <c r="CQ20" i="1" s="1"/>
  <c r="CP14" i="1"/>
  <c r="CQ14" i="1" s="1"/>
  <c r="CP48" i="1"/>
  <c r="CQ48" i="1" s="1"/>
  <c r="CP50" i="1"/>
  <c r="CQ50" i="1" s="1"/>
  <c r="CP37" i="1"/>
  <c r="CQ37" i="1" s="1"/>
  <c r="CP35" i="1"/>
  <c r="CQ35" i="1" s="1"/>
  <c r="CP30" i="1"/>
  <c r="CQ30" i="1" s="1"/>
  <c r="CP441" i="1"/>
  <c r="CQ441" i="1" s="1"/>
  <c r="CP26" i="1"/>
  <c r="CQ26" i="1" s="1"/>
  <c r="CP24" i="1"/>
  <c r="CQ24" i="1" s="1"/>
  <c r="CP424" i="1"/>
  <c r="CQ424" i="1" s="1"/>
  <c r="CP39" i="1"/>
  <c r="CQ39" i="1" s="1"/>
  <c r="CP53" i="1"/>
  <c r="CQ53" i="1" s="1"/>
  <c r="CP445" i="1"/>
  <c r="CQ445" i="1" s="1"/>
  <c r="CP38" i="1"/>
  <c r="CQ38" i="1" s="1"/>
  <c r="CP61" i="1"/>
  <c r="CQ61" i="1" s="1"/>
  <c r="CP12" i="1"/>
  <c r="CQ12" i="1" s="1"/>
  <c r="CP43" i="1"/>
  <c r="CQ43" i="1" s="1"/>
  <c r="CP18" i="1"/>
  <c r="CQ18" i="1" s="1"/>
  <c r="CP49" i="1"/>
  <c r="CQ49" i="1" s="1"/>
  <c r="CP36" i="1"/>
  <c r="CQ36" i="1" s="1"/>
  <c r="CP54" i="1"/>
  <c r="CQ54" i="1" s="1"/>
  <c r="CP52" i="1"/>
  <c r="CQ52" i="1" s="1"/>
  <c r="CP382" i="1"/>
  <c r="CQ382" i="1" s="1"/>
  <c r="CP45" i="1"/>
  <c r="CQ45" i="1" s="1"/>
  <c r="CP331" i="1"/>
  <c r="CQ331" i="1" s="1"/>
  <c r="CP325" i="1"/>
  <c r="CQ325" i="1" s="1"/>
  <c r="CP313" i="1"/>
  <c r="CQ313" i="1" s="1"/>
  <c r="CP32" i="1"/>
  <c r="CQ32" i="1" s="1"/>
  <c r="CP41" i="1"/>
  <c r="CQ41" i="1" s="1"/>
  <c r="CP349" i="1"/>
  <c r="CQ349" i="1" s="1"/>
  <c r="CP27" i="1"/>
  <c r="CQ27" i="1" s="1"/>
  <c r="CP31" i="1"/>
  <c r="CQ31" i="1" s="1"/>
  <c r="CP279" i="1"/>
  <c r="CQ279" i="1" s="1"/>
  <c r="CP19" i="1"/>
  <c r="CQ19" i="1" s="1"/>
  <c r="CP16" i="1"/>
  <c r="CQ16" i="1" s="1"/>
  <c r="CP13" i="1"/>
  <c r="CQ13" i="1" s="1"/>
  <c r="CP2" i="1"/>
  <c r="CQ2" i="1" s="1"/>
  <c r="CP299" i="1"/>
  <c r="CQ299" i="1" s="1"/>
  <c r="CP247" i="1"/>
  <c r="CQ247" i="1" s="1"/>
  <c r="CP415" i="1"/>
  <c r="CQ415" i="1" s="1"/>
  <c r="CP42" i="1"/>
  <c r="CQ42" i="1" s="1"/>
  <c r="CP47" i="1"/>
  <c r="CQ47" i="1" s="1"/>
  <c r="CP28" i="1"/>
  <c r="CQ28" i="1" s="1"/>
  <c r="CP22" i="1"/>
  <c r="CQ22" i="1" s="1"/>
  <c r="CP11" i="1"/>
  <c r="CQ11" i="1" s="1"/>
  <c r="CP232" i="1"/>
  <c r="CQ232" i="1" s="1"/>
  <c r="CP285" i="1"/>
  <c r="CQ285" i="1" s="1"/>
  <c r="CP5" i="1"/>
  <c r="CQ5" i="1" s="1"/>
  <c r="CP3" i="1"/>
  <c r="CQ3" i="1" s="1"/>
  <c r="CP385" i="1"/>
  <c r="CQ385" i="1" s="1"/>
  <c r="CP21" i="1"/>
  <c r="CQ21" i="1" s="1"/>
  <c r="CP17" i="1"/>
  <c r="CQ17" i="1" s="1"/>
  <c r="CP40" i="1"/>
  <c r="CQ40" i="1" s="1"/>
  <c r="CP389" i="1"/>
  <c r="CQ389" i="1" s="1"/>
  <c r="CP368" i="1"/>
  <c r="CQ368" i="1" s="1"/>
  <c r="CP340" i="1"/>
  <c r="CQ340" i="1" s="1"/>
  <c r="CP46" i="1"/>
  <c r="CQ46" i="1" s="1"/>
  <c r="CP302" i="1"/>
  <c r="CQ302" i="1" s="1"/>
  <c r="CP473" i="1"/>
  <c r="CQ473" i="1" s="1"/>
  <c r="CP250" i="1"/>
  <c r="CQ250" i="1" s="1"/>
  <c r="CP235" i="1"/>
  <c r="CQ235" i="1" s="1"/>
  <c r="CP95" i="1"/>
  <c r="CQ95" i="1" s="1"/>
  <c r="CP91" i="1"/>
  <c r="CQ91" i="1" s="1"/>
  <c r="CP106" i="1"/>
  <c r="CQ106" i="1" s="1"/>
  <c r="CP138" i="1"/>
  <c r="CQ138" i="1" s="1"/>
  <c r="CP262" i="1"/>
  <c r="CQ262" i="1" s="1"/>
  <c r="CP189" i="1"/>
  <c r="CQ189" i="1" s="1"/>
  <c r="CP377" i="1"/>
  <c r="CQ377" i="1" s="1"/>
  <c r="CP258" i="1"/>
  <c r="CQ258" i="1" s="1"/>
  <c r="CP330" i="1"/>
  <c r="CQ330" i="1" s="1"/>
  <c r="CP316" i="1"/>
  <c r="CQ316" i="1" s="1"/>
  <c r="CP210" i="1"/>
  <c r="CQ210" i="1" s="1"/>
  <c r="CP93" i="1"/>
  <c r="CQ93" i="1" s="1"/>
  <c r="CP391" i="1"/>
  <c r="CQ391" i="1" s="1"/>
  <c r="CP94" i="1"/>
  <c r="CQ94" i="1" s="1"/>
  <c r="CP327" i="1"/>
  <c r="CQ327" i="1" s="1"/>
  <c r="CP390" i="1"/>
  <c r="CQ390" i="1" s="1"/>
  <c r="CP339" i="1"/>
  <c r="CQ339" i="1" s="1"/>
  <c r="CP63" i="1"/>
  <c r="CQ63" i="1" s="1"/>
  <c r="CP351" i="1"/>
  <c r="CQ351" i="1" s="1"/>
  <c r="CP326" i="1"/>
  <c r="CQ326" i="1" s="1"/>
  <c r="CP304" i="1"/>
  <c r="CQ304" i="1" s="1"/>
  <c r="CP311" i="1"/>
  <c r="CQ311" i="1" s="1"/>
  <c r="CP346" i="1"/>
  <c r="CQ346" i="1" s="1"/>
  <c r="CP310" i="1"/>
  <c r="CQ310" i="1" s="1"/>
  <c r="CP268" i="1"/>
  <c r="CQ268" i="1" s="1"/>
  <c r="CP107" i="1"/>
  <c r="CQ107" i="1" s="1"/>
  <c r="CP305" i="1"/>
  <c r="CQ305" i="1" s="1"/>
  <c r="CP112" i="1"/>
  <c r="CQ112" i="1" s="1"/>
  <c r="CP126" i="1"/>
  <c r="CQ126" i="1" s="1"/>
  <c r="CP307" i="1"/>
  <c r="CQ307" i="1" s="1"/>
  <c r="CP276" i="1"/>
  <c r="CQ276" i="1" s="1"/>
  <c r="CP245" i="1"/>
  <c r="CQ245" i="1" s="1"/>
  <c r="CP244" i="1"/>
  <c r="CQ244" i="1" s="1"/>
  <c r="CP324" i="1"/>
  <c r="CQ324" i="1" s="1"/>
  <c r="CP293" i="1"/>
  <c r="CQ293" i="1" s="1"/>
  <c r="CP135" i="1"/>
  <c r="CQ135" i="1" s="1"/>
  <c r="CP288" i="1"/>
  <c r="CQ288" i="1" s="1"/>
  <c r="CP387" i="1"/>
  <c r="CQ387" i="1" s="1"/>
  <c r="CP409" i="1"/>
  <c r="CQ409" i="1" s="1"/>
  <c r="CP85" i="1"/>
  <c r="CQ85" i="1" s="1"/>
  <c r="CP237" i="1"/>
  <c r="CQ237" i="1" s="1"/>
  <c r="CP57" i="1"/>
  <c r="CQ57" i="1" s="1"/>
  <c r="CP148" i="1"/>
  <c r="CQ148" i="1" s="1"/>
  <c r="CP233" i="1"/>
  <c r="CQ233" i="1" s="1"/>
  <c r="CP383" i="1"/>
  <c r="CQ383" i="1" s="1"/>
  <c r="CP490" i="1"/>
  <c r="CQ490" i="1" s="1"/>
  <c r="CP323" i="1"/>
  <c r="CQ323" i="1" s="1"/>
  <c r="CP438" i="1"/>
  <c r="CQ438" i="1" s="1"/>
  <c r="CP376" i="1"/>
  <c r="CQ376" i="1" s="1"/>
  <c r="CP99" i="1"/>
  <c r="CQ99" i="1" s="1"/>
  <c r="CP407" i="1"/>
  <c r="CQ407" i="1" s="1"/>
  <c r="CP321" i="1"/>
  <c r="CQ321" i="1" s="1"/>
  <c r="CP404" i="1"/>
  <c r="CQ404" i="1" s="1"/>
  <c r="CP401" i="1"/>
  <c r="CQ401" i="1" s="1"/>
  <c r="CP400" i="1"/>
  <c r="CQ400" i="1" s="1"/>
  <c r="CP402" i="1"/>
  <c r="CQ402" i="1" s="1"/>
  <c r="CP397" i="1"/>
  <c r="CQ397" i="1" s="1"/>
  <c r="CP260" i="1"/>
  <c r="CQ260" i="1" s="1"/>
  <c r="CP471" i="1"/>
  <c r="CQ471" i="1" s="1"/>
  <c r="CP163" i="1"/>
  <c r="CQ163" i="1" s="1"/>
  <c r="CP205" i="1"/>
  <c r="CQ205" i="1" s="1"/>
  <c r="CP399" i="1"/>
  <c r="CQ399" i="1" s="1"/>
  <c r="CP364" i="1"/>
  <c r="CQ364" i="1" s="1"/>
  <c r="CP234" i="1"/>
  <c r="CQ234" i="1" s="1"/>
  <c r="CP222" i="1"/>
  <c r="CQ222" i="1" s="1"/>
  <c r="CP187" i="1"/>
  <c r="CQ187" i="1" s="1"/>
  <c r="CP384" i="1"/>
  <c r="CQ384" i="1" s="1"/>
  <c r="CP273" i="1"/>
  <c r="CQ273" i="1" s="1"/>
  <c r="CP139" i="1"/>
  <c r="CQ139" i="1" s="1"/>
  <c r="CP393" i="1"/>
  <c r="CQ393" i="1" s="1"/>
  <c r="CP343" i="1"/>
  <c r="CQ343" i="1" s="1"/>
  <c r="CP443" i="1"/>
  <c r="CQ443" i="1" s="1"/>
  <c r="CP423" i="1"/>
  <c r="CQ423" i="1" s="1"/>
  <c r="CP406" i="1"/>
  <c r="CQ406" i="1" s="1"/>
  <c r="CP322" i="1"/>
  <c r="CQ322" i="1" s="1"/>
  <c r="CP290" i="1"/>
  <c r="CQ290" i="1" s="1"/>
  <c r="CP291" i="1"/>
  <c r="CQ291" i="1" s="1"/>
  <c r="CP34" i="1"/>
  <c r="CQ34" i="1" s="1"/>
  <c r="CP342" i="1"/>
  <c r="CQ342" i="1" s="1"/>
  <c r="CP287" i="1"/>
  <c r="CQ287" i="1" s="1"/>
  <c r="CP259" i="1"/>
  <c r="CQ259" i="1" s="1"/>
  <c r="CP255" i="1"/>
  <c r="CQ255" i="1" s="1"/>
  <c r="CP194" i="1"/>
  <c r="CQ194" i="1" s="1"/>
  <c r="CP201" i="1"/>
  <c r="CQ201" i="1" s="1"/>
  <c r="CP100" i="1"/>
  <c r="CQ100" i="1" s="1"/>
  <c r="CP102" i="1"/>
  <c r="CQ102" i="1" s="1"/>
  <c r="CP421" i="1"/>
  <c r="CQ421" i="1" s="1"/>
  <c r="CP403" i="1"/>
  <c r="CQ403" i="1" s="1"/>
  <c r="CP479" i="1"/>
  <c r="CQ479" i="1" s="1"/>
  <c r="CP88" i="1"/>
  <c r="CQ88" i="1" s="1"/>
  <c r="CP86" i="1"/>
  <c r="CQ86" i="1" s="1"/>
  <c r="CP81" i="1"/>
  <c r="CQ81" i="1" s="1"/>
  <c r="CP489" i="1"/>
  <c r="CQ489" i="1" s="1"/>
  <c r="CP79" i="1"/>
  <c r="CQ79" i="1" s="1"/>
  <c r="CP491" i="1"/>
  <c r="CQ491" i="1" s="1"/>
  <c r="CP83" i="1"/>
  <c r="CQ83" i="1" s="1"/>
  <c r="CP84" i="1"/>
  <c r="CQ84" i="1" s="1"/>
  <c r="CP80" i="1"/>
  <c r="CQ80" i="1" s="1"/>
  <c r="CP440" i="1"/>
  <c r="CQ440" i="1" s="1"/>
  <c r="CP78" i="1"/>
  <c r="CQ78" i="1" s="1"/>
  <c r="CP77" i="1"/>
  <c r="CQ77" i="1" s="1"/>
  <c r="CP76" i="1"/>
  <c r="CQ76" i="1" s="1"/>
  <c r="CP59" i="1"/>
  <c r="CQ59" i="1" s="1"/>
  <c r="CP487" i="1"/>
  <c r="CQ487" i="1" s="1"/>
  <c r="CP69" i="1"/>
  <c r="CQ69" i="1" s="1"/>
  <c r="CP71" i="1"/>
  <c r="CQ71" i="1" s="1"/>
  <c r="CP143" i="1"/>
  <c r="CQ143" i="1" s="1"/>
  <c r="CP270" i="1"/>
  <c r="CQ270" i="1" s="1"/>
  <c r="CP444" i="1"/>
  <c r="CQ444" i="1" s="1"/>
  <c r="CP257" i="1"/>
  <c r="CQ257" i="1" s="1"/>
  <c r="CP434" i="1"/>
  <c r="CQ434" i="1" s="1"/>
  <c r="CP254" i="1"/>
  <c r="CQ254" i="1" s="1"/>
  <c r="CP263" i="1"/>
  <c r="CQ263" i="1" s="1"/>
  <c r="CP174" i="1"/>
  <c r="CQ174" i="1" s="1"/>
  <c r="CP147" i="1"/>
  <c r="CQ147" i="1" s="1"/>
  <c r="CP236" i="1"/>
  <c r="CQ236" i="1" s="1"/>
  <c r="CP437" i="1"/>
  <c r="CQ437" i="1" s="1"/>
  <c r="CP215" i="1"/>
  <c r="CQ215" i="1" s="1"/>
  <c r="CP177" i="1"/>
  <c r="CQ177" i="1" s="1"/>
  <c r="CP348" i="1"/>
  <c r="CQ348" i="1" s="1"/>
  <c r="CP251" i="1"/>
  <c r="CQ251" i="1" s="1"/>
  <c r="CP238" i="1"/>
  <c r="CQ238" i="1" s="1"/>
  <c r="CP466" i="1"/>
  <c r="CQ466" i="1" s="1"/>
  <c r="CP116" i="1"/>
  <c r="CQ116" i="1" s="1"/>
  <c r="CP467" i="1"/>
  <c r="CQ467" i="1" s="1"/>
  <c r="CP44" i="1"/>
  <c r="CQ44" i="1" s="1"/>
  <c r="CP271" i="1"/>
  <c r="CQ271" i="1" s="1"/>
  <c r="CP256" i="1"/>
  <c r="CQ256" i="1" s="1"/>
  <c r="CP134" i="1"/>
  <c r="CQ134" i="1" s="1"/>
  <c r="CP173" i="1"/>
  <c r="CQ173" i="1" s="1"/>
  <c r="CP168" i="1"/>
  <c r="CQ168" i="1" s="1"/>
  <c r="CP155" i="1"/>
  <c r="CQ155" i="1" s="1"/>
  <c r="CP125" i="1"/>
  <c r="CQ125" i="1" s="1"/>
  <c r="CP164" i="1"/>
  <c r="CQ164" i="1" s="1"/>
  <c r="CP131" i="1"/>
  <c r="CQ131" i="1" s="1"/>
  <c r="CP114" i="1"/>
  <c r="CQ114" i="1" s="1"/>
  <c r="CP281" i="1"/>
  <c r="CQ281" i="1" s="1"/>
  <c r="CP204" i="1"/>
  <c r="CQ204" i="1" s="1"/>
  <c r="CP478" i="1"/>
  <c r="CQ478" i="1" s="1"/>
  <c r="CP454" i="1"/>
  <c r="CQ454" i="1" s="1"/>
  <c r="CP453" i="1"/>
  <c r="CQ453" i="1" s="1"/>
  <c r="CP449" i="1"/>
  <c r="CQ449" i="1" s="1"/>
  <c r="CP33" i="1"/>
  <c r="CQ33" i="1" s="1"/>
  <c r="CP15" i="1"/>
  <c r="CQ15" i="1" s="1"/>
  <c r="CP439" i="1"/>
  <c r="CQ439" i="1" s="1"/>
  <c r="CP496" i="1"/>
  <c r="CQ496" i="1" s="1"/>
  <c r="CP435" i="1"/>
  <c r="CQ435" i="1" s="1"/>
  <c r="CP9" i="1"/>
  <c r="CQ9" i="1" s="1"/>
  <c r="CP419" i="1"/>
  <c r="CP468" i="1"/>
  <c r="CP226" i="1"/>
  <c r="CQ226" i="1" s="1"/>
  <c r="CP338" i="1"/>
  <c r="CQ338" i="1" s="1"/>
  <c r="CP229" i="1"/>
  <c r="CQ229" i="1" s="1"/>
  <c r="CP105" i="1"/>
  <c r="CQ105" i="1" s="1"/>
  <c r="CP462" i="1"/>
  <c r="CQ462" i="1" s="1"/>
  <c r="CP218" i="1"/>
  <c r="CQ218" i="1" s="1"/>
  <c r="CP169" i="1"/>
  <c r="CQ169" i="1" s="1"/>
  <c r="CP75" i="1"/>
  <c r="CQ75" i="1" s="1"/>
  <c r="CP465" i="1"/>
  <c r="CQ465" i="1" s="1"/>
  <c r="CP379" i="1"/>
  <c r="CQ379" i="1" s="1"/>
  <c r="CP64" i="1"/>
  <c r="CQ64" i="1" s="1"/>
  <c r="CP207" i="1"/>
  <c r="CQ207" i="1" s="1"/>
  <c r="CW497" i="1"/>
  <c r="BM146" i="1" l="1"/>
  <c r="BN146" i="1" s="1"/>
  <c r="CH146" i="1"/>
  <c r="CI146" i="1" s="1"/>
  <c r="BZ146" i="1"/>
  <c r="CA146" i="1" s="1"/>
  <c r="CQ419" i="1"/>
  <c r="CO419" i="1"/>
  <c r="CQ468" i="1"/>
  <c r="CO468" i="1"/>
  <c r="CX497" i="1"/>
  <c r="CJ146" i="1"/>
  <c r="BQ146" i="1"/>
  <c r="CB146" i="1"/>
  <c r="CD146" i="1"/>
  <c r="BJ146" i="1"/>
  <c r="BV418" i="1"/>
  <c r="BV464" i="1"/>
  <c r="BV428" i="1"/>
  <c r="BV353" i="1"/>
  <c r="BV253" i="1"/>
  <c r="BV175" i="1"/>
  <c r="BV60" i="1"/>
  <c r="BV56" i="1"/>
  <c r="BV448" i="1"/>
  <c r="BV450" i="1"/>
  <c r="BV120" i="1"/>
  <c r="BV242" i="1"/>
  <c r="BV334" i="1"/>
  <c r="BV157" i="1"/>
  <c r="BV87" i="1"/>
  <c r="BV280" i="1"/>
  <c r="BV315" i="1"/>
  <c r="BV405" i="1"/>
  <c r="BV485" i="1"/>
  <c r="BV297" i="1"/>
  <c r="BV58" i="1"/>
  <c r="BV101" i="1"/>
  <c r="BV495" i="1"/>
  <c r="BV200" i="1"/>
  <c r="BV111" i="1"/>
  <c r="BV344" i="1"/>
  <c r="BV180" i="1"/>
  <c r="BV411" i="1"/>
  <c r="BV309" i="1"/>
  <c r="BV345" i="1"/>
  <c r="BV181" i="1"/>
  <c r="BV282" i="1"/>
  <c r="BV154" i="1"/>
  <c r="BV431" i="1"/>
  <c r="BV459" i="1"/>
  <c r="BV158" i="1"/>
  <c r="BV179" i="1"/>
  <c r="BV504" i="1"/>
  <c r="BV347" i="1"/>
  <c r="BV451" i="1"/>
  <c r="BV501" i="1"/>
  <c r="BV499" i="1"/>
  <c r="BV432" i="1"/>
  <c r="BV274" i="1"/>
  <c r="BV503" i="1"/>
  <c r="BV476" i="1"/>
  <c r="BV505" i="1"/>
  <c r="BV191" i="1"/>
  <c r="BV494" i="1"/>
  <c r="BV104" i="1"/>
  <c r="BV493" i="1"/>
  <c r="BV341" i="1"/>
  <c r="BV72" i="1"/>
  <c r="BV332" i="1"/>
  <c r="BV497" i="1"/>
  <c r="BV295" i="1"/>
  <c r="BV127" i="1"/>
  <c r="BV223" i="1"/>
  <c r="BV296" i="1"/>
  <c r="BV463" i="1"/>
  <c r="BV140" i="1"/>
  <c r="BV228" i="1"/>
  <c r="BV110" i="1"/>
  <c r="BV388" i="1"/>
  <c r="BV137" i="1"/>
  <c r="BV301" i="1"/>
  <c r="BV308" i="1"/>
  <c r="BV211" i="1"/>
  <c r="BV352" i="1"/>
  <c r="BV396" i="1"/>
  <c r="BV447" i="1"/>
  <c r="BV337" i="1"/>
  <c r="BV394" i="1"/>
  <c r="BV167" i="1"/>
  <c r="BV303" i="1"/>
  <c r="BV159" i="1"/>
  <c r="BV456" i="1"/>
  <c r="BV398" i="1"/>
  <c r="BV408" i="1"/>
  <c r="BV461" i="1"/>
  <c r="BV294" i="1"/>
  <c r="BV395" i="1"/>
  <c r="BV230" i="1"/>
  <c r="BV284" i="1"/>
  <c r="BV198" i="1"/>
  <c r="BV312" i="1"/>
  <c r="BV65" i="1"/>
  <c r="BV433" i="1"/>
  <c r="BV425" i="1"/>
  <c r="BV171" i="1"/>
  <c r="BV117" i="1"/>
  <c r="BV500" i="1"/>
  <c r="BV446" i="1"/>
  <c r="BV410" i="1"/>
  <c r="BV73" i="1"/>
  <c r="BV68" i="1"/>
  <c r="BV152" i="1"/>
  <c r="BV190" i="1"/>
  <c r="BV156" i="1"/>
  <c r="BV502" i="1"/>
  <c r="BV145" i="1"/>
  <c r="BV335" i="1"/>
  <c r="BV498" i="1"/>
  <c r="BV422" i="1"/>
  <c r="BV89" i="1"/>
  <c r="BV103" i="1"/>
  <c r="BV144" i="1"/>
  <c r="BV472" i="1"/>
  <c r="BV161" i="1"/>
  <c r="BV133" i="1"/>
  <c r="BV122" i="1"/>
  <c r="BV265" i="1"/>
  <c r="BV469" i="1"/>
  <c r="BV217" i="1"/>
  <c r="BV128" i="1"/>
  <c r="BV412" i="1"/>
  <c r="BV115" i="1"/>
  <c r="BV186" i="1"/>
  <c r="BV359" i="1"/>
  <c r="BV82" i="1"/>
  <c r="BV203" i="1"/>
  <c r="BV333" i="1"/>
  <c r="BV355" i="1"/>
  <c r="BV283" i="1"/>
  <c r="BV153" i="1"/>
  <c r="BV329" i="1"/>
  <c r="BV360" i="1"/>
  <c r="BV354" i="1"/>
  <c r="BV420" i="1"/>
  <c r="BV336" i="1"/>
  <c r="BV246" i="1"/>
  <c r="BV184" i="1"/>
  <c r="BV436" i="1"/>
  <c r="BV414" i="1"/>
  <c r="BV121" i="1"/>
  <c r="BV124" i="1"/>
  <c r="BV375" i="1"/>
  <c r="BV381" i="1"/>
  <c r="BV373" i="1"/>
  <c r="BV367" i="1"/>
  <c r="BV363" i="1"/>
  <c r="BV366" i="1"/>
  <c r="BV371" i="1"/>
  <c r="BV374" i="1"/>
  <c r="BV380" i="1"/>
  <c r="BV361" i="1"/>
  <c r="BV314" i="1"/>
  <c r="BV319" i="1"/>
  <c r="BV318" i="1"/>
  <c r="BV372" i="1"/>
  <c r="BV378" i="1"/>
  <c r="BV370" i="1"/>
  <c r="BV365" i="1"/>
  <c r="BV350" i="1"/>
  <c r="BV227" i="1"/>
  <c r="BV220" i="1"/>
  <c r="BV386" i="1"/>
  <c r="BV362" i="1"/>
  <c r="BV356" i="1"/>
  <c r="BV328" i="1"/>
  <c r="BV249" i="1"/>
  <c r="BV306" i="1"/>
  <c r="BV199" i="1"/>
  <c r="BV241" i="1"/>
  <c r="BV358" i="1"/>
  <c r="BV62" i="1"/>
  <c r="BV369" i="1"/>
  <c r="BV286" i="1"/>
  <c r="BV261" i="1"/>
  <c r="BV231" i="1"/>
  <c r="BV457" i="1"/>
  <c r="BV455" i="1"/>
  <c r="BV51" i="1"/>
  <c r="BV452" i="1"/>
  <c r="BV25" i="1"/>
  <c r="BV23" i="1"/>
  <c r="BV48" i="1"/>
  <c r="BV50" i="1"/>
  <c r="BV37" i="1"/>
  <c r="BV35" i="1"/>
  <c r="BV30" i="1"/>
  <c r="BV441" i="1"/>
  <c r="BV26" i="1"/>
  <c r="BV24" i="1"/>
  <c r="BV424" i="1"/>
  <c r="BV39" i="1"/>
  <c r="BV53" i="1"/>
  <c r="BV445" i="1"/>
  <c r="BV38" i="1"/>
  <c r="BV61" i="1"/>
  <c r="BV12" i="1"/>
  <c r="BV43" i="1"/>
  <c r="BV49" i="1"/>
  <c r="BV36" i="1"/>
  <c r="BV54" i="1"/>
  <c r="BV52" i="1"/>
  <c r="BV382" i="1"/>
  <c r="BV45" i="1"/>
  <c r="BV331" i="1"/>
  <c r="BV325" i="1"/>
  <c r="BV313" i="1"/>
  <c r="BV32" i="1"/>
  <c r="BV41" i="1"/>
  <c r="BV349" i="1"/>
  <c r="BV27" i="1"/>
  <c r="BV31" i="1"/>
  <c r="BV279" i="1"/>
  <c r="BV19" i="1"/>
  <c r="BV2" i="1"/>
  <c r="BV299" i="1"/>
  <c r="BV247" i="1"/>
  <c r="BV42" i="1"/>
  <c r="BV47" i="1"/>
  <c r="BV28" i="1"/>
  <c r="BV22" i="1"/>
  <c r="BV285" i="1"/>
  <c r="BV5" i="1"/>
  <c r="BV3" i="1"/>
  <c r="BV385" i="1"/>
  <c r="BV21" i="1"/>
  <c r="BV40" i="1"/>
  <c r="BV389" i="1"/>
  <c r="BV368" i="1"/>
  <c r="BV340" i="1"/>
  <c r="BV46" i="1"/>
  <c r="BV302" i="1"/>
  <c r="BV473" i="1"/>
  <c r="BV250" i="1"/>
  <c r="BV235" i="1"/>
  <c r="BV91" i="1"/>
  <c r="BV138" i="1"/>
  <c r="BV189" i="1"/>
  <c r="BV377" i="1"/>
  <c r="BV258" i="1"/>
  <c r="BV330" i="1"/>
  <c r="BV316" i="1"/>
  <c r="BV210" i="1"/>
  <c r="BV93" i="1"/>
  <c r="BV391" i="1"/>
  <c r="BV327" i="1"/>
  <c r="BV390" i="1"/>
  <c r="BV339" i="1"/>
  <c r="BV63" i="1"/>
  <c r="BV351" i="1"/>
  <c r="BV326" i="1"/>
  <c r="BV304" i="1"/>
  <c r="BV311" i="1"/>
  <c r="BV346" i="1"/>
  <c r="BV310" i="1"/>
  <c r="BV268" i="1"/>
  <c r="BV92" i="1"/>
  <c r="BV305" i="1"/>
  <c r="BV112" i="1"/>
  <c r="BV307" i="1"/>
  <c r="BV276" i="1"/>
  <c r="BV245" i="1"/>
  <c r="BV244" i="1"/>
  <c r="BV130" i="1"/>
  <c r="BV324" i="1"/>
  <c r="BV293" i="1"/>
  <c r="BV288" i="1"/>
  <c r="BV387" i="1"/>
  <c r="BV409" i="1"/>
  <c r="BV85" i="1"/>
  <c r="BV233" i="1"/>
  <c r="BV383" i="1"/>
  <c r="BV490" i="1"/>
  <c r="BV323" i="1"/>
  <c r="BV438" i="1"/>
  <c r="BV376" i="1"/>
  <c r="BV407" i="1"/>
  <c r="BV321" i="1"/>
  <c r="BV404" i="1"/>
  <c r="BV401" i="1"/>
  <c r="BV400" i="1"/>
  <c r="BV402" i="1"/>
  <c r="BV397" i="1"/>
  <c r="BV260" i="1"/>
  <c r="BV471" i="1"/>
  <c r="BV399" i="1"/>
  <c r="BV364" i="1"/>
  <c r="BV222" i="1"/>
  <c r="BV384" i="1"/>
  <c r="BV273" i="1"/>
  <c r="BV393" i="1"/>
  <c r="BV343" i="1"/>
  <c r="BV443" i="1"/>
  <c r="BV423" i="1"/>
  <c r="BV406" i="1"/>
  <c r="BV322" i="1"/>
  <c r="BV290" i="1"/>
  <c r="BV291" i="1"/>
  <c r="BV34" i="1"/>
  <c r="BV342" i="1"/>
  <c r="BV287" i="1"/>
  <c r="BV259" i="1"/>
  <c r="BV255" i="1"/>
  <c r="BV481" i="1"/>
  <c r="BV194" i="1"/>
  <c r="BV201" i="1"/>
  <c r="BV100" i="1"/>
  <c r="BV421" i="1"/>
  <c r="BV403" i="1"/>
  <c r="BV479" i="1"/>
  <c r="BV88" i="1"/>
  <c r="BV86" i="1"/>
  <c r="BV81" i="1"/>
  <c r="BV489" i="1"/>
  <c r="BV79" i="1"/>
  <c r="BV83" i="1"/>
  <c r="BV84" i="1"/>
  <c r="BV80" i="1"/>
  <c r="BV440" i="1"/>
  <c r="BV78" i="1"/>
  <c r="BV77" i="1"/>
  <c r="BV487" i="1"/>
  <c r="BV74" i="1"/>
  <c r="BV69" i="1"/>
  <c r="BV71" i="1"/>
  <c r="BV143" i="1"/>
  <c r="BV66" i="1"/>
  <c r="BV270" i="1"/>
  <c r="BV257" i="1"/>
  <c r="BV263" i="1"/>
  <c r="BV174" i="1"/>
  <c r="BV147" i="1"/>
  <c r="BV236" i="1"/>
  <c r="BV437" i="1"/>
  <c r="BV215" i="1"/>
  <c r="BV177" i="1"/>
  <c r="BV348" i="1"/>
  <c r="BV251" i="1"/>
  <c r="BV466" i="1"/>
  <c r="BV116" i="1"/>
  <c r="BV467" i="1"/>
  <c r="BV44" i="1"/>
  <c r="BV271" i="1"/>
  <c r="BV256" i="1"/>
  <c r="BV134" i="1"/>
  <c r="BV173" i="1"/>
  <c r="BV168" i="1"/>
  <c r="BV155" i="1"/>
  <c r="BV164" i="1"/>
  <c r="BV114" i="1"/>
  <c r="BV281" i="1"/>
  <c r="BV417" i="1"/>
  <c r="BV67" i="1"/>
  <c r="BV226" i="1"/>
  <c r="BV338" i="1"/>
  <c r="BV229" i="1"/>
  <c r="BV105" i="1"/>
  <c r="BV462" i="1"/>
  <c r="BV218" i="1"/>
  <c r="BV169" i="1"/>
  <c r="BV486" i="1"/>
  <c r="BV483" i="1"/>
  <c r="BV379" i="1"/>
  <c r="BV64" i="1"/>
  <c r="BU379" i="1"/>
  <c r="BU56" i="1"/>
  <c r="BU448" i="1"/>
  <c r="BU297" i="1"/>
  <c r="BU264" i="1"/>
  <c r="BU282" i="1"/>
  <c r="BU504" i="1"/>
  <c r="BU503" i="1"/>
  <c r="BU341" i="1"/>
  <c r="BU296" i="1"/>
  <c r="BU308" i="1"/>
  <c r="BU394" i="1"/>
  <c r="BU398" i="1"/>
  <c r="BU294" i="1"/>
  <c r="BU354" i="1"/>
  <c r="BU442" i="1"/>
  <c r="BU375" i="1"/>
  <c r="BU381" i="1"/>
  <c r="BU373" i="1"/>
  <c r="BU367" i="1"/>
  <c r="BU363" i="1"/>
  <c r="BU366" i="1"/>
  <c r="BU371" i="1"/>
  <c r="BU374" i="1"/>
  <c r="BU380" i="1"/>
  <c r="BU318" i="1"/>
  <c r="BU372" i="1"/>
  <c r="BU378" i="1"/>
  <c r="BU370" i="1"/>
  <c r="BU365" i="1"/>
  <c r="BU328" i="1"/>
  <c r="BU252" i="1"/>
  <c r="BU306" i="1"/>
  <c r="BU369" i="1"/>
  <c r="BU286" i="1"/>
  <c r="BU23" i="1"/>
  <c r="BU20" i="1"/>
  <c r="BU37" i="1"/>
  <c r="BU35" i="1"/>
  <c r="BU30" i="1"/>
  <c r="BU26" i="1"/>
  <c r="BU39" i="1"/>
  <c r="BU38" i="1"/>
  <c r="BU12" i="1"/>
  <c r="BU43" i="1"/>
  <c r="BU18" i="1"/>
  <c r="BU36" i="1"/>
  <c r="BU54" i="1"/>
  <c r="BU382" i="1"/>
  <c r="BU45" i="1"/>
  <c r="BU331" i="1"/>
  <c r="BU41" i="1"/>
  <c r="BU31" i="1"/>
  <c r="BU279" i="1"/>
  <c r="BU19" i="1"/>
  <c r="BU16" i="1"/>
  <c r="BU299" i="1"/>
  <c r="BU28" i="1"/>
  <c r="BU22" i="1"/>
  <c r="BU10" i="1"/>
  <c r="BU385" i="1"/>
  <c r="BU21" i="1"/>
  <c r="BU377" i="1"/>
  <c r="BU330" i="1"/>
  <c r="BU316" i="1"/>
  <c r="BU391" i="1"/>
  <c r="BU327" i="1"/>
  <c r="BU390" i="1"/>
  <c r="BU351" i="1"/>
  <c r="BU346" i="1"/>
  <c r="BU310" i="1"/>
  <c r="BU305" i="1"/>
  <c r="BU288" i="1"/>
  <c r="BU387" i="1"/>
  <c r="BU383" i="1"/>
  <c r="BU490" i="1"/>
  <c r="BU323" i="1"/>
  <c r="BU438" i="1"/>
  <c r="BU376" i="1"/>
  <c r="BU404" i="1"/>
  <c r="BU401" i="1"/>
  <c r="BU471" i="1"/>
  <c r="BU399" i="1"/>
  <c r="BU364" i="1"/>
  <c r="BU384" i="1"/>
  <c r="BU273" i="1"/>
  <c r="BU393" i="1"/>
  <c r="BU343" i="1"/>
  <c r="BU443" i="1"/>
  <c r="BU434" i="1"/>
  <c r="BU437" i="1"/>
  <c r="BD417" i="1"/>
  <c r="BD226" i="1"/>
  <c r="BD229" i="1"/>
  <c r="BD105" i="1"/>
  <c r="BD462" i="1"/>
  <c r="BD169" i="1"/>
  <c r="BD75" i="1"/>
  <c r="BD483" i="1"/>
  <c r="BD465" i="1"/>
  <c r="BD379" i="1"/>
  <c r="BD418" i="1"/>
  <c r="BD464" i="1"/>
  <c r="BD428" i="1"/>
  <c r="BD298" i="1"/>
  <c r="BD353" i="1"/>
  <c r="BD253" i="1"/>
  <c r="BD221" i="1"/>
  <c r="BD175" i="1"/>
  <c r="BD56" i="1"/>
  <c r="BD450" i="1"/>
  <c r="BD242" i="1"/>
  <c r="BD334" i="1"/>
  <c r="BD157" i="1"/>
  <c r="BD87" i="1"/>
  <c r="BD280" i="1"/>
  <c r="BD315" i="1"/>
  <c r="BD202" i="1"/>
  <c r="BD426" i="1"/>
  <c r="BD297" i="1"/>
  <c r="BD225" i="1"/>
  <c r="BD58" i="1"/>
  <c r="BD101" i="1"/>
  <c r="BD495" i="1"/>
  <c r="BD200" i="1"/>
  <c r="BD111" i="1"/>
  <c r="BD264" i="1"/>
  <c r="BD344" i="1"/>
  <c r="BD309" i="1"/>
  <c r="BD345" i="1"/>
  <c r="BD181" i="1"/>
  <c r="BD97" i="1"/>
  <c r="BD206" i="1"/>
  <c r="BD282" i="1"/>
  <c r="BD154" i="1"/>
  <c r="BD431" i="1"/>
  <c r="BD158" i="1"/>
  <c r="BD179" i="1"/>
  <c r="BD504" i="1"/>
  <c r="BD347" i="1"/>
  <c r="BD451" i="1"/>
  <c r="BD501" i="1"/>
  <c r="BD499" i="1"/>
  <c r="BD432" i="1"/>
  <c r="BD274" i="1"/>
  <c r="BD476" i="1"/>
  <c r="BD505" i="1"/>
  <c r="BD494" i="1"/>
  <c r="BD104" i="1"/>
  <c r="BD341" i="1"/>
  <c r="BD72" i="1"/>
  <c r="BD332" i="1"/>
  <c r="BD123" i="1"/>
  <c r="BD497" i="1"/>
  <c r="BD295" i="1"/>
  <c r="BD127" i="1"/>
  <c r="BD223" i="1"/>
  <c r="BD296" i="1"/>
  <c r="BD165" i="1"/>
  <c r="BD463" i="1"/>
  <c r="BD140" i="1"/>
  <c r="BD228" i="1"/>
  <c r="BD110" i="1"/>
  <c r="BD388" i="1"/>
  <c r="BD137" i="1"/>
  <c r="BD301" i="1"/>
  <c r="BD211" i="1"/>
  <c r="BD352" i="1"/>
  <c r="BD396" i="1"/>
  <c r="BD447" i="1"/>
  <c r="BD214" i="1"/>
  <c r="BD337" i="1"/>
  <c r="BD394" i="1"/>
  <c r="BD98" i="1"/>
  <c r="BD167" i="1"/>
  <c r="BD303" i="1"/>
  <c r="BD159" i="1"/>
  <c r="BD243" i="1"/>
  <c r="BD456" i="1"/>
  <c r="BD197" i="1"/>
  <c r="BD461" i="1"/>
  <c r="BD294" i="1"/>
  <c r="BD395" i="1"/>
  <c r="BD55" i="1"/>
  <c r="BD65" i="1"/>
  <c r="BD433" i="1"/>
  <c r="BD151" i="1"/>
  <c r="BD171" i="1"/>
  <c r="BD117" i="1"/>
  <c r="BD500" i="1"/>
  <c r="BD410" i="1"/>
  <c r="BD73" i="1"/>
  <c r="BD68" i="1"/>
  <c r="BD152" i="1"/>
  <c r="BD492" i="1"/>
  <c r="BD190" i="1"/>
  <c r="BD156" i="1"/>
  <c r="BD502" i="1"/>
  <c r="BD145" i="1"/>
  <c r="BD335" i="1"/>
  <c r="BD498" i="1"/>
  <c r="BD89" i="1"/>
  <c r="BD103" i="1"/>
  <c r="BD144" i="1"/>
  <c r="BD472" i="1"/>
  <c r="BD161" i="1"/>
  <c r="BD195" i="1"/>
  <c r="BD133" i="1"/>
  <c r="BD122" i="1"/>
  <c r="BD265" i="1"/>
  <c r="BD212" i="1"/>
  <c r="BD469" i="1"/>
  <c r="BD196" i="1"/>
  <c r="BD150" i="1"/>
  <c r="BD115" i="1"/>
  <c r="BD186" i="1"/>
  <c r="BD82" i="1"/>
  <c r="BD480" i="1"/>
  <c r="BD203" i="1"/>
  <c r="BD142" i="1"/>
  <c r="BD333" i="1"/>
  <c r="BD355" i="1"/>
  <c r="BD153" i="1"/>
  <c r="BD329" i="1"/>
  <c r="BD360" i="1"/>
  <c r="BD354" i="1"/>
  <c r="BD420" i="1"/>
  <c r="BD488" i="1"/>
  <c r="BD442" i="1"/>
  <c r="BD239" i="1"/>
  <c r="BD336" i="1"/>
  <c r="BD246" i="1"/>
  <c r="BD184" i="1"/>
  <c r="BD436" i="1"/>
  <c r="BD427" i="1"/>
  <c r="BD121" i="1"/>
  <c r="BD124" i="1"/>
  <c r="BD373" i="1"/>
  <c r="BD367" i="1"/>
  <c r="BD363" i="1"/>
  <c r="BD366" i="1"/>
  <c r="BD361" i="1"/>
  <c r="BD314" i="1"/>
  <c r="BD319" i="1"/>
  <c r="BD318" i="1"/>
  <c r="BD370" i="1"/>
  <c r="BD365" i="1"/>
  <c r="BD350" i="1"/>
  <c r="BD227" i="1"/>
  <c r="BD216" i="1"/>
  <c r="BD220" i="1"/>
  <c r="BD386" i="1"/>
  <c r="BD362" i="1"/>
  <c r="BD356" i="1"/>
  <c r="BD328" i="1"/>
  <c r="BD252" i="1"/>
  <c r="BD306" i="1"/>
  <c r="BD241" i="1"/>
  <c r="BD358" i="1"/>
  <c r="BD160" i="1"/>
  <c r="BD286" i="1"/>
  <c r="BD231" i="1"/>
  <c r="BD452" i="1"/>
  <c r="BD20" i="1"/>
  <c r="BD50" i="1"/>
  <c r="BD37" i="1"/>
  <c r="BD441" i="1"/>
  <c r="BD26" i="1"/>
  <c r="BD24" i="1"/>
  <c r="BD424" i="1"/>
  <c r="BD39" i="1"/>
  <c r="BD53" i="1"/>
  <c r="BD445" i="1"/>
  <c r="BD61" i="1"/>
  <c r="BD12" i="1"/>
  <c r="BD49" i="1"/>
  <c r="BD36" i="1"/>
  <c r="BD54" i="1"/>
  <c r="BD382" i="1"/>
  <c r="BD331" i="1"/>
  <c r="BD349" i="1"/>
  <c r="BD27" i="1"/>
  <c r="BD279" i="1"/>
  <c r="BD16" i="1"/>
  <c r="BD13" i="1"/>
  <c r="BD299" i="1"/>
  <c r="BD247" i="1"/>
  <c r="BD42" i="1"/>
  <c r="BD47" i="1"/>
  <c r="BD28" i="1"/>
  <c r="BD22" i="1"/>
  <c r="BD285" i="1"/>
  <c r="BD5" i="1"/>
  <c r="BD385" i="1"/>
  <c r="BD21" i="1"/>
  <c r="BD40" i="1"/>
  <c r="BD389" i="1"/>
  <c r="BD368" i="1"/>
  <c r="BD340" i="1"/>
  <c r="BD46" i="1"/>
  <c r="BD302" i="1"/>
  <c r="BD473" i="1"/>
  <c r="BD250" i="1"/>
  <c r="BD235" i="1"/>
  <c r="BD138" i="1"/>
  <c r="BD262" i="1"/>
  <c r="BD189" i="1"/>
  <c r="BD258" i="1"/>
  <c r="BD330" i="1"/>
  <c r="BD316" i="1"/>
  <c r="BD210" i="1"/>
  <c r="BD93" i="1"/>
  <c r="BD327" i="1"/>
  <c r="BD390" i="1"/>
  <c r="BD339" i="1"/>
  <c r="BD63" i="1"/>
  <c r="BD351" i="1"/>
  <c r="BD326" i="1"/>
  <c r="BD304" i="1"/>
  <c r="BD346" i="1"/>
  <c r="BD310" i="1"/>
  <c r="BD268" i="1"/>
  <c r="BD92" i="1"/>
  <c r="BD107" i="1"/>
  <c r="BD305" i="1"/>
  <c r="BD112" i="1"/>
  <c r="BD307" i="1"/>
  <c r="BD276" i="1"/>
  <c r="BD245" i="1"/>
  <c r="BD244" i="1"/>
  <c r="BD130" i="1"/>
  <c r="BD324" i="1"/>
  <c r="BD135" i="1"/>
  <c r="BD387" i="1"/>
  <c r="BD148" i="1"/>
  <c r="BD383" i="1"/>
  <c r="BD490" i="1"/>
  <c r="BD323" i="1"/>
  <c r="BD438" i="1"/>
  <c r="BD376" i="1"/>
  <c r="BD149" i="1"/>
  <c r="BD99" i="1"/>
  <c r="BD321" i="1"/>
  <c r="BD400" i="1"/>
  <c r="BD402" i="1"/>
  <c r="BD260" i="1"/>
  <c r="BD471" i="1"/>
  <c r="BD163" i="1"/>
  <c r="BD205" i="1"/>
  <c r="BD364" i="1"/>
  <c r="BD234" i="1"/>
  <c r="BD187" i="1"/>
  <c r="BD384" i="1"/>
  <c r="BD343" i="1"/>
  <c r="BD406" i="1"/>
  <c r="BD322" i="1"/>
  <c r="BD291" i="1"/>
  <c r="BD287" i="1"/>
  <c r="BD259" i="1"/>
  <c r="BD255" i="1"/>
  <c r="BD194" i="1"/>
  <c r="BD201" i="1"/>
  <c r="BD102" i="1"/>
  <c r="BD421" i="1"/>
  <c r="BD479" i="1"/>
  <c r="BD88" i="1"/>
  <c r="BD86" i="1"/>
  <c r="BD489" i="1"/>
  <c r="BD79" i="1"/>
  <c r="BD84" i="1"/>
  <c r="BD440" i="1"/>
  <c r="BD77" i="1"/>
  <c r="BD76" i="1"/>
  <c r="BD484" i="1"/>
  <c r="BD69" i="1"/>
  <c r="BD71" i="1"/>
  <c r="BD143" i="1"/>
  <c r="BD270" i="1"/>
  <c r="BD444" i="1"/>
  <c r="BD434" i="1"/>
  <c r="BD263" i="1"/>
  <c r="BD174" i="1"/>
  <c r="BD147" i="1"/>
  <c r="BD236" i="1"/>
  <c r="BD437" i="1"/>
  <c r="BD215" i="1"/>
  <c r="BD177" i="1"/>
  <c r="BD348" i="1"/>
  <c r="BD466" i="1"/>
  <c r="BD271" i="1"/>
  <c r="BD256" i="1"/>
  <c r="BD134" i="1"/>
  <c r="BD173" i="1"/>
  <c r="BD168" i="1"/>
  <c r="BD155" i="1"/>
  <c r="BD125" i="1"/>
  <c r="BD164" i="1"/>
  <c r="BD131" i="1"/>
  <c r="BD114" i="1"/>
  <c r="BD204" i="1"/>
  <c r="BD453" i="1"/>
  <c r="BD33" i="1"/>
  <c r="BD439" i="1"/>
  <c r="BD435" i="1"/>
  <c r="BD9" i="1"/>
  <c r="BD468" i="1"/>
  <c r="BD429" i="1"/>
  <c r="AQ417" i="1"/>
  <c r="BC417" i="1" s="1"/>
  <c r="AQ67" i="1"/>
  <c r="BC67" i="1" s="1"/>
  <c r="BD67" i="1" s="1"/>
  <c r="AQ226" i="1"/>
  <c r="BC226" i="1" s="1"/>
  <c r="AQ105" i="1"/>
  <c r="BC105" i="1" s="1"/>
  <c r="AQ462" i="1"/>
  <c r="BC462" i="1" s="1"/>
  <c r="AQ218" i="1"/>
  <c r="BC218" i="1" s="1"/>
  <c r="BD218" i="1" s="1"/>
  <c r="AQ75" i="1"/>
  <c r="BC75" i="1" s="1"/>
  <c r="AQ486" i="1"/>
  <c r="BC486" i="1" s="1"/>
  <c r="BD486" i="1" s="1"/>
  <c r="AQ483" i="1"/>
  <c r="BC483" i="1" s="1"/>
  <c r="AQ465" i="1"/>
  <c r="BC465" i="1" s="1"/>
  <c r="AQ379" i="1"/>
  <c r="BC379" i="1" s="1"/>
  <c r="AQ64" i="1"/>
  <c r="BC64" i="1" s="1"/>
  <c r="BD64" i="1" s="1"/>
  <c r="AQ207" i="1"/>
  <c r="BC207" i="1" s="1"/>
  <c r="BD207" i="1" s="1"/>
  <c r="AQ418" i="1"/>
  <c r="BC418" i="1" s="1"/>
  <c r="AQ460" i="1"/>
  <c r="BC460" i="1" s="1"/>
  <c r="BD460" i="1" s="1"/>
  <c r="AQ464" i="1"/>
  <c r="BC464" i="1" s="1"/>
  <c r="AQ428" i="1"/>
  <c r="BC428" i="1" s="1"/>
  <c r="AQ298" i="1"/>
  <c r="BC298" i="1" s="1"/>
  <c r="AQ353" i="1"/>
  <c r="BC353" i="1" s="1"/>
  <c r="AQ253" i="1"/>
  <c r="BC253" i="1" s="1"/>
  <c r="AQ221" i="1"/>
  <c r="BC221" i="1" s="1"/>
  <c r="AQ175" i="1"/>
  <c r="BC175" i="1" s="1"/>
  <c r="AQ56" i="1"/>
  <c r="BC56" i="1" s="1"/>
  <c r="AQ448" i="1"/>
  <c r="BC448" i="1" s="1"/>
  <c r="BD448" i="1" s="1"/>
  <c r="AQ450" i="1"/>
  <c r="BC450" i="1" s="1"/>
  <c r="AQ272" i="1"/>
  <c r="BC272" i="1" s="1"/>
  <c r="BD272" i="1" s="1"/>
  <c r="AQ242" i="1"/>
  <c r="BC242" i="1" s="1"/>
  <c r="AQ334" i="1"/>
  <c r="BC334" i="1" s="1"/>
  <c r="AQ157" i="1"/>
  <c r="BC157" i="1" s="1"/>
  <c r="AQ240" i="1"/>
  <c r="BC240" i="1" s="1"/>
  <c r="BD240" i="1" s="1"/>
  <c r="AQ87" i="1"/>
  <c r="BC87" i="1" s="1"/>
  <c r="AQ280" i="1"/>
  <c r="BC280" i="1" s="1"/>
  <c r="AQ141" i="1"/>
  <c r="BC141" i="1" s="1"/>
  <c r="BD141" i="1" s="1"/>
  <c r="AQ315" i="1"/>
  <c r="BC315" i="1" s="1"/>
  <c r="AQ202" i="1"/>
  <c r="BC202" i="1" s="1"/>
  <c r="AQ405" i="1"/>
  <c r="BC405" i="1" s="1"/>
  <c r="BD405" i="1" s="1"/>
  <c r="AQ426" i="1"/>
  <c r="BC426" i="1" s="1"/>
  <c r="AQ183" i="1"/>
  <c r="BC183" i="1" s="1"/>
  <c r="BD183" i="1" s="1"/>
  <c r="AQ485" i="1"/>
  <c r="BC485" i="1" s="1"/>
  <c r="BD485" i="1" s="1"/>
  <c r="AQ297" i="1"/>
  <c r="BC297" i="1" s="1"/>
  <c r="AQ58" i="1"/>
  <c r="BC58" i="1" s="1"/>
  <c r="AQ101" i="1"/>
  <c r="BC101" i="1" s="1"/>
  <c r="AQ495" i="1"/>
  <c r="BC495" i="1" s="1"/>
  <c r="AQ200" i="1"/>
  <c r="BC200" i="1" s="1"/>
  <c r="AQ111" i="1"/>
  <c r="BC111" i="1" s="1"/>
  <c r="AQ136" i="1"/>
  <c r="BC136" i="1" s="1"/>
  <c r="BD136" i="1" s="1"/>
  <c r="AQ264" i="1"/>
  <c r="BC264" i="1" s="1"/>
  <c r="AQ344" i="1"/>
  <c r="BC344" i="1" s="1"/>
  <c r="AQ411" i="1"/>
  <c r="BC411" i="1" s="1"/>
  <c r="BD411" i="1" s="1"/>
  <c r="AQ309" i="1"/>
  <c r="BC309" i="1" s="1"/>
  <c r="AQ345" i="1"/>
  <c r="BC345" i="1" s="1"/>
  <c r="AQ181" i="1"/>
  <c r="BC181" i="1" s="1"/>
  <c r="AQ97" i="1"/>
  <c r="BC97" i="1" s="1"/>
  <c r="AQ206" i="1"/>
  <c r="BC206" i="1" s="1"/>
  <c r="AQ154" i="1"/>
  <c r="BC154" i="1" s="1"/>
  <c r="AQ431" i="1"/>
  <c r="BC431" i="1" s="1"/>
  <c r="AQ459" i="1"/>
  <c r="BC459" i="1" s="1"/>
  <c r="BD459" i="1" s="1"/>
  <c r="AQ158" i="1"/>
  <c r="BC158" i="1" s="1"/>
  <c r="AQ278" i="1"/>
  <c r="BC278" i="1" s="1"/>
  <c r="BD278" i="1" s="1"/>
  <c r="AQ179" i="1"/>
  <c r="BC179" i="1" s="1"/>
  <c r="AQ504" i="1"/>
  <c r="BC504" i="1" s="1"/>
  <c r="AQ347" i="1"/>
  <c r="BC347" i="1" s="1"/>
  <c r="AQ451" i="1"/>
  <c r="BC451" i="1" s="1"/>
  <c r="AQ501" i="1"/>
  <c r="BC501" i="1" s="1"/>
  <c r="AQ432" i="1"/>
  <c r="BC432" i="1" s="1"/>
  <c r="AQ274" i="1"/>
  <c r="BC274" i="1" s="1"/>
  <c r="AQ503" i="1"/>
  <c r="BC503" i="1" s="1"/>
  <c r="BD503" i="1" s="1"/>
  <c r="AQ476" i="1"/>
  <c r="BC476" i="1" s="1"/>
  <c r="AQ191" i="1"/>
  <c r="BC191" i="1" s="1"/>
  <c r="BD191" i="1" s="1"/>
  <c r="AQ494" i="1"/>
  <c r="BC494" i="1" s="1"/>
  <c r="AQ104" i="1"/>
  <c r="BC104" i="1" s="1"/>
  <c r="AQ493" i="1"/>
  <c r="BC493" i="1" s="1"/>
  <c r="BD493" i="1" s="1"/>
  <c r="AQ341" i="1"/>
  <c r="BC341" i="1" s="1"/>
  <c r="AQ72" i="1"/>
  <c r="BC72" i="1" s="1"/>
  <c r="AQ123" i="1"/>
  <c r="BC123" i="1" s="1"/>
  <c r="AQ413" i="1"/>
  <c r="BC413" i="1" s="1"/>
  <c r="BD413" i="1" s="1"/>
  <c r="AQ497" i="1"/>
  <c r="BC497" i="1" s="1"/>
  <c r="AQ295" i="1"/>
  <c r="BC295" i="1" s="1"/>
  <c r="AQ127" i="1"/>
  <c r="BC127" i="1" s="1"/>
  <c r="AQ223" i="1"/>
  <c r="BC223" i="1" s="1"/>
  <c r="AQ296" i="1"/>
  <c r="BC296" i="1" s="1"/>
  <c r="AQ165" i="1"/>
  <c r="BC165" i="1" s="1"/>
  <c r="AQ463" i="1"/>
  <c r="BC463" i="1" s="1"/>
  <c r="AQ170" i="1"/>
  <c r="BC170" i="1" s="1"/>
  <c r="BD170" i="1" s="1"/>
  <c r="AQ228" i="1"/>
  <c r="BC228" i="1" s="1"/>
  <c r="AQ110" i="1"/>
  <c r="BC110" i="1" s="1"/>
  <c r="AQ388" i="1"/>
  <c r="BC388" i="1" s="1"/>
  <c r="AQ137" i="1"/>
  <c r="BC137" i="1" s="1"/>
  <c r="AQ119" i="1"/>
  <c r="BC119" i="1" s="1"/>
  <c r="BD119" i="1" s="1"/>
  <c r="AQ301" i="1"/>
  <c r="BC301" i="1" s="1"/>
  <c r="AQ308" i="1"/>
  <c r="BC308" i="1" s="1"/>
  <c r="BD308" i="1" s="1"/>
  <c r="AQ211" i="1"/>
  <c r="BC211" i="1" s="1"/>
  <c r="AQ352" i="1"/>
  <c r="BC352" i="1" s="1"/>
  <c r="AQ396" i="1"/>
  <c r="BC396" i="1" s="1"/>
  <c r="AQ447" i="1"/>
  <c r="BC447" i="1" s="1"/>
  <c r="AQ214" i="1"/>
  <c r="BC214" i="1" s="1"/>
  <c r="AQ337" i="1"/>
  <c r="BC337" i="1" s="1"/>
  <c r="AQ394" i="1"/>
  <c r="BC394" i="1" s="1"/>
  <c r="AQ98" i="1"/>
  <c r="BC98" i="1" s="1"/>
  <c r="AQ167" i="1"/>
  <c r="BC167" i="1" s="1"/>
  <c r="AQ303" i="1"/>
  <c r="BC303" i="1" s="1"/>
  <c r="AQ159" i="1"/>
  <c r="BC159" i="1" s="1"/>
  <c r="AQ243" i="1"/>
  <c r="BC243" i="1" s="1"/>
  <c r="AQ197" i="1"/>
  <c r="BC197" i="1" s="1"/>
  <c r="AQ398" i="1"/>
  <c r="BC398" i="1" s="1"/>
  <c r="BD398" i="1" s="1"/>
  <c r="AQ408" i="1"/>
  <c r="BC408" i="1" s="1"/>
  <c r="BD408" i="1" s="1"/>
  <c r="AQ461" i="1"/>
  <c r="BC461" i="1" s="1"/>
  <c r="AQ294" i="1"/>
  <c r="BC294" i="1" s="1"/>
  <c r="AQ395" i="1"/>
  <c r="BC395" i="1" s="1"/>
  <c r="AQ230" i="1"/>
  <c r="BC230" i="1" s="1"/>
  <c r="BD230" i="1" s="1"/>
  <c r="AQ198" i="1"/>
  <c r="BC198" i="1" s="1"/>
  <c r="BD198" i="1" s="1"/>
  <c r="AQ188" i="1"/>
  <c r="BC188" i="1" s="1"/>
  <c r="BD188" i="1" s="1"/>
  <c r="AQ312" i="1"/>
  <c r="BC312" i="1" s="1"/>
  <c r="BD312" i="1" s="1"/>
  <c r="AQ65" i="1"/>
  <c r="BC65" i="1" s="1"/>
  <c r="AQ433" i="1"/>
  <c r="BC433" i="1" s="1"/>
  <c r="AQ425" i="1"/>
  <c r="BC425" i="1" s="1"/>
  <c r="BD425" i="1" s="1"/>
  <c r="AQ171" i="1"/>
  <c r="BC171" i="1" s="1"/>
  <c r="AQ117" i="1"/>
  <c r="BC117" i="1" s="1"/>
  <c r="AQ500" i="1"/>
  <c r="BC500" i="1" s="1"/>
  <c r="AQ446" i="1"/>
  <c r="BC446" i="1" s="1"/>
  <c r="BD446" i="1" s="1"/>
  <c r="AQ410" i="1"/>
  <c r="BC410" i="1" s="1"/>
  <c r="AQ73" i="1"/>
  <c r="BC73" i="1" s="1"/>
  <c r="AQ68" i="1"/>
  <c r="BC68" i="1" s="1"/>
  <c r="AQ152" i="1"/>
  <c r="BC152" i="1" s="1"/>
  <c r="AQ190" i="1"/>
  <c r="BC190" i="1" s="1"/>
  <c r="AQ266" i="1"/>
  <c r="BC266" i="1" s="1"/>
  <c r="BD266" i="1" s="1"/>
  <c r="AQ156" i="1"/>
  <c r="BC156" i="1" s="1"/>
  <c r="AQ502" i="1"/>
  <c r="BC502" i="1" s="1"/>
  <c r="AQ145" i="1"/>
  <c r="BC145" i="1" s="1"/>
  <c r="AQ335" i="1"/>
  <c r="BC335" i="1" s="1"/>
  <c r="AQ498" i="1"/>
  <c r="BC498" i="1" s="1"/>
  <c r="AQ422" i="1"/>
  <c r="BC422" i="1" s="1"/>
  <c r="BD422" i="1" s="1"/>
  <c r="AQ89" i="1"/>
  <c r="BC89" i="1" s="1"/>
  <c r="AQ103" i="1"/>
  <c r="BC103" i="1" s="1"/>
  <c r="AQ144" i="1"/>
  <c r="BC144" i="1" s="1"/>
  <c r="AQ472" i="1"/>
  <c r="BC472" i="1" s="1"/>
  <c r="AQ161" i="1"/>
  <c r="BC161" i="1" s="1"/>
  <c r="AQ195" i="1"/>
  <c r="BC195" i="1" s="1"/>
  <c r="AQ133" i="1"/>
  <c r="BC133" i="1" s="1"/>
  <c r="AQ122" i="1"/>
  <c r="BC122" i="1" s="1"/>
  <c r="AQ265" i="1"/>
  <c r="BC265" i="1" s="1"/>
  <c r="AQ212" i="1"/>
  <c r="BC212" i="1" s="1"/>
  <c r="AQ469" i="1"/>
  <c r="BC469" i="1" s="1"/>
  <c r="AQ196" i="1"/>
  <c r="BC196" i="1" s="1"/>
  <c r="AQ217" i="1"/>
  <c r="BC217" i="1" s="1"/>
  <c r="BD217" i="1" s="1"/>
  <c r="AQ128" i="1"/>
  <c r="BC128" i="1" s="1"/>
  <c r="BD128" i="1" s="1"/>
  <c r="AQ412" i="1"/>
  <c r="BC412" i="1" s="1"/>
  <c r="BD412" i="1" s="1"/>
  <c r="AQ150" i="1"/>
  <c r="BC150" i="1" s="1"/>
  <c r="AQ115" i="1"/>
  <c r="BC115" i="1" s="1"/>
  <c r="AQ193" i="1"/>
  <c r="BC193" i="1" s="1"/>
  <c r="BD193" i="1" s="1"/>
  <c r="AQ186" i="1"/>
  <c r="BC186" i="1" s="1"/>
  <c r="AQ82" i="1"/>
  <c r="BC82" i="1" s="1"/>
  <c r="AQ248" i="1"/>
  <c r="BC248" i="1" s="1"/>
  <c r="BD248" i="1" s="1"/>
  <c r="AQ480" i="1"/>
  <c r="BC480" i="1" s="1"/>
  <c r="AQ203" i="1"/>
  <c r="BC203" i="1" s="1"/>
  <c r="AQ333" i="1"/>
  <c r="BC333" i="1" s="1"/>
  <c r="AQ355" i="1"/>
  <c r="BC355" i="1" s="1"/>
  <c r="AQ283" i="1"/>
  <c r="BC283" i="1" s="1"/>
  <c r="BD283" i="1" s="1"/>
  <c r="AQ329" i="1"/>
  <c r="BC329" i="1" s="1"/>
  <c r="AQ360" i="1"/>
  <c r="BC360" i="1" s="1"/>
  <c r="AQ354" i="1"/>
  <c r="BC354" i="1" s="1"/>
  <c r="AQ420" i="1"/>
  <c r="BC420" i="1" s="1"/>
  <c r="AQ488" i="1"/>
  <c r="BC488" i="1" s="1"/>
  <c r="AQ442" i="1"/>
  <c r="BC442" i="1" s="1"/>
  <c r="AQ458" i="1"/>
  <c r="BC458" i="1" s="1"/>
  <c r="BD458" i="1" s="1"/>
  <c r="AQ246" i="1"/>
  <c r="BC246" i="1" s="1"/>
  <c r="AQ436" i="1"/>
  <c r="BC436" i="1" s="1"/>
  <c r="AQ414" i="1"/>
  <c r="BC414" i="1" s="1"/>
  <c r="BD414" i="1" s="1"/>
  <c r="AQ178" i="1"/>
  <c r="BC178" i="1" s="1"/>
  <c r="BD178" i="1" s="1"/>
  <c r="AQ121" i="1"/>
  <c r="BC121" i="1" s="1"/>
  <c r="AQ124" i="1"/>
  <c r="BC124" i="1" s="1"/>
  <c r="AQ375" i="1"/>
  <c r="BC375" i="1" s="1"/>
  <c r="BD375" i="1" s="1"/>
  <c r="AQ381" i="1"/>
  <c r="BC381" i="1" s="1"/>
  <c r="BD381" i="1" s="1"/>
  <c r="AQ363" i="1"/>
  <c r="BC363" i="1" s="1"/>
  <c r="AQ366" i="1"/>
  <c r="BC366" i="1" s="1"/>
  <c r="AQ371" i="1"/>
  <c r="BC371" i="1" s="1"/>
  <c r="BD371" i="1" s="1"/>
  <c r="AQ380" i="1"/>
  <c r="BC380" i="1" s="1"/>
  <c r="BD380" i="1" s="1"/>
  <c r="AQ361" i="1"/>
  <c r="BC361" i="1" s="1"/>
  <c r="AQ318" i="1"/>
  <c r="BC318" i="1" s="1"/>
  <c r="AQ378" i="1"/>
  <c r="BC378" i="1" s="1"/>
  <c r="BD378" i="1" s="1"/>
  <c r="AQ370" i="1"/>
  <c r="BC370" i="1" s="1"/>
  <c r="AQ365" i="1"/>
  <c r="BC365" i="1" s="1"/>
  <c r="AQ227" i="1"/>
  <c r="BC227" i="1" s="1"/>
  <c r="AQ216" i="1"/>
  <c r="BC216" i="1" s="1"/>
  <c r="AQ220" i="1"/>
  <c r="BC220" i="1" s="1"/>
  <c r="AQ386" i="1"/>
  <c r="BC386" i="1" s="1"/>
  <c r="AQ362" i="1"/>
  <c r="BC362" i="1" s="1"/>
  <c r="AQ356" i="1"/>
  <c r="BC356" i="1" s="1"/>
  <c r="AQ328" i="1"/>
  <c r="BC328" i="1" s="1"/>
  <c r="AQ249" i="1"/>
  <c r="BC249" i="1" s="1"/>
  <c r="BD249" i="1" s="1"/>
  <c r="AQ252" i="1"/>
  <c r="BC252" i="1" s="1"/>
  <c r="AQ199" i="1"/>
  <c r="BC199" i="1" s="1"/>
  <c r="BD199" i="1" s="1"/>
  <c r="AQ241" i="1"/>
  <c r="BC241" i="1" s="1"/>
  <c r="AQ358" i="1"/>
  <c r="BC358" i="1" s="1"/>
  <c r="AQ118" i="1"/>
  <c r="BC118" i="1" s="1"/>
  <c r="BD118" i="1" s="1"/>
  <c r="AQ62" i="1"/>
  <c r="BC62" i="1" s="1"/>
  <c r="BD62" i="1" s="1"/>
  <c r="AQ286" i="1"/>
  <c r="BC286" i="1" s="1"/>
  <c r="AQ261" i="1"/>
  <c r="BC261" i="1" s="1"/>
  <c r="BD261" i="1" s="1"/>
  <c r="AQ231" i="1"/>
  <c r="BC231" i="1" s="1"/>
  <c r="AQ452" i="1"/>
  <c r="BC452" i="1" s="1"/>
  <c r="AQ25" i="1"/>
  <c r="BC25" i="1" s="1"/>
  <c r="BD25" i="1" s="1"/>
  <c r="AQ20" i="1"/>
  <c r="BC20" i="1" s="1"/>
  <c r="AQ14" i="1"/>
  <c r="BC14" i="1" s="1"/>
  <c r="BD14" i="1" s="1"/>
  <c r="AQ48" i="1"/>
  <c r="BC48" i="1" s="1"/>
  <c r="BD48" i="1" s="1"/>
  <c r="AQ50" i="1"/>
  <c r="BC50" i="1" s="1"/>
  <c r="AQ37" i="1"/>
  <c r="BC37" i="1" s="1"/>
  <c r="AQ441" i="1"/>
  <c r="BC441" i="1" s="1"/>
  <c r="AQ26" i="1"/>
  <c r="BC26" i="1" s="1"/>
  <c r="AQ24" i="1"/>
  <c r="BC24" i="1" s="1"/>
  <c r="AQ424" i="1"/>
  <c r="BC424" i="1" s="1"/>
  <c r="AQ53" i="1"/>
  <c r="BC53" i="1" s="1"/>
  <c r="AQ445" i="1"/>
  <c r="BC445" i="1" s="1"/>
  <c r="AQ61" i="1"/>
  <c r="BC61" i="1" s="1"/>
  <c r="AQ12" i="1"/>
  <c r="BC12" i="1" s="1"/>
  <c r="AQ18" i="1"/>
  <c r="BC18" i="1" s="1"/>
  <c r="BD18" i="1" s="1"/>
  <c r="AQ54" i="1"/>
  <c r="BC54" i="1" s="1"/>
  <c r="AQ52" i="1"/>
  <c r="BC52" i="1" s="1"/>
  <c r="BD52" i="1" s="1"/>
  <c r="AQ382" i="1"/>
  <c r="BC382" i="1" s="1"/>
  <c r="AQ45" i="1"/>
  <c r="BC45" i="1" s="1"/>
  <c r="BD45" i="1" s="1"/>
  <c r="AQ331" i="1"/>
  <c r="BC331" i="1" s="1"/>
  <c r="AQ325" i="1"/>
  <c r="BC325" i="1" s="1"/>
  <c r="BD325" i="1" s="1"/>
  <c r="AQ313" i="1"/>
  <c r="BC313" i="1" s="1"/>
  <c r="BD313" i="1" s="1"/>
  <c r="AQ32" i="1"/>
  <c r="BC32" i="1" s="1"/>
  <c r="BD32" i="1" s="1"/>
  <c r="AQ349" i="1"/>
  <c r="BC349" i="1" s="1"/>
  <c r="AQ27" i="1"/>
  <c r="BC27" i="1" s="1"/>
  <c r="AQ279" i="1"/>
  <c r="BC279" i="1" s="1"/>
  <c r="AQ19" i="1"/>
  <c r="BC19" i="1" s="1"/>
  <c r="BD19" i="1" s="1"/>
  <c r="AQ16" i="1"/>
  <c r="BC16" i="1" s="1"/>
  <c r="AQ13" i="1"/>
  <c r="BC13" i="1" s="1"/>
  <c r="AQ2" i="1"/>
  <c r="BC2" i="1" s="1"/>
  <c r="BD2" i="1" s="1"/>
  <c r="AQ247" i="1"/>
  <c r="BC247" i="1" s="1"/>
  <c r="AQ415" i="1"/>
  <c r="BC415" i="1" s="1"/>
  <c r="BD415" i="1" s="1"/>
  <c r="AQ47" i="1"/>
  <c r="BC47" i="1" s="1"/>
  <c r="AQ28" i="1"/>
  <c r="BC28" i="1" s="1"/>
  <c r="AQ22" i="1"/>
  <c r="BC22" i="1" s="1"/>
  <c r="AQ285" i="1"/>
  <c r="BC285" i="1" s="1"/>
  <c r="AQ5" i="1"/>
  <c r="BC5" i="1" s="1"/>
  <c r="AQ3" i="1"/>
  <c r="BC3" i="1" s="1"/>
  <c r="BD3" i="1" s="1"/>
  <c r="AQ113" i="1"/>
  <c r="BC113" i="1" s="1"/>
  <c r="BD113" i="1" s="1"/>
  <c r="AQ21" i="1"/>
  <c r="BC21" i="1" s="1"/>
  <c r="AQ17" i="1"/>
  <c r="BC17" i="1" s="1"/>
  <c r="BD17" i="1" s="1"/>
  <c r="AQ40" i="1"/>
  <c r="BC40" i="1" s="1"/>
  <c r="AQ389" i="1"/>
  <c r="BC389" i="1" s="1"/>
  <c r="AQ368" i="1"/>
  <c r="BC368" i="1" s="1"/>
  <c r="AQ340" i="1"/>
  <c r="BC340" i="1" s="1"/>
  <c r="AQ46" i="1"/>
  <c r="BC46" i="1" s="1"/>
  <c r="AQ302" i="1"/>
  <c r="BC302" i="1" s="1"/>
  <c r="AQ250" i="1"/>
  <c r="BC250" i="1" s="1"/>
  <c r="AQ235" i="1"/>
  <c r="BC235" i="1" s="1"/>
  <c r="AQ95" i="1"/>
  <c r="BC95" i="1" s="1"/>
  <c r="BD95" i="1" s="1"/>
  <c r="AQ91" i="1"/>
  <c r="BC91" i="1" s="1"/>
  <c r="BD91" i="1" s="1"/>
  <c r="AQ138" i="1"/>
  <c r="BC138" i="1" s="1"/>
  <c r="AQ189" i="1"/>
  <c r="BC189" i="1" s="1"/>
  <c r="AQ377" i="1"/>
  <c r="BC377" i="1" s="1"/>
  <c r="BD377" i="1" s="1"/>
  <c r="AQ258" i="1"/>
  <c r="BC258" i="1" s="1"/>
  <c r="AQ330" i="1"/>
  <c r="BC330" i="1" s="1"/>
  <c r="AQ316" i="1"/>
  <c r="BC316" i="1" s="1"/>
  <c r="AQ210" i="1"/>
  <c r="BC210" i="1" s="1"/>
  <c r="AQ93" i="1"/>
  <c r="BC93" i="1" s="1"/>
  <c r="AQ391" i="1"/>
  <c r="BC391" i="1" s="1"/>
  <c r="BD391" i="1" s="1"/>
  <c r="AQ94" i="1"/>
  <c r="BC94" i="1" s="1"/>
  <c r="BD94" i="1" s="1"/>
  <c r="AQ327" i="1"/>
  <c r="BC327" i="1" s="1"/>
  <c r="AQ390" i="1"/>
  <c r="BC390" i="1" s="1"/>
  <c r="AQ339" i="1"/>
  <c r="BC339" i="1" s="1"/>
  <c r="AQ63" i="1"/>
  <c r="BC63" i="1" s="1"/>
  <c r="AQ351" i="1"/>
  <c r="BC351" i="1" s="1"/>
  <c r="AQ326" i="1"/>
  <c r="BC326" i="1" s="1"/>
  <c r="AQ304" i="1"/>
  <c r="BC304" i="1" s="1"/>
  <c r="AQ311" i="1"/>
  <c r="BC311" i="1" s="1"/>
  <c r="BD311" i="1" s="1"/>
  <c r="AQ346" i="1"/>
  <c r="BC346" i="1" s="1"/>
  <c r="AQ310" i="1"/>
  <c r="BC310" i="1" s="1"/>
  <c r="AQ268" i="1"/>
  <c r="BC268" i="1" s="1"/>
  <c r="AQ92" i="1"/>
  <c r="BC92" i="1" s="1"/>
  <c r="AQ107" i="1"/>
  <c r="BC107" i="1" s="1"/>
  <c r="AQ305" i="1"/>
  <c r="BC305" i="1" s="1"/>
  <c r="AQ112" i="1"/>
  <c r="BC112" i="1" s="1"/>
  <c r="AQ307" i="1"/>
  <c r="BC307" i="1" s="1"/>
  <c r="AQ276" i="1"/>
  <c r="BC276" i="1" s="1"/>
  <c r="AQ245" i="1"/>
  <c r="BC245" i="1" s="1"/>
  <c r="AQ244" i="1"/>
  <c r="BC244" i="1" s="1"/>
  <c r="AQ130" i="1"/>
  <c r="BC130" i="1" s="1"/>
  <c r="AQ324" i="1"/>
  <c r="BC324" i="1" s="1"/>
  <c r="AQ293" i="1"/>
  <c r="BC293" i="1" s="1"/>
  <c r="BD293" i="1" s="1"/>
  <c r="AQ135" i="1"/>
  <c r="BC135" i="1" s="1"/>
  <c r="AQ288" i="1"/>
  <c r="BC288" i="1" s="1"/>
  <c r="BD288" i="1" s="1"/>
  <c r="AQ162" i="1"/>
  <c r="BC162" i="1" s="1"/>
  <c r="BD162" i="1" s="1"/>
  <c r="AQ409" i="1"/>
  <c r="BC409" i="1" s="1"/>
  <c r="BD409" i="1" s="1"/>
  <c r="AQ85" i="1"/>
  <c r="BC85" i="1" s="1"/>
  <c r="BD85" i="1" s="1"/>
  <c r="AQ237" i="1"/>
  <c r="BC237" i="1" s="1"/>
  <c r="BD237" i="1" s="1"/>
  <c r="AQ57" i="1"/>
  <c r="BC57" i="1" s="1"/>
  <c r="BD57" i="1" s="1"/>
  <c r="AQ148" i="1"/>
  <c r="BC148" i="1" s="1"/>
  <c r="AQ233" i="1"/>
  <c r="BC233" i="1" s="1"/>
  <c r="BD233" i="1" s="1"/>
  <c r="AQ383" i="1"/>
  <c r="BC383" i="1" s="1"/>
  <c r="AQ490" i="1"/>
  <c r="BC490" i="1" s="1"/>
  <c r="AQ438" i="1"/>
  <c r="BC438" i="1" s="1"/>
  <c r="AQ376" i="1"/>
  <c r="BC376" i="1" s="1"/>
  <c r="AQ149" i="1"/>
  <c r="BC149" i="1" s="1"/>
  <c r="AQ99" i="1"/>
  <c r="BC99" i="1" s="1"/>
  <c r="AQ407" i="1"/>
  <c r="BC407" i="1" s="1"/>
  <c r="BD407" i="1" s="1"/>
  <c r="AQ108" i="1"/>
  <c r="BC108" i="1" s="1"/>
  <c r="BD108" i="1" s="1"/>
  <c r="AQ321" i="1"/>
  <c r="BC321" i="1" s="1"/>
  <c r="AQ404" i="1"/>
  <c r="BC404" i="1" s="1"/>
  <c r="BD404" i="1" s="1"/>
  <c r="AQ401" i="1"/>
  <c r="BC401" i="1" s="1"/>
  <c r="BD401" i="1" s="1"/>
  <c r="AQ400" i="1"/>
  <c r="BC400" i="1" s="1"/>
  <c r="AQ402" i="1"/>
  <c r="BC402" i="1" s="1"/>
  <c r="AQ397" i="1"/>
  <c r="BC397" i="1" s="1"/>
  <c r="BD397" i="1" s="1"/>
  <c r="AQ260" i="1"/>
  <c r="BC260" i="1" s="1"/>
  <c r="AQ471" i="1"/>
  <c r="BC471" i="1" s="1"/>
  <c r="AQ163" i="1"/>
  <c r="BC163" i="1" s="1"/>
  <c r="AQ205" i="1"/>
  <c r="BC205" i="1" s="1"/>
  <c r="AQ399" i="1"/>
  <c r="BC399" i="1" s="1"/>
  <c r="BD399" i="1" s="1"/>
  <c r="AQ364" i="1"/>
  <c r="BC364" i="1" s="1"/>
  <c r="AQ234" i="1"/>
  <c r="BC234" i="1" s="1"/>
  <c r="AQ222" i="1"/>
  <c r="BC222" i="1" s="1"/>
  <c r="BD222" i="1" s="1"/>
  <c r="AQ187" i="1"/>
  <c r="BC187" i="1" s="1"/>
  <c r="AQ384" i="1"/>
  <c r="BC384" i="1" s="1"/>
  <c r="AQ273" i="1"/>
  <c r="BC273" i="1" s="1"/>
  <c r="BD273" i="1" s="1"/>
  <c r="AQ139" i="1"/>
  <c r="BC139" i="1" s="1"/>
  <c r="BD139" i="1" s="1"/>
  <c r="AQ343" i="1"/>
  <c r="BC343" i="1" s="1"/>
  <c r="AQ443" i="1"/>
  <c r="BC443" i="1" s="1"/>
  <c r="BD443" i="1" s="1"/>
  <c r="AQ423" i="1"/>
  <c r="BC423" i="1" s="1"/>
  <c r="BD423" i="1" s="1"/>
  <c r="AQ406" i="1"/>
  <c r="BC406" i="1" s="1"/>
  <c r="AQ322" i="1"/>
  <c r="BC322" i="1" s="1"/>
  <c r="AQ290" i="1"/>
  <c r="BC290" i="1" s="1"/>
  <c r="BD290" i="1" s="1"/>
  <c r="AQ291" i="1"/>
  <c r="BC291" i="1" s="1"/>
  <c r="AQ34" i="1"/>
  <c r="BC34" i="1" s="1"/>
  <c r="BD34" i="1" s="1"/>
  <c r="AQ342" i="1"/>
  <c r="BC342" i="1" s="1"/>
  <c r="BD342" i="1" s="1"/>
  <c r="AQ259" i="1"/>
  <c r="BC259" i="1" s="1"/>
  <c r="AQ255" i="1"/>
  <c r="BC255" i="1" s="1"/>
  <c r="AQ194" i="1"/>
  <c r="BC194" i="1" s="1"/>
  <c r="AQ201" i="1"/>
  <c r="BC201" i="1" s="1"/>
  <c r="AQ102" i="1"/>
  <c r="BC102" i="1" s="1"/>
  <c r="AQ421" i="1"/>
  <c r="BC421" i="1" s="1"/>
  <c r="AQ403" i="1"/>
  <c r="BC403" i="1" s="1"/>
  <c r="BD403" i="1" s="1"/>
  <c r="AQ479" i="1"/>
  <c r="BC479" i="1" s="1"/>
  <c r="AQ88" i="1"/>
  <c r="BC88" i="1" s="1"/>
  <c r="AQ86" i="1"/>
  <c r="BC86" i="1" s="1"/>
  <c r="AQ81" i="1"/>
  <c r="BC81" i="1" s="1"/>
  <c r="BD81" i="1" s="1"/>
  <c r="AQ489" i="1"/>
  <c r="BC489" i="1" s="1"/>
  <c r="AQ79" i="1"/>
  <c r="BC79" i="1" s="1"/>
  <c r="AQ491" i="1"/>
  <c r="BC491" i="1" s="1"/>
  <c r="BD491" i="1" s="1"/>
  <c r="AQ83" i="1"/>
  <c r="BC83" i="1" s="1"/>
  <c r="BD83" i="1" s="1"/>
  <c r="AQ84" i="1"/>
  <c r="BC84" i="1" s="1"/>
  <c r="AQ80" i="1"/>
  <c r="BC80" i="1" s="1"/>
  <c r="BD80" i="1" s="1"/>
  <c r="AQ440" i="1"/>
  <c r="BC440" i="1" s="1"/>
  <c r="AQ78" i="1"/>
  <c r="BC78" i="1" s="1"/>
  <c r="BD78" i="1" s="1"/>
  <c r="AQ77" i="1"/>
  <c r="BC77" i="1" s="1"/>
  <c r="AQ59" i="1"/>
  <c r="BC59" i="1" s="1"/>
  <c r="BD59" i="1" s="1"/>
  <c r="AQ487" i="1"/>
  <c r="BC487" i="1" s="1"/>
  <c r="BD487" i="1" s="1"/>
  <c r="AQ484" i="1"/>
  <c r="BC484" i="1" s="1"/>
  <c r="AQ74" i="1"/>
  <c r="BC74" i="1" s="1"/>
  <c r="BD74" i="1" s="1"/>
  <c r="AQ70" i="1"/>
  <c r="BC70" i="1" s="1"/>
  <c r="BD70" i="1" s="1"/>
  <c r="AQ69" i="1"/>
  <c r="BC69" i="1" s="1"/>
  <c r="AQ71" i="1"/>
  <c r="BC71" i="1" s="1"/>
  <c r="AQ143" i="1"/>
  <c r="BC143" i="1" s="1"/>
  <c r="AQ66" i="1"/>
  <c r="BC66" i="1" s="1"/>
  <c r="BD66" i="1" s="1"/>
  <c r="AQ270" i="1"/>
  <c r="BC270" i="1" s="1"/>
  <c r="AQ444" i="1"/>
  <c r="BC444" i="1" s="1"/>
  <c r="AQ257" i="1"/>
  <c r="BC257" i="1" s="1"/>
  <c r="BD257" i="1" s="1"/>
  <c r="AQ434" i="1"/>
  <c r="BC434" i="1" s="1"/>
  <c r="AQ254" i="1"/>
  <c r="BC254" i="1" s="1"/>
  <c r="BD254" i="1" s="1"/>
  <c r="AQ263" i="1"/>
  <c r="BC263" i="1" s="1"/>
  <c r="AQ174" i="1"/>
  <c r="BC174" i="1" s="1"/>
  <c r="AQ147" i="1"/>
  <c r="BC147" i="1" s="1"/>
  <c r="AQ437" i="1"/>
  <c r="BC437" i="1" s="1"/>
  <c r="AQ215" i="1"/>
  <c r="BC215" i="1" s="1"/>
  <c r="AQ177" i="1"/>
  <c r="BC177" i="1" s="1"/>
  <c r="AQ348" i="1"/>
  <c r="BC348" i="1" s="1"/>
  <c r="AQ251" i="1"/>
  <c r="BC251" i="1" s="1"/>
  <c r="BD251" i="1" s="1"/>
  <c r="AQ238" i="1"/>
  <c r="BC238" i="1" s="1"/>
  <c r="BD238" i="1" s="1"/>
  <c r="AQ466" i="1"/>
  <c r="BC466" i="1" s="1"/>
  <c r="AQ116" i="1"/>
  <c r="BC116" i="1" s="1"/>
  <c r="BD116" i="1" s="1"/>
  <c r="AQ467" i="1"/>
  <c r="BC467" i="1" s="1"/>
  <c r="BD467" i="1" s="1"/>
  <c r="AQ44" i="1"/>
  <c r="BC44" i="1" s="1"/>
  <c r="BD44" i="1" s="1"/>
  <c r="AQ271" i="1"/>
  <c r="BC271" i="1" s="1"/>
  <c r="AQ256" i="1"/>
  <c r="BC256" i="1" s="1"/>
  <c r="AQ134" i="1"/>
  <c r="BC134" i="1" s="1"/>
  <c r="AQ168" i="1"/>
  <c r="BC168" i="1" s="1"/>
  <c r="AQ155" i="1"/>
  <c r="BC155" i="1" s="1"/>
  <c r="AQ125" i="1"/>
  <c r="BC125" i="1" s="1"/>
  <c r="AQ164" i="1"/>
  <c r="BC164" i="1" s="1"/>
  <c r="AQ131" i="1"/>
  <c r="BC131" i="1" s="1"/>
  <c r="AQ114" i="1"/>
  <c r="BC114" i="1" s="1"/>
  <c r="AQ281" i="1"/>
  <c r="BC281" i="1" s="1"/>
  <c r="BD281" i="1" s="1"/>
  <c r="AQ204" i="1"/>
  <c r="BC204" i="1" s="1"/>
  <c r="AQ478" i="1"/>
  <c r="BC478" i="1" s="1"/>
  <c r="BD478" i="1" s="1"/>
  <c r="AQ454" i="1"/>
  <c r="BC454" i="1" s="1"/>
  <c r="BD454" i="1" s="1"/>
  <c r="AQ453" i="1"/>
  <c r="BC453" i="1" s="1"/>
  <c r="AQ449" i="1"/>
  <c r="BC449" i="1" s="1"/>
  <c r="BD449" i="1" s="1"/>
  <c r="AQ33" i="1"/>
  <c r="BC33" i="1" s="1"/>
  <c r="AQ439" i="1"/>
  <c r="BC439" i="1" s="1"/>
  <c r="AQ496" i="1"/>
  <c r="BC496" i="1" s="1"/>
  <c r="BD496" i="1" s="1"/>
  <c r="AQ435" i="1"/>
  <c r="BC435" i="1" s="1"/>
  <c r="AQ9" i="1"/>
  <c r="BC9" i="1" s="1"/>
  <c r="AQ468" i="1"/>
  <c r="BC468" i="1" s="1"/>
  <c r="AQ430" i="1"/>
  <c r="BC430" i="1" s="1"/>
  <c r="BD430" i="1" s="1"/>
  <c r="AQ429" i="1"/>
  <c r="BC429" i="1" s="1"/>
  <c r="AQ6" i="1"/>
  <c r="BC6" i="1" s="1"/>
  <c r="AB67" i="1"/>
  <c r="AB226" i="1"/>
  <c r="AB338" i="1"/>
  <c r="AB229" i="1"/>
  <c r="AB105" i="1"/>
  <c r="AB462" i="1"/>
  <c r="AB218" i="1"/>
  <c r="AB169" i="1"/>
  <c r="AB75" i="1"/>
  <c r="AB486" i="1"/>
  <c r="AB483" i="1"/>
  <c r="AB465" i="1"/>
  <c r="AB379" i="1"/>
  <c r="AB64" i="1"/>
  <c r="AB482" i="1"/>
  <c r="AB418" i="1"/>
  <c r="AB460" i="1"/>
  <c r="AB464" i="1"/>
  <c r="AB428" i="1"/>
  <c r="AB298" i="1"/>
  <c r="AB353" i="1"/>
  <c r="AB253" i="1"/>
  <c r="AB221" i="1"/>
  <c r="AB175" i="1"/>
  <c r="AB56" i="1"/>
  <c r="AB448" i="1"/>
  <c r="AB450" i="1"/>
  <c r="AB120" i="1"/>
  <c r="Y120" i="1" s="1"/>
  <c r="Z120" i="1" s="1"/>
  <c r="AB272" i="1"/>
  <c r="AB334" i="1"/>
  <c r="AB157" i="1"/>
  <c r="AB87" i="1"/>
  <c r="AB280" i="1"/>
  <c r="AB141" i="1"/>
  <c r="AB315" i="1"/>
  <c r="AB202" i="1"/>
  <c r="AB405" i="1"/>
  <c r="AB426" i="1"/>
  <c r="AB183" i="1"/>
  <c r="AB485" i="1"/>
  <c r="AB297" i="1"/>
  <c r="AB225" i="1"/>
  <c r="Y225" i="1" s="1"/>
  <c r="Z225" i="1" s="1"/>
  <c r="AB58" i="1"/>
  <c r="AB101" i="1"/>
  <c r="AB495" i="1"/>
  <c r="AB200" i="1"/>
  <c r="AB111" i="1"/>
  <c r="AB136" i="1"/>
  <c r="AB264" i="1"/>
  <c r="AB411" i="1"/>
  <c r="AB309" i="1"/>
  <c r="AB345" i="1"/>
  <c r="AB97" i="1"/>
  <c r="AB206" i="1"/>
  <c r="AB282" i="1"/>
  <c r="Y282" i="1" s="1"/>
  <c r="Z282" i="1" s="1"/>
  <c r="AB154" i="1"/>
  <c r="AB431" i="1"/>
  <c r="AB459" i="1"/>
  <c r="AB158" i="1"/>
  <c r="AB278" i="1"/>
  <c r="AB179" i="1"/>
  <c r="AB504" i="1"/>
  <c r="AB347" i="1"/>
  <c r="AB451" i="1"/>
  <c r="AB501" i="1"/>
  <c r="AB499" i="1"/>
  <c r="Y499" i="1" s="1"/>
  <c r="Z499" i="1" s="1"/>
  <c r="AB432" i="1"/>
  <c r="AB274" i="1"/>
  <c r="AB503" i="1"/>
  <c r="AB505" i="1"/>
  <c r="Y505" i="1" s="1"/>
  <c r="Z505" i="1" s="1"/>
  <c r="AB191" i="1"/>
  <c r="AB104" i="1"/>
  <c r="AB493" i="1"/>
  <c r="AB341" i="1"/>
  <c r="AB72" i="1"/>
  <c r="AB332" i="1"/>
  <c r="Y332" i="1" s="1"/>
  <c r="Z332" i="1" s="1"/>
  <c r="AB413" i="1"/>
  <c r="AB497" i="1"/>
  <c r="AB295" i="1"/>
  <c r="AB223" i="1"/>
  <c r="AB296" i="1"/>
  <c r="AB165" i="1"/>
  <c r="AB170" i="1"/>
  <c r="AB140" i="1"/>
  <c r="Y140" i="1" s="1"/>
  <c r="Z140" i="1" s="1"/>
  <c r="AB228" i="1"/>
  <c r="AB110" i="1"/>
  <c r="AB388" i="1"/>
  <c r="AB137" i="1"/>
  <c r="AB119" i="1"/>
  <c r="AB301" i="1"/>
  <c r="AB308" i="1"/>
  <c r="AB352" i="1"/>
  <c r="AB396" i="1"/>
  <c r="AB447" i="1"/>
  <c r="AB214" i="1"/>
  <c r="AB337" i="1"/>
  <c r="AB394" i="1"/>
  <c r="AB98" i="1"/>
  <c r="AB303" i="1"/>
  <c r="AB159" i="1"/>
  <c r="AB243" i="1"/>
  <c r="AB197" i="1"/>
  <c r="AB398" i="1"/>
  <c r="AB408" i="1"/>
  <c r="AB461" i="1"/>
  <c r="AB294" i="1"/>
  <c r="AB395" i="1"/>
  <c r="AB230" i="1"/>
  <c r="AB198" i="1"/>
  <c r="AB188" i="1"/>
  <c r="AB312" i="1"/>
  <c r="AB65" i="1"/>
  <c r="AB433" i="1"/>
  <c r="AB425" i="1"/>
  <c r="AB151" i="1"/>
  <c r="AB171" i="1"/>
  <c r="AB117" i="1"/>
  <c r="AB500" i="1"/>
  <c r="AB446" i="1"/>
  <c r="AB410" i="1"/>
  <c r="AB73" i="1"/>
  <c r="AB68" i="1"/>
  <c r="AB152" i="1"/>
  <c r="AB190" i="1"/>
  <c r="AB266" i="1"/>
  <c r="AB502" i="1"/>
  <c r="AB335" i="1"/>
  <c r="AB498" i="1"/>
  <c r="AB422" i="1"/>
  <c r="AB89" i="1"/>
  <c r="AB144" i="1"/>
  <c r="AB472" i="1"/>
  <c r="AB161" i="1"/>
  <c r="AB195" i="1"/>
  <c r="AB133" i="1"/>
  <c r="AB122" i="1"/>
  <c r="AB265" i="1"/>
  <c r="AB212" i="1"/>
  <c r="AB469" i="1"/>
  <c r="AB196" i="1"/>
  <c r="AB217" i="1"/>
  <c r="AB128" i="1"/>
  <c r="AB412" i="1"/>
  <c r="AB150" i="1"/>
  <c r="AB115" i="1"/>
  <c r="AB193" i="1"/>
  <c r="AB186" i="1"/>
  <c r="AB82" i="1"/>
  <c r="AB248" i="1"/>
  <c r="AB480" i="1"/>
  <c r="AB142" i="1"/>
  <c r="Y142" i="1" s="1"/>
  <c r="Z142" i="1" s="1"/>
  <c r="AB333" i="1"/>
  <c r="AB355" i="1"/>
  <c r="AB283" i="1"/>
  <c r="AB153" i="1"/>
  <c r="AB329" i="1"/>
  <c r="AB360" i="1"/>
  <c r="AB354" i="1"/>
  <c r="AB420" i="1"/>
  <c r="AB488" i="1"/>
  <c r="AB442" i="1"/>
  <c r="AB458" i="1"/>
  <c r="AB246" i="1"/>
  <c r="AB184" i="1"/>
  <c r="AB436" i="1"/>
  <c r="AB414" i="1"/>
  <c r="AB178" i="1"/>
  <c r="AB121" i="1"/>
  <c r="AB124" i="1"/>
  <c r="AB375" i="1"/>
  <c r="AB381" i="1"/>
  <c r="AB373" i="1"/>
  <c r="AB367" i="1"/>
  <c r="Y367" i="1" s="1"/>
  <c r="Z367" i="1" s="1"/>
  <c r="AB363" i="1"/>
  <c r="AB366" i="1"/>
  <c r="AB371" i="1"/>
  <c r="AB374" i="1"/>
  <c r="AB380" i="1"/>
  <c r="AB361" i="1"/>
  <c r="AB314" i="1"/>
  <c r="Y314" i="1" s="1"/>
  <c r="Z314" i="1" s="1"/>
  <c r="AB319" i="1"/>
  <c r="Y319" i="1" s="1"/>
  <c r="Z319" i="1" s="1"/>
  <c r="AB318" i="1"/>
  <c r="AB372" i="1"/>
  <c r="Y372" i="1" s="1"/>
  <c r="Z372" i="1" s="1"/>
  <c r="AB378" i="1"/>
  <c r="AB370" i="1"/>
  <c r="AB365" i="1"/>
  <c r="AB350" i="1"/>
  <c r="Y350" i="1" s="1"/>
  <c r="Z350" i="1" s="1"/>
  <c r="AB227" i="1"/>
  <c r="AB216" i="1"/>
  <c r="AB220" i="1"/>
  <c r="AB386" i="1"/>
  <c r="AB362" i="1"/>
  <c r="AB356" i="1"/>
  <c r="AB328" i="1"/>
  <c r="AB249" i="1"/>
  <c r="AB252" i="1"/>
  <c r="AB199" i="1"/>
  <c r="AB241" i="1"/>
  <c r="AB358" i="1"/>
  <c r="AB160" i="1"/>
  <c r="Y160" i="1" s="1"/>
  <c r="Z160" i="1" s="1"/>
  <c r="AB62" i="1"/>
  <c r="AB286" i="1"/>
  <c r="AB261" i="1"/>
  <c r="AB231" i="1"/>
  <c r="AB208" i="1"/>
  <c r="AB457" i="1"/>
  <c r="Y457" i="1" s="1"/>
  <c r="Z457" i="1" s="1"/>
  <c r="AB455" i="1"/>
  <c r="Y455" i="1" s="1"/>
  <c r="Z455" i="1" s="1"/>
  <c r="AB452" i="1"/>
  <c r="AB25" i="1"/>
  <c r="AB20" i="1"/>
  <c r="AB14" i="1"/>
  <c r="AB48" i="1"/>
  <c r="AB50" i="1"/>
  <c r="AB37" i="1"/>
  <c r="AB35" i="1"/>
  <c r="AB441" i="1"/>
  <c r="AB26" i="1"/>
  <c r="AB24" i="1"/>
  <c r="AB424" i="1"/>
  <c r="AB53" i="1"/>
  <c r="AB445" i="1"/>
  <c r="AB38" i="1"/>
  <c r="Y38" i="1" s="1"/>
  <c r="Z38" i="1" s="1"/>
  <c r="AB61" i="1"/>
  <c r="AB7" i="1"/>
  <c r="Y7" i="1" s="1"/>
  <c r="Z7" i="1" s="1"/>
  <c r="AB18" i="1"/>
  <c r="AB49" i="1"/>
  <c r="AB54" i="1"/>
  <c r="AB382" i="1"/>
  <c r="AB45" i="1"/>
  <c r="AB331" i="1"/>
  <c r="AB325" i="1"/>
  <c r="AB313" i="1"/>
  <c r="AB32" i="1"/>
  <c r="AB349" i="1"/>
  <c r="AB27" i="1"/>
  <c r="AB279" i="1"/>
  <c r="AB19" i="1"/>
  <c r="AB13" i="1"/>
  <c r="AB2" i="1"/>
  <c r="AB299" i="1"/>
  <c r="AB247" i="1"/>
  <c r="AB47" i="1"/>
  <c r="AB28" i="1"/>
  <c r="AB22" i="1"/>
  <c r="AB11" i="1"/>
  <c r="Y11" i="1" s="1"/>
  <c r="Z11" i="1" s="1"/>
  <c r="AB232" i="1"/>
  <c r="AB285" i="1"/>
  <c r="AB5" i="1"/>
  <c r="AB113" i="1"/>
  <c r="AB385" i="1"/>
  <c r="AB21" i="1"/>
  <c r="AB17" i="1"/>
  <c r="AB40" i="1"/>
  <c r="AB4" i="1"/>
  <c r="AB389" i="1"/>
  <c r="AB368" i="1"/>
  <c r="AB340" i="1"/>
  <c r="AB46" i="1"/>
  <c r="AB302" i="1"/>
  <c r="AB473" i="1"/>
  <c r="Y473" i="1" s="1"/>
  <c r="Z473" i="1" s="1"/>
  <c r="AB250" i="1"/>
  <c r="AB235" i="1"/>
  <c r="AB95" i="1"/>
  <c r="AB91" i="1"/>
  <c r="AB138" i="1"/>
  <c r="AB262" i="1"/>
  <c r="AB189" i="1"/>
  <c r="AB377" i="1"/>
  <c r="AB258" i="1"/>
  <c r="AB330" i="1"/>
  <c r="AB316" i="1"/>
  <c r="AB210" i="1"/>
  <c r="AB93" i="1"/>
  <c r="AB391" i="1"/>
  <c r="AB94" i="1"/>
  <c r="AB327" i="1"/>
  <c r="AB390" i="1"/>
  <c r="AB339" i="1"/>
  <c r="AB63" i="1"/>
  <c r="AB351" i="1"/>
  <c r="AB326" i="1"/>
  <c r="AB304" i="1"/>
  <c r="AB311" i="1"/>
  <c r="AB310" i="1"/>
  <c r="AB268" i="1"/>
  <c r="AB92" i="1"/>
  <c r="AB107" i="1"/>
  <c r="AB305" i="1"/>
  <c r="AB112" i="1"/>
  <c r="AB307" i="1"/>
  <c r="AB276" i="1"/>
  <c r="AB245" i="1"/>
  <c r="AB244" i="1"/>
  <c r="AB130" i="1"/>
  <c r="AB324" i="1"/>
  <c r="AB293" i="1"/>
  <c r="AB135" i="1"/>
  <c r="AB288" i="1"/>
  <c r="AB162" i="1"/>
  <c r="AB387" i="1"/>
  <c r="Y387" i="1" s="1"/>
  <c r="Z387" i="1" s="1"/>
  <c r="AB409" i="1"/>
  <c r="AB85" i="1"/>
  <c r="AB237" i="1"/>
  <c r="AB57" i="1"/>
  <c r="AB148" i="1"/>
  <c r="AB233" i="1"/>
  <c r="AB383" i="1"/>
  <c r="AB490" i="1"/>
  <c r="AB323" i="1"/>
  <c r="AB438" i="1"/>
  <c r="AB376" i="1"/>
  <c r="AB149" i="1"/>
  <c r="AB99" i="1"/>
  <c r="AB407" i="1"/>
  <c r="AB321" i="1"/>
  <c r="AB404" i="1"/>
  <c r="AB401" i="1"/>
  <c r="AB400" i="1"/>
  <c r="AB402" i="1"/>
  <c r="AB397" i="1"/>
  <c r="AB260" i="1"/>
  <c r="AB471" i="1"/>
  <c r="AB163" i="1"/>
  <c r="AB205" i="1"/>
  <c r="AB399" i="1"/>
  <c r="AB364" i="1"/>
  <c r="AB234" i="1"/>
  <c r="AB222" i="1"/>
  <c r="AB187" i="1"/>
  <c r="AB384" i="1"/>
  <c r="AB273" i="1"/>
  <c r="AB139" i="1"/>
  <c r="AB393" i="1"/>
  <c r="Y393" i="1" s="1"/>
  <c r="Z393" i="1" s="1"/>
  <c r="AB343" i="1"/>
  <c r="AB443" i="1"/>
  <c r="AB423" i="1"/>
  <c r="AB406" i="1"/>
  <c r="AB322" i="1"/>
  <c r="AB290" i="1"/>
  <c r="AB291" i="1"/>
  <c r="AB342" i="1"/>
  <c r="AB287" i="1"/>
  <c r="AB259" i="1"/>
  <c r="AB255" i="1"/>
  <c r="AB481" i="1"/>
  <c r="AB194" i="1"/>
  <c r="AB201" i="1"/>
  <c r="AB109" i="1"/>
  <c r="AB102" i="1"/>
  <c r="AB421" i="1"/>
  <c r="AB403" i="1"/>
  <c r="AB479" i="1"/>
  <c r="AB88" i="1"/>
  <c r="AB86" i="1"/>
  <c r="AB81" i="1"/>
  <c r="AB489" i="1"/>
  <c r="AB79" i="1"/>
  <c r="AB491" i="1"/>
  <c r="AB83" i="1"/>
  <c r="AB84" i="1"/>
  <c r="AB80" i="1"/>
  <c r="AB440" i="1"/>
  <c r="AB78" i="1"/>
  <c r="AB77" i="1"/>
  <c r="AB76" i="1"/>
  <c r="Y76" i="1" s="1"/>
  <c r="Z76" i="1" s="1"/>
  <c r="AB59" i="1"/>
  <c r="AB487" i="1"/>
  <c r="AB484" i="1"/>
  <c r="AB74" i="1"/>
  <c r="AB69" i="1"/>
  <c r="AB71" i="1"/>
  <c r="AB143" i="1"/>
  <c r="AB66" i="1"/>
  <c r="AB270" i="1"/>
  <c r="AB444" i="1"/>
  <c r="AB257" i="1"/>
  <c r="AB434" i="1"/>
  <c r="AB254" i="1"/>
  <c r="AB263" i="1"/>
  <c r="AB174" i="1"/>
  <c r="AB147" i="1"/>
  <c r="AB236" i="1"/>
  <c r="Y236" i="1" s="1"/>
  <c r="Z236" i="1" s="1"/>
  <c r="AB437" i="1"/>
  <c r="AB215" i="1"/>
  <c r="AB177" i="1"/>
  <c r="AB348" i="1"/>
  <c r="AB238" i="1"/>
  <c r="AB466" i="1"/>
  <c r="AB116" i="1"/>
  <c r="AB467" i="1"/>
  <c r="AB44" i="1"/>
  <c r="AB271" i="1"/>
  <c r="AB256" i="1"/>
  <c r="AB134" i="1"/>
  <c r="AB173" i="1"/>
  <c r="AB168" i="1"/>
  <c r="AB155" i="1"/>
  <c r="AB125" i="1"/>
  <c r="AB164" i="1"/>
  <c r="AB131" i="1"/>
  <c r="AB114" i="1"/>
  <c r="AB281" i="1"/>
  <c r="AB204" i="1"/>
  <c r="AB478" i="1"/>
  <c r="AB454" i="1"/>
  <c r="AB453" i="1"/>
  <c r="AB449" i="1"/>
  <c r="AB33" i="1"/>
  <c r="AB15" i="1"/>
  <c r="AB439" i="1"/>
  <c r="AB496" i="1"/>
  <c r="AB435" i="1"/>
  <c r="AB9" i="1"/>
  <c r="AB419" i="1"/>
  <c r="Y419" i="1" s="1"/>
  <c r="Z419" i="1" s="1"/>
  <c r="AB468" i="1"/>
  <c r="AB430" i="1"/>
  <c r="AB429" i="1"/>
  <c r="N96" i="1"/>
  <c r="O96" i="1" s="1"/>
  <c r="AP67" i="1" l="1"/>
  <c r="Y67" i="1"/>
  <c r="Z67" i="1" s="1"/>
  <c r="AP226" i="1"/>
  <c r="Y226" i="1"/>
  <c r="Z226" i="1" s="1"/>
  <c r="AP338" i="1"/>
  <c r="Y338" i="1"/>
  <c r="Z338" i="1" s="1"/>
  <c r="AP229" i="1"/>
  <c r="AQ229" i="1" s="1"/>
  <c r="BC229" i="1" s="1"/>
  <c r="Y229" i="1"/>
  <c r="Z229" i="1" s="1"/>
  <c r="AP105" i="1"/>
  <c r="Y105" i="1"/>
  <c r="Z105" i="1" s="1"/>
  <c r="AP462" i="1"/>
  <c r="Y462" i="1"/>
  <c r="Z462" i="1" s="1"/>
  <c r="AP218" i="1"/>
  <c r="Y218" i="1"/>
  <c r="Z218" i="1" s="1"/>
  <c r="AP169" i="1"/>
  <c r="AQ169" i="1" s="1"/>
  <c r="BC169" i="1" s="1"/>
  <c r="Y169" i="1"/>
  <c r="Z169" i="1" s="1"/>
  <c r="AP75" i="1"/>
  <c r="Y75" i="1"/>
  <c r="Z75" i="1" s="1"/>
  <c r="AP486" i="1"/>
  <c r="Y486" i="1"/>
  <c r="Z486" i="1" s="1"/>
  <c r="AP483" i="1"/>
  <c r="Y483" i="1"/>
  <c r="Z483" i="1" s="1"/>
  <c r="AP465" i="1"/>
  <c r="Y465" i="1"/>
  <c r="Z465" i="1" s="1"/>
  <c r="AP379" i="1"/>
  <c r="Y379" i="1"/>
  <c r="Z379" i="1" s="1"/>
  <c r="AP64" i="1"/>
  <c r="Y64" i="1"/>
  <c r="Z64" i="1" s="1"/>
  <c r="AP482" i="1"/>
  <c r="Y482" i="1"/>
  <c r="Z482" i="1" s="1"/>
  <c r="AP418" i="1"/>
  <c r="Y418" i="1"/>
  <c r="Z418" i="1" s="1"/>
  <c r="AP460" i="1"/>
  <c r="Y460" i="1"/>
  <c r="Z460" i="1" s="1"/>
  <c r="AP464" i="1"/>
  <c r="Y464" i="1"/>
  <c r="Z464" i="1" s="1"/>
  <c r="AP428" i="1"/>
  <c r="Y428" i="1"/>
  <c r="Z428" i="1" s="1"/>
  <c r="AP298" i="1"/>
  <c r="Y298" i="1"/>
  <c r="Z298" i="1" s="1"/>
  <c r="AP353" i="1"/>
  <c r="Y353" i="1"/>
  <c r="Z353" i="1" s="1"/>
  <c r="AP253" i="1"/>
  <c r="Y253" i="1"/>
  <c r="Z253" i="1" s="1"/>
  <c r="AP221" i="1"/>
  <c r="Y221" i="1"/>
  <c r="Z221" i="1" s="1"/>
  <c r="AP175" i="1"/>
  <c r="Y175" i="1"/>
  <c r="Z175" i="1" s="1"/>
  <c r="AP56" i="1"/>
  <c r="Y56" i="1"/>
  <c r="Z56" i="1" s="1"/>
  <c r="AP448" i="1"/>
  <c r="Y448" i="1"/>
  <c r="Z448" i="1" s="1"/>
  <c r="AP450" i="1"/>
  <c r="Y450" i="1"/>
  <c r="Z450" i="1" s="1"/>
  <c r="AP272" i="1"/>
  <c r="Y272" i="1"/>
  <c r="Z272" i="1" s="1"/>
  <c r="AP334" i="1"/>
  <c r="Y334" i="1"/>
  <c r="Z334" i="1" s="1"/>
  <c r="AP157" i="1"/>
  <c r="Y157" i="1"/>
  <c r="Z157" i="1" s="1"/>
  <c r="AP87" i="1"/>
  <c r="Y87" i="1"/>
  <c r="Z87" i="1" s="1"/>
  <c r="AP280" i="1"/>
  <c r="Y280" i="1"/>
  <c r="Z280" i="1" s="1"/>
  <c r="AP141" i="1"/>
  <c r="Y141" i="1"/>
  <c r="Z141" i="1" s="1"/>
  <c r="AP315" i="1"/>
  <c r="Y315" i="1"/>
  <c r="Z315" i="1" s="1"/>
  <c r="AP202" i="1"/>
  <c r="Y202" i="1"/>
  <c r="Z202" i="1" s="1"/>
  <c r="AP405" i="1"/>
  <c r="Y405" i="1"/>
  <c r="Z405" i="1" s="1"/>
  <c r="AP426" i="1"/>
  <c r="Y426" i="1"/>
  <c r="Z426" i="1" s="1"/>
  <c r="AP183" i="1"/>
  <c r="Y183" i="1"/>
  <c r="Z183" i="1" s="1"/>
  <c r="AP485" i="1"/>
  <c r="Y485" i="1"/>
  <c r="Z485" i="1" s="1"/>
  <c r="AP297" i="1"/>
  <c r="Y297" i="1"/>
  <c r="Z297" i="1" s="1"/>
  <c r="AP58" i="1"/>
  <c r="Y58" i="1"/>
  <c r="Z58" i="1" s="1"/>
  <c r="AP101" i="1"/>
  <c r="Y101" i="1"/>
  <c r="Z101" i="1" s="1"/>
  <c r="AP495" i="1"/>
  <c r="Y495" i="1"/>
  <c r="Z495" i="1" s="1"/>
  <c r="AP200" i="1"/>
  <c r="Y200" i="1"/>
  <c r="Z200" i="1" s="1"/>
  <c r="AP111" i="1"/>
  <c r="Y111" i="1"/>
  <c r="Z111" i="1" s="1"/>
  <c r="AP136" i="1"/>
  <c r="Y136" i="1"/>
  <c r="Z136" i="1" s="1"/>
  <c r="AP264" i="1"/>
  <c r="Y264" i="1"/>
  <c r="Z264" i="1" s="1"/>
  <c r="AP411" i="1"/>
  <c r="Y411" i="1"/>
  <c r="Z411" i="1" s="1"/>
  <c r="AP309" i="1"/>
  <c r="Y309" i="1"/>
  <c r="Z309" i="1" s="1"/>
  <c r="AP345" i="1"/>
  <c r="Y345" i="1"/>
  <c r="Z345" i="1" s="1"/>
  <c r="AP97" i="1"/>
  <c r="Y97" i="1"/>
  <c r="Z97" i="1" s="1"/>
  <c r="AP206" i="1"/>
  <c r="Y206" i="1"/>
  <c r="Z206" i="1" s="1"/>
  <c r="AP154" i="1"/>
  <c r="Y154" i="1"/>
  <c r="Z154" i="1" s="1"/>
  <c r="AP431" i="1"/>
  <c r="Y431" i="1"/>
  <c r="Z431" i="1" s="1"/>
  <c r="AP459" i="1"/>
  <c r="Y459" i="1"/>
  <c r="Z459" i="1" s="1"/>
  <c r="AP158" i="1"/>
  <c r="Y158" i="1"/>
  <c r="Z158" i="1" s="1"/>
  <c r="AP278" i="1"/>
  <c r="Y278" i="1"/>
  <c r="Z278" i="1" s="1"/>
  <c r="AP179" i="1"/>
  <c r="Y179" i="1"/>
  <c r="Z179" i="1" s="1"/>
  <c r="AP504" i="1"/>
  <c r="Y504" i="1"/>
  <c r="Z504" i="1" s="1"/>
  <c r="AP347" i="1"/>
  <c r="Y347" i="1"/>
  <c r="Z347" i="1" s="1"/>
  <c r="AP451" i="1"/>
  <c r="Y451" i="1"/>
  <c r="Z451" i="1" s="1"/>
  <c r="AP501" i="1"/>
  <c r="Y501" i="1"/>
  <c r="Z501" i="1" s="1"/>
  <c r="AP432" i="1"/>
  <c r="Y432" i="1"/>
  <c r="Z432" i="1" s="1"/>
  <c r="AP274" i="1"/>
  <c r="Y274" i="1"/>
  <c r="Z274" i="1" s="1"/>
  <c r="AP503" i="1"/>
  <c r="Y503" i="1"/>
  <c r="Z503" i="1" s="1"/>
  <c r="AP191" i="1"/>
  <c r="Y191" i="1"/>
  <c r="Z191" i="1" s="1"/>
  <c r="AP104" i="1"/>
  <c r="Y104" i="1"/>
  <c r="Z104" i="1" s="1"/>
  <c r="AP493" i="1"/>
  <c r="Y493" i="1"/>
  <c r="Z493" i="1" s="1"/>
  <c r="AP341" i="1"/>
  <c r="Y341" i="1"/>
  <c r="Z341" i="1" s="1"/>
  <c r="AP72" i="1"/>
  <c r="Y72" i="1"/>
  <c r="Z72" i="1" s="1"/>
  <c r="AP413" i="1"/>
  <c r="Y413" i="1"/>
  <c r="Z413" i="1" s="1"/>
  <c r="AP497" i="1"/>
  <c r="Y497" i="1"/>
  <c r="Z497" i="1" s="1"/>
  <c r="AP295" i="1"/>
  <c r="Y295" i="1"/>
  <c r="Z295" i="1" s="1"/>
  <c r="AP223" i="1"/>
  <c r="Y223" i="1"/>
  <c r="Z223" i="1" s="1"/>
  <c r="AP296" i="1"/>
  <c r="Y296" i="1"/>
  <c r="Z296" i="1" s="1"/>
  <c r="AP165" i="1"/>
  <c r="Y165" i="1"/>
  <c r="Z165" i="1" s="1"/>
  <c r="AP170" i="1"/>
  <c r="Y170" i="1"/>
  <c r="Z170" i="1" s="1"/>
  <c r="AP228" i="1"/>
  <c r="Y228" i="1"/>
  <c r="Z228" i="1" s="1"/>
  <c r="AP110" i="1"/>
  <c r="Y110" i="1"/>
  <c r="Z110" i="1" s="1"/>
  <c r="AP388" i="1"/>
  <c r="Y388" i="1"/>
  <c r="Z388" i="1" s="1"/>
  <c r="AP137" i="1"/>
  <c r="Y137" i="1"/>
  <c r="Z137" i="1" s="1"/>
  <c r="AP119" i="1"/>
  <c r="Y119" i="1"/>
  <c r="Z119" i="1" s="1"/>
  <c r="AP301" i="1"/>
  <c r="Y301" i="1"/>
  <c r="Z301" i="1" s="1"/>
  <c r="AP308" i="1"/>
  <c r="Y308" i="1"/>
  <c r="Z308" i="1" s="1"/>
  <c r="AP352" i="1"/>
  <c r="Y352" i="1"/>
  <c r="Z352" i="1" s="1"/>
  <c r="AP396" i="1"/>
  <c r="Y396" i="1"/>
  <c r="Z396" i="1" s="1"/>
  <c r="AP447" i="1"/>
  <c r="Y447" i="1"/>
  <c r="Z447" i="1" s="1"/>
  <c r="AP214" i="1"/>
  <c r="Y214" i="1"/>
  <c r="Z214" i="1" s="1"/>
  <c r="AP337" i="1"/>
  <c r="Y337" i="1"/>
  <c r="Z337" i="1" s="1"/>
  <c r="AP394" i="1"/>
  <c r="Y394" i="1"/>
  <c r="Z394" i="1" s="1"/>
  <c r="AP98" i="1"/>
  <c r="Y98" i="1"/>
  <c r="Z98" i="1" s="1"/>
  <c r="AP303" i="1"/>
  <c r="Y303" i="1"/>
  <c r="Z303" i="1" s="1"/>
  <c r="AP159" i="1"/>
  <c r="Y159" i="1"/>
  <c r="Z159" i="1" s="1"/>
  <c r="AP243" i="1"/>
  <c r="Y243" i="1"/>
  <c r="Z243" i="1" s="1"/>
  <c r="AP197" i="1"/>
  <c r="Y197" i="1"/>
  <c r="Z197" i="1" s="1"/>
  <c r="AP398" i="1"/>
  <c r="Y398" i="1"/>
  <c r="Z398" i="1" s="1"/>
  <c r="AP408" i="1"/>
  <c r="Y408" i="1"/>
  <c r="Z408" i="1" s="1"/>
  <c r="AP461" i="1"/>
  <c r="Y461" i="1"/>
  <c r="Z461" i="1" s="1"/>
  <c r="AP294" i="1"/>
  <c r="Y294" i="1"/>
  <c r="Z294" i="1" s="1"/>
  <c r="AP395" i="1"/>
  <c r="Y395" i="1"/>
  <c r="Z395" i="1" s="1"/>
  <c r="AP230" i="1"/>
  <c r="Y230" i="1"/>
  <c r="Z230" i="1" s="1"/>
  <c r="AP198" i="1"/>
  <c r="Y198" i="1"/>
  <c r="Z198" i="1" s="1"/>
  <c r="AP188" i="1"/>
  <c r="Y188" i="1"/>
  <c r="Z188" i="1" s="1"/>
  <c r="AP312" i="1"/>
  <c r="Y312" i="1"/>
  <c r="Z312" i="1" s="1"/>
  <c r="AP65" i="1"/>
  <c r="Y65" i="1"/>
  <c r="Z65" i="1" s="1"/>
  <c r="AP433" i="1"/>
  <c r="Y433" i="1"/>
  <c r="Z433" i="1" s="1"/>
  <c r="AP425" i="1"/>
  <c r="Y425" i="1"/>
  <c r="Z425" i="1" s="1"/>
  <c r="AP151" i="1"/>
  <c r="Y151" i="1"/>
  <c r="Z151" i="1" s="1"/>
  <c r="AP171" i="1"/>
  <c r="Y171" i="1"/>
  <c r="Z171" i="1" s="1"/>
  <c r="AP117" i="1"/>
  <c r="Y117" i="1"/>
  <c r="Z117" i="1" s="1"/>
  <c r="AP500" i="1"/>
  <c r="Y500" i="1"/>
  <c r="Z500" i="1" s="1"/>
  <c r="AP446" i="1"/>
  <c r="Y446" i="1"/>
  <c r="Z446" i="1" s="1"/>
  <c r="AP410" i="1"/>
  <c r="Y410" i="1"/>
  <c r="Z410" i="1" s="1"/>
  <c r="AP73" i="1"/>
  <c r="Y73" i="1"/>
  <c r="Z73" i="1" s="1"/>
  <c r="AP68" i="1"/>
  <c r="Y68" i="1"/>
  <c r="Z68" i="1" s="1"/>
  <c r="AP152" i="1"/>
  <c r="Y152" i="1"/>
  <c r="Z152" i="1" s="1"/>
  <c r="AP190" i="1"/>
  <c r="Y190" i="1"/>
  <c r="Z190" i="1" s="1"/>
  <c r="AP266" i="1"/>
  <c r="Y266" i="1"/>
  <c r="Z266" i="1" s="1"/>
  <c r="AP502" i="1"/>
  <c r="Y502" i="1"/>
  <c r="Z502" i="1" s="1"/>
  <c r="AP335" i="1"/>
  <c r="Y335" i="1"/>
  <c r="Z335" i="1" s="1"/>
  <c r="AP498" i="1"/>
  <c r="Y498" i="1"/>
  <c r="Z498" i="1" s="1"/>
  <c r="AP422" i="1"/>
  <c r="Y422" i="1"/>
  <c r="Z422" i="1" s="1"/>
  <c r="AP89" i="1"/>
  <c r="Y89" i="1"/>
  <c r="Z89" i="1" s="1"/>
  <c r="AP144" i="1"/>
  <c r="Y144" i="1"/>
  <c r="Z144" i="1" s="1"/>
  <c r="AP472" i="1"/>
  <c r="Y472" i="1"/>
  <c r="Z472" i="1" s="1"/>
  <c r="AP161" i="1"/>
  <c r="Y161" i="1"/>
  <c r="Z161" i="1" s="1"/>
  <c r="AP195" i="1"/>
  <c r="Y195" i="1"/>
  <c r="Z195" i="1" s="1"/>
  <c r="AP133" i="1"/>
  <c r="Y133" i="1"/>
  <c r="Z133" i="1" s="1"/>
  <c r="AP122" i="1"/>
  <c r="Y122" i="1"/>
  <c r="Z122" i="1" s="1"/>
  <c r="AP265" i="1"/>
  <c r="Y265" i="1"/>
  <c r="Z265" i="1" s="1"/>
  <c r="AP212" i="1"/>
  <c r="Y212" i="1"/>
  <c r="Z212" i="1" s="1"/>
  <c r="AP469" i="1"/>
  <c r="Y469" i="1"/>
  <c r="Z469" i="1" s="1"/>
  <c r="AP196" i="1"/>
  <c r="Y196" i="1"/>
  <c r="Z196" i="1" s="1"/>
  <c r="AP217" i="1"/>
  <c r="Y217" i="1"/>
  <c r="Z217" i="1" s="1"/>
  <c r="AP128" i="1"/>
  <c r="Y128" i="1"/>
  <c r="Z128" i="1" s="1"/>
  <c r="AP412" i="1"/>
  <c r="Y412" i="1"/>
  <c r="Z412" i="1" s="1"/>
  <c r="AP150" i="1"/>
  <c r="Y150" i="1"/>
  <c r="Z150" i="1" s="1"/>
  <c r="AP115" i="1"/>
  <c r="Y115" i="1"/>
  <c r="Z115" i="1" s="1"/>
  <c r="AP193" i="1"/>
  <c r="Y193" i="1"/>
  <c r="Z193" i="1" s="1"/>
  <c r="AP186" i="1"/>
  <c r="Y186" i="1"/>
  <c r="Z186" i="1" s="1"/>
  <c r="AP82" i="1"/>
  <c r="Y82" i="1"/>
  <c r="Z82" i="1" s="1"/>
  <c r="AP248" i="1"/>
  <c r="Y248" i="1"/>
  <c r="Z248" i="1" s="1"/>
  <c r="AP480" i="1"/>
  <c r="Y480" i="1"/>
  <c r="Z480" i="1" s="1"/>
  <c r="AP333" i="1"/>
  <c r="Y333" i="1"/>
  <c r="Z333" i="1" s="1"/>
  <c r="AP355" i="1"/>
  <c r="Y355" i="1"/>
  <c r="Z355" i="1" s="1"/>
  <c r="AP283" i="1"/>
  <c r="Y283" i="1"/>
  <c r="Z283" i="1" s="1"/>
  <c r="AP153" i="1"/>
  <c r="AQ153" i="1" s="1"/>
  <c r="BC153" i="1" s="1"/>
  <c r="Y153" i="1"/>
  <c r="Z153" i="1" s="1"/>
  <c r="AP329" i="1"/>
  <c r="Y329" i="1"/>
  <c r="Z329" i="1" s="1"/>
  <c r="AP360" i="1"/>
  <c r="Y360" i="1"/>
  <c r="Z360" i="1" s="1"/>
  <c r="AP354" i="1"/>
  <c r="Y354" i="1"/>
  <c r="Z354" i="1" s="1"/>
  <c r="AP420" i="1"/>
  <c r="Y420" i="1"/>
  <c r="Z420" i="1" s="1"/>
  <c r="AP488" i="1"/>
  <c r="Y488" i="1"/>
  <c r="Z488" i="1" s="1"/>
  <c r="AP442" i="1"/>
  <c r="Y442" i="1"/>
  <c r="Z442" i="1" s="1"/>
  <c r="AP458" i="1"/>
  <c r="Y458" i="1"/>
  <c r="Z458" i="1" s="1"/>
  <c r="AP246" i="1"/>
  <c r="Y246" i="1"/>
  <c r="Z246" i="1" s="1"/>
  <c r="AP184" i="1"/>
  <c r="Y184" i="1"/>
  <c r="Z184" i="1" s="1"/>
  <c r="AP436" i="1"/>
  <c r="Y436" i="1"/>
  <c r="Z436" i="1" s="1"/>
  <c r="AP414" i="1"/>
  <c r="Y414" i="1"/>
  <c r="Z414" i="1" s="1"/>
  <c r="AP178" i="1"/>
  <c r="Y178" i="1"/>
  <c r="Z178" i="1" s="1"/>
  <c r="AP121" i="1"/>
  <c r="Y121" i="1"/>
  <c r="Z121" i="1" s="1"/>
  <c r="AP124" i="1"/>
  <c r="Y124" i="1"/>
  <c r="Z124" i="1" s="1"/>
  <c r="AP375" i="1"/>
  <c r="Y375" i="1"/>
  <c r="Z375" i="1" s="1"/>
  <c r="AP381" i="1"/>
  <c r="Y381" i="1"/>
  <c r="Z381" i="1" s="1"/>
  <c r="AP373" i="1"/>
  <c r="AQ373" i="1" s="1"/>
  <c r="BC373" i="1" s="1"/>
  <c r="Y373" i="1"/>
  <c r="Z373" i="1" s="1"/>
  <c r="AP363" i="1"/>
  <c r="Y363" i="1"/>
  <c r="Z363" i="1" s="1"/>
  <c r="AP366" i="1"/>
  <c r="Y366" i="1"/>
  <c r="Z366" i="1" s="1"/>
  <c r="AP371" i="1"/>
  <c r="Y371" i="1"/>
  <c r="Z371" i="1" s="1"/>
  <c r="AP374" i="1"/>
  <c r="AQ374" i="1" s="1"/>
  <c r="BC374" i="1" s="1"/>
  <c r="BD374" i="1" s="1"/>
  <c r="Y374" i="1"/>
  <c r="Z374" i="1" s="1"/>
  <c r="AP380" i="1"/>
  <c r="Y380" i="1"/>
  <c r="Z380" i="1" s="1"/>
  <c r="AP361" i="1"/>
  <c r="Y361" i="1"/>
  <c r="Z361" i="1" s="1"/>
  <c r="AP318" i="1"/>
  <c r="Y318" i="1"/>
  <c r="Z318" i="1" s="1"/>
  <c r="AP378" i="1"/>
  <c r="Y378" i="1"/>
  <c r="Z378" i="1" s="1"/>
  <c r="AP370" i="1"/>
  <c r="Y370" i="1"/>
  <c r="Z370" i="1" s="1"/>
  <c r="AP365" i="1"/>
  <c r="Y365" i="1"/>
  <c r="Z365" i="1" s="1"/>
  <c r="AP227" i="1"/>
  <c r="Y227" i="1"/>
  <c r="Z227" i="1" s="1"/>
  <c r="AP216" i="1"/>
  <c r="Y216" i="1"/>
  <c r="Z216" i="1" s="1"/>
  <c r="AP220" i="1"/>
  <c r="Y220" i="1"/>
  <c r="Z220" i="1" s="1"/>
  <c r="AP386" i="1"/>
  <c r="Y386" i="1"/>
  <c r="Z386" i="1" s="1"/>
  <c r="AP362" i="1"/>
  <c r="Y362" i="1"/>
  <c r="Z362" i="1" s="1"/>
  <c r="AP356" i="1"/>
  <c r="Y356" i="1"/>
  <c r="Z356" i="1" s="1"/>
  <c r="AP328" i="1"/>
  <c r="Y328" i="1"/>
  <c r="Z328" i="1" s="1"/>
  <c r="AP249" i="1"/>
  <c r="Y249" i="1"/>
  <c r="Z249" i="1" s="1"/>
  <c r="AP252" i="1"/>
  <c r="Y252" i="1"/>
  <c r="Z252" i="1" s="1"/>
  <c r="AP199" i="1"/>
  <c r="Y199" i="1"/>
  <c r="Z199" i="1" s="1"/>
  <c r="AP241" i="1"/>
  <c r="Y241" i="1"/>
  <c r="Z241" i="1" s="1"/>
  <c r="AP358" i="1"/>
  <c r="Y358" i="1"/>
  <c r="Z358" i="1" s="1"/>
  <c r="AP62" i="1"/>
  <c r="Y62" i="1"/>
  <c r="Z62" i="1" s="1"/>
  <c r="AP286" i="1"/>
  <c r="Y286" i="1"/>
  <c r="Z286" i="1" s="1"/>
  <c r="AP261" i="1"/>
  <c r="Y261" i="1"/>
  <c r="Z261" i="1" s="1"/>
  <c r="AP231" i="1"/>
  <c r="Y231" i="1"/>
  <c r="Z231" i="1" s="1"/>
  <c r="AP208" i="1"/>
  <c r="AQ208" i="1" s="1"/>
  <c r="BC208" i="1" s="1"/>
  <c r="BD208" i="1" s="1"/>
  <c r="Y208" i="1"/>
  <c r="Z208" i="1" s="1"/>
  <c r="AP452" i="1"/>
  <c r="Y452" i="1"/>
  <c r="Z452" i="1" s="1"/>
  <c r="AP25" i="1"/>
  <c r="Y25" i="1"/>
  <c r="Z25" i="1" s="1"/>
  <c r="AP20" i="1"/>
  <c r="Y20" i="1"/>
  <c r="Z20" i="1" s="1"/>
  <c r="AP14" i="1"/>
  <c r="Y14" i="1"/>
  <c r="Z14" i="1" s="1"/>
  <c r="AP48" i="1"/>
  <c r="Y48" i="1"/>
  <c r="Z48" i="1" s="1"/>
  <c r="AP50" i="1"/>
  <c r="Y50" i="1"/>
  <c r="Z50" i="1" s="1"/>
  <c r="AP37" i="1"/>
  <c r="Y37" i="1"/>
  <c r="Z37" i="1" s="1"/>
  <c r="AP35" i="1"/>
  <c r="AQ35" i="1" s="1"/>
  <c r="BC35" i="1" s="1"/>
  <c r="BD35" i="1" s="1"/>
  <c r="Y35" i="1"/>
  <c r="Z35" i="1" s="1"/>
  <c r="AP441" i="1"/>
  <c r="Y441" i="1"/>
  <c r="Z441" i="1" s="1"/>
  <c r="AP26" i="1"/>
  <c r="Y26" i="1"/>
  <c r="Z26" i="1" s="1"/>
  <c r="AP24" i="1"/>
  <c r="Y24" i="1"/>
  <c r="Z24" i="1" s="1"/>
  <c r="AP424" i="1"/>
  <c r="Y424" i="1"/>
  <c r="Z424" i="1" s="1"/>
  <c r="AP53" i="1"/>
  <c r="Y53" i="1"/>
  <c r="Z53" i="1" s="1"/>
  <c r="AP445" i="1"/>
  <c r="Y445" i="1"/>
  <c r="Z445" i="1" s="1"/>
  <c r="AP61" i="1"/>
  <c r="Y61" i="1"/>
  <c r="Z61" i="1" s="1"/>
  <c r="AP18" i="1"/>
  <c r="Y18" i="1"/>
  <c r="Z18" i="1" s="1"/>
  <c r="AP49" i="1"/>
  <c r="AQ49" i="1" s="1"/>
  <c r="BC49" i="1" s="1"/>
  <c r="Y49" i="1"/>
  <c r="Z49" i="1" s="1"/>
  <c r="AP54" i="1"/>
  <c r="Y54" i="1"/>
  <c r="Z54" i="1" s="1"/>
  <c r="AP382" i="1"/>
  <c r="Y382" i="1"/>
  <c r="Z382" i="1" s="1"/>
  <c r="AP45" i="1"/>
  <c r="Y45" i="1"/>
  <c r="Z45" i="1" s="1"/>
  <c r="AP331" i="1"/>
  <c r="Y331" i="1"/>
  <c r="Z331" i="1" s="1"/>
  <c r="AP325" i="1"/>
  <c r="Y325" i="1"/>
  <c r="Z325" i="1" s="1"/>
  <c r="AP313" i="1"/>
  <c r="Y313" i="1"/>
  <c r="Z313" i="1" s="1"/>
  <c r="AP32" i="1"/>
  <c r="Y32" i="1"/>
  <c r="Z32" i="1" s="1"/>
  <c r="AP349" i="1"/>
  <c r="Y349" i="1"/>
  <c r="Z349" i="1" s="1"/>
  <c r="AP27" i="1"/>
  <c r="Y27" i="1"/>
  <c r="Z27" i="1" s="1"/>
  <c r="AP279" i="1"/>
  <c r="Y279" i="1"/>
  <c r="Z279" i="1" s="1"/>
  <c r="AP19" i="1"/>
  <c r="Y19" i="1"/>
  <c r="Z19" i="1" s="1"/>
  <c r="AP13" i="1"/>
  <c r="Y13" i="1"/>
  <c r="Z13" i="1" s="1"/>
  <c r="AP2" i="1"/>
  <c r="Y2" i="1"/>
  <c r="Z2" i="1" s="1"/>
  <c r="AP299" i="1"/>
  <c r="Y299" i="1"/>
  <c r="Z299" i="1" s="1"/>
  <c r="AP247" i="1"/>
  <c r="Y247" i="1"/>
  <c r="Z247" i="1" s="1"/>
  <c r="AP47" i="1"/>
  <c r="Y47" i="1"/>
  <c r="Z47" i="1" s="1"/>
  <c r="AP28" i="1"/>
  <c r="Y28" i="1"/>
  <c r="Z28" i="1" s="1"/>
  <c r="AP22" i="1"/>
  <c r="Y22" i="1"/>
  <c r="Z22" i="1" s="1"/>
  <c r="AP232" i="1"/>
  <c r="AQ232" i="1" s="1"/>
  <c r="BC232" i="1" s="1"/>
  <c r="BD232" i="1" s="1"/>
  <c r="BA232" i="1" s="1"/>
  <c r="BB232" i="1" s="1"/>
  <c r="Y232" i="1"/>
  <c r="Z232" i="1" s="1"/>
  <c r="AP285" i="1"/>
  <c r="Y285" i="1"/>
  <c r="Z285" i="1" s="1"/>
  <c r="AP5" i="1"/>
  <c r="Y5" i="1"/>
  <c r="Z5" i="1" s="1"/>
  <c r="AP113" i="1"/>
  <c r="Y113" i="1"/>
  <c r="Z113" i="1" s="1"/>
  <c r="AP385" i="1"/>
  <c r="AQ385" i="1" s="1"/>
  <c r="BC385" i="1" s="1"/>
  <c r="Y385" i="1"/>
  <c r="Z385" i="1" s="1"/>
  <c r="AP21" i="1"/>
  <c r="Y21" i="1"/>
  <c r="Z21" i="1" s="1"/>
  <c r="AP17" i="1"/>
  <c r="Y17" i="1"/>
  <c r="Z17" i="1" s="1"/>
  <c r="AP40" i="1"/>
  <c r="Y40" i="1"/>
  <c r="Z40" i="1" s="1"/>
  <c r="AP4" i="1"/>
  <c r="AQ4" i="1" s="1"/>
  <c r="BC4" i="1" s="1"/>
  <c r="BD4" i="1" s="1"/>
  <c r="BA4" i="1" s="1"/>
  <c r="BB4" i="1" s="1"/>
  <c r="Y4" i="1"/>
  <c r="Z4" i="1" s="1"/>
  <c r="AP389" i="1"/>
  <c r="Y389" i="1"/>
  <c r="Z389" i="1" s="1"/>
  <c r="AP368" i="1"/>
  <c r="Y368" i="1"/>
  <c r="Z368" i="1" s="1"/>
  <c r="AP340" i="1"/>
  <c r="Y340" i="1"/>
  <c r="Z340" i="1" s="1"/>
  <c r="AP46" i="1"/>
  <c r="Y46" i="1"/>
  <c r="Z46" i="1" s="1"/>
  <c r="AP302" i="1"/>
  <c r="Y302" i="1"/>
  <c r="Z302" i="1" s="1"/>
  <c r="AP250" i="1"/>
  <c r="Y250" i="1"/>
  <c r="Z250" i="1" s="1"/>
  <c r="AP235" i="1"/>
  <c r="Y235" i="1"/>
  <c r="Z235" i="1" s="1"/>
  <c r="AP95" i="1"/>
  <c r="Y95" i="1"/>
  <c r="Z95" i="1" s="1"/>
  <c r="AP91" i="1"/>
  <c r="Y91" i="1"/>
  <c r="Z91" i="1" s="1"/>
  <c r="AP138" i="1"/>
  <c r="Y138" i="1"/>
  <c r="Z138" i="1" s="1"/>
  <c r="AP262" i="1"/>
  <c r="Y262" i="1"/>
  <c r="Z262" i="1" s="1"/>
  <c r="AP189" i="1"/>
  <c r="Y189" i="1"/>
  <c r="Z189" i="1" s="1"/>
  <c r="AP377" i="1"/>
  <c r="Y377" i="1"/>
  <c r="Z377" i="1" s="1"/>
  <c r="AP258" i="1"/>
  <c r="Y258" i="1"/>
  <c r="Z258" i="1" s="1"/>
  <c r="AP330" i="1"/>
  <c r="Y330" i="1"/>
  <c r="Z330" i="1" s="1"/>
  <c r="AP316" i="1"/>
  <c r="Y316" i="1"/>
  <c r="Z316" i="1" s="1"/>
  <c r="AP210" i="1"/>
  <c r="Y210" i="1"/>
  <c r="Z210" i="1" s="1"/>
  <c r="AP93" i="1"/>
  <c r="Y93" i="1"/>
  <c r="Z93" i="1" s="1"/>
  <c r="AP391" i="1"/>
  <c r="Y391" i="1"/>
  <c r="Z391" i="1" s="1"/>
  <c r="AP94" i="1"/>
  <c r="Y94" i="1"/>
  <c r="Z94" i="1" s="1"/>
  <c r="AP327" i="1"/>
  <c r="Y327" i="1"/>
  <c r="Z327" i="1" s="1"/>
  <c r="AP390" i="1"/>
  <c r="Y390" i="1"/>
  <c r="Z390" i="1" s="1"/>
  <c r="AP339" i="1"/>
  <c r="Y339" i="1"/>
  <c r="Z339" i="1" s="1"/>
  <c r="AP63" i="1"/>
  <c r="Y63" i="1"/>
  <c r="Z63" i="1" s="1"/>
  <c r="AP351" i="1"/>
  <c r="Y351" i="1"/>
  <c r="Z351" i="1" s="1"/>
  <c r="AP326" i="1"/>
  <c r="Y326" i="1"/>
  <c r="Z326" i="1" s="1"/>
  <c r="AP304" i="1"/>
  <c r="Y304" i="1"/>
  <c r="Z304" i="1" s="1"/>
  <c r="AP311" i="1"/>
  <c r="Y311" i="1"/>
  <c r="Z311" i="1" s="1"/>
  <c r="AP310" i="1"/>
  <c r="Y310" i="1"/>
  <c r="Z310" i="1" s="1"/>
  <c r="AP268" i="1"/>
  <c r="Y268" i="1"/>
  <c r="Z268" i="1" s="1"/>
  <c r="AP92" i="1"/>
  <c r="Y92" i="1"/>
  <c r="Z92" i="1" s="1"/>
  <c r="AP107" i="1"/>
  <c r="Y107" i="1"/>
  <c r="Z107" i="1" s="1"/>
  <c r="AP305" i="1"/>
  <c r="Y305" i="1"/>
  <c r="Z305" i="1" s="1"/>
  <c r="AP112" i="1"/>
  <c r="Y112" i="1"/>
  <c r="Z112" i="1" s="1"/>
  <c r="AP307" i="1"/>
  <c r="Y307" i="1"/>
  <c r="Z307" i="1" s="1"/>
  <c r="AP276" i="1"/>
  <c r="Y276" i="1"/>
  <c r="Z276" i="1" s="1"/>
  <c r="AP245" i="1"/>
  <c r="Y245" i="1"/>
  <c r="Z245" i="1" s="1"/>
  <c r="AP244" i="1"/>
  <c r="Y244" i="1"/>
  <c r="Z244" i="1" s="1"/>
  <c r="AP130" i="1"/>
  <c r="Y130" i="1"/>
  <c r="Z130" i="1" s="1"/>
  <c r="AP324" i="1"/>
  <c r="Y324" i="1"/>
  <c r="Z324" i="1" s="1"/>
  <c r="AP293" i="1"/>
  <c r="Y293" i="1"/>
  <c r="Z293" i="1" s="1"/>
  <c r="AP135" i="1"/>
  <c r="Y135" i="1"/>
  <c r="Z135" i="1" s="1"/>
  <c r="AP288" i="1"/>
  <c r="Y288" i="1"/>
  <c r="Z288" i="1" s="1"/>
  <c r="AP162" i="1"/>
  <c r="Y162" i="1"/>
  <c r="Z162" i="1" s="1"/>
  <c r="AP409" i="1"/>
  <c r="Y409" i="1"/>
  <c r="Z409" i="1" s="1"/>
  <c r="AP85" i="1"/>
  <c r="Y85" i="1"/>
  <c r="Z85" i="1" s="1"/>
  <c r="AP237" i="1"/>
  <c r="Y237" i="1"/>
  <c r="Z237" i="1" s="1"/>
  <c r="AP57" i="1"/>
  <c r="Y57" i="1"/>
  <c r="Z57" i="1" s="1"/>
  <c r="AP148" i="1"/>
  <c r="Y148" i="1"/>
  <c r="Z148" i="1" s="1"/>
  <c r="AP233" i="1"/>
  <c r="Y233" i="1"/>
  <c r="Z233" i="1" s="1"/>
  <c r="AP383" i="1"/>
  <c r="Y383" i="1"/>
  <c r="Z383" i="1" s="1"/>
  <c r="AP490" i="1"/>
  <c r="Y490" i="1"/>
  <c r="Z490" i="1" s="1"/>
  <c r="AP323" i="1"/>
  <c r="AQ323" i="1" s="1"/>
  <c r="BC323" i="1" s="1"/>
  <c r="Y323" i="1"/>
  <c r="Z323" i="1" s="1"/>
  <c r="AP438" i="1"/>
  <c r="Y438" i="1"/>
  <c r="Z438" i="1" s="1"/>
  <c r="AP376" i="1"/>
  <c r="Y376" i="1"/>
  <c r="Z376" i="1" s="1"/>
  <c r="AP149" i="1"/>
  <c r="Y149" i="1"/>
  <c r="Z149" i="1" s="1"/>
  <c r="AP99" i="1"/>
  <c r="Y99" i="1"/>
  <c r="Z99" i="1" s="1"/>
  <c r="AP407" i="1"/>
  <c r="Y407" i="1"/>
  <c r="Z407" i="1" s="1"/>
  <c r="AP321" i="1"/>
  <c r="Y321" i="1"/>
  <c r="Z321" i="1" s="1"/>
  <c r="AP404" i="1"/>
  <c r="Y404" i="1"/>
  <c r="Z404" i="1" s="1"/>
  <c r="AP401" i="1"/>
  <c r="Y401" i="1"/>
  <c r="Z401" i="1" s="1"/>
  <c r="AP400" i="1"/>
  <c r="Y400" i="1"/>
  <c r="Z400" i="1" s="1"/>
  <c r="AP402" i="1"/>
  <c r="Y402" i="1"/>
  <c r="Z402" i="1" s="1"/>
  <c r="AP397" i="1"/>
  <c r="Y397" i="1"/>
  <c r="Z397" i="1" s="1"/>
  <c r="AP260" i="1"/>
  <c r="Y260" i="1"/>
  <c r="Z260" i="1" s="1"/>
  <c r="AP471" i="1"/>
  <c r="Y471" i="1"/>
  <c r="Z471" i="1" s="1"/>
  <c r="AP163" i="1"/>
  <c r="Y163" i="1"/>
  <c r="Z163" i="1" s="1"/>
  <c r="AP205" i="1"/>
  <c r="Y205" i="1"/>
  <c r="Z205" i="1" s="1"/>
  <c r="AP399" i="1"/>
  <c r="Y399" i="1"/>
  <c r="Z399" i="1" s="1"/>
  <c r="AP364" i="1"/>
  <c r="Y364" i="1"/>
  <c r="Z364" i="1" s="1"/>
  <c r="AP234" i="1"/>
  <c r="Y234" i="1"/>
  <c r="Z234" i="1" s="1"/>
  <c r="AP222" i="1"/>
  <c r="Y222" i="1"/>
  <c r="Z222" i="1" s="1"/>
  <c r="AP187" i="1"/>
  <c r="Y187" i="1"/>
  <c r="Z187" i="1" s="1"/>
  <c r="AP384" i="1"/>
  <c r="Y384" i="1"/>
  <c r="Z384" i="1" s="1"/>
  <c r="AP273" i="1"/>
  <c r="Y273" i="1"/>
  <c r="Z273" i="1" s="1"/>
  <c r="AP139" i="1"/>
  <c r="Y139" i="1"/>
  <c r="Z139" i="1" s="1"/>
  <c r="AP343" i="1"/>
  <c r="Y343" i="1"/>
  <c r="Z343" i="1" s="1"/>
  <c r="AP443" i="1"/>
  <c r="Y443" i="1"/>
  <c r="Z443" i="1" s="1"/>
  <c r="AP423" i="1"/>
  <c r="Y423" i="1"/>
  <c r="Z423" i="1" s="1"/>
  <c r="AP406" i="1"/>
  <c r="Y406" i="1"/>
  <c r="Z406" i="1" s="1"/>
  <c r="AP322" i="1"/>
  <c r="Y322" i="1"/>
  <c r="Z322" i="1" s="1"/>
  <c r="AP290" i="1"/>
  <c r="Y290" i="1"/>
  <c r="Z290" i="1" s="1"/>
  <c r="AP291" i="1"/>
  <c r="Y291" i="1"/>
  <c r="Z291" i="1" s="1"/>
  <c r="AP342" i="1"/>
  <c r="Y342" i="1"/>
  <c r="Z342" i="1" s="1"/>
  <c r="AP287" i="1"/>
  <c r="Y287" i="1"/>
  <c r="Z287" i="1" s="1"/>
  <c r="AP259" i="1"/>
  <c r="Y259" i="1"/>
  <c r="Z259" i="1" s="1"/>
  <c r="AP255" i="1"/>
  <c r="Y255" i="1"/>
  <c r="Z255" i="1" s="1"/>
  <c r="AP481" i="1"/>
  <c r="Y481" i="1"/>
  <c r="Z481" i="1" s="1"/>
  <c r="AP194" i="1"/>
  <c r="Y194" i="1"/>
  <c r="Z194" i="1" s="1"/>
  <c r="AP201" i="1"/>
  <c r="Y201" i="1"/>
  <c r="Z201" i="1" s="1"/>
  <c r="AP109" i="1"/>
  <c r="Y109" i="1"/>
  <c r="Z109" i="1" s="1"/>
  <c r="AP102" i="1"/>
  <c r="Y102" i="1"/>
  <c r="Z102" i="1" s="1"/>
  <c r="AP421" i="1"/>
  <c r="Y421" i="1"/>
  <c r="Z421" i="1" s="1"/>
  <c r="AP403" i="1"/>
  <c r="Y403" i="1"/>
  <c r="Z403" i="1" s="1"/>
  <c r="AP479" i="1"/>
  <c r="Y479" i="1"/>
  <c r="Z479" i="1" s="1"/>
  <c r="AP88" i="1"/>
  <c r="Y88" i="1"/>
  <c r="Z88" i="1" s="1"/>
  <c r="AP86" i="1"/>
  <c r="Y86" i="1"/>
  <c r="Z86" i="1" s="1"/>
  <c r="AP81" i="1"/>
  <c r="Y81" i="1"/>
  <c r="Z81" i="1" s="1"/>
  <c r="AP489" i="1"/>
  <c r="Y489" i="1"/>
  <c r="Z489" i="1" s="1"/>
  <c r="AP79" i="1"/>
  <c r="Y79" i="1"/>
  <c r="Z79" i="1" s="1"/>
  <c r="AP491" i="1"/>
  <c r="Y491" i="1"/>
  <c r="Z491" i="1" s="1"/>
  <c r="AP83" i="1"/>
  <c r="Y83" i="1"/>
  <c r="Z83" i="1" s="1"/>
  <c r="AP84" i="1"/>
  <c r="Y84" i="1"/>
  <c r="Z84" i="1" s="1"/>
  <c r="AP80" i="1"/>
  <c r="Y80" i="1"/>
  <c r="Z80" i="1" s="1"/>
  <c r="AP440" i="1"/>
  <c r="Y440" i="1"/>
  <c r="Z440" i="1" s="1"/>
  <c r="AP78" i="1"/>
  <c r="Y78" i="1"/>
  <c r="Z78" i="1" s="1"/>
  <c r="AP77" i="1"/>
  <c r="Y77" i="1"/>
  <c r="Z77" i="1" s="1"/>
  <c r="AP59" i="1"/>
  <c r="Y59" i="1"/>
  <c r="Z59" i="1" s="1"/>
  <c r="AP487" i="1"/>
  <c r="Y487" i="1"/>
  <c r="Z487" i="1" s="1"/>
  <c r="AP484" i="1"/>
  <c r="Y484" i="1"/>
  <c r="Z484" i="1" s="1"/>
  <c r="AP74" i="1"/>
  <c r="Y74" i="1"/>
  <c r="Z74" i="1" s="1"/>
  <c r="AP69" i="1"/>
  <c r="Y69" i="1"/>
  <c r="Z69" i="1" s="1"/>
  <c r="AP71" i="1"/>
  <c r="Y71" i="1"/>
  <c r="Z71" i="1" s="1"/>
  <c r="AP143" i="1"/>
  <c r="Y143" i="1"/>
  <c r="Z143" i="1" s="1"/>
  <c r="AP66" i="1"/>
  <c r="Y66" i="1"/>
  <c r="Z66" i="1" s="1"/>
  <c r="AP270" i="1"/>
  <c r="Y270" i="1"/>
  <c r="Z270" i="1" s="1"/>
  <c r="AP444" i="1"/>
  <c r="Y444" i="1"/>
  <c r="Z444" i="1" s="1"/>
  <c r="AP257" i="1"/>
  <c r="Y257" i="1"/>
  <c r="Z257" i="1" s="1"/>
  <c r="AP434" i="1"/>
  <c r="Y434" i="1"/>
  <c r="Z434" i="1" s="1"/>
  <c r="AP254" i="1"/>
  <c r="Y254" i="1"/>
  <c r="Z254" i="1" s="1"/>
  <c r="AP263" i="1"/>
  <c r="Y263" i="1"/>
  <c r="Z263" i="1" s="1"/>
  <c r="AP174" i="1"/>
  <c r="Y174" i="1"/>
  <c r="Z174" i="1" s="1"/>
  <c r="AP147" i="1"/>
  <c r="Y147" i="1"/>
  <c r="Z147" i="1" s="1"/>
  <c r="AP437" i="1"/>
  <c r="Y437" i="1"/>
  <c r="Z437" i="1" s="1"/>
  <c r="AP215" i="1"/>
  <c r="Y215" i="1"/>
  <c r="Z215" i="1" s="1"/>
  <c r="AP177" i="1"/>
  <c r="Y177" i="1"/>
  <c r="Z177" i="1" s="1"/>
  <c r="AP348" i="1"/>
  <c r="Y348" i="1"/>
  <c r="Z348" i="1" s="1"/>
  <c r="AP238" i="1"/>
  <c r="Y238" i="1"/>
  <c r="Z238" i="1" s="1"/>
  <c r="AP466" i="1"/>
  <c r="Y466" i="1"/>
  <c r="Z466" i="1" s="1"/>
  <c r="AP116" i="1"/>
  <c r="Y116" i="1"/>
  <c r="Z116" i="1" s="1"/>
  <c r="AP467" i="1"/>
  <c r="Y467" i="1"/>
  <c r="Z467" i="1" s="1"/>
  <c r="AP44" i="1"/>
  <c r="Y44" i="1"/>
  <c r="Z44" i="1" s="1"/>
  <c r="AP271" i="1"/>
  <c r="Y271" i="1"/>
  <c r="Z271" i="1" s="1"/>
  <c r="AP256" i="1"/>
  <c r="Y256" i="1"/>
  <c r="Z256" i="1" s="1"/>
  <c r="AP134" i="1"/>
  <c r="Y134" i="1"/>
  <c r="Z134" i="1" s="1"/>
  <c r="AP173" i="1"/>
  <c r="AQ173" i="1" s="1"/>
  <c r="BC173" i="1" s="1"/>
  <c r="Y173" i="1"/>
  <c r="Z173" i="1" s="1"/>
  <c r="AP168" i="1"/>
  <c r="Y168" i="1"/>
  <c r="Z168" i="1" s="1"/>
  <c r="AP155" i="1"/>
  <c r="Y155" i="1"/>
  <c r="Z155" i="1" s="1"/>
  <c r="AP125" i="1"/>
  <c r="Y125" i="1"/>
  <c r="Z125" i="1" s="1"/>
  <c r="AP164" i="1"/>
  <c r="Y164" i="1"/>
  <c r="Z164" i="1" s="1"/>
  <c r="AP131" i="1"/>
  <c r="Y131" i="1"/>
  <c r="Z131" i="1" s="1"/>
  <c r="AP114" i="1"/>
  <c r="Y114" i="1"/>
  <c r="Z114" i="1" s="1"/>
  <c r="AP281" i="1"/>
  <c r="Y281" i="1"/>
  <c r="Z281" i="1" s="1"/>
  <c r="AP204" i="1"/>
  <c r="Y204" i="1"/>
  <c r="Z204" i="1" s="1"/>
  <c r="AP478" i="1"/>
  <c r="Y478" i="1"/>
  <c r="Z478" i="1" s="1"/>
  <c r="AP454" i="1"/>
  <c r="Y454" i="1"/>
  <c r="Z454" i="1" s="1"/>
  <c r="AP453" i="1"/>
  <c r="Y453" i="1"/>
  <c r="Z453" i="1" s="1"/>
  <c r="AP449" i="1"/>
  <c r="Y449" i="1"/>
  <c r="Z449" i="1" s="1"/>
  <c r="AP33" i="1"/>
  <c r="Y33" i="1"/>
  <c r="Z33" i="1" s="1"/>
  <c r="AP15" i="1"/>
  <c r="AQ15" i="1" s="1"/>
  <c r="BC15" i="1" s="1"/>
  <c r="BD15" i="1" s="1"/>
  <c r="Y15" i="1"/>
  <c r="Z15" i="1" s="1"/>
  <c r="AP439" i="1"/>
  <c r="Y439" i="1"/>
  <c r="Z439" i="1" s="1"/>
  <c r="AP496" i="1"/>
  <c r="Y496" i="1"/>
  <c r="Z496" i="1" s="1"/>
  <c r="AP435" i="1"/>
  <c r="Y435" i="1"/>
  <c r="Z435" i="1" s="1"/>
  <c r="AP9" i="1"/>
  <c r="Y9" i="1"/>
  <c r="Z9" i="1" s="1"/>
  <c r="AP468" i="1"/>
  <c r="Y468" i="1"/>
  <c r="Z468" i="1" s="1"/>
  <c r="AP430" i="1"/>
  <c r="Y430" i="1"/>
  <c r="Z430" i="1" s="1"/>
  <c r="AP429" i="1"/>
  <c r="Y429" i="1"/>
  <c r="Z429" i="1" s="1"/>
  <c r="BA2" i="1"/>
  <c r="BB2" i="1" s="1"/>
  <c r="BA449" i="1"/>
  <c r="BB449" i="1" s="1"/>
  <c r="BA467" i="1"/>
  <c r="BB467" i="1" s="1"/>
  <c r="BE254" i="1"/>
  <c r="BA254" i="1"/>
  <c r="BB254" i="1" s="1"/>
  <c r="BA487" i="1"/>
  <c r="BB487" i="1" s="1"/>
  <c r="BS430" i="1"/>
  <c r="BT430" i="1" s="1"/>
  <c r="BA430" i="1"/>
  <c r="BB430" i="1" s="1"/>
  <c r="BS496" i="1"/>
  <c r="BT496" i="1" s="1"/>
  <c r="BA496" i="1"/>
  <c r="BB496" i="1" s="1"/>
  <c r="BA281" i="1"/>
  <c r="BB281" i="1" s="1"/>
  <c r="BA116" i="1"/>
  <c r="BB116" i="1" s="1"/>
  <c r="BA66" i="1"/>
  <c r="BB66" i="1" s="1"/>
  <c r="BE70" i="1"/>
  <c r="BA59" i="1"/>
  <c r="BB59" i="1" s="1"/>
  <c r="BA454" i="1"/>
  <c r="BB454" i="1" s="1"/>
  <c r="BA257" i="1"/>
  <c r="BB257" i="1" s="1"/>
  <c r="BA74" i="1"/>
  <c r="BB74" i="1" s="1"/>
  <c r="BA478" i="1"/>
  <c r="BB478" i="1" s="1"/>
  <c r="BA44" i="1"/>
  <c r="BB44" i="1" s="1"/>
  <c r="BE238" i="1"/>
  <c r="BA238" i="1"/>
  <c r="BB238" i="1" s="1"/>
  <c r="BA78" i="1"/>
  <c r="BB78" i="1" s="1"/>
  <c r="BA83" i="1"/>
  <c r="BB83" i="1" s="1"/>
  <c r="BA81" i="1"/>
  <c r="BB81" i="1" s="1"/>
  <c r="BE491" i="1"/>
  <c r="BA491" i="1"/>
  <c r="BB491" i="1" s="1"/>
  <c r="BA423" i="1"/>
  <c r="BB423" i="1" s="1"/>
  <c r="BE273" i="1"/>
  <c r="BA273" i="1"/>
  <c r="BB273" i="1" s="1"/>
  <c r="BE237" i="1"/>
  <c r="BA237" i="1"/>
  <c r="BB237" i="1" s="1"/>
  <c r="BE288" i="1"/>
  <c r="BA288" i="1"/>
  <c r="BB288" i="1" s="1"/>
  <c r="BA311" i="1"/>
  <c r="BB311" i="1" s="1"/>
  <c r="BA94" i="1"/>
  <c r="BB94" i="1" s="1"/>
  <c r="BE17" i="1"/>
  <c r="BA17" i="1"/>
  <c r="BB17" i="1" s="1"/>
  <c r="BA325" i="1"/>
  <c r="BB325" i="1" s="1"/>
  <c r="BA25" i="1"/>
  <c r="BB25" i="1" s="1"/>
  <c r="BE380" i="1"/>
  <c r="BA380" i="1"/>
  <c r="BB380" i="1" s="1"/>
  <c r="BE381" i="1"/>
  <c r="BA381" i="1"/>
  <c r="BB381" i="1" s="1"/>
  <c r="BA178" i="1"/>
  <c r="BB178" i="1" s="1"/>
  <c r="BE458" i="1"/>
  <c r="BA458" i="1"/>
  <c r="BB458" i="1" s="1"/>
  <c r="BA248" i="1"/>
  <c r="BB248" i="1" s="1"/>
  <c r="BA217" i="1"/>
  <c r="BB217" i="1" s="1"/>
  <c r="BA312" i="1"/>
  <c r="BB312" i="1" s="1"/>
  <c r="BE398" i="1"/>
  <c r="BA398" i="1"/>
  <c r="BB398" i="1" s="1"/>
  <c r="BA119" i="1"/>
  <c r="BB119" i="1" s="1"/>
  <c r="BA191" i="1"/>
  <c r="BB191" i="1" s="1"/>
  <c r="BA459" i="1"/>
  <c r="BB459" i="1" s="1"/>
  <c r="BA411" i="1"/>
  <c r="BB411" i="1" s="1"/>
  <c r="BE141" i="1"/>
  <c r="BA141" i="1"/>
  <c r="BB141" i="1" s="1"/>
  <c r="BS435" i="1"/>
  <c r="BT435" i="1" s="1"/>
  <c r="BA435" i="1"/>
  <c r="BB435" i="1" s="1"/>
  <c r="BS204" i="1"/>
  <c r="BT204" i="1" s="1"/>
  <c r="BA204" i="1"/>
  <c r="BB204" i="1" s="1"/>
  <c r="BA125" i="1"/>
  <c r="BB125" i="1" s="1"/>
  <c r="BA134" i="1"/>
  <c r="BB134" i="1" s="1"/>
  <c r="BA348" i="1"/>
  <c r="BB348" i="1" s="1"/>
  <c r="BA236" i="1"/>
  <c r="BB236" i="1" s="1"/>
  <c r="BE434" i="1"/>
  <c r="BA434" i="1"/>
  <c r="BB434" i="1" s="1"/>
  <c r="BA71" i="1"/>
  <c r="BB71" i="1" s="1"/>
  <c r="BA77" i="1"/>
  <c r="BB77" i="1" s="1"/>
  <c r="BA489" i="1"/>
  <c r="BB489" i="1" s="1"/>
  <c r="BA421" i="1"/>
  <c r="BB421" i="1" s="1"/>
  <c r="BA255" i="1"/>
  <c r="BB255" i="1" s="1"/>
  <c r="BA322" i="1"/>
  <c r="BB322" i="1" s="1"/>
  <c r="BA187" i="1"/>
  <c r="BB187" i="1" s="1"/>
  <c r="BE163" i="1"/>
  <c r="BA163" i="1"/>
  <c r="BB163" i="1" s="1"/>
  <c r="BA400" i="1"/>
  <c r="BB400" i="1" s="1"/>
  <c r="BE376" i="1"/>
  <c r="BA376" i="1"/>
  <c r="BB376" i="1" s="1"/>
  <c r="BE383" i="1"/>
  <c r="BA383" i="1"/>
  <c r="BB383" i="1" s="1"/>
  <c r="BA324" i="1"/>
  <c r="BB324" i="1" s="1"/>
  <c r="BA276" i="1"/>
  <c r="BB276" i="1" s="1"/>
  <c r="BE107" i="1"/>
  <c r="BA107" i="1"/>
  <c r="BB107" i="1" s="1"/>
  <c r="BE346" i="1"/>
  <c r="BA63" i="1"/>
  <c r="BB63" i="1" s="1"/>
  <c r="BA93" i="1"/>
  <c r="BB93" i="1" s="1"/>
  <c r="BA258" i="1"/>
  <c r="BB258" i="1" s="1"/>
  <c r="BA235" i="1"/>
  <c r="BB235" i="1" s="1"/>
  <c r="BA46" i="1"/>
  <c r="BB46" i="1" s="1"/>
  <c r="BA40" i="1"/>
  <c r="BB40" i="1" s="1"/>
  <c r="BA285" i="1"/>
  <c r="BB285" i="1" s="1"/>
  <c r="BE16" i="1"/>
  <c r="BE331" i="1"/>
  <c r="BA331" i="1"/>
  <c r="BB331" i="1" s="1"/>
  <c r="BA49" i="1"/>
  <c r="BB49" i="1" s="1"/>
  <c r="BA53" i="1"/>
  <c r="BB53" i="1" s="1"/>
  <c r="BE26" i="1"/>
  <c r="BA26" i="1"/>
  <c r="BB26" i="1" s="1"/>
  <c r="BE20" i="1"/>
  <c r="BA20" i="1"/>
  <c r="BB20" i="1" s="1"/>
  <c r="BA160" i="1"/>
  <c r="BB160" i="1" s="1"/>
  <c r="BE252" i="1"/>
  <c r="BA252" i="1"/>
  <c r="BB252" i="1" s="1"/>
  <c r="BA386" i="1"/>
  <c r="BB386" i="1" s="1"/>
  <c r="BA350" i="1"/>
  <c r="BB350" i="1" s="1"/>
  <c r="BA319" i="1"/>
  <c r="BB319" i="1" s="1"/>
  <c r="BE363" i="1"/>
  <c r="BA363" i="1"/>
  <c r="BB363" i="1" s="1"/>
  <c r="BA121" i="1"/>
  <c r="BB121" i="1" s="1"/>
  <c r="BA246" i="1"/>
  <c r="BB246" i="1" s="1"/>
  <c r="BE488" i="1"/>
  <c r="BA488" i="1"/>
  <c r="BB488" i="1" s="1"/>
  <c r="BA329" i="1"/>
  <c r="BB329" i="1" s="1"/>
  <c r="BE142" i="1"/>
  <c r="BA142" i="1"/>
  <c r="BB142" i="1" s="1"/>
  <c r="BA186" i="1"/>
  <c r="BB186" i="1" s="1"/>
  <c r="BA469" i="1"/>
  <c r="BB469" i="1" s="1"/>
  <c r="BA133" i="1"/>
  <c r="BB133" i="1" s="1"/>
  <c r="BA144" i="1"/>
  <c r="BB144" i="1" s="1"/>
  <c r="BA335" i="1"/>
  <c r="BB335" i="1" s="1"/>
  <c r="BA190" i="1"/>
  <c r="BB190" i="1" s="1"/>
  <c r="BA73" i="1"/>
  <c r="BB73" i="1" s="1"/>
  <c r="BA171" i="1"/>
  <c r="BB171" i="1" s="1"/>
  <c r="BE55" i="1"/>
  <c r="BA197" i="1"/>
  <c r="BB197" i="1" s="1"/>
  <c r="BA303" i="1"/>
  <c r="BB303" i="1" s="1"/>
  <c r="BA337" i="1"/>
  <c r="BB337" i="1" s="1"/>
  <c r="BA352" i="1"/>
  <c r="BB352" i="1" s="1"/>
  <c r="BA388" i="1"/>
  <c r="BB388" i="1" s="1"/>
  <c r="BA332" i="1"/>
  <c r="BB332" i="1" s="1"/>
  <c r="BA432" i="1"/>
  <c r="BB432" i="1" s="1"/>
  <c r="BA347" i="1"/>
  <c r="BB347" i="1" s="1"/>
  <c r="BA431" i="1"/>
  <c r="BB431" i="1" s="1"/>
  <c r="BE97" i="1"/>
  <c r="BA97" i="1"/>
  <c r="BB97" i="1" s="1"/>
  <c r="BA495" i="1"/>
  <c r="BB495" i="1" s="1"/>
  <c r="BE297" i="1"/>
  <c r="BA297" i="1"/>
  <c r="BB297" i="1" s="1"/>
  <c r="BA280" i="1"/>
  <c r="BB280" i="1" s="1"/>
  <c r="BA221" i="1"/>
  <c r="BB221" i="1" s="1"/>
  <c r="BA428" i="1"/>
  <c r="BB428" i="1" s="1"/>
  <c r="BE465" i="1"/>
  <c r="BA465" i="1"/>
  <c r="BB465" i="1" s="1"/>
  <c r="BA462" i="1"/>
  <c r="BB462" i="1" s="1"/>
  <c r="BA80" i="1"/>
  <c r="BB80" i="1" s="1"/>
  <c r="BA290" i="1"/>
  <c r="BB290" i="1" s="1"/>
  <c r="BE443" i="1"/>
  <c r="BA443" i="1"/>
  <c r="BB443" i="1" s="1"/>
  <c r="BE108" i="1"/>
  <c r="BA233" i="1"/>
  <c r="BB233" i="1" s="1"/>
  <c r="BA85" i="1"/>
  <c r="BB85" i="1" s="1"/>
  <c r="BE391" i="1"/>
  <c r="BA391" i="1"/>
  <c r="BB391" i="1" s="1"/>
  <c r="BE415" i="1"/>
  <c r="BA48" i="1"/>
  <c r="BB48" i="1" s="1"/>
  <c r="BA62" i="1"/>
  <c r="BB62" i="1" s="1"/>
  <c r="BA199" i="1"/>
  <c r="BB199" i="1" s="1"/>
  <c r="BE378" i="1"/>
  <c r="BA378" i="1"/>
  <c r="BB378" i="1" s="1"/>
  <c r="BE371" i="1"/>
  <c r="BA371" i="1"/>
  <c r="BB371" i="1" s="1"/>
  <c r="BE375" i="1"/>
  <c r="BA375" i="1"/>
  <c r="BB375" i="1" s="1"/>
  <c r="BA414" i="1"/>
  <c r="BB414" i="1" s="1"/>
  <c r="BA422" i="1"/>
  <c r="BB422" i="1" s="1"/>
  <c r="BA446" i="1"/>
  <c r="BB446" i="1" s="1"/>
  <c r="BA425" i="1"/>
  <c r="BB425" i="1" s="1"/>
  <c r="BA188" i="1"/>
  <c r="BB188" i="1" s="1"/>
  <c r="BE170" i="1"/>
  <c r="BA170" i="1"/>
  <c r="BB170" i="1" s="1"/>
  <c r="BE413" i="1"/>
  <c r="BA413" i="1"/>
  <c r="BB413" i="1" s="1"/>
  <c r="BA493" i="1"/>
  <c r="BB493" i="1" s="1"/>
  <c r="BA405" i="1"/>
  <c r="BB405" i="1" s="1"/>
  <c r="BE448" i="1"/>
  <c r="BA448" i="1"/>
  <c r="BB448" i="1" s="1"/>
  <c r="BA64" i="1"/>
  <c r="BB64" i="1" s="1"/>
  <c r="BA486" i="1"/>
  <c r="BB486" i="1" s="1"/>
  <c r="BE429" i="1"/>
  <c r="BA429" i="1"/>
  <c r="BB429" i="1" s="1"/>
  <c r="BA439" i="1"/>
  <c r="BB439" i="1" s="1"/>
  <c r="BA114" i="1"/>
  <c r="BB114" i="1" s="1"/>
  <c r="BA155" i="1"/>
  <c r="BB155" i="1" s="1"/>
  <c r="BA256" i="1"/>
  <c r="BB256" i="1" s="1"/>
  <c r="BA177" i="1"/>
  <c r="BB177" i="1" s="1"/>
  <c r="BA147" i="1"/>
  <c r="BB147" i="1" s="1"/>
  <c r="BE444" i="1"/>
  <c r="BA444" i="1"/>
  <c r="BB444" i="1" s="1"/>
  <c r="BA69" i="1"/>
  <c r="BB69" i="1" s="1"/>
  <c r="BA440" i="1"/>
  <c r="BB440" i="1" s="1"/>
  <c r="BA86" i="1"/>
  <c r="BB86" i="1" s="1"/>
  <c r="BE102" i="1"/>
  <c r="BA102" i="1"/>
  <c r="BB102" i="1" s="1"/>
  <c r="BA259" i="1"/>
  <c r="BB259" i="1" s="1"/>
  <c r="BA406" i="1"/>
  <c r="BB406" i="1" s="1"/>
  <c r="BA234" i="1"/>
  <c r="BB234" i="1" s="1"/>
  <c r="BE471" i="1"/>
  <c r="BA471" i="1"/>
  <c r="BB471" i="1" s="1"/>
  <c r="BA321" i="1"/>
  <c r="BB321" i="1" s="1"/>
  <c r="BE438" i="1"/>
  <c r="BA438" i="1"/>
  <c r="BB438" i="1" s="1"/>
  <c r="BA148" i="1"/>
  <c r="BB148" i="1" s="1"/>
  <c r="BA130" i="1"/>
  <c r="BB130" i="1" s="1"/>
  <c r="BA307" i="1"/>
  <c r="BB307" i="1" s="1"/>
  <c r="BA92" i="1"/>
  <c r="BB92" i="1" s="1"/>
  <c r="BA304" i="1"/>
  <c r="BB304" i="1" s="1"/>
  <c r="BA339" i="1"/>
  <c r="BB339" i="1" s="1"/>
  <c r="BA210" i="1"/>
  <c r="BB210" i="1" s="1"/>
  <c r="BA189" i="1"/>
  <c r="BB189" i="1" s="1"/>
  <c r="BA250" i="1"/>
  <c r="BB250" i="1" s="1"/>
  <c r="BA340" i="1"/>
  <c r="BB340" i="1" s="1"/>
  <c r="BE21" i="1"/>
  <c r="BA21" i="1"/>
  <c r="BB21" i="1" s="1"/>
  <c r="BE22" i="1"/>
  <c r="BA22" i="1"/>
  <c r="BB22" i="1" s="1"/>
  <c r="BA247" i="1"/>
  <c r="BB247" i="1" s="1"/>
  <c r="BE279" i="1"/>
  <c r="BA279" i="1"/>
  <c r="BB279" i="1" s="1"/>
  <c r="BE382" i="1"/>
  <c r="BA382" i="1"/>
  <c r="BB382" i="1" s="1"/>
  <c r="BE12" i="1"/>
  <c r="BE39" i="1"/>
  <c r="BA441" i="1"/>
  <c r="BB441" i="1" s="1"/>
  <c r="BA452" i="1"/>
  <c r="BB452" i="1" s="1"/>
  <c r="BA358" i="1"/>
  <c r="BB358" i="1" s="1"/>
  <c r="BE328" i="1"/>
  <c r="BA328" i="1"/>
  <c r="BB328" i="1" s="1"/>
  <c r="BA220" i="1"/>
  <c r="BB220" i="1" s="1"/>
  <c r="BE365" i="1"/>
  <c r="BA365" i="1"/>
  <c r="BB365" i="1" s="1"/>
  <c r="BA314" i="1"/>
  <c r="BB314" i="1" s="1"/>
  <c r="BE367" i="1"/>
  <c r="BA367" i="1"/>
  <c r="BB367" i="1" s="1"/>
  <c r="BE427" i="1"/>
  <c r="BA420" i="1"/>
  <c r="BB420" i="1" s="1"/>
  <c r="BA153" i="1"/>
  <c r="BB153" i="1" s="1"/>
  <c r="BA115" i="1"/>
  <c r="BB115" i="1" s="1"/>
  <c r="BA212" i="1"/>
  <c r="BB212" i="1" s="1"/>
  <c r="BE195" i="1"/>
  <c r="BA195" i="1"/>
  <c r="BB195" i="1" s="1"/>
  <c r="BE492" i="1"/>
  <c r="BA410" i="1"/>
  <c r="BB410" i="1" s="1"/>
  <c r="BE151" i="1"/>
  <c r="BA151" i="1"/>
  <c r="BB151" i="1" s="1"/>
  <c r="BA395" i="1"/>
  <c r="BB395" i="1" s="1"/>
  <c r="BE214" i="1"/>
  <c r="BA214" i="1"/>
  <c r="BB214" i="1" s="1"/>
  <c r="BA110" i="1"/>
  <c r="BB110" i="1" s="1"/>
  <c r="BE165" i="1"/>
  <c r="BA165" i="1"/>
  <c r="BB165" i="1" s="1"/>
  <c r="BA295" i="1"/>
  <c r="BB295" i="1" s="1"/>
  <c r="BA72" i="1"/>
  <c r="BB72" i="1" s="1"/>
  <c r="BA505" i="1"/>
  <c r="BB505" i="1" s="1"/>
  <c r="BA499" i="1"/>
  <c r="BB499" i="1" s="1"/>
  <c r="BE504" i="1"/>
  <c r="BA504" i="1"/>
  <c r="BB504" i="1" s="1"/>
  <c r="BA154" i="1"/>
  <c r="BB154" i="1" s="1"/>
  <c r="BE264" i="1"/>
  <c r="BA264" i="1"/>
  <c r="BB264" i="1" s="1"/>
  <c r="BA101" i="1"/>
  <c r="BB101" i="1" s="1"/>
  <c r="BE426" i="1"/>
  <c r="BA426" i="1"/>
  <c r="BB426" i="1" s="1"/>
  <c r="BA87" i="1"/>
  <c r="BB87" i="1" s="1"/>
  <c r="BA450" i="1"/>
  <c r="BB450" i="1" s="1"/>
  <c r="BA253" i="1"/>
  <c r="BB253" i="1" s="1"/>
  <c r="BA464" i="1"/>
  <c r="BB464" i="1" s="1"/>
  <c r="BA483" i="1"/>
  <c r="BB483" i="1" s="1"/>
  <c r="BA105" i="1"/>
  <c r="BB105" i="1" s="1"/>
  <c r="BA342" i="1"/>
  <c r="BB342" i="1" s="1"/>
  <c r="BE399" i="1"/>
  <c r="BA399" i="1"/>
  <c r="BB399" i="1" s="1"/>
  <c r="BE401" i="1"/>
  <c r="BA401" i="1"/>
  <c r="BB401" i="1" s="1"/>
  <c r="BA407" i="1"/>
  <c r="BB407" i="1" s="1"/>
  <c r="BA409" i="1"/>
  <c r="BB409" i="1" s="1"/>
  <c r="BA293" i="1"/>
  <c r="BB293" i="1" s="1"/>
  <c r="BA91" i="1"/>
  <c r="BB91" i="1" s="1"/>
  <c r="BA113" i="1"/>
  <c r="BB113" i="1" s="1"/>
  <c r="BE19" i="1"/>
  <c r="BA19" i="1"/>
  <c r="BB19" i="1" s="1"/>
  <c r="BA32" i="1"/>
  <c r="BB32" i="1" s="1"/>
  <c r="BE45" i="1"/>
  <c r="BA45" i="1"/>
  <c r="BB45" i="1" s="1"/>
  <c r="BE18" i="1"/>
  <c r="BA18" i="1"/>
  <c r="BB18" i="1" s="1"/>
  <c r="BE14" i="1"/>
  <c r="BA14" i="1"/>
  <c r="BB14" i="1" s="1"/>
  <c r="BA412" i="1"/>
  <c r="BB412" i="1" s="1"/>
  <c r="BA198" i="1"/>
  <c r="BB198" i="1" s="1"/>
  <c r="BE308" i="1"/>
  <c r="BA308" i="1"/>
  <c r="BB308" i="1" s="1"/>
  <c r="BE503" i="1"/>
  <c r="BA503" i="1"/>
  <c r="BB503" i="1" s="1"/>
  <c r="BE278" i="1"/>
  <c r="BA278" i="1"/>
  <c r="BB278" i="1" s="1"/>
  <c r="BA485" i="1"/>
  <c r="BB485" i="1" s="1"/>
  <c r="BE460" i="1"/>
  <c r="BA460" i="1"/>
  <c r="BB460" i="1" s="1"/>
  <c r="BA468" i="1"/>
  <c r="BB468" i="1" s="1"/>
  <c r="BA33" i="1"/>
  <c r="BB33" i="1" s="1"/>
  <c r="BE131" i="1"/>
  <c r="BA131" i="1"/>
  <c r="BB131" i="1" s="1"/>
  <c r="BA168" i="1"/>
  <c r="BB168" i="1" s="1"/>
  <c r="BA271" i="1"/>
  <c r="BB271" i="1" s="1"/>
  <c r="BA215" i="1"/>
  <c r="BB215" i="1" s="1"/>
  <c r="BA174" i="1"/>
  <c r="BB174" i="1" s="1"/>
  <c r="BA270" i="1"/>
  <c r="BB270" i="1" s="1"/>
  <c r="BE484" i="1"/>
  <c r="BA484" i="1"/>
  <c r="BB484" i="1" s="1"/>
  <c r="BA84" i="1"/>
  <c r="BB84" i="1" s="1"/>
  <c r="BA88" i="1"/>
  <c r="BB88" i="1" s="1"/>
  <c r="BA201" i="1"/>
  <c r="BB201" i="1" s="1"/>
  <c r="BA287" i="1"/>
  <c r="BB287" i="1" s="1"/>
  <c r="BE343" i="1"/>
  <c r="BA343" i="1"/>
  <c r="BB343" i="1" s="1"/>
  <c r="BE364" i="1"/>
  <c r="BA364" i="1"/>
  <c r="BB364" i="1" s="1"/>
  <c r="BA260" i="1"/>
  <c r="BB260" i="1" s="1"/>
  <c r="BA99" i="1"/>
  <c r="BB99" i="1" s="1"/>
  <c r="BE323" i="1"/>
  <c r="BA323" i="1"/>
  <c r="BB323" i="1" s="1"/>
  <c r="BE387" i="1"/>
  <c r="BA387" i="1"/>
  <c r="BB387" i="1" s="1"/>
  <c r="BA244" i="1"/>
  <c r="BB244" i="1" s="1"/>
  <c r="BA112" i="1"/>
  <c r="BB112" i="1" s="1"/>
  <c r="BA268" i="1"/>
  <c r="BB268" i="1" s="1"/>
  <c r="BA326" i="1"/>
  <c r="BB326" i="1" s="1"/>
  <c r="BE390" i="1"/>
  <c r="BA390" i="1"/>
  <c r="BB390" i="1" s="1"/>
  <c r="BE316" i="1"/>
  <c r="BA316" i="1"/>
  <c r="BB316" i="1" s="1"/>
  <c r="BE262" i="1"/>
  <c r="BA262" i="1"/>
  <c r="BB262" i="1" s="1"/>
  <c r="BA473" i="1"/>
  <c r="BB473" i="1" s="1"/>
  <c r="BA368" i="1"/>
  <c r="BB368" i="1" s="1"/>
  <c r="BE385" i="1"/>
  <c r="BA385" i="1"/>
  <c r="BB385" i="1" s="1"/>
  <c r="BE28" i="1"/>
  <c r="BA28" i="1"/>
  <c r="BB28" i="1" s="1"/>
  <c r="BE299" i="1"/>
  <c r="BA299" i="1"/>
  <c r="BB299" i="1" s="1"/>
  <c r="BA27" i="1"/>
  <c r="BB27" i="1" s="1"/>
  <c r="BE54" i="1"/>
  <c r="BA54" i="1"/>
  <c r="BB54" i="1" s="1"/>
  <c r="BA61" i="1"/>
  <c r="BB61" i="1" s="1"/>
  <c r="BA424" i="1"/>
  <c r="BB424" i="1" s="1"/>
  <c r="BE37" i="1"/>
  <c r="BA37" i="1"/>
  <c r="BB37" i="1" s="1"/>
  <c r="BA231" i="1"/>
  <c r="BB231" i="1" s="1"/>
  <c r="BA241" i="1"/>
  <c r="BB241" i="1" s="1"/>
  <c r="BA356" i="1"/>
  <c r="BB356" i="1" s="1"/>
  <c r="BA216" i="1"/>
  <c r="BB216" i="1" s="1"/>
  <c r="BE370" i="1"/>
  <c r="BA370" i="1"/>
  <c r="BB370" i="1" s="1"/>
  <c r="BA361" i="1"/>
  <c r="BB361" i="1" s="1"/>
  <c r="BE373" i="1"/>
  <c r="BA373" i="1"/>
  <c r="BB373" i="1" s="1"/>
  <c r="BA436" i="1"/>
  <c r="BB436" i="1" s="1"/>
  <c r="BE239" i="1"/>
  <c r="BE354" i="1"/>
  <c r="BA354" i="1"/>
  <c r="BB354" i="1" s="1"/>
  <c r="BA355" i="1"/>
  <c r="BB355" i="1" s="1"/>
  <c r="BE480" i="1"/>
  <c r="BA480" i="1"/>
  <c r="BB480" i="1" s="1"/>
  <c r="BA150" i="1"/>
  <c r="BB150" i="1" s="1"/>
  <c r="BA265" i="1"/>
  <c r="BB265" i="1" s="1"/>
  <c r="BA161" i="1"/>
  <c r="BB161" i="1" s="1"/>
  <c r="BA89" i="1"/>
  <c r="BB89" i="1" s="1"/>
  <c r="BA502" i="1"/>
  <c r="BB502" i="1" s="1"/>
  <c r="BA152" i="1"/>
  <c r="BB152" i="1" s="1"/>
  <c r="BA500" i="1"/>
  <c r="BB500" i="1" s="1"/>
  <c r="BA433" i="1"/>
  <c r="BB433" i="1" s="1"/>
  <c r="BE294" i="1"/>
  <c r="BA294" i="1"/>
  <c r="BB294" i="1" s="1"/>
  <c r="BE243" i="1"/>
  <c r="BA243" i="1"/>
  <c r="BB243" i="1" s="1"/>
  <c r="BA98" i="1"/>
  <c r="BB98" i="1" s="1"/>
  <c r="BA447" i="1"/>
  <c r="BB447" i="1" s="1"/>
  <c r="BA301" i="1"/>
  <c r="BB301" i="1" s="1"/>
  <c r="BA228" i="1"/>
  <c r="BB228" i="1" s="1"/>
  <c r="BE296" i="1"/>
  <c r="BA296" i="1"/>
  <c r="BB296" i="1" s="1"/>
  <c r="BA497" i="1"/>
  <c r="BB497" i="1" s="1"/>
  <c r="BE341" i="1"/>
  <c r="BA341" i="1"/>
  <c r="BB341" i="1" s="1"/>
  <c r="BA501" i="1"/>
  <c r="BB501" i="1" s="1"/>
  <c r="BA179" i="1"/>
  <c r="BB179" i="1" s="1"/>
  <c r="BE282" i="1"/>
  <c r="BA282" i="1"/>
  <c r="BB282" i="1" s="1"/>
  <c r="BA345" i="1"/>
  <c r="BB345" i="1" s="1"/>
  <c r="BA111" i="1"/>
  <c r="BB111" i="1" s="1"/>
  <c r="BA58" i="1"/>
  <c r="BB58" i="1" s="1"/>
  <c r="BA202" i="1"/>
  <c r="BB202" i="1" s="1"/>
  <c r="BA157" i="1"/>
  <c r="BB157" i="1" s="1"/>
  <c r="BE56" i="1"/>
  <c r="BA56" i="1"/>
  <c r="BB56" i="1" s="1"/>
  <c r="BA353" i="1"/>
  <c r="BB353" i="1" s="1"/>
  <c r="BA418" i="1"/>
  <c r="BB418" i="1" s="1"/>
  <c r="BA75" i="1"/>
  <c r="BB75" i="1" s="1"/>
  <c r="BA229" i="1"/>
  <c r="BB229" i="1" s="1"/>
  <c r="BA403" i="1"/>
  <c r="BB403" i="1" s="1"/>
  <c r="BA139" i="1"/>
  <c r="BB139" i="1" s="1"/>
  <c r="BA222" i="1"/>
  <c r="BB222" i="1" s="1"/>
  <c r="BA397" i="1"/>
  <c r="BB397" i="1" s="1"/>
  <c r="BE404" i="1"/>
  <c r="BA404" i="1"/>
  <c r="BB404" i="1" s="1"/>
  <c r="BE57" i="1"/>
  <c r="BA57" i="1"/>
  <c r="BB57" i="1" s="1"/>
  <c r="BE162" i="1"/>
  <c r="BA162" i="1"/>
  <c r="BB162" i="1" s="1"/>
  <c r="BE377" i="1"/>
  <c r="BA377" i="1"/>
  <c r="BB377" i="1" s="1"/>
  <c r="BA95" i="1"/>
  <c r="BB95" i="1" s="1"/>
  <c r="BA313" i="1"/>
  <c r="BB313" i="1" s="1"/>
  <c r="BA261" i="1"/>
  <c r="BB261" i="1" s="1"/>
  <c r="BA249" i="1"/>
  <c r="BB249" i="1" s="1"/>
  <c r="BA283" i="1"/>
  <c r="BB283" i="1" s="1"/>
  <c r="BE193" i="1"/>
  <c r="BA193" i="1"/>
  <c r="BB193" i="1" s="1"/>
  <c r="BA128" i="1"/>
  <c r="BB128" i="1" s="1"/>
  <c r="BA266" i="1"/>
  <c r="BB266" i="1" s="1"/>
  <c r="BA230" i="1"/>
  <c r="BB230" i="1" s="1"/>
  <c r="BA408" i="1"/>
  <c r="BB408" i="1" s="1"/>
  <c r="BE136" i="1"/>
  <c r="BA136" i="1"/>
  <c r="BB136" i="1" s="1"/>
  <c r="BE183" i="1"/>
  <c r="BA183" i="1"/>
  <c r="BB183" i="1" s="1"/>
  <c r="BE240" i="1"/>
  <c r="BE272" i="1"/>
  <c r="BA272" i="1"/>
  <c r="BB272" i="1" s="1"/>
  <c r="BA218" i="1"/>
  <c r="BB218" i="1" s="1"/>
  <c r="BA67" i="1"/>
  <c r="BB67" i="1" s="1"/>
  <c r="BS9" i="1"/>
  <c r="BT9" i="1" s="1"/>
  <c r="BA9" i="1"/>
  <c r="BB9" i="1" s="1"/>
  <c r="BA453" i="1"/>
  <c r="BB453" i="1" s="1"/>
  <c r="BA164" i="1"/>
  <c r="BB164" i="1" s="1"/>
  <c r="BA173" i="1"/>
  <c r="BB173" i="1" s="1"/>
  <c r="BA466" i="1"/>
  <c r="BB466" i="1" s="1"/>
  <c r="BE437" i="1"/>
  <c r="BA437" i="1"/>
  <c r="BB437" i="1" s="1"/>
  <c r="BA263" i="1"/>
  <c r="BB263" i="1" s="1"/>
  <c r="BA143" i="1"/>
  <c r="BB143" i="1" s="1"/>
  <c r="BE76" i="1"/>
  <c r="BA76" i="1"/>
  <c r="BB76" i="1" s="1"/>
  <c r="BA79" i="1"/>
  <c r="BB79" i="1" s="1"/>
  <c r="BA479" i="1"/>
  <c r="BB479" i="1" s="1"/>
  <c r="BA194" i="1"/>
  <c r="BB194" i="1" s="1"/>
  <c r="BA291" i="1"/>
  <c r="BB291" i="1" s="1"/>
  <c r="BE384" i="1"/>
  <c r="BA384" i="1"/>
  <c r="BB384" i="1" s="1"/>
  <c r="BA205" i="1"/>
  <c r="BB205" i="1" s="1"/>
  <c r="BA402" i="1"/>
  <c r="BB402" i="1" s="1"/>
  <c r="BA149" i="1"/>
  <c r="BB149" i="1" s="1"/>
  <c r="BE490" i="1"/>
  <c r="BA490" i="1"/>
  <c r="BB490" i="1" s="1"/>
  <c r="BE135" i="1"/>
  <c r="BA135" i="1"/>
  <c r="BB135" i="1" s="1"/>
  <c r="BA245" i="1"/>
  <c r="BB245" i="1" s="1"/>
  <c r="BE305" i="1"/>
  <c r="BA305" i="1"/>
  <c r="BB305" i="1" s="1"/>
  <c r="BE310" i="1"/>
  <c r="BA310" i="1"/>
  <c r="BB310" i="1" s="1"/>
  <c r="BE351" i="1"/>
  <c r="BA351" i="1"/>
  <c r="BB351" i="1" s="1"/>
  <c r="BE327" i="1"/>
  <c r="BA327" i="1"/>
  <c r="BB327" i="1" s="1"/>
  <c r="BE330" i="1"/>
  <c r="BA330" i="1"/>
  <c r="BB330" i="1" s="1"/>
  <c r="BA138" i="1"/>
  <c r="BB138" i="1" s="1"/>
  <c r="BA302" i="1"/>
  <c r="BB302" i="1" s="1"/>
  <c r="BA389" i="1"/>
  <c r="BB389" i="1" s="1"/>
  <c r="BA5" i="1"/>
  <c r="BB5" i="1" s="1"/>
  <c r="BA47" i="1"/>
  <c r="BB47" i="1" s="1"/>
  <c r="BE13" i="1"/>
  <c r="BA13" i="1"/>
  <c r="BB13" i="1" s="1"/>
  <c r="BA349" i="1"/>
  <c r="BB349" i="1" s="1"/>
  <c r="BE36" i="1"/>
  <c r="BA445" i="1"/>
  <c r="BB445" i="1" s="1"/>
  <c r="BA24" i="1"/>
  <c r="BB24" i="1" s="1"/>
  <c r="BA50" i="1"/>
  <c r="BB50" i="1" s="1"/>
  <c r="BE286" i="1"/>
  <c r="BA286" i="1"/>
  <c r="BB286" i="1" s="1"/>
  <c r="BE306" i="1"/>
  <c r="BA362" i="1"/>
  <c r="BB362" i="1" s="1"/>
  <c r="BA227" i="1"/>
  <c r="BB227" i="1" s="1"/>
  <c r="BE318" i="1"/>
  <c r="BA318" i="1"/>
  <c r="BB318" i="1" s="1"/>
  <c r="BE366" i="1"/>
  <c r="BA366" i="1"/>
  <c r="BB366" i="1" s="1"/>
  <c r="BA124" i="1"/>
  <c r="BB124" i="1" s="1"/>
  <c r="BA184" i="1"/>
  <c r="BB184" i="1" s="1"/>
  <c r="BE442" i="1"/>
  <c r="BA442" i="1"/>
  <c r="BB442" i="1" s="1"/>
  <c r="BA360" i="1"/>
  <c r="BB360" i="1" s="1"/>
  <c r="BA333" i="1"/>
  <c r="BB333" i="1" s="1"/>
  <c r="BA82" i="1"/>
  <c r="BB82" i="1" s="1"/>
  <c r="BE196" i="1"/>
  <c r="BA196" i="1"/>
  <c r="BB196" i="1" s="1"/>
  <c r="BA122" i="1"/>
  <c r="BB122" i="1" s="1"/>
  <c r="BA472" i="1"/>
  <c r="BB472" i="1" s="1"/>
  <c r="BA498" i="1"/>
  <c r="BB498" i="1" s="1"/>
  <c r="BA68" i="1"/>
  <c r="BB68" i="1" s="1"/>
  <c r="BA117" i="1"/>
  <c r="BB117" i="1" s="1"/>
  <c r="BA65" i="1"/>
  <c r="BB65" i="1" s="1"/>
  <c r="BA461" i="1"/>
  <c r="BB461" i="1" s="1"/>
  <c r="BA159" i="1"/>
  <c r="BB159" i="1" s="1"/>
  <c r="BE394" i="1"/>
  <c r="BA394" i="1"/>
  <c r="BB394" i="1" s="1"/>
  <c r="BA396" i="1"/>
  <c r="BB396" i="1" s="1"/>
  <c r="BA137" i="1"/>
  <c r="BB137" i="1" s="1"/>
  <c r="BA140" i="1"/>
  <c r="BB140" i="1" s="1"/>
  <c r="BA223" i="1"/>
  <c r="BB223" i="1" s="1"/>
  <c r="BE123" i="1"/>
  <c r="BA104" i="1"/>
  <c r="BB104" i="1" s="1"/>
  <c r="BA274" i="1"/>
  <c r="BB274" i="1" s="1"/>
  <c r="BA451" i="1"/>
  <c r="BB451" i="1" s="1"/>
  <c r="BA158" i="1"/>
  <c r="BB158" i="1" s="1"/>
  <c r="BA206" i="1"/>
  <c r="BB206" i="1" s="1"/>
  <c r="BA309" i="1"/>
  <c r="BB309" i="1" s="1"/>
  <c r="BA200" i="1"/>
  <c r="BB200" i="1" s="1"/>
  <c r="BA225" i="1"/>
  <c r="BB225" i="1" s="1"/>
  <c r="BA315" i="1"/>
  <c r="BB315" i="1" s="1"/>
  <c r="BA334" i="1"/>
  <c r="BB334" i="1" s="1"/>
  <c r="BA175" i="1"/>
  <c r="BB175" i="1" s="1"/>
  <c r="BE298" i="1"/>
  <c r="BA298" i="1"/>
  <c r="BB298" i="1" s="1"/>
  <c r="BE379" i="1"/>
  <c r="BA379" i="1"/>
  <c r="BB379" i="1" s="1"/>
  <c r="BA169" i="1"/>
  <c r="BB169" i="1" s="1"/>
  <c r="BA226" i="1"/>
  <c r="BB226" i="1" s="1"/>
  <c r="BS2" i="1"/>
  <c r="BT2" i="1" s="1"/>
  <c r="BS229" i="1"/>
  <c r="BT229" i="1" s="1"/>
  <c r="CO169" i="1"/>
  <c r="BS169" i="1"/>
  <c r="BT169" i="1" s="1"/>
  <c r="BS417" i="1"/>
  <c r="BT417" i="1" s="1"/>
  <c r="CO155" i="1"/>
  <c r="BS155" i="1"/>
  <c r="BT155" i="1" s="1"/>
  <c r="BS256" i="1"/>
  <c r="BT256" i="1" s="1"/>
  <c r="CO116" i="1"/>
  <c r="BS116" i="1"/>
  <c r="BT116" i="1" s="1"/>
  <c r="CO177" i="1"/>
  <c r="BS177" i="1"/>
  <c r="BT177" i="1" s="1"/>
  <c r="CO147" i="1"/>
  <c r="BS147" i="1"/>
  <c r="BT147" i="1" s="1"/>
  <c r="CO69" i="1"/>
  <c r="BS69" i="1"/>
  <c r="BT69" i="1" s="1"/>
  <c r="BS78" i="1"/>
  <c r="BT78" i="1" s="1"/>
  <c r="BS83" i="1"/>
  <c r="BT83" i="1" s="1"/>
  <c r="BS86" i="1"/>
  <c r="BT86" i="1" s="1"/>
  <c r="BS222" i="1"/>
  <c r="BT222" i="1" s="1"/>
  <c r="BS260" i="1"/>
  <c r="BT260" i="1" s="1"/>
  <c r="BS130" i="1"/>
  <c r="BT130" i="1" s="1"/>
  <c r="CO93" i="1"/>
  <c r="BS93" i="1"/>
  <c r="BT93" i="1" s="1"/>
  <c r="BS258" i="1"/>
  <c r="BT258" i="1" s="1"/>
  <c r="CO91" i="1"/>
  <c r="BS91" i="1"/>
  <c r="BT91" i="1" s="1"/>
  <c r="CO3" i="1"/>
  <c r="BS3" i="1"/>
  <c r="BT3" i="1" s="1"/>
  <c r="BS441" i="1"/>
  <c r="BT441" i="1" s="1"/>
  <c r="BS231" i="1"/>
  <c r="BT231" i="1" s="1"/>
  <c r="BS186" i="1"/>
  <c r="BT186" i="1" s="1"/>
  <c r="BS217" i="1"/>
  <c r="BT217" i="1" s="1"/>
  <c r="CO133" i="1"/>
  <c r="BS133" i="1"/>
  <c r="BT133" i="1" s="1"/>
  <c r="CO103" i="1"/>
  <c r="BS103" i="1"/>
  <c r="BT103" i="1" s="1"/>
  <c r="BS190" i="1"/>
  <c r="BT190" i="1" s="1"/>
  <c r="CO171" i="1"/>
  <c r="BS171" i="1"/>
  <c r="BT171" i="1" s="1"/>
  <c r="CO167" i="1"/>
  <c r="BS167" i="1"/>
  <c r="BT167" i="1" s="1"/>
  <c r="BS228" i="1"/>
  <c r="BT228" i="1" s="1"/>
  <c r="BS223" i="1"/>
  <c r="BT223" i="1" s="1"/>
  <c r="BS104" i="1"/>
  <c r="BT104" i="1" s="1"/>
  <c r="CO499" i="1"/>
  <c r="BS499" i="1"/>
  <c r="BT499" i="1" s="1"/>
  <c r="BS504" i="1"/>
  <c r="BT504" i="1" s="1"/>
  <c r="CO431" i="1"/>
  <c r="BS431" i="1"/>
  <c r="BT431" i="1" s="1"/>
  <c r="BS101" i="1"/>
  <c r="BT101" i="1" s="1"/>
  <c r="CO157" i="1"/>
  <c r="BS157" i="1"/>
  <c r="BT157" i="1" s="1"/>
  <c r="BS175" i="1"/>
  <c r="BT175" i="1" s="1"/>
  <c r="CO464" i="1"/>
  <c r="BS464" i="1"/>
  <c r="BT464" i="1" s="1"/>
  <c r="BE439" i="1"/>
  <c r="BS439" i="1"/>
  <c r="BT439" i="1" s="1"/>
  <c r="BS218" i="1"/>
  <c r="BT218" i="1" s="1"/>
  <c r="BS281" i="1"/>
  <c r="BT281" i="1" s="1"/>
  <c r="CO168" i="1"/>
  <c r="BS168" i="1"/>
  <c r="BT168" i="1" s="1"/>
  <c r="BS271" i="1"/>
  <c r="BT271" i="1" s="1"/>
  <c r="CO466" i="1"/>
  <c r="BS466" i="1"/>
  <c r="BT466" i="1" s="1"/>
  <c r="BS215" i="1"/>
  <c r="BT215" i="1" s="1"/>
  <c r="CO174" i="1"/>
  <c r="BS174" i="1"/>
  <c r="BT174" i="1" s="1"/>
  <c r="BS66" i="1"/>
  <c r="BT66" i="1" s="1"/>
  <c r="BS74" i="1"/>
  <c r="BT74" i="1" s="1"/>
  <c r="BS440" i="1"/>
  <c r="BT440" i="1" s="1"/>
  <c r="BS79" i="1"/>
  <c r="BT79" i="1" s="1"/>
  <c r="CO100" i="1"/>
  <c r="BS255" i="1"/>
  <c r="BT255" i="1" s="1"/>
  <c r="BS438" i="1"/>
  <c r="BT438" i="1" s="1"/>
  <c r="BS233" i="1"/>
  <c r="BT233" i="1" s="1"/>
  <c r="BS244" i="1"/>
  <c r="BT244" i="1" s="1"/>
  <c r="CO112" i="1"/>
  <c r="BS112" i="1"/>
  <c r="BT112" i="1" s="1"/>
  <c r="BS210" i="1"/>
  <c r="BT210" i="1" s="1"/>
  <c r="BS235" i="1"/>
  <c r="BT235" i="1" s="1"/>
  <c r="CO5" i="1"/>
  <c r="BS5" i="1"/>
  <c r="BT5" i="1" s="1"/>
  <c r="CO424" i="1"/>
  <c r="BS424" i="1"/>
  <c r="BT424" i="1" s="1"/>
  <c r="BS249" i="1"/>
  <c r="BT249" i="1" s="1"/>
  <c r="BS436" i="1"/>
  <c r="BT436" i="1" s="1"/>
  <c r="BS420" i="1"/>
  <c r="BT420" i="1" s="1"/>
  <c r="CO153" i="1"/>
  <c r="BS153" i="1"/>
  <c r="BT153" i="1" s="1"/>
  <c r="BS203" i="1"/>
  <c r="BT203" i="1" s="1"/>
  <c r="BS115" i="1"/>
  <c r="BT115" i="1" s="1"/>
  <c r="CO469" i="1"/>
  <c r="BS469" i="1"/>
  <c r="BT469" i="1" s="1"/>
  <c r="CO161" i="1"/>
  <c r="BS161" i="1"/>
  <c r="BT161" i="1" s="1"/>
  <c r="CO145" i="1"/>
  <c r="BS145" i="1"/>
  <c r="BT145" i="1" s="1"/>
  <c r="CO152" i="1"/>
  <c r="BS152" i="1"/>
  <c r="BT152" i="1" s="1"/>
  <c r="CO425" i="1"/>
  <c r="BS425" i="1"/>
  <c r="BT425" i="1" s="1"/>
  <c r="BS198" i="1"/>
  <c r="BT198" i="1" s="1"/>
  <c r="CO137" i="1"/>
  <c r="BS137" i="1"/>
  <c r="BT137" i="1" s="1"/>
  <c r="CO140" i="1"/>
  <c r="BS140" i="1"/>
  <c r="BT140" i="1" s="1"/>
  <c r="CO127" i="1"/>
  <c r="BS127" i="1"/>
  <c r="BT127" i="1" s="1"/>
  <c r="CO72" i="1"/>
  <c r="BS72" i="1"/>
  <c r="BT72" i="1" s="1"/>
  <c r="BS503" i="1"/>
  <c r="BT503" i="1" s="1"/>
  <c r="BS501" i="1"/>
  <c r="BT501" i="1" s="1"/>
  <c r="BS179" i="1"/>
  <c r="BT179" i="1" s="1"/>
  <c r="CO154" i="1"/>
  <c r="BS154" i="1"/>
  <c r="BT154" i="1" s="1"/>
  <c r="BS111" i="1"/>
  <c r="BT111" i="1" s="1"/>
  <c r="BS58" i="1"/>
  <c r="BT58" i="1" s="1"/>
  <c r="BS253" i="1"/>
  <c r="BT253" i="1" s="1"/>
  <c r="CO418" i="1"/>
  <c r="BS418" i="1"/>
  <c r="BT418" i="1" s="1"/>
  <c r="BE468" i="1"/>
  <c r="BS468" i="1"/>
  <c r="BT468" i="1" s="1"/>
  <c r="BS483" i="1"/>
  <c r="BT483" i="1" s="1"/>
  <c r="CO462" i="1"/>
  <c r="BS462" i="1"/>
  <c r="BT462" i="1" s="1"/>
  <c r="BS226" i="1"/>
  <c r="BT226" i="1" s="1"/>
  <c r="CO114" i="1"/>
  <c r="BS114" i="1"/>
  <c r="BT114" i="1" s="1"/>
  <c r="CO173" i="1"/>
  <c r="BS173" i="1"/>
  <c r="BT173" i="1" s="1"/>
  <c r="BS251" i="1"/>
  <c r="BT251" i="1" s="1"/>
  <c r="BS437" i="1"/>
  <c r="BT437" i="1" s="1"/>
  <c r="BS263" i="1"/>
  <c r="BT263" i="1" s="1"/>
  <c r="CO143" i="1"/>
  <c r="BS143" i="1"/>
  <c r="BT143" i="1" s="1"/>
  <c r="CO487" i="1"/>
  <c r="BS487" i="1"/>
  <c r="BT487" i="1" s="1"/>
  <c r="BS80" i="1"/>
  <c r="BT80" i="1" s="1"/>
  <c r="BS489" i="1"/>
  <c r="BT489" i="1" s="1"/>
  <c r="BS201" i="1"/>
  <c r="BT201" i="1" s="1"/>
  <c r="BS259" i="1"/>
  <c r="BT259" i="1" s="1"/>
  <c r="BS245" i="1"/>
  <c r="BT245" i="1" s="1"/>
  <c r="BS189" i="1"/>
  <c r="BT189" i="1" s="1"/>
  <c r="BS250" i="1"/>
  <c r="BT250" i="1" s="1"/>
  <c r="BS241" i="1"/>
  <c r="BT241" i="1" s="1"/>
  <c r="BS220" i="1"/>
  <c r="BT220" i="1" s="1"/>
  <c r="CO124" i="1"/>
  <c r="BS124" i="1"/>
  <c r="BT124" i="1" s="1"/>
  <c r="BS184" i="1"/>
  <c r="BT184" i="1" s="1"/>
  <c r="BS283" i="1"/>
  <c r="BT283" i="1" s="1"/>
  <c r="BS82" i="1"/>
  <c r="BT82" i="1" s="1"/>
  <c r="BS265" i="1"/>
  <c r="BT265" i="1" s="1"/>
  <c r="BS472" i="1"/>
  <c r="BT472" i="1" s="1"/>
  <c r="BS502" i="1"/>
  <c r="BT502" i="1" s="1"/>
  <c r="CO68" i="1"/>
  <c r="BS68" i="1"/>
  <c r="BT68" i="1" s="1"/>
  <c r="BS500" i="1"/>
  <c r="BT500" i="1" s="1"/>
  <c r="CO433" i="1"/>
  <c r="BS433" i="1"/>
  <c r="BT433" i="1" s="1"/>
  <c r="BS461" i="1"/>
  <c r="BT461" i="1" s="1"/>
  <c r="CO159" i="1"/>
  <c r="BS159" i="1"/>
  <c r="BT159" i="1" s="1"/>
  <c r="BS211" i="1"/>
  <c r="BT211" i="1" s="1"/>
  <c r="CO463" i="1"/>
  <c r="BS463" i="1"/>
  <c r="BT463" i="1" s="1"/>
  <c r="BS191" i="1"/>
  <c r="BT191" i="1" s="1"/>
  <c r="BS274" i="1"/>
  <c r="BT274" i="1" s="1"/>
  <c r="CO158" i="1"/>
  <c r="BS158" i="1"/>
  <c r="BT158" i="1" s="1"/>
  <c r="BS200" i="1"/>
  <c r="BT200" i="1" s="1"/>
  <c r="BS242" i="1"/>
  <c r="BT242" i="1" s="1"/>
  <c r="CO56" i="1"/>
  <c r="BS56" i="1"/>
  <c r="BT56" i="1" s="1"/>
  <c r="BS486" i="1"/>
  <c r="BT486" i="1" s="1"/>
  <c r="CO105" i="1"/>
  <c r="BS105" i="1"/>
  <c r="BT105" i="1" s="1"/>
  <c r="BS67" i="1"/>
  <c r="BT67" i="1" s="1"/>
  <c r="CO164" i="1"/>
  <c r="BS164" i="1"/>
  <c r="BT164" i="1" s="1"/>
  <c r="CO134" i="1"/>
  <c r="BS134" i="1"/>
  <c r="BT134" i="1" s="1"/>
  <c r="CO467" i="1"/>
  <c r="BS467" i="1"/>
  <c r="BT467" i="1" s="1"/>
  <c r="BS236" i="1"/>
  <c r="BT236" i="1" s="1"/>
  <c r="BS257" i="1"/>
  <c r="BT257" i="1" s="1"/>
  <c r="CO71" i="1"/>
  <c r="BS71" i="1"/>
  <c r="BT71" i="1" s="1"/>
  <c r="BS77" i="1"/>
  <c r="BT77" i="1" s="1"/>
  <c r="BS84" i="1"/>
  <c r="BT84" i="1" s="1"/>
  <c r="BS81" i="1"/>
  <c r="BT81" i="1" s="1"/>
  <c r="BS194" i="1"/>
  <c r="BT194" i="1" s="1"/>
  <c r="BS471" i="1"/>
  <c r="BT471" i="1" s="1"/>
  <c r="BS490" i="1"/>
  <c r="BT490" i="1" s="1"/>
  <c r="BS92" i="1"/>
  <c r="BT92" i="1" s="1"/>
  <c r="CO138" i="1"/>
  <c r="BS138" i="1"/>
  <c r="BT138" i="1" s="1"/>
  <c r="BS247" i="1"/>
  <c r="BT247" i="1" s="1"/>
  <c r="BS12" i="1"/>
  <c r="BT12" i="1" s="1"/>
  <c r="BS199" i="1"/>
  <c r="BT199" i="1" s="1"/>
  <c r="BS227" i="1"/>
  <c r="BT227" i="1" s="1"/>
  <c r="CO121" i="1"/>
  <c r="BS121" i="1"/>
  <c r="BT121" i="1" s="1"/>
  <c r="BS246" i="1"/>
  <c r="BT246" i="1" s="1"/>
  <c r="CO128" i="1"/>
  <c r="BS128" i="1"/>
  <c r="BT128" i="1" s="1"/>
  <c r="CO122" i="1"/>
  <c r="BS122" i="1"/>
  <c r="BT122" i="1" s="1"/>
  <c r="CO144" i="1"/>
  <c r="BS144" i="1"/>
  <c r="BT144" i="1" s="1"/>
  <c r="BS498" i="1"/>
  <c r="BT498" i="1" s="1"/>
  <c r="CO156" i="1"/>
  <c r="BS156" i="1"/>
  <c r="BT156" i="1" s="1"/>
  <c r="CO73" i="1"/>
  <c r="BS73" i="1"/>
  <c r="BT73" i="1" s="1"/>
  <c r="BS117" i="1"/>
  <c r="BT117" i="1" s="1"/>
  <c r="CO65" i="1"/>
  <c r="BS65" i="1"/>
  <c r="BT65" i="1" s="1"/>
  <c r="BS230" i="1"/>
  <c r="BT230" i="1" s="1"/>
  <c r="CO110" i="1"/>
  <c r="BS110" i="1"/>
  <c r="BT110" i="1" s="1"/>
  <c r="CO497" i="1"/>
  <c r="BS497" i="1"/>
  <c r="BT497" i="1" s="1"/>
  <c r="BS493" i="1"/>
  <c r="BT493" i="1" s="1"/>
  <c r="BS432" i="1"/>
  <c r="BT432" i="1" s="1"/>
  <c r="BS181" i="1"/>
  <c r="BT181" i="1" s="1"/>
  <c r="CO485" i="1"/>
  <c r="BS485" i="1"/>
  <c r="BT485" i="1" s="1"/>
  <c r="CO120" i="1"/>
  <c r="CO428" i="1"/>
  <c r="BS428" i="1"/>
  <c r="BT428" i="1" s="1"/>
  <c r="BW2" i="1"/>
  <c r="CO2" i="1"/>
  <c r="CN2" i="1"/>
  <c r="BU78" i="1"/>
  <c r="BE78" i="1"/>
  <c r="BU81" i="1"/>
  <c r="BE81" i="1"/>
  <c r="BU139" i="1"/>
  <c r="BV139" i="1" s="1"/>
  <c r="BS139" i="1" s="1"/>
  <c r="BT139" i="1" s="1"/>
  <c r="BE139" i="1"/>
  <c r="BU397" i="1"/>
  <c r="BE397" i="1"/>
  <c r="BU313" i="1"/>
  <c r="BE313" i="1"/>
  <c r="BU128" i="1"/>
  <c r="BE128" i="1"/>
  <c r="BU266" i="1"/>
  <c r="BV266" i="1" s="1"/>
  <c r="BE266" i="1"/>
  <c r="BU408" i="1"/>
  <c r="BE408" i="1"/>
  <c r="BU218" i="1"/>
  <c r="BE218" i="1"/>
  <c r="BU453" i="1"/>
  <c r="BE453" i="1"/>
  <c r="BU263" i="1"/>
  <c r="BE263" i="1"/>
  <c r="BU143" i="1"/>
  <c r="BE143" i="1"/>
  <c r="BU79" i="1"/>
  <c r="BE79" i="1"/>
  <c r="BU402" i="1"/>
  <c r="BE402" i="1"/>
  <c r="BU149" i="1"/>
  <c r="BV149" i="1" s="1"/>
  <c r="BS149" i="1" s="1"/>
  <c r="BT149" i="1" s="1"/>
  <c r="BE149" i="1"/>
  <c r="BU302" i="1"/>
  <c r="BE302" i="1"/>
  <c r="BU5" i="1"/>
  <c r="BE5" i="1"/>
  <c r="BU349" i="1"/>
  <c r="BE349" i="1"/>
  <c r="BU445" i="1"/>
  <c r="BE445" i="1"/>
  <c r="BU472" i="1"/>
  <c r="BE472" i="1"/>
  <c r="BU498" i="1"/>
  <c r="BE498" i="1"/>
  <c r="BU68" i="1"/>
  <c r="BE68" i="1"/>
  <c r="BU117" i="1"/>
  <c r="BE117" i="1"/>
  <c r="BU65" i="1"/>
  <c r="BE65" i="1"/>
  <c r="BU461" i="1"/>
  <c r="BE461" i="1"/>
  <c r="BU159" i="1"/>
  <c r="BE159" i="1"/>
  <c r="BU396" i="1"/>
  <c r="BE396" i="1"/>
  <c r="BU140" i="1"/>
  <c r="BE140" i="1"/>
  <c r="BU223" i="1"/>
  <c r="BE223" i="1"/>
  <c r="BU104" i="1"/>
  <c r="BE104" i="1"/>
  <c r="BU451" i="1"/>
  <c r="BE451" i="1"/>
  <c r="BU158" i="1"/>
  <c r="BE158" i="1"/>
  <c r="BU309" i="1"/>
  <c r="BE309" i="1"/>
  <c r="BU200" i="1"/>
  <c r="BE200" i="1"/>
  <c r="BU225" i="1"/>
  <c r="BV225" i="1" s="1"/>
  <c r="BS225" i="1" s="1"/>
  <c r="BT225" i="1" s="1"/>
  <c r="BE225" i="1"/>
  <c r="BU315" i="1"/>
  <c r="BE315" i="1"/>
  <c r="BU334" i="1"/>
  <c r="BE334" i="1"/>
  <c r="BU175" i="1"/>
  <c r="BE175" i="1"/>
  <c r="BU226" i="1"/>
  <c r="BE226" i="1"/>
  <c r="BU449" i="1"/>
  <c r="BE449" i="1"/>
  <c r="BU467" i="1"/>
  <c r="BE467" i="1"/>
  <c r="BU251" i="1"/>
  <c r="BE251" i="1"/>
  <c r="BU487" i="1"/>
  <c r="BE487" i="1"/>
  <c r="BU423" i="1"/>
  <c r="BE423" i="1"/>
  <c r="BU311" i="1"/>
  <c r="BE311" i="1"/>
  <c r="BU94" i="1"/>
  <c r="BV94" i="1" s="1"/>
  <c r="BE94" i="1"/>
  <c r="BU325" i="1"/>
  <c r="BE325" i="1"/>
  <c r="BU52" i="1"/>
  <c r="BE52" i="1"/>
  <c r="BU25" i="1"/>
  <c r="BE25" i="1"/>
  <c r="BU178" i="1"/>
  <c r="BV178" i="1" s="1"/>
  <c r="BS178" i="1" s="1"/>
  <c r="BT178" i="1" s="1"/>
  <c r="BE178" i="1"/>
  <c r="BU248" i="1"/>
  <c r="BV248" i="1" s="1"/>
  <c r="BS248" i="1" s="1"/>
  <c r="BT248" i="1" s="1"/>
  <c r="BE248" i="1"/>
  <c r="BU217" i="1"/>
  <c r="BE217" i="1"/>
  <c r="BU312" i="1"/>
  <c r="BE312" i="1"/>
  <c r="BU119" i="1"/>
  <c r="BV119" i="1" s="1"/>
  <c r="BS119" i="1" s="1"/>
  <c r="BT119" i="1" s="1"/>
  <c r="BE119" i="1"/>
  <c r="BU191" i="1"/>
  <c r="BE191" i="1"/>
  <c r="BU459" i="1"/>
  <c r="BE459" i="1"/>
  <c r="BU411" i="1"/>
  <c r="BE411" i="1"/>
  <c r="BU207" i="1"/>
  <c r="BV207" i="1" s="1"/>
  <c r="BS207" i="1" s="1"/>
  <c r="BT207" i="1" s="1"/>
  <c r="BE207" i="1"/>
  <c r="BU435" i="1"/>
  <c r="BE435" i="1"/>
  <c r="BU204" i="1"/>
  <c r="BE204" i="1"/>
  <c r="BU125" i="1"/>
  <c r="BV125" i="1" s="1"/>
  <c r="BS125" i="1" s="1"/>
  <c r="BT125" i="1" s="1"/>
  <c r="BE125" i="1"/>
  <c r="BU134" i="1"/>
  <c r="BE134" i="1"/>
  <c r="BU348" i="1"/>
  <c r="BE348" i="1"/>
  <c r="BU236" i="1"/>
  <c r="BE236" i="1"/>
  <c r="BU71" i="1"/>
  <c r="BE71" i="1"/>
  <c r="BU77" i="1"/>
  <c r="BE77" i="1"/>
  <c r="BU489" i="1"/>
  <c r="BE489" i="1"/>
  <c r="BU421" i="1"/>
  <c r="BE421" i="1"/>
  <c r="BU255" i="1"/>
  <c r="BE255" i="1"/>
  <c r="BU322" i="1"/>
  <c r="BE322" i="1"/>
  <c r="BU187" i="1"/>
  <c r="BV187" i="1" s="1"/>
  <c r="BE187" i="1"/>
  <c r="BU400" i="1"/>
  <c r="BE400" i="1"/>
  <c r="BU324" i="1"/>
  <c r="BE324" i="1"/>
  <c r="BU276" i="1"/>
  <c r="BE276" i="1"/>
  <c r="BU63" i="1"/>
  <c r="BE63" i="1"/>
  <c r="BU93" i="1"/>
  <c r="BE93" i="1"/>
  <c r="BU258" i="1"/>
  <c r="BE258" i="1"/>
  <c r="BU235" i="1"/>
  <c r="BE235" i="1"/>
  <c r="BU46" i="1"/>
  <c r="BE46" i="1"/>
  <c r="BU40" i="1"/>
  <c r="BE40" i="1"/>
  <c r="BU285" i="1"/>
  <c r="BE285" i="1"/>
  <c r="BU42" i="1"/>
  <c r="BE42" i="1"/>
  <c r="BU49" i="1"/>
  <c r="BE49" i="1"/>
  <c r="BU53" i="1"/>
  <c r="BE53" i="1"/>
  <c r="BU160" i="1"/>
  <c r="BV160" i="1" s="1"/>
  <c r="BS160" i="1" s="1"/>
  <c r="BT160" i="1" s="1"/>
  <c r="BE160" i="1"/>
  <c r="BU386" i="1"/>
  <c r="BE386" i="1"/>
  <c r="BU350" i="1"/>
  <c r="BE350" i="1"/>
  <c r="BU319" i="1"/>
  <c r="BE319" i="1"/>
  <c r="BU121" i="1"/>
  <c r="BE121" i="1"/>
  <c r="BU246" i="1"/>
  <c r="BE246" i="1"/>
  <c r="BU329" i="1"/>
  <c r="BE329" i="1"/>
  <c r="BU186" i="1"/>
  <c r="BE186" i="1"/>
  <c r="BU469" i="1"/>
  <c r="BE469" i="1"/>
  <c r="BU133" i="1"/>
  <c r="BE133" i="1"/>
  <c r="BU144" i="1"/>
  <c r="BE144" i="1"/>
  <c r="BU335" i="1"/>
  <c r="BE335" i="1"/>
  <c r="BU190" i="1"/>
  <c r="BE190" i="1"/>
  <c r="BU73" i="1"/>
  <c r="BE73" i="1"/>
  <c r="BU171" i="1"/>
  <c r="BE171" i="1"/>
  <c r="BU197" i="1"/>
  <c r="BV197" i="1" s="1"/>
  <c r="BS197" i="1" s="1"/>
  <c r="BT197" i="1" s="1"/>
  <c r="BE197" i="1"/>
  <c r="BU303" i="1"/>
  <c r="BE303" i="1"/>
  <c r="BU337" i="1"/>
  <c r="BE337" i="1"/>
  <c r="BU352" i="1"/>
  <c r="BE352" i="1"/>
  <c r="BU388" i="1"/>
  <c r="BE388" i="1"/>
  <c r="BU463" i="1"/>
  <c r="BE463" i="1"/>
  <c r="BU127" i="1"/>
  <c r="BE127" i="1"/>
  <c r="BU332" i="1"/>
  <c r="BE332" i="1"/>
  <c r="BU494" i="1"/>
  <c r="BE494" i="1"/>
  <c r="BU432" i="1"/>
  <c r="BE432" i="1"/>
  <c r="BU347" i="1"/>
  <c r="BE347" i="1"/>
  <c r="BU431" i="1"/>
  <c r="BE431" i="1"/>
  <c r="BU344" i="1"/>
  <c r="BE344" i="1"/>
  <c r="BU495" i="1"/>
  <c r="BE495" i="1"/>
  <c r="BU280" i="1"/>
  <c r="BE280" i="1"/>
  <c r="BU242" i="1"/>
  <c r="BE242" i="1"/>
  <c r="BU221" i="1"/>
  <c r="BV221" i="1" s="1"/>
  <c r="BS221" i="1" s="1"/>
  <c r="BT221" i="1" s="1"/>
  <c r="BE221" i="1"/>
  <c r="BU428" i="1"/>
  <c r="BE428" i="1"/>
  <c r="BU462" i="1"/>
  <c r="BE462" i="1"/>
  <c r="BU417" i="1"/>
  <c r="BE417" i="1"/>
  <c r="BU478" i="1"/>
  <c r="BE478" i="1"/>
  <c r="BU44" i="1"/>
  <c r="BE44" i="1"/>
  <c r="BU83" i="1"/>
  <c r="BE83" i="1"/>
  <c r="BU34" i="1"/>
  <c r="BE34" i="1"/>
  <c r="BU222" i="1"/>
  <c r="BE222" i="1"/>
  <c r="BU95" i="1"/>
  <c r="BV95" i="1" s="1"/>
  <c r="BE95" i="1"/>
  <c r="BU3" i="1"/>
  <c r="BE3" i="1"/>
  <c r="BU2" i="1"/>
  <c r="BE2" i="1"/>
  <c r="BU261" i="1"/>
  <c r="BE261" i="1"/>
  <c r="BU249" i="1"/>
  <c r="BE249" i="1"/>
  <c r="BU283" i="1"/>
  <c r="BE283" i="1"/>
  <c r="BU230" i="1"/>
  <c r="BE230" i="1"/>
  <c r="BU67" i="1"/>
  <c r="BE67" i="1"/>
  <c r="BU9" i="1"/>
  <c r="BE9" i="1"/>
  <c r="BU164" i="1"/>
  <c r="BE164" i="1"/>
  <c r="BU173" i="1"/>
  <c r="BE173" i="1"/>
  <c r="BU466" i="1"/>
  <c r="BE466" i="1"/>
  <c r="BU479" i="1"/>
  <c r="BE479" i="1"/>
  <c r="BU194" i="1"/>
  <c r="BE194" i="1"/>
  <c r="BU291" i="1"/>
  <c r="BE291" i="1"/>
  <c r="BU205" i="1"/>
  <c r="BV205" i="1" s="1"/>
  <c r="BE205" i="1"/>
  <c r="BU245" i="1"/>
  <c r="BE245" i="1"/>
  <c r="BU138" i="1"/>
  <c r="BE138" i="1"/>
  <c r="BU389" i="1"/>
  <c r="BE389" i="1"/>
  <c r="BU47" i="1"/>
  <c r="BE47" i="1"/>
  <c r="BU24" i="1"/>
  <c r="BE24" i="1"/>
  <c r="BU50" i="1"/>
  <c r="BE50" i="1"/>
  <c r="BU362" i="1"/>
  <c r="BE362" i="1"/>
  <c r="BU227" i="1"/>
  <c r="BE227" i="1"/>
  <c r="BU124" i="1"/>
  <c r="BE124" i="1"/>
  <c r="BU184" i="1"/>
  <c r="BE184" i="1"/>
  <c r="BU360" i="1"/>
  <c r="BE360" i="1"/>
  <c r="BU333" i="1"/>
  <c r="BE333" i="1"/>
  <c r="BU82" i="1"/>
  <c r="BE82" i="1"/>
  <c r="BU122" i="1"/>
  <c r="BE122" i="1"/>
  <c r="BU156" i="1"/>
  <c r="BE156" i="1"/>
  <c r="BU137" i="1"/>
  <c r="BE137" i="1"/>
  <c r="BU274" i="1"/>
  <c r="BE274" i="1"/>
  <c r="BU206" i="1"/>
  <c r="BV206" i="1" s="1"/>
  <c r="BS206" i="1" s="1"/>
  <c r="BT206" i="1" s="1"/>
  <c r="BE206" i="1"/>
  <c r="BU169" i="1"/>
  <c r="BE169" i="1"/>
  <c r="BU232" i="1"/>
  <c r="BV232" i="1" s="1"/>
  <c r="BE232" i="1"/>
  <c r="BU430" i="1"/>
  <c r="BE430" i="1"/>
  <c r="BU496" i="1"/>
  <c r="BE496" i="1"/>
  <c r="BU281" i="1"/>
  <c r="BE281" i="1"/>
  <c r="BU116" i="1"/>
  <c r="BE116" i="1"/>
  <c r="BU66" i="1"/>
  <c r="BE66" i="1"/>
  <c r="BU59" i="1"/>
  <c r="BV59" i="1" s="1"/>
  <c r="BE59" i="1"/>
  <c r="BU80" i="1"/>
  <c r="BE80" i="1"/>
  <c r="BU290" i="1"/>
  <c r="BE290" i="1"/>
  <c r="BU233" i="1"/>
  <c r="BE233" i="1"/>
  <c r="BU85" i="1"/>
  <c r="BE85" i="1"/>
  <c r="BU48" i="1"/>
  <c r="BE48" i="1"/>
  <c r="BU62" i="1"/>
  <c r="BE62" i="1"/>
  <c r="BU199" i="1"/>
  <c r="BE199" i="1"/>
  <c r="BU414" i="1"/>
  <c r="BE414" i="1"/>
  <c r="BU422" i="1"/>
  <c r="BE422" i="1"/>
  <c r="BU446" i="1"/>
  <c r="BE446" i="1"/>
  <c r="BU425" i="1"/>
  <c r="BE425" i="1"/>
  <c r="BU188" i="1"/>
  <c r="BV188" i="1" s="1"/>
  <c r="BS188" i="1" s="1"/>
  <c r="BT188" i="1" s="1"/>
  <c r="BE188" i="1"/>
  <c r="BU493" i="1"/>
  <c r="BE493" i="1"/>
  <c r="BU405" i="1"/>
  <c r="BE405" i="1"/>
  <c r="BU64" i="1"/>
  <c r="BE64" i="1"/>
  <c r="BU486" i="1"/>
  <c r="BE486" i="1"/>
  <c r="BU114" i="1"/>
  <c r="BE114" i="1"/>
  <c r="BU155" i="1"/>
  <c r="BE155" i="1"/>
  <c r="BU256" i="1"/>
  <c r="BE256" i="1"/>
  <c r="BU177" i="1"/>
  <c r="BE177" i="1"/>
  <c r="BU147" i="1"/>
  <c r="BE147" i="1"/>
  <c r="BU69" i="1"/>
  <c r="BE69" i="1"/>
  <c r="BU440" i="1"/>
  <c r="BE440" i="1"/>
  <c r="BU86" i="1"/>
  <c r="BE86" i="1"/>
  <c r="BU259" i="1"/>
  <c r="BE259" i="1"/>
  <c r="BU406" i="1"/>
  <c r="BE406" i="1"/>
  <c r="BU234" i="1"/>
  <c r="BV234" i="1" s="1"/>
  <c r="BS234" i="1" s="1"/>
  <c r="BT234" i="1" s="1"/>
  <c r="BE234" i="1"/>
  <c r="BU321" i="1"/>
  <c r="BE321" i="1"/>
  <c r="BU148" i="1"/>
  <c r="BV148" i="1" s="1"/>
  <c r="BE148" i="1"/>
  <c r="BU130" i="1"/>
  <c r="BE130" i="1"/>
  <c r="BU307" i="1"/>
  <c r="BE307" i="1"/>
  <c r="BU92" i="1"/>
  <c r="BE92" i="1"/>
  <c r="BU304" i="1"/>
  <c r="BE304" i="1"/>
  <c r="BU339" i="1"/>
  <c r="BE339" i="1"/>
  <c r="BU210" i="1"/>
  <c r="BE210" i="1"/>
  <c r="BU189" i="1"/>
  <c r="BE189" i="1"/>
  <c r="BU250" i="1"/>
  <c r="BE250" i="1"/>
  <c r="BU340" i="1"/>
  <c r="BE340" i="1"/>
  <c r="BU247" i="1"/>
  <c r="BE247" i="1"/>
  <c r="BU441" i="1"/>
  <c r="BE441" i="1"/>
  <c r="BU452" i="1"/>
  <c r="BE452" i="1"/>
  <c r="BU358" i="1"/>
  <c r="BE358" i="1"/>
  <c r="BU220" i="1"/>
  <c r="BE220" i="1"/>
  <c r="BU314" i="1"/>
  <c r="BE314" i="1"/>
  <c r="BU336" i="1"/>
  <c r="BE336" i="1"/>
  <c r="BU420" i="1"/>
  <c r="BE420" i="1"/>
  <c r="BU153" i="1"/>
  <c r="BE153" i="1"/>
  <c r="BU203" i="1"/>
  <c r="BE203" i="1"/>
  <c r="BU115" i="1"/>
  <c r="BE115" i="1"/>
  <c r="BU212" i="1"/>
  <c r="BV212" i="1" s="1"/>
  <c r="BS212" i="1" s="1"/>
  <c r="BT212" i="1" s="1"/>
  <c r="BE212" i="1"/>
  <c r="BU103" i="1"/>
  <c r="BE103" i="1"/>
  <c r="BU145" i="1"/>
  <c r="BE145" i="1"/>
  <c r="BU410" i="1"/>
  <c r="BE410" i="1"/>
  <c r="BU395" i="1"/>
  <c r="BE395" i="1"/>
  <c r="BU456" i="1"/>
  <c r="BE456" i="1"/>
  <c r="BU167" i="1"/>
  <c r="BE167" i="1"/>
  <c r="BU211" i="1"/>
  <c r="BE211" i="1"/>
  <c r="BU110" i="1"/>
  <c r="BE110" i="1"/>
  <c r="BU295" i="1"/>
  <c r="BE295" i="1"/>
  <c r="BU72" i="1"/>
  <c r="BE72" i="1"/>
  <c r="BU505" i="1"/>
  <c r="BE505" i="1"/>
  <c r="BU499" i="1"/>
  <c r="BE499" i="1"/>
  <c r="BU154" i="1"/>
  <c r="BE154" i="1"/>
  <c r="BU181" i="1"/>
  <c r="BE181" i="1"/>
  <c r="BU101" i="1"/>
  <c r="BE101" i="1"/>
  <c r="BU87" i="1"/>
  <c r="BE87" i="1"/>
  <c r="BU450" i="1"/>
  <c r="BE450" i="1"/>
  <c r="BU253" i="1"/>
  <c r="BE253" i="1"/>
  <c r="BU464" i="1"/>
  <c r="BE464" i="1"/>
  <c r="BU483" i="1"/>
  <c r="BE483" i="1"/>
  <c r="BU105" i="1"/>
  <c r="BE105" i="1"/>
  <c r="BU403" i="1"/>
  <c r="BE403" i="1"/>
  <c r="BU454" i="1"/>
  <c r="BE454" i="1"/>
  <c r="BU257" i="1"/>
  <c r="BE257" i="1"/>
  <c r="BU74" i="1"/>
  <c r="BE74" i="1"/>
  <c r="BU342" i="1"/>
  <c r="BE342" i="1"/>
  <c r="BU407" i="1"/>
  <c r="BE407" i="1"/>
  <c r="BU409" i="1"/>
  <c r="BE409" i="1"/>
  <c r="BU293" i="1"/>
  <c r="BE293" i="1"/>
  <c r="BU91" i="1"/>
  <c r="BE91" i="1"/>
  <c r="BU113" i="1"/>
  <c r="BV113" i="1" s="1"/>
  <c r="BS113" i="1" s="1"/>
  <c r="BT113" i="1" s="1"/>
  <c r="BE113" i="1"/>
  <c r="BU32" i="1"/>
  <c r="BE32" i="1"/>
  <c r="BU118" i="1"/>
  <c r="BV118" i="1" s="1"/>
  <c r="BS118" i="1" s="1"/>
  <c r="BT118" i="1" s="1"/>
  <c r="BE118" i="1"/>
  <c r="BU412" i="1"/>
  <c r="BE412" i="1"/>
  <c r="BU198" i="1"/>
  <c r="BE198" i="1"/>
  <c r="BU485" i="1"/>
  <c r="BE485" i="1"/>
  <c r="BU33" i="1"/>
  <c r="BE33" i="1"/>
  <c r="BU168" i="1"/>
  <c r="BE168" i="1"/>
  <c r="BU271" i="1"/>
  <c r="BE271" i="1"/>
  <c r="BU215" i="1"/>
  <c r="BE215" i="1"/>
  <c r="BU174" i="1"/>
  <c r="BE174" i="1"/>
  <c r="BU270" i="1"/>
  <c r="BE270" i="1"/>
  <c r="BU84" i="1"/>
  <c r="BE84" i="1"/>
  <c r="BU88" i="1"/>
  <c r="BE88" i="1"/>
  <c r="BU201" i="1"/>
  <c r="BE201" i="1"/>
  <c r="BU287" i="1"/>
  <c r="BE287" i="1"/>
  <c r="BU260" i="1"/>
  <c r="BE260" i="1"/>
  <c r="BU99" i="1"/>
  <c r="BV99" i="1" s="1"/>
  <c r="BE99" i="1"/>
  <c r="BU244" i="1"/>
  <c r="BE244" i="1"/>
  <c r="BU112" i="1"/>
  <c r="BE112" i="1"/>
  <c r="BU268" i="1"/>
  <c r="BE268" i="1"/>
  <c r="BU326" i="1"/>
  <c r="BE326" i="1"/>
  <c r="BU473" i="1"/>
  <c r="BE473" i="1"/>
  <c r="BU368" i="1"/>
  <c r="BE368" i="1"/>
  <c r="BU27" i="1"/>
  <c r="BE27" i="1"/>
  <c r="BU61" i="1"/>
  <c r="BE61" i="1"/>
  <c r="BU424" i="1"/>
  <c r="BE424" i="1"/>
  <c r="BU231" i="1"/>
  <c r="BE231" i="1"/>
  <c r="BU241" i="1"/>
  <c r="BE241" i="1"/>
  <c r="BU356" i="1"/>
  <c r="BE356" i="1"/>
  <c r="BU216" i="1"/>
  <c r="BV216" i="1" s="1"/>
  <c r="BS216" i="1" s="1"/>
  <c r="BT216" i="1" s="1"/>
  <c r="BE216" i="1"/>
  <c r="BU361" i="1"/>
  <c r="BE361" i="1"/>
  <c r="BU436" i="1"/>
  <c r="BE436" i="1"/>
  <c r="BU355" i="1"/>
  <c r="BE355" i="1"/>
  <c r="BU150" i="1"/>
  <c r="BV150" i="1" s="1"/>
  <c r="BS150" i="1" s="1"/>
  <c r="BT150" i="1" s="1"/>
  <c r="BE150" i="1"/>
  <c r="BU265" i="1"/>
  <c r="BE265" i="1"/>
  <c r="BU161" i="1"/>
  <c r="BE161" i="1"/>
  <c r="BU89" i="1"/>
  <c r="BE89" i="1"/>
  <c r="BU502" i="1"/>
  <c r="BE502" i="1"/>
  <c r="BU152" i="1"/>
  <c r="BE152" i="1"/>
  <c r="BU500" i="1"/>
  <c r="BE500" i="1"/>
  <c r="BU433" i="1"/>
  <c r="BE433" i="1"/>
  <c r="BU98" i="1"/>
  <c r="BV98" i="1" s="1"/>
  <c r="BE98" i="1"/>
  <c r="BU447" i="1"/>
  <c r="BE447" i="1"/>
  <c r="BU301" i="1"/>
  <c r="BE301" i="1"/>
  <c r="BU228" i="1"/>
  <c r="BE228" i="1"/>
  <c r="BU497" i="1"/>
  <c r="BE497" i="1"/>
  <c r="BU476" i="1"/>
  <c r="BE476" i="1"/>
  <c r="BU501" i="1"/>
  <c r="BE501" i="1"/>
  <c r="BU179" i="1"/>
  <c r="BE179" i="1"/>
  <c r="BU345" i="1"/>
  <c r="BE345" i="1"/>
  <c r="BU111" i="1"/>
  <c r="BE111" i="1"/>
  <c r="BU58" i="1"/>
  <c r="BE58" i="1"/>
  <c r="BU202" i="1"/>
  <c r="BV202" i="1" s="1"/>
  <c r="BS202" i="1" s="1"/>
  <c r="BT202" i="1" s="1"/>
  <c r="BE202" i="1"/>
  <c r="BU157" i="1"/>
  <c r="BE157" i="1"/>
  <c r="BU353" i="1"/>
  <c r="BE353" i="1"/>
  <c r="BU418" i="1"/>
  <c r="BE418" i="1"/>
  <c r="BU75" i="1"/>
  <c r="BV75" i="1" s="1"/>
  <c r="BE75" i="1"/>
  <c r="BU229" i="1"/>
  <c r="BE229" i="1"/>
  <c r="BV434" i="1"/>
  <c r="BV252" i="1"/>
  <c r="BU243" i="1"/>
  <c r="BV243" i="1" s="1"/>
  <c r="BS243" i="1" s="1"/>
  <c r="BT243" i="1" s="1"/>
  <c r="BU429" i="1"/>
  <c r="BV429" i="1" s="1"/>
  <c r="BV18" i="1"/>
  <c r="BV16" i="1"/>
  <c r="BV264" i="1"/>
  <c r="BW64" i="1"/>
  <c r="CN64" i="1"/>
  <c r="BW169" i="1"/>
  <c r="CN169" i="1"/>
  <c r="BW229" i="1"/>
  <c r="CN229" i="1"/>
  <c r="BW417" i="1"/>
  <c r="CN417" i="1"/>
  <c r="CN9" i="1"/>
  <c r="CN15" i="1"/>
  <c r="CN454" i="1"/>
  <c r="BW454" i="1"/>
  <c r="BW114" i="1"/>
  <c r="CN114" i="1"/>
  <c r="BW173" i="1"/>
  <c r="CN173" i="1"/>
  <c r="BW44" i="1"/>
  <c r="CN44" i="1"/>
  <c r="BW251" i="1"/>
  <c r="CN251" i="1"/>
  <c r="BW437" i="1"/>
  <c r="CN437" i="1"/>
  <c r="BW263" i="1"/>
  <c r="CN263" i="1"/>
  <c r="BW143" i="1"/>
  <c r="CN143" i="1"/>
  <c r="CN487" i="1"/>
  <c r="BW487" i="1"/>
  <c r="BW80" i="1"/>
  <c r="CN80" i="1"/>
  <c r="BW489" i="1"/>
  <c r="CN489" i="1"/>
  <c r="BW479" i="1"/>
  <c r="CN479" i="1"/>
  <c r="BW201" i="1"/>
  <c r="CN201" i="1"/>
  <c r="CN259" i="1"/>
  <c r="BW259" i="1"/>
  <c r="BW406" i="1"/>
  <c r="CN406" i="1"/>
  <c r="BW393" i="1"/>
  <c r="CN393" i="1"/>
  <c r="BW364" i="1"/>
  <c r="CN364" i="1"/>
  <c r="BW397" i="1"/>
  <c r="CN397" i="1"/>
  <c r="BW404" i="1"/>
  <c r="CN404" i="1"/>
  <c r="BW376" i="1"/>
  <c r="CN376" i="1"/>
  <c r="BW383" i="1"/>
  <c r="CN383" i="1"/>
  <c r="BW387" i="1"/>
  <c r="CN387" i="1"/>
  <c r="BW130" i="1"/>
  <c r="CP130" i="1" s="1"/>
  <c r="CQ130" i="1" s="1"/>
  <c r="CN130" i="1"/>
  <c r="BW307" i="1"/>
  <c r="CN307" i="1"/>
  <c r="BW92" i="1"/>
  <c r="CP92" i="1" s="1"/>
  <c r="CQ92" i="1" s="1"/>
  <c r="CN92" i="1"/>
  <c r="BW311" i="1"/>
  <c r="CN311" i="1"/>
  <c r="BW63" i="1"/>
  <c r="CN63" i="1"/>
  <c r="BW391" i="1"/>
  <c r="CN391" i="1"/>
  <c r="BW330" i="1"/>
  <c r="CN330" i="1"/>
  <c r="CN138" i="1"/>
  <c r="BW138" i="1"/>
  <c r="BW473" i="1"/>
  <c r="CN473" i="1"/>
  <c r="BW368" i="1"/>
  <c r="CN368" i="1"/>
  <c r="BW385" i="1"/>
  <c r="CN385" i="1"/>
  <c r="BW22" i="1"/>
  <c r="CN22" i="1"/>
  <c r="BW247" i="1"/>
  <c r="CN247" i="1"/>
  <c r="BW279" i="1"/>
  <c r="CN279" i="1"/>
  <c r="BW41" i="1"/>
  <c r="CN41" i="1"/>
  <c r="BW331" i="1"/>
  <c r="CN331" i="1"/>
  <c r="BW54" i="1"/>
  <c r="CN54" i="1"/>
  <c r="BW12" i="1"/>
  <c r="CN12" i="1"/>
  <c r="BW53" i="1"/>
  <c r="CN53" i="1"/>
  <c r="BW26" i="1"/>
  <c r="CN26" i="1"/>
  <c r="BW37" i="1"/>
  <c r="CN37" i="1"/>
  <c r="BW25" i="1"/>
  <c r="CN25" i="1"/>
  <c r="BW457" i="1"/>
  <c r="CN457" i="1"/>
  <c r="BW369" i="1"/>
  <c r="CN369" i="1"/>
  <c r="BW199" i="1"/>
  <c r="CN199" i="1"/>
  <c r="BW356" i="1"/>
  <c r="CN356" i="1"/>
  <c r="CN220" i="1"/>
  <c r="BW220" i="1"/>
  <c r="BW370" i="1"/>
  <c r="CN370" i="1"/>
  <c r="CN319" i="1"/>
  <c r="BW319" i="1"/>
  <c r="BW374" i="1"/>
  <c r="CN374" i="1"/>
  <c r="BW367" i="1"/>
  <c r="CN367" i="1"/>
  <c r="BW420" i="1"/>
  <c r="CN420" i="1"/>
  <c r="BW283" i="1"/>
  <c r="CN283" i="1"/>
  <c r="BW333" i="1"/>
  <c r="CN333" i="1"/>
  <c r="CN203" i="1"/>
  <c r="BW203" i="1"/>
  <c r="BW82" i="1"/>
  <c r="CN82" i="1"/>
  <c r="CN412" i="1"/>
  <c r="BW412" i="1"/>
  <c r="BW144" i="1"/>
  <c r="CN144" i="1"/>
  <c r="BW422" i="1"/>
  <c r="CN422" i="1"/>
  <c r="BW145" i="1"/>
  <c r="CN145" i="1"/>
  <c r="BW152" i="1"/>
  <c r="CN152" i="1"/>
  <c r="BW446" i="1"/>
  <c r="CN446" i="1"/>
  <c r="BW171" i="1"/>
  <c r="CN171" i="1"/>
  <c r="CN312" i="1"/>
  <c r="BW312" i="1"/>
  <c r="BW230" i="1"/>
  <c r="CN230" i="1"/>
  <c r="BW461" i="1"/>
  <c r="CP461" i="1" s="1"/>
  <c r="CQ461" i="1" s="1"/>
  <c r="CN461" i="1"/>
  <c r="BW394" i="1"/>
  <c r="CN394" i="1"/>
  <c r="BW308" i="1"/>
  <c r="CN308" i="1"/>
  <c r="BW463" i="1"/>
  <c r="CN463" i="1"/>
  <c r="BW295" i="1"/>
  <c r="CN295" i="1"/>
  <c r="BW341" i="1"/>
  <c r="CN341" i="1"/>
  <c r="BW191" i="1"/>
  <c r="CP191" i="1" s="1"/>
  <c r="CQ191" i="1" s="1"/>
  <c r="CN191" i="1"/>
  <c r="BW274" i="1"/>
  <c r="CN274" i="1"/>
  <c r="CN451" i="1"/>
  <c r="BW451" i="1"/>
  <c r="CN158" i="1"/>
  <c r="BW158" i="1"/>
  <c r="BW282" i="1"/>
  <c r="CN282" i="1"/>
  <c r="BW411" i="1"/>
  <c r="CN411" i="1"/>
  <c r="CN200" i="1"/>
  <c r="BW200" i="1"/>
  <c r="BW297" i="1"/>
  <c r="CN297" i="1"/>
  <c r="BW280" i="1"/>
  <c r="CN280" i="1"/>
  <c r="BW242" i="1"/>
  <c r="CN242" i="1"/>
  <c r="BW56" i="1"/>
  <c r="CN56" i="1"/>
  <c r="BW353" i="1"/>
  <c r="CN353" i="1"/>
  <c r="CN379" i="1"/>
  <c r="BW379" i="1"/>
  <c r="CN218" i="1"/>
  <c r="BW218" i="1"/>
  <c r="BW338" i="1"/>
  <c r="CN338" i="1"/>
  <c r="CN435" i="1"/>
  <c r="BW33" i="1"/>
  <c r="CN33" i="1"/>
  <c r="BW478" i="1"/>
  <c r="CN478" i="1"/>
  <c r="BW164" i="1"/>
  <c r="CN164" i="1"/>
  <c r="BW134" i="1"/>
  <c r="CN134" i="1"/>
  <c r="BW467" i="1"/>
  <c r="CN467" i="1"/>
  <c r="BW348" i="1"/>
  <c r="CN348" i="1"/>
  <c r="CN236" i="1"/>
  <c r="BW236" i="1"/>
  <c r="BW257" i="1"/>
  <c r="CN257" i="1"/>
  <c r="BW71" i="1"/>
  <c r="CN71" i="1"/>
  <c r="BW77" i="1"/>
  <c r="CN77" i="1"/>
  <c r="BW84" i="1"/>
  <c r="CN84" i="1"/>
  <c r="BW81" i="1"/>
  <c r="CN81" i="1"/>
  <c r="CN403" i="1"/>
  <c r="BW403" i="1"/>
  <c r="BW194" i="1"/>
  <c r="CN194" i="1"/>
  <c r="BW287" i="1"/>
  <c r="CN287" i="1"/>
  <c r="BW291" i="1"/>
  <c r="CN291" i="1"/>
  <c r="BW423" i="1"/>
  <c r="CN423" i="1"/>
  <c r="CN273" i="1"/>
  <c r="BW273" i="1"/>
  <c r="BW399" i="1"/>
  <c r="CN399" i="1"/>
  <c r="CN402" i="1"/>
  <c r="BW402" i="1"/>
  <c r="CN321" i="1"/>
  <c r="BW321" i="1"/>
  <c r="BW438" i="1"/>
  <c r="CN438" i="1"/>
  <c r="BW233" i="1"/>
  <c r="CN233" i="1"/>
  <c r="BW288" i="1"/>
  <c r="CN288" i="1"/>
  <c r="CN244" i="1"/>
  <c r="BW244" i="1"/>
  <c r="BW268" i="1"/>
  <c r="CN268" i="1"/>
  <c r="BW304" i="1"/>
  <c r="CN304" i="1"/>
  <c r="BW339" i="1"/>
  <c r="CN339" i="1"/>
  <c r="BW93" i="1"/>
  <c r="CN93" i="1"/>
  <c r="BW258" i="1"/>
  <c r="CN258" i="1"/>
  <c r="BW91" i="1"/>
  <c r="CN91" i="1"/>
  <c r="BW302" i="1"/>
  <c r="CN302" i="1"/>
  <c r="BW389" i="1"/>
  <c r="CN389" i="1"/>
  <c r="BW3" i="1"/>
  <c r="CN3" i="1"/>
  <c r="CN28" i="1"/>
  <c r="BW28" i="1"/>
  <c r="BW299" i="1"/>
  <c r="CN299" i="1"/>
  <c r="BW31" i="1"/>
  <c r="CN31" i="1"/>
  <c r="BW32" i="1"/>
  <c r="CN32" i="1"/>
  <c r="BW45" i="1"/>
  <c r="CN45" i="1"/>
  <c r="CN36" i="1"/>
  <c r="BW36" i="1"/>
  <c r="BW61" i="1"/>
  <c r="CN61" i="1"/>
  <c r="BW39" i="1"/>
  <c r="CN39" i="1"/>
  <c r="BW441" i="1"/>
  <c r="CN441" i="1"/>
  <c r="BW50" i="1"/>
  <c r="CN50" i="1"/>
  <c r="CN452" i="1"/>
  <c r="BW452" i="1"/>
  <c r="BW231" i="1"/>
  <c r="CN231" i="1"/>
  <c r="BW62" i="1"/>
  <c r="CN62" i="1"/>
  <c r="CN306" i="1"/>
  <c r="BW306" i="1"/>
  <c r="BW362" i="1"/>
  <c r="CN362" i="1"/>
  <c r="BW227" i="1"/>
  <c r="CN227" i="1"/>
  <c r="BW378" i="1"/>
  <c r="CN378" i="1"/>
  <c r="BW314" i="1"/>
  <c r="CN314" i="1"/>
  <c r="BW371" i="1"/>
  <c r="CN371" i="1"/>
  <c r="BW373" i="1"/>
  <c r="CN373" i="1"/>
  <c r="BW124" i="1"/>
  <c r="CN124" i="1"/>
  <c r="BW414" i="1"/>
  <c r="CN414" i="1"/>
  <c r="BW436" i="1"/>
  <c r="CN436" i="1"/>
  <c r="BW336" i="1"/>
  <c r="CN336" i="1"/>
  <c r="BW354" i="1"/>
  <c r="CN354" i="1"/>
  <c r="BW355" i="1"/>
  <c r="CN355" i="1"/>
  <c r="BW115" i="1"/>
  <c r="CP115" i="1" s="1"/>
  <c r="CQ115" i="1" s="1"/>
  <c r="CN115" i="1"/>
  <c r="BW128" i="1"/>
  <c r="CN128" i="1"/>
  <c r="BW265" i="1"/>
  <c r="CN265" i="1"/>
  <c r="BW133" i="1"/>
  <c r="CN133" i="1"/>
  <c r="BW498" i="1"/>
  <c r="CN498" i="1"/>
  <c r="BW502" i="1"/>
  <c r="CN502" i="1"/>
  <c r="BW190" i="1"/>
  <c r="CP190" i="1" s="1"/>
  <c r="CQ190" i="1" s="1"/>
  <c r="CN190" i="1"/>
  <c r="BW68" i="1"/>
  <c r="CN68" i="1"/>
  <c r="BW73" i="1"/>
  <c r="CN73" i="1"/>
  <c r="BW500" i="1"/>
  <c r="CN500" i="1"/>
  <c r="CN425" i="1"/>
  <c r="BW425" i="1"/>
  <c r="BW198" i="1"/>
  <c r="CN198" i="1"/>
  <c r="BW395" i="1"/>
  <c r="CN395" i="1"/>
  <c r="BW408" i="1"/>
  <c r="CN408" i="1"/>
  <c r="BW303" i="1"/>
  <c r="CN303" i="1"/>
  <c r="BW396" i="1"/>
  <c r="CN396" i="1"/>
  <c r="BW110" i="1"/>
  <c r="CN110" i="1"/>
  <c r="CN296" i="1"/>
  <c r="BW296" i="1"/>
  <c r="BW497" i="1"/>
  <c r="CN497" i="1"/>
  <c r="CN493" i="1"/>
  <c r="BW493" i="1"/>
  <c r="BW505" i="1"/>
  <c r="CN505" i="1"/>
  <c r="BW432" i="1"/>
  <c r="CP432" i="1" s="1"/>
  <c r="CQ432" i="1" s="1"/>
  <c r="CN432" i="1"/>
  <c r="BW347" i="1"/>
  <c r="CN347" i="1"/>
  <c r="BW459" i="1"/>
  <c r="CN459" i="1"/>
  <c r="BW181" i="1"/>
  <c r="CN181" i="1"/>
  <c r="BW180" i="1"/>
  <c r="CN180" i="1"/>
  <c r="BW495" i="1"/>
  <c r="CN495" i="1"/>
  <c r="CN485" i="1"/>
  <c r="BW485" i="1"/>
  <c r="BW87" i="1"/>
  <c r="CN87" i="1"/>
  <c r="CN120" i="1"/>
  <c r="BW120" i="1"/>
  <c r="BW60" i="1"/>
  <c r="CN60" i="1"/>
  <c r="BW428" i="1"/>
  <c r="CN428" i="1"/>
  <c r="CN483" i="1"/>
  <c r="BW483" i="1"/>
  <c r="CP483" i="1" s="1"/>
  <c r="CQ483" i="1" s="1"/>
  <c r="BW462" i="1"/>
  <c r="CN462" i="1"/>
  <c r="CN226" i="1"/>
  <c r="BW226" i="1"/>
  <c r="CN468" i="1"/>
  <c r="CN496" i="1"/>
  <c r="BW449" i="1"/>
  <c r="CN449" i="1"/>
  <c r="BW204" i="1"/>
  <c r="CN204" i="1"/>
  <c r="CN155" i="1"/>
  <c r="BW155" i="1"/>
  <c r="CN256" i="1"/>
  <c r="BW256" i="1"/>
  <c r="CN116" i="1"/>
  <c r="BW116" i="1"/>
  <c r="BW177" i="1"/>
  <c r="CN177" i="1"/>
  <c r="BW147" i="1"/>
  <c r="CN147" i="1"/>
  <c r="CN270" i="1"/>
  <c r="BW270" i="1"/>
  <c r="BW69" i="1"/>
  <c r="CN69" i="1"/>
  <c r="CN78" i="1"/>
  <c r="BW78" i="1"/>
  <c r="CN83" i="1"/>
  <c r="BW83" i="1"/>
  <c r="BW86" i="1"/>
  <c r="CN86" i="1"/>
  <c r="BW421" i="1"/>
  <c r="CN421" i="1"/>
  <c r="BW481" i="1"/>
  <c r="CP481" i="1" s="1"/>
  <c r="CQ481" i="1" s="1"/>
  <c r="CN481" i="1"/>
  <c r="BW342" i="1"/>
  <c r="CN342" i="1"/>
  <c r="CN290" i="1"/>
  <c r="BW290" i="1"/>
  <c r="CN443" i="1"/>
  <c r="BW443" i="1"/>
  <c r="BW384" i="1"/>
  <c r="CN384" i="1"/>
  <c r="BW471" i="1"/>
  <c r="CN471" i="1"/>
  <c r="BW400" i="1"/>
  <c r="CN400" i="1"/>
  <c r="CN323" i="1"/>
  <c r="BW323" i="1"/>
  <c r="BW85" i="1"/>
  <c r="CN85" i="1"/>
  <c r="BW293" i="1"/>
  <c r="CN293" i="1"/>
  <c r="BW245" i="1"/>
  <c r="CN245" i="1"/>
  <c r="BW112" i="1"/>
  <c r="CN112" i="1"/>
  <c r="BW310" i="1"/>
  <c r="CN310" i="1"/>
  <c r="BW326" i="1"/>
  <c r="CN326" i="1"/>
  <c r="BW390" i="1"/>
  <c r="CN390" i="1"/>
  <c r="CN210" i="1"/>
  <c r="BW210" i="1"/>
  <c r="BW377" i="1"/>
  <c r="CN377" i="1"/>
  <c r="BW235" i="1"/>
  <c r="CN235" i="1"/>
  <c r="BW46" i="1"/>
  <c r="CN46" i="1"/>
  <c r="BW40" i="1"/>
  <c r="CN40" i="1"/>
  <c r="BW5" i="1"/>
  <c r="CN5" i="1"/>
  <c r="BW47" i="1"/>
  <c r="CN47" i="1"/>
  <c r="CN27" i="1"/>
  <c r="BW27" i="1"/>
  <c r="CN313" i="1"/>
  <c r="BW313" i="1"/>
  <c r="BW382" i="1"/>
  <c r="CN382" i="1"/>
  <c r="BW49" i="1"/>
  <c r="CN49" i="1"/>
  <c r="BW38" i="1"/>
  <c r="CN38" i="1"/>
  <c r="BW424" i="1"/>
  <c r="CN424" i="1"/>
  <c r="BW30" i="1"/>
  <c r="CN30" i="1"/>
  <c r="BW48" i="1"/>
  <c r="CN48" i="1"/>
  <c r="BW51" i="1"/>
  <c r="CN51" i="1"/>
  <c r="BW261" i="1"/>
  <c r="CN261" i="1"/>
  <c r="BW358" i="1"/>
  <c r="CN358" i="1"/>
  <c r="BW249" i="1"/>
  <c r="CN249" i="1"/>
  <c r="BW350" i="1"/>
  <c r="CN350" i="1"/>
  <c r="BW372" i="1"/>
  <c r="CN372" i="1"/>
  <c r="BW361" i="1"/>
  <c r="CN361" i="1"/>
  <c r="BW366" i="1"/>
  <c r="CN366" i="1"/>
  <c r="BW381" i="1"/>
  <c r="CN381" i="1"/>
  <c r="BW121" i="1"/>
  <c r="CN121" i="1"/>
  <c r="BW184" i="1"/>
  <c r="CP184" i="1" s="1"/>
  <c r="CQ184" i="1" s="1"/>
  <c r="CN184" i="1"/>
  <c r="BW360" i="1"/>
  <c r="CN360" i="1"/>
  <c r="BW186" i="1"/>
  <c r="CN186" i="1"/>
  <c r="BW217" i="1"/>
  <c r="CN217" i="1"/>
  <c r="BW161" i="1"/>
  <c r="CN161" i="1"/>
  <c r="BW103" i="1"/>
  <c r="CN103" i="1"/>
  <c r="CN117" i="1"/>
  <c r="BW117" i="1"/>
  <c r="CP117" i="1" s="1"/>
  <c r="CQ117" i="1" s="1"/>
  <c r="BW433" i="1"/>
  <c r="CN433" i="1"/>
  <c r="BW284" i="1"/>
  <c r="CN284" i="1"/>
  <c r="BW294" i="1"/>
  <c r="CN294" i="1"/>
  <c r="BW398" i="1"/>
  <c r="CN398" i="1"/>
  <c r="BW456" i="1"/>
  <c r="CN456" i="1"/>
  <c r="CN167" i="1"/>
  <c r="BW167" i="1"/>
  <c r="BW337" i="1"/>
  <c r="CN337" i="1"/>
  <c r="BW352" i="1"/>
  <c r="CN352" i="1"/>
  <c r="BW388" i="1"/>
  <c r="CN388" i="1"/>
  <c r="BW228" i="1"/>
  <c r="CN228" i="1"/>
  <c r="BW223" i="1"/>
  <c r="CN223" i="1"/>
  <c r="BW332" i="1"/>
  <c r="CN332" i="1"/>
  <c r="BW104" i="1"/>
  <c r="CP104" i="1" s="1"/>
  <c r="CQ104" i="1" s="1"/>
  <c r="CN104" i="1"/>
  <c r="BW476" i="1"/>
  <c r="CN476" i="1"/>
  <c r="BW499" i="1"/>
  <c r="CN499" i="1"/>
  <c r="BW504" i="1"/>
  <c r="CN504" i="1"/>
  <c r="BW431" i="1"/>
  <c r="CN431" i="1"/>
  <c r="CN345" i="1"/>
  <c r="BW345" i="1"/>
  <c r="BW344" i="1"/>
  <c r="CN344" i="1"/>
  <c r="BW101" i="1"/>
  <c r="CP101" i="1" s="1"/>
  <c r="CQ101" i="1" s="1"/>
  <c r="CN101" i="1"/>
  <c r="BW405" i="1"/>
  <c r="CN405" i="1"/>
  <c r="BW157" i="1"/>
  <c r="CN157" i="1"/>
  <c r="BW450" i="1"/>
  <c r="CN450" i="1"/>
  <c r="BW175" i="1"/>
  <c r="CP175" i="1" s="1"/>
  <c r="CQ175" i="1" s="1"/>
  <c r="CN175" i="1"/>
  <c r="BW464" i="1"/>
  <c r="CN464" i="1"/>
  <c r="CN486" i="1"/>
  <c r="BW486" i="1"/>
  <c r="CP486" i="1" s="1"/>
  <c r="CQ486" i="1" s="1"/>
  <c r="CN105" i="1"/>
  <c r="BW105" i="1"/>
  <c r="CN67" i="1"/>
  <c r="BW67" i="1"/>
  <c r="CN419" i="1"/>
  <c r="CN439" i="1"/>
  <c r="BW453" i="1"/>
  <c r="CN453" i="1"/>
  <c r="BW281" i="1"/>
  <c r="CN281" i="1"/>
  <c r="BW168" i="1"/>
  <c r="CN168" i="1"/>
  <c r="BW271" i="1"/>
  <c r="CN271" i="1"/>
  <c r="BW466" i="1"/>
  <c r="CN466" i="1"/>
  <c r="BW215" i="1"/>
  <c r="CN215" i="1"/>
  <c r="BW174" i="1"/>
  <c r="CN174" i="1"/>
  <c r="BW66" i="1"/>
  <c r="CP66" i="1" s="1"/>
  <c r="CQ66" i="1" s="1"/>
  <c r="CN66" i="1"/>
  <c r="BW74" i="1"/>
  <c r="CP74" i="1" s="1"/>
  <c r="CQ74" i="1" s="1"/>
  <c r="CN74" i="1"/>
  <c r="BW440" i="1"/>
  <c r="CN440" i="1"/>
  <c r="BW79" i="1"/>
  <c r="CN79" i="1"/>
  <c r="BW88" i="1"/>
  <c r="CN88" i="1"/>
  <c r="CN100" i="1"/>
  <c r="BW100" i="1"/>
  <c r="CN255" i="1"/>
  <c r="BW255" i="1"/>
  <c r="BW34" i="1"/>
  <c r="CN34" i="1"/>
  <c r="BW322" i="1"/>
  <c r="CN322" i="1"/>
  <c r="BW343" i="1"/>
  <c r="CN343" i="1"/>
  <c r="BW222" i="1"/>
  <c r="CN222" i="1"/>
  <c r="BW260" i="1"/>
  <c r="CN260" i="1"/>
  <c r="BW401" i="1"/>
  <c r="CN401" i="1"/>
  <c r="BW407" i="1"/>
  <c r="CN407" i="1"/>
  <c r="BW490" i="1"/>
  <c r="CN490" i="1"/>
  <c r="CN409" i="1"/>
  <c r="BW409" i="1"/>
  <c r="BW324" i="1"/>
  <c r="CN324" i="1"/>
  <c r="BW276" i="1"/>
  <c r="CN276" i="1"/>
  <c r="BW305" i="1"/>
  <c r="CN305" i="1"/>
  <c r="BW346" i="1"/>
  <c r="CN346" i="1"/>
  <c r="CN351" i="1"/>
  <c r="BW351" i="1"/>
  <c r="CN327" i="1"/>
  <c r="BW327" i="1"/>
  <c r="BW316" i="1"/>
  <c r="CN316" i="1"/>
  <c r="BW189" i="1"/>
  <c r="CN189" i="1"/>
  <c r="CN250" i="1"/>
  <c r="BW250" i="1"/>
  <c r="CN340" i="1"/>
  <c r="BW340" i="1"/>
  <c r="BW21" i="1"/>
  <c r="CN21" i="1"/>
  <c r="CN285" i="1"/>
  <c r="BW285" i="1"/>
  <c r="BW42" i="1"/>
  <c r="CN42" i="1"/>
  <c r="BW19" i="1"/>
  <c r="CN19" i="1"/>
  <c r="BW349" i="1"/>
  <c r="CN349" i="1"/>
  <c r="CN325" i="1"/>
  <c r="BW325" i="1"/>
  <c r="BW52" i="1"/>
  <c r="CN52" i="1"/>
  <c r="CN43" i="1"/>
  <c r="BW43" i="1"/>
  <c r="CN445" i="1"/>
  <c r="BW445" i="1"/>
  <c r="BW24" i="1"/>
  <c r="CN24" i="1"/>
  <c r="CN35" i="1"/>
  <c r="BW35" i="1"/>
  <c r="BW23" i="1"/>
  <c r="CN23" i="1"/>
  <c r="BW455" i="1"/>
  <c r="CN455" i="1"/>
  <c r="CN286" i="1"/>
  <c r="BW286" i="1"/>
  <c r="BW241" i="1"/>
  <c r="CN241" i="1"/>
  <c r="BW328" i="1"/>
  <c r="CN328" i="1"/>
  <c r="BW386" i="1"/>
  <c r="CN386" i="1"/>
  <c r="CN365" i="1"/>
  <c r="BW365" i="1"/>
  <c r="CN318" i="1"/>
  <c r="BW318" i="1"/>
  <c r="BW380" i="1"/>
  <c r="CN380" i="1"/>
  <c r="CN363" i="1"/>
  <c r="BW363" i="1"/>
  <c r="CN375" i="1"/>
  <c r="BW375" i="1"/>
  <c r="BW246" i="1"/>
  <c r="CN246" i="1"/>
  <c r="BW329" i="1"/>
  <c r="CN329" i="1"/>
  <c r="CN153" i="1"/>
  <c r="BW153" i="1"/>
  <c r="BW359" i="1"/>
  <c r="CN359" i="1"/>
  <c r="BW469" i="1"/>
  <c r="CN469" i="1"/>
  <c r="BW122" i="1"/>
  <c r="CN122" i="1"/>
  <c r="BW472" i="1"/>
  <c r="CN472" i="1"/>
  <c r="CN89" i="1"/>
  <c r="BW89" i="1"/>
  <c r="CN335" i="1"/>
  <c r="BW335" i="1"/>
  <c r="BW156" i="1"/>
  <c r="CN156" i="1"/>
  <c r="BW410" i="1"/>
  <c r="CN410" i="1"/>
  <c r="BW65" i="1"/>
  <c r="CN65" i="1"/>
  <c r="CN159" i="1"/>
  <c r="BW159" i="1"/>
  <c r="CN447" i="1"/>
  <c r="BW447" i="1"/>
  <c r="BW211" i="1"/>
  <c r="CN211" i="1"/>
  <c r="BW301" i="1"/>
  <c r="CN301" i="1"/>
  <c r="BW137" i="1"/>
  <c r="CN137" i="1"/>
  <c r="BW140" i="1"/>
  <c r="CN140" i="1"/>
  <c r="BW127" i="1"/>
  <c r="CN127" i="1"/>
  <c r="BW72" i="1"/>
  <c r="CN72" i="1"/>
  <c r="BW494" i="1"/>
  <c r="CN494" i="1"/>
  <c r="BW503" i="1"/>
  <c r="CN503" i="1"/>
  <c r="BW501" i="1"/>
  <c r="CN501" i="1"/>
  <c r="BW179" i="1"/>
  <c r="CP179" i="1" s="1"/>
  <c r="CQ179" i="1" s="1"/>
  <c r="CN179" i="1"/>
  <c r="BW154" i="1"/>
  <c r="CN154" i="1"/>
  <c r="BW309" i="1"/>
  <c r="CN309" i="1"/>
  <c r="BW111" i="1"/>
  <c r="CP111" i="1" s="1"/>
  <c r="CQ111" i="1" s="1"/>
  <c r="CN111" i="1"/>
  <c r="BW58" i="1"/>
  <c r="CN58" i="1"/>
  <c r="CN315" i="1"/>
  <c r="BW315" i="1"/>
  <c r="BW334" i="1"/>
  <c r="CN334" i="1"/>
  <c r="CN448" i="1"/>
  <c r="BW448" i="1"/>
  <c r="CN253" i="1"/>
  <c r="BW253" i="1"/>
  <c r="CP253" i="1" s="1"/>
  <c r="CQ253" i="1" s="1"/>
  <c r="CN418" i="1"/>
  <c r="BW418" i="1"/>
  <c r="AP419" i="1"/>
  <c r="AQ419" i="1" s="1"/>
  <c r="BC419" i="1" s="1"/>
  <c r="BD419" i="1" s="1"/>
  <c r="AP236" i="1"/>
  <c r="AQ236" i="1" s="1"/>
  <c r="BC236" i="1" s="1"/>
  <c r="AP140" i="1"/>
  <c r="AQ140" i="1" s="1"/>
  <c r="BC140" i="1" s="1"/>
  <c r="AP120" i="1"/>
  <c r="AQ120" i="1" s="1"/>
  <c r="BC120" i="1" s="1"/>
  <c r="BD120" i="1" s="1"/>
  <c r="BV20" i="1"/>
  <c r="BS20" i="1" s="1"/>
  <c r="BT20" i="1" s="1"/>
  <c r="AP38" i="1"/>
  <c r="AQ38" i="1" s="1"/>
  <c r="BC38" i="1" s="1"/>
  <c r="BD38" i="1" s="1"/>
  <c r="AP457" i="1"/>
  <c r="AQ457" i="1" s="1"/>
  <c r="BC457" i="1" s="1"/>
  <c r="BD457" i="1" s="1"/>
  <c r="BA457" i="1" s="1"/>
  <c r="BB457" i="1" s="1"/>
  <c r="AP350" i="1"/>
  <c r="AQ350" i="1" s="1"/>
  <c r="BC350" i="1" s="1"/>
  <c r="AP372" i="1"/>
  <c r="AQ372" i="1" s="1"/>
  <c r="BC372" i="1" s="1"/>
  <c r="BD372" i="1" s="1"/>
  <c r="AP332" i="1"/>
  <c r="AQ332" i="1" s="1"/>
  <c r="BC332" i="1" s="1"/>
  <c r="AP7" i="1"/>
  <c r="AQ7" i="1" s="1"/>
  <c r="BC7" i="1" s="1"/>
  <c r="BD7" i="1" s="1"/>
  <c r="AQ151" i="1"/>
  <c r="BC151" i="1" s="1"/>
  <c r="BV442" i="1"/>
  <c r="BS442" i="1" s="1"/>
  <c r="BT442" i="1" s="1"/>
  <c r="BU415" i="1"/>
  <c r="BV415" i="1" s="1"/>
  <c r="AP76" i="1"/>
  <c r="AQ76" i="1" s="1"/>
  <c r="BC76" i="1" s="1"/>
  <c r="BU17" i="1"/>
  <c r="BV17" i="1" s="1"/>
  <c r="BS17" i="1" s="1"/>
  <c r="BT17" i="1" s="1"/>
  <c r="BU108" i="1"/>
  <c r="BV108" i="1" s="1"/>
  <c r="BS108" i="1" s="1"/>
  <c r="BT108" i="1" s="1"/>
  <c r="AQ299" i="1"/>
  <c r="BC299" i="1" s="1"/>
  <c r="AP387" i="1"/>
  <c r="AQ387" i="1" s="1"/>
  <c r="BC387" i="1" s="1"/>
  <c r="AP160" i="1"/>
  <c r="AQ160" i="1" s="1"/>
  <c r="BC160" i="1" s="1"/>
  <c r="AP455" i="1"/>
  <c r="AQ455" i="1" s="1"/>
  <c r="BC455" i="1" s="1"/>
  <c r="BD455" i="1" s="1"/>
  <c r="BA455" i="1" s="1"/>
  <c r="BB455" i="1" s="1"/>
  <c r="AP314" i="1"/>
  <c r="AQ314" i="1" s="1"/>
  <c r="BC314" i="1" s="1"/>
  <c r="BU136" i="1"/>
  <c r="BV136" i="1" s="1"/>
  <c r="BU183" i="1"/>
  <c r="BV183" i="1" s="1"/>
  <c r="BS183" i="1" s="1"/>
  <c r="BT183" i="1" s="1"/>
  <c r="BU240" i="1"/>
  <c r="BV240" i="1" s="1"/>
  <c r="BS240" i="1" s="1"/>
  <c r="BT240" i="1" s="1"/>
  <c r="BU76" i="1"/>
  <c r="BV76" i="1" s="1"/>
  <c r="BS76" i="1" s="1"/>
  <c r="BT76" i="1" s="1"/>
  <c r="AP142" i="1"/>
  <c r="AQ142" i="1" s="1"/>
  <c r="BC142" i="1" s="1"/>
  <c r="BU193" i="1"/>
  <c r="BV193" i="1" s="1"/>
  <c r="BS193" i="1" s="1"/>
  <c r="BT193" i="1" s="1"/>
  <c r="BU278" i="1"/>
  <c r="BV278" i="1" s="1"/>
  <c r="BS278" i="1" s="1"/>
  <c r="BT278" i="1" s="1"/>
  <c r="AQ338" i="1"/>
  <c r="BC338" i="1" s="1"/>
  <c r="BD338" i="1" s="1"/>
  <c r="BA338" i="1" s="1"/>
  <c r="BB338" i="1" s="1"/>
  <c r="BU427" i="1"/>
  <c r="BV427" i="1" s="1"/>
  <c r="BU460" i="1"/>
  <c r="BV460" i="1" s="1"/>
  <c r="AP499" i="1"/>
  <c r="AQ499" i="1" s="1"/>
  <c r="BC499" i="1" s="1"/>
  <c r="AP319" i="1"/>
  <c r="AQ319" i="1" s="1"/>
  <c r="BC319" i="1" s="1"/>
  <c r="BU254" i="1"/>
  <c r="BV254" i="1" s="1"/>
  <c r="BS254" i="1" s="1"/>
  <c r="BT254" i="1" s="1"/>
  <c r="BU491" i="1"/>
  <c r="BV491" i="1" s="1"/>
  <c r="BS491" i="1" s="1"/>
  <c r="BT491" i="1" s="1"/>
  <c r="BU458" i="1"/>
  <c r="BV458" i="1" s="1"/>
  <c r="BS458" i="1" s="1"/>
  <c r="BT458" i="1" s="1"/>
  <c r="BU102" i="1"/>
  <c r="BV102" i="1" s="1"/>
  <c r="BU107" i="1"/>
  <c r="BV107" i="1" s="1"/>
  <c r="BU123" i="1"/>
  <c r="BV123" i="1" s="1"/>
  <c r="BU426" i="1"/>
  <c r="BV426" i="1" s="1"/>
  <c r="BU57" i="1"/>
  <c r="BV57" i="1" s="1"/>
  <c r="BS57" i="1" s="1"/>
  <c r="BT57" i="1" s="1"/>
  <c r="AP473" i="1"/>
  <c r="AQ473" i="1" s="1"/>
  <c r="BC473" i="1" s="1"/>
  <c r="AQ262" i="1"/>
  <c r="BC262" i="1" s="1"/>
  <c r="AQ184" i="1"/>
  <c r="BC184" i="1" s="1"/>
  <c r="AP393" i="1"/>
  <c r="AQ393" i="1" s="1"/>
  <c r="BC393" i="1" s="1"/>
  <c r="BD393" i="1" s="1"/>
  <c r="AP11" i="1"/>
  <c r="AQ11" i="1" s="1"/>
  <c r="BC11" i="1" s="1"/>
  <c r="BD11" i="1" s="1"/>
  <c r="AP367" i="1"/>
  <c r="AQ367" i="1" s="1"/>
  <c r="BC367" i="1" s="1"/>
  <c r="AP505" i="1"/>
  <c r="AQ505" i="1" s="1"/>
  <c r="BC505" i="1" s="1"/>
  <c r="AP282" i="1"/>
  <c r="AQ282" i="1" s="1"/>
  <c r="BC282" i="1" s="1"/>
  <c r="AP225" i="1"/>
  <c r="AQ225" i="1" s="1"/>
  <c r="BC225" i="1" s="1"/>
  <c r="BU238" i="1"/>
  <c r="BV238" i="1" s="1"/>
  <c r="BS238" i="1" s="1"/>
  <c r="BT238" i="1" s="1"/>
  <c r="AQ109" i="1"/>
  <c r="BC109" i="1" s="1"/>
  <c r="BD109" i="1" s="1"/>
  <c r="AQ481" i="1"/>
  <c r="BC481" i="1" s="1"/>
  <c r="BD481" i="1" s="1"/>
  <c r="AQ287" i="1"/>
  <c r="BC287" i="1" s="1"/>
  <c r="BU170" i="1"/>
  <c r="BV170" i="1" s="1"/>
  <c r="BU413" i="1"/>
  <c r="BV413" i="1" s="1"/>
  <c r="BS413" i="1" s="1"/>
  <c r="BT413" i="1" s="1"/>
  <c r="BU141" i="1"/>
  <c r="BV141" i="1" s="1"/>
  <c r="AQ482" i="1"/>
  <c r="BC482" i="1" s="1"/>
  <c r="BD482" i="1" s="1"/>
  <c r="BU70" i="1"/>
  <c r="BV70" i="1" s="1"/>
  <c r="BS70" i="1" s="1"/>
  <c r="BT70" i="1" s="1"/>
  <c r="BU237" i="1"/>
  <c r="BV237" i="1" s="1"/>
  <c r="BS237" i="1" s="1"/>
  <c r="BT237" i="1" s="1"/>
  <c r="BU135" i="1"/>
  <c r="BV135" i="1" s="1"/>
  <c r="BU13" i="1"/>
  <c r="BV13" i="1" s="1"/>
  <c r="BS13" i="1" s="1"/>
  <c r="BT13" i="1" s="1"/>
  <c r="BU239" i="1"/>
  <c r="BV239" i="1" s="1"/>
  <c r="BS239" i="1" s="1"/>
  <c r="BT239" i="1" s="1"/>
  <c r="BU196" i="1"/>
  <c r="BV196" i="1" s="1"/>
  <c r="BS196" i="1" s="1"/>
  <c r="BT196" i="1" s="1"/>
  <c r="BU151" i="1"/>
  <c r="BV151" i="1" s="1"/>
  <c r="BU55" i="1"/>
  <c r="BV55" i="1" s="1"/>
  <c r="BU97" i="1"/>
  <c r="BV97" i="1" s="1"/>
  <c r="BU465" i="1"/>
  <c r="BV465" i="1" s="1"/>
  <c r="BU162" i="1"/>
  <c r="BV162" i="1" s="1"/>
  <c r="BS162" i="1" s="1"/>
  <c r="BT162" i="1" s="1"/>
  <c r="BU14" i="1"/>
  <c r="BV14" i="1" s="1"/>
  <c r="BS14" i="1" s="1"/>
  <c r="BT14" i="1" s="1"/>
  <c r="BU488" i="1"/>
  <c r="BV488" i="1" s="1"/>
  <c r="BS488" i="1" s="1"/>
  <c r="BT488" i="1" s="1"/>
  <c r="BU272" i="1"/>
  <c r="BV272" i="1" s="1"/>
  <c r="BS272" i="1" s="1"/>
  <c r="BT272" i="1" s="1"/>
  <c r="BU163" i="1"/>
  <c r="BV163" i="1" s="1"/>
  <c r="BU142" i="1"/>
  <c r="BV142" i="1" s="1"/>
  <c r="BU480" i="1"/>
  <c r="BV480" i="1" s="1"/>
  <c r="BU195" i="1"/>
  <c r="BV195" i="1" s="1"/>
  <c r="BS195" i="1" s="1"/>
  <c r="BT195" i="1" s="1"/>
  <c r="BU214" i="1"/>
  <c r="BV214" i="1" s="1"/>
  <c r="BS214" i="1" s="1"/>
  <c r="BT214" i="1" s="1"/>
  <c r="BU298" i="1"/>
  <c r="BV298" i="1" s="1"/>
  <c r="BS298" i="1" s="1"/>
  <c r="BT298" i="1" s="1"/>
  <c r="BU262" i="1"/>
  <c r="BV262" i="1" s="1"/>
  <c r="BS262" i="1" s="1"/>
  <c r="BT262" i="1" s="1"/>
  <c r="BU131" i="1"/>
  <c r="BV131" i="1" s="1"/>
  <c r="BU444" i="1"/>
  <c r="BV444" i="1" s="1"/>
  <c r="BS444" i="1" s="1"/>
  <c r="BT444" i="1" s="1"/>
  <c r="BU484" i="1"/>
  <c r="BV484" i="1" s="1"/>
  <c r="BS484" i="1" s="1"/>
  <c r="BT484" i="1" s="1"/>
  <c r="BU492" i="1"/>
  <c r="BV492" i="1" s="1"/>
  <c r="BS492" i="1" s="1"/>
  <c r="BT492" i="1" s="1"/>
  <c r="BU165" i="1"/>
  <c r="BV165" i="1" s="1"/>
  <c r="BS165" i="1" s="1"/>
  <c r="BT165" i="1" s="1"/>
  <c r="N417" i="1"/>
  <c r="O417" i="1" s="1"/>
  <c r="N67" i="1"/>
  <c r="N226" i="1"/>
  <c r="N338" i="1"/>
  <c r="O338" i="1" s="1"/>
  <c r="N229" i="1"/>
  <c r="N105" i="1"/>
  <c r="N462" i="1"/>
  <c r="N218" i="1"/>
  <c r="N169" i="1"/>
  <c r="N75" i="1"/>
  <c r="N486" i="1"/>
  <c r="O486" i="1" s="1"/>
  <c r="N483" i="1"/>
  <c r="N465" i="1"/>
  <c r="N379" i="1"/>
  <c r="N64" i="1"/>
  <c r="N207" i="1"/>
  <c r="N482" i="1"/>
  <c r="N418" i="1"/>
  <c r="N460" i="1"/>
  <c r="N464" i="1"/>
  <c r="N428" i="1"/>
  <c r="N298" i="1"/>
  <c r="N353" i="1"/>
  <c r="N253" i="1"/>
  <c r="N221" i="1"/>
  <c r="N175" i="1"/>
  <c r="N60" i="1"/>
  <c r="N56" i="1"/>
  <c r="N448" i="1"/>
  <c r="N450" i="1"/>
  <c r="N120" i="1"/>
  <c r="O120" i="1" s="1"/>
  <c r="N272" i="1"/>
  <c r="N242" i="1"/>
  <c r="N334" i="1"/>
  <c r="N157" i="1"/>
  <c r="N240" i="1"/>
  <c r="N87" i="1"/>
  <c r="N280" i="1"/>
  <c r="N141" i="1"/>
  <c r="N315" i="1"/>
  <c r="N202" i="1"/>
  <c r="N405" i="1"/>
  <c r="N426" i="1"/>
  <c r="N183" i="1"/>
  <c r="O183" i="1" s="1"/>
  <c r="N485" i="1"/>
  <c r="N297" i="1"/>
  <c r="N225" i="1"/>
  <c r="O225" i="1" s="1"/>
  <c r="N58" i="1"/>
  <c r="N101" i="1"/>
  <c r="N495" i="1"/>
  <c r="N200" i="1"/>
  <c r="O200" i="1" s="1"/>
  <c r="N111" i="1"/>
  <c r="O111" i="1" s="1"/>
  <c r="N136" i="1"/>
  <c r="N264" i="1"/>
  <c r="N344" i="1"/>
  <c r="O344" i="1" s="1"/>
  <c r="N180" i="1"/>
  <c r="N411" i="1"/>
  <c r="N309" i="1"/>
  <c r="N345" i="1"/>
  <c r="N181" i="1"/>
  <c r="N97" i="1"/>
  <c r="N206" i="1"/>
  <c r="N282" i="1"/>
  <c r="N154" i="1"/>
  <c r="O154" i="1" s="1"/>
  <c r="N431" i="1"/>
  <c r="N459" i="1"/>
  <c r="N158" i="1"/>
  <c r="N278" i="1"/>
  <c r="O278" i="1" s="1"/>
  <c r="N179" i="1"/>
  <c r="N504" i="1"/>
  <c r="N347" i="1"/>
  <c r="N451" i="1"/>
  <c r="N501" i="1"/>
  <c r="N499" i="1"/>
  <c r="N432" i="1"/>
  <c r="N274" i="1"/>
  <c r="N503" i="1"/>
  <c r="N476" i="1"/>
  <c r="N505" i="1"/>
  <c r="N191" i="1"/>
  <c r="N494" i="1"/>
  <c r="N104" i="1"/>
  <c r="N493" i="1"/>
  <c r="N341" i="1"/>
  <c r="N72" i="1"/>
  <c r="N332" i="1"/>
  <c r="N123" i="1"/>
  <c r="N413" i="1"/>
  <c r="N497" i="1"/>
  <c r="N295" i="1"/>
  <c r="N127" i="1"/>
  <c r="O127" i="1" s="1"/>
  <c r="N223" i="1"/>
  <c r="N296" i="1"/>
  <c r="N165" i="1"/>
  <c r="N463" i="1"/>
  <c r="N170" i="1"/>
  <c r="N140" i="1"/>
  <c r="N228" i="1"/>
  <c r="N110" i="1"/>
  <c r="N388" i="1"/>
  <c r="N137" i="1"/>
  <c r="N119" i="1"/>
  <c r="N301" i="1"/>
  <c r="N308" i="1"/>
  <c r="N211" i="1"/>
  <c r="N352" i="1"/>
  <c r="O352" i="1" s="1"/>
  <c r="N396" i="1"/>
  <c r="N447" i="1"/>
  <c r="N214" i="1"/>
  <c r="N337" i="1"/>
  <c r="N394" i="1"/>
  <c r="N98" i="1"/>
  <c r="N167" i="1"/>
  <c r="N303" i="1"/>
  <c r="N159" i="1"/>
  <c r="N243" i="1"/>
  <c r="N456" i="1"/>
  <c r="O456" i="1" s="1"/>
  <c r="N197" i="1"/>
  <c r="N398" i="1"/>
  <c r="N408" i="1"/>
  <c r="O408" i="1" s="1"/>
  <c r="N461" i="1"/>
  <c r="N294" i="1"/>
  <c r="O294" i="1" s="1"/>
  <c r="N395" i="1"/>
  <c r="N230" i="1"/>
  <c r="N284" i="1"/>
  <c r="O284" i="1" s="1"/>
  <c r="N198" i="1"/>
  <c r="O198" i="1" s="1"/>
  <c r="N188" i="1"/>
  <c r="O188" i="1" s="1"/>
  <c r="N312" i="1"/>
  <c r="N55" i="1"/>
  <c r="O55" i="1" s="1"/>
  <c r="N65" i="1"/>
  <c r="N433" i="1"/>
  <c r="N425" i="1"/>
  <c r="N151" i="1"/>
  <c r="N171" i="1"/>
  <c r="O171" i="1" s="1"/>
  <c r="N117" i="1"/>
  <c r="N500" i="1"/>
  <c r="N446" i="1"/>
  <c r="N410" i="1"/>
  <c r="N73" i="1"/>
  <c r="N68" i="1"/>
  <c r="O68" i="1" s="1"/>
  <c r="N152" i="1"/>
  <c r="N492" i="1"/>
  <c r="N190" i="1"/>
  <c r="N266" i="1"/>
  <c r="N156" i="1"/>
  <c r="N502" i="1"/>
  <c r="N145" i="1"/>
  <c r="N335" i="1"/>
  <c r="N498" i="1"/>
  <c r="N422" i="1"/>
  <c r="N89" i="1"/>
  <c r="N103" i="1"/>
  <c r="N144" i="1"/>
  <c r="N472" i="1"/>
  <c r="N161" i="1"/>
  <c r="N195" i="1"/>
  <c r="N133" i="1"/>
  <c r="N122" i="1"/>
  <c r="N265" i="1"/>
  <c r="O265" i="1" s="1"/>
  <c r="N212" i="1"/>
  <c r="N469" i="1"/>
  <c r="N196" i="1"/>
  <c r="O196" i="1" s="1"/>
  <c r="N217" i="1"/>
  <c r="N128" i="1"/>
  <c r="N412" i="1"/>
  <c r="N150" i="1"/>
  <c r="N115" i="1"/>
  <c r="N193" i="1"/>
  <c r="N186" i="1"/>
  <c r="O186" i="1" s="1"/>
  <c r="N359" i="1"/>
  <c r="O359" i="1" s="1"/>
  <c r="N192" i="1"/>
  <c r="N82" i="1"/>
  <c r="O82" i="1" s="1"/>
  <c r="N248" i="1"/>
  <c r="O248" i="1" s="1"/>
  <c r="N480" i="1"/>
  <c r="N203" i="1"/>
  <c r="N142" i="1"/>
  <c r="N333" i="1"/>
  <c r="N355" i="1"/>
  <c r="N283" i="1"/>
  <c r="N153" i="1"/>
  <c r="N329" i="1"/>
  <c r="N360" i="1"/>
  <c r="N354" i="1"/>
  <c r="N420" i="1"/>
  <c r="N488" i="1"/>
  <c r="N442" i="1"/>
  <c r="N239" i="1"/>
  <c r="N336" i="1"/>
  <c r="N458" i="1"/>
  <c r="N246" i="1"/>
  <c r="N184" i="1"/>
  <c r="N436" i="1"/>
  <c r="N427" i="1"/>
  <c r="N414" i="1"/>
  <c r="N178" i="1"/>
  <c r="N121" i="1"/>
  <c r="N124" i="1"/>
  <c r="N375" i="1"/>
  <c r="N381" i="1"/>
  <c r="N373" i="1"/>
  <c r="O373" i="1" s="1"/>
  <c r="N367" i="1"/>
  <c r="N363" i="1"/>
  <c r="N366" i="1"/>
  <c r="N371" i="1"/>
  <c r="O371" i="1" s="1"/>
  <c r="N374" i="1"/>
  <c r="N380" i="1"/>
  <c r="O380" i="1" s="1"/>
  <c r="N361" i="1"/>
  <c r="N314" i="1"/>
  <c r="N319" i="1"/>
  <c r="N318" i="1"/>
  <c r="N372" i="1"/>
  <c r="N378" i="1"/>
  <c r="N370" i="1"/>
  <c r="N365" i="1"/>
  <c r="N350" i="1"/>
  <c r="N227" i="1"/>
  <c r="N216" i="1"/>
  <c r="N220" i="1"/>
  <c r="N386" i="1"/>
  <c r="N362" i="1"/>
  <c r="N356" i="1"/>
  <c r="N328" i="1"/>
  <c r="N249" i="1"/>
  <c r="N252" i="1"/>
  <c r="N306" i="1"/>
  <c r="N199" i="1"/>
  <c r="N241" i="1"/>
  <c r="N358" i="1"/>
  <c r="N160" i="1"/>
  <c r="N118" i="1"/>
  <c r="N62" i="1"/>
  <c r="N369" i="1"/>
  <c r="N286" i="1"/>
  <c r="N261" i="1"/>
  <c r="N231" i="1"/>
  <c r="N90" i="1"/>
  <c r="O90" i="1" s="1"/>
  <c r="N208" i="1"/>
  <c r="O208" i="1" s="1"/>
  <c r="N457" i="1"/>
  <c r="N455" i="1"/>
  <c r="N51" i="1"/>
  <c r="O51" i="1" s="1"/>
  <c r="N452" i="1"/>
  <c r="N25" i="1"/>
  <c r="N23" i="1"/>
  <c r="N20" i="1"/>
  <c r="O20" i="1" s="1"/>
  <c r="N14" i="1"/>
  <c r="O14" i="1" s="1"/>
  <c r="N48" i="1"/>
  <c r="N50" i="1"/>
  <c r="N37" i="1"/>
  <c r="N35" i="1"/>
  <c r="N30" i="1"/>
  <c r="O30" i="1" s="1"/>
  <c r="N441" i="1"/>
  <c r="N26" i="1"/>
  <c r="N24" i="1"/>
  <c r="O24" i="1" s="1"/>
  <c r="N424" i="1"/>
  <c r="N39" i="1"/>
  <c r="O39" i="1" s="1"/>
  <c r="N53" i="1"/>
  <c r="O53" i="1" s="1"/>
  <c r="N445" i="1"/>
  <c r="N38" i="1"/>
  <c r="N61" i="1"/>
  <c r="O61" i="1" s="1"/>
  <c r="N12" i="1"/>
  <c r="N43" i="1"/>
  <c r="O43" i="1" s="1"/>
  <c r="N7" i="1"/>
  <c r="O7" i="1" s="1"/>
  <c r="N18" i="1"/>
  <c r="N49" i="1"/>
  <c r="N36" i="1"/>
  <c r="N8" i="1"/>
  <c r="O8" i="1" s="1"/>
  <c r="N54" i="1"/>
  <c r="N52" i="1"/>
  <c r="N382" i="1"/>
  <c r="N45" i="1"/>
  <c r="N331" i="1"/>
  <c r="N325" i="1"/>
  <c r="N313" i="1"/>
  <c r="N32" i="1"/>
  <c r="N41" i="1"/>
  <c r="N349" i="1"/>
  <c r="N27" i="1"/>
  <c r="O27" i="1" s="1"/>
  <c r="N31" i="1"/>
  <c r="O31" i="1" s="1"/>
  <c r="N279" i="1"/>
  <c r="N19" i="1"/>
  <c r="O19" i="1" s="1"/>
  <c r="N16" i="1"/>
  <c r="N13" i="1"/>
  <c r="N2" i="1"/>
  <c r="N299" i="1"/>
  <c r="O299" i="1" s="1"/>
  <c r="N247" i="1"/>
  <c r="N415" i="1"/>
  <c r="N42" i="1"/>
  <c r="O42" i="1" s="1"/>
  <c r="N47" i="1"/>
  <c r="N28" i="1"/>
  <c r="N22" i="1"/>
  <c r="N11" i="1"/>
  <c r="N232" i="1"/>
  <c r="N285" i="1"/>
  <c r="N10" i="1"/>
  <c r="O10" i="1" s="1"/>
  <c r="N5" i="1"/>
  <c r="N3" i="1"/>
  <c r="N113" i="1"/>
  <c r="N385" i="1"/>
  <c r="N21" i="1"/>
  <c r="N17" i="1"/>
  <c r="N40" i="1"/>
  <c r="O40" i="1" s="1"/>
  <c r="N4" i="1"/>
  <c r="O4" i="1" s="1"/>
  <c r="N389" i="1"/>
  <c r="N368" i="1"/>
  <c r="N340" i="1"/>
  <c r="N46" i="1"/>
  <c r="N302" i="1"/>
  <c r="N473" i="1"/>
  <c r="N250" i="1"/>
  <c r="N235" i="1"/>
  <c r="N95" i="1"/>
  <c r="N91" i="1"/>
  <c r="N106" i="1"/>
  <c r="O106" i="1" s="1"/>
  <c r="N138" i="1"/>
  <c r="N262" i="1"/>
  <c r="N189" i="1"/>
  <c r="N377" i="1"/>
  <c r="N258" i="1"/>
  <c r="O258" i="1" s="1"/>
  <c r="N330" i="1"/>
  <c r="N316" i="1"/>
  <c r="N210" i="1"/>
  <c r="N93" i="1"/>
  <c r="O93" i="1" s="1"/>
  <c r="N391" i="1"/>
  <c r="N94" i="1"/>
  <c r="N327" i="1"/>
  <c r="N390" i="1"/>
  <c r="N339" i="1"/>
  <c r="N63" i="1"/>
  <c r="N351" i="1"/>
  <c r="N326" i="1"/>
  <c r="N304" i="1"/>
  <c r="N311" i="1"/>
  <c r="N346" i="1"/>
  <c r="N310" i="1"/>
  <c r="O310" i="1" s="1"/>
  <c r="N268" i="1"/>
  <c r="N92" i="1"/>
  <c r="N107" i="1"/>
  <c r="N305" i="1"/>
  <c r="N112" i="1"/>
  <c r="N126" i="1"/>
  <c r="O126" i="1" s="1"/>
  <c r="N307" i="1"/>
  <c r="N276" i="1"/>
  <c r="N245" i="1"/>
  <c r="N244" i="1"/>
  <c r="N130" i="1"/>
  <c r="N324" i="1"/>
  <c r="N293" i="1"/>
  <c r="O293" i="1" s="1"/>
  <c r="N135" i="1"/>
  <c r="N288" i="1"/>
  <c r="N162" i="1"/>
  <c r="N387" i="1"/>
  <c r="N409" i="1"/>
  <c r="N85" i="1"/>
  <c r="N237" i="1"/>
  <c r="N57" i="1"/>
  <c r="O57" i="1" s="1"/>
  <c r="N148" i="1"/>
  <c r="N233" i="1"/>
  <c r="N383" i="1"/>
  <c r="O383" i="1" s="1"/>
  <c r="N490" i="1"/>
  <c r="O490" i="1" s="1"/>
  <c r="N323" i="1"/>
  <c r="N438" i="1"/>
  <c r="N376" i="1"/>
  <c r="N149" i="1"/>
  <c r="N99" i="1"/>
  <c r="N407" i="1"/>
  <c r="N108" i="1"/>
  <c r="N321" i="1"/>
  <c r="N404" i="1"/>
  <c r="N401" i="1"/>
  <c r="N400" i="1"/>
  <c r="O400" i="1" s="1"/>
  <c r="N402" i="1"/>
  <c r="N397" i="1"/>
  <c r="N260" i="1"/>
  <c r="N471" i="1"/>
  <c r="N163" i="1"/>
  <c r="N205" i="1"/>
  <c r="N399" i="1"/>
  <c r="N364" i="1"/>
  <c r="N234" i="1"/>
  <c r="N222" i="1"/>
  <c r="N187" i="1"/>
  <c r="O187" i="1" s="1"/>
  <c r="N384" i="1"/>
  <c r="N273" i="1"/>
  <c r="O273" i="1" s="1"/>
  <c r="N139" i="1"/>
  <c r="N393" i="1"/>
  <c r="N343" i="1"/>
  <c r="N443" i="1"/>
  <c r="N423" i="1"/>
  <c r="N406" i="1"/>
  <c r="N322" i="1"/>
  <c r="N290" i="1"/>
  <c r="N291" i="1"/>
  <c r="N34" i="1"/>
  <c r="N342" i="1"/>
  <c r="N287" i="1"/>
  <c r="O287" i="1" s="1"/>
  <c r="N259" i="1"/>
  <c r="O259" i="1" s="1"/>
  <c r="N255" i="1"/>
  <c r="N481" i="1"/>
  <c r="N194" i="1"/>
  <c r="N201" i="1"/>
  <c r="N100" i="1"/>
  <c r="N109" i="1"/>
  <c r="N102" i="1"/>
  <c r="N421" i="1"/>
  <c r="N403" i="1"/>
  <c r="N479" i="1"/>
  <c r="N88" i="1"/>
  <c r="N86" i="1"/>
  <c r="N81" i="1"/>
  <c r="N489" i="1"/>
  <c r="N79" i="1"/>
  <c r="N491" i="1"/>
  <c r="N83" i="1"/>
  <c r="N84" i="1"/>
  <c r="N80" i="1"/>
  <c r="N440" i="1"/>
  <c r="N78" i="1"/>
  <c r="N77" i="1"/>
  <c r="N76" i="1"/>
  <c r="N59" i="1"/>
  <c r="O59" i="1" s="1"/>
  <c r="N487" i="1"/>
  <c r="N484" i="1"/>
  <c r="N74" i="1"/>
  <c r="N70" i="1"/>
  <c r="N69" i="1"/>
  <c r="N71" i="1"/>
  <c r="N143" i="1"/>
  <c r="N66" i="1"/>
  <c r="N270" i="1"/>
  <c r="N444" i="1"/>
  <c r="N257" i="1"/>
  <c r="N434" i="1"/>
  <c r="N254" i="1"/>
  <c r="N263" i="1"/>
  <c r="N174" i="1"/>
  <c r="O174" i="1" s="1"/>
  <c r="N147" i="1"/>
  <c r="N236" i="1"/>
  <c r="N437" i="1"/>
  <c r="N215" i="1"/>
  <c r="N177" i="1"/>
  <c r="N348" i="1"/>
  <c r="N251" i="1"/>
  <c r="N238" i="1"/>
  <c r="N466" i="1"/>
  <c r="N116" i="1"/>
  <c r="O116" i="1" s="1"/>
  <c r="N467" i="1"/>
  <c r="N44" i="1"/>
  <c r="N271" i="1"/>
  <c r="N256" i="1"/>
  <c r="N134" i="1"/>
  <c r="N173" i="1"/>
  <c r="N168" i="1"/>
  <c r="N155" i="1"/>
  <c r="N125" i="1"/>
  <c r="N164" i="1"/>
  <c r="N131" i="1"/>
  <c r="N114" i="1"/>
  <c r="N281" i="1"/>
  <c r="N204" i="1"/>
  <c r="N478" i="1"/>
  <c r="O478" i="1" s="1"/>
  <c r="N454" i="1"/>
  <c r="O454" i="1" s="1"/>
  <c r="N453" i="1"/>
  <c r="N449" i="1"/>
  <c r="N33" i="1"/>
  <c r="N15" i="1"/>
  <c r="N439" i="1"/>
  <c r="N496" i="1"/>
  <c r="N435" i="1"/>
  <c r="N9" i="1"/>
  <c r="N419" i="1"/>
  <c r="N468" i="1"/>
  <c r="N430" i="1"/>
  <c r="N429" i="1"/>
  <c r="R96" i="1"/>
  <c r="S96" i="1" s="1"/>
  <c r="BE35" i="1" l="1"/>
  <c r="BA35" i="1"/>
  <c r="BB35" i="1" s="1"/>
  <c r="BE7" i="1"/>
  <c r="BA7" i="1"/>
  <c r="BB7" i="1" s="1"/>
  <c r="BE482" i="1"/>
  <c r="BA482" i="1"/>
  <c r="BB482" i="1" s="1"/>
  <c r="BE11" i="1"/>
  <c r="BA11" i="1"/>
  <c r="BB11" i="1" s="1"/>
  <c r="BE38" i="1"/>
  <c r="BA38" i="1"/>
  <c r="BB38" i="1" s="1"/>
  <c r="BS481" i="1"/>
  <c r="BT481" i="1" s="1"/>
  <c r="BA481" i="1"/>
  <c r="BB481" i="1" s="1"/>
  <c r="BE393" i="1"/>
  <c r="BA393" i="1"/>
  <c r="BB393" i="1" s="1"/>
  <c r="BE208" i="1"/>
  <c r="BA208" i="1"/>
  <c r="BB208" i="1" s="1"/>
  <c r="BS15" i="1"/>
  <c r="BT15" i="1" s="1"/>
  <c r="BA15" i="1"/>
  <c r="BB15" i="1" s="1"/>
  <c r="BE372" i="1"/>
  <c r="BA372" i="1"/>
  <c r="BB372" i="1" s="1"/>
  <c r="BS419" i="1"/>
  <c r="BT419" i="1" s="1"/>
  <c r="BA419" i="1"/>
  <c r="BB419" i="1" s="1"/>
  <c r="BE109" i="1"/>
  <c r="BA109" i="1"/>
  <c r="BB109" i="1" s="1"/>
  <c r="BE374" i="1"/>
  <c r="BA374" i="1"/>
  <c r="BB374" i="1" s="1"/>
  <c r="BS120" i="1"/>
  <c r="BT120" i="1" s="1"/>
  <c r="BA120" i="1"/>
  <c r="BB120" i="1" s="1"/>
  <c r="CO151" i="1"/>
  <c r="BS151" i="1"/>
  <c r="BT151" i="1" s="1"/>
  <c r="CO135" i="1"/>
  <c r="BS135" i="1"/>
  <c r="BT135" i="1" s="1"/>
  <c r="CO141" i="1"/>
  <c r="BS141" i="1"/>
  <c r="BT141" i="1" s="1"/>
  <c r="CO123" i="1"/>
  <c r="BS123" i="1"/>
  <c r="BT123" i="1" s="1"/>
  <c r="BW264" i="1"/>
  <c r="BS264" i="1"/>
  <c r="BT264" i="1" s="1"/>
  <c r="CO429" i="1"/>
  <c r="BS429" i="1"/>
  <c r="BT429" i="1" s="1"/>
  <c r="CO131" i="1"/>
  <c r="BS131" i="1"/>
  <c r="BT131" i="1" s="1"/>
  <c r="CO98" i="1"/>
  <c r="BS98" i="1"/>
  <c r="BT98" i="1" s="1"/>
  <c r="CO148" i="1"/>
  <c r="BS148" i="1"/>
  <c r="BT148" i="1" s="1"/>
  <c r="CO95" i="1"/>
  <c r="BS95" i="1"/>
  <c r="BT95" i="1" s="1"/>
  <c r="CN187" i="1"/>
  <c r="BS187" i="1"/>
  <c r="BT187" i="1" s="1"/>
  <c r="BW266" i="1"/>
  <c r="BS266" i="1"/>
  <c r="BT266" i="1" s="1"/>
  <c r="CO465" i="1"/>
  <c r="BS465" i="1"/>
  <c r="BT465" i="1" s="1"/>
  <c r="CO107" i="1"/>
  <c r="BS107" i="1"/>
  <c r="BT107" i="1" s="1"/>
  <c r="CO460" i="1"/>
  <c r="BS460" i="1"/>
  <c r="BT460" i="1" s="1"/>
  <c r="CO94" i="1"/>
  <c r="BS94" i="1"/>
  <c r="BT94" i="1" s="1"/>
  <c r="CO480" i="1"/>
  <c r="BS480" i="1"/>
  <c r="BT480" i="1" s="1"/>
  <c r="CO97" i="1"/>
  <c r="BS97" i="1"/>
  <c r="BT97" i="1" s="1"/>
  <c r="CO170" i="1"/>
  <c r="BS170" i="1"/>
  <c r="BT170" i="1" s="1"/>
  <c r="CO102" i="1"/>
  <c r="BS102" i="1"/>
  <c r="BT102" i="1" s="1"/>
  <c r="CO427" i="1"/>
  <c r="BS427" i="1"/>
  <c r="BT427" i="1" s="1"/>
  <c r="CO415" i="1"/>
  <c r="BS415" i="1"/>
  <c r="BT415" i="1" s="1"/>
  <c r="CN16" i="1"/>
  <c r="BS16" i="1"/>
  <c r="BT16" i="1" s="1"/>
  <c r="BW252" i="1"/>
  <c r="BS252" i="1"/>
  <c r="BT252" i="1" s="1"/>
  <c r="CO163" i="1"/>
  <c r="BS163" i="1"/>
  <c r="BT163" i="1" s="1"/>
  <c r="CO142" i="1"/>
  <c r="BS142" i="1"/>
  <c r="BT142" i="1" s="1"/>
  <c r="CO55" i="1"/>
  <c r="BS55" i="1"/>
  <c r="BT55" i="1" s="1"/>
  <c r="CO426" i="1"/>
  <c r="BS426" i="1"/>
  <c r="BT426" i="1" s="1"/>
  <c r="CO136" i="1"/>
  <c r="BS136" i="1"/>
  <c r="BT136" i="1" s="1"/>
  <c r="BW18" i="1"/>
  <c r="BS18" i="1"/>
  <c r="BT18" i="1" s="1"/>
  <c r="CN434" i="1"/>
  <c r="BS434" i="1"/>
  <c r="BT434" i="1" s="1"/>
  <c r="CO75" i="1"/>
  <c r="BS75" i="1"/>
  <c r="BT75" i="1" s="1"/>
  <c r="CO99" i="1"/>
  <c r="BS99" i="1"/>
  <c r="BT99" i="1" s="1"/>
  <c r="BW59" i="1"/>
  <c r="BS59" i="1"/>
  <c r="BT59" i="1" s="1"/>
  <c r="BW232" i="1"/>
  <c r="BS232" i="1"/>
  <c r="BT232" i="1" s="1"/>
  <c r="BW205" i="1"/>
  <c r="BS205" i="1"/>
  <c r="BT205" i="1" s="1"/>
  <c r="CN150" i="1"/>
  <c r="CO150" i="1"/>
  <c r="BW178" i="1"/>
  <c r="CP178" i="1" s="1"/>
  <c r="CQ178" i="1" s="1"/>
  <c r="BW118" i="1"/>
  <c r="CP118" i="1" s="1"/>
  <c r="CQ118" i="1" s="1"/>
  <c r="CO190" i="1"/>
  <c r="CO117" i="1"/>
  <c r="CO461" i="1"/>
  <c r="CO111" i="1"/>
  <c r="CO175" i="1"/>
  <c r="CO130" i="1"/>
  <c r="CO92" i="1"/>
  <c r="CO184" i="1"/>
  <c r="CO179" i="1"/>
  <c r="BW149" i="1"/>
  <c r="CP149" i="1" s="1"/>
  <c r="CQ149" i="1" s="1"/>
  <c r="BW125" i="1"/>
  <c r="CO125" i="1"/>
  <c r="BW139" i="1"/>
  <c r="CO139" i="1"/>
  <c r="CN119" i="1"/>
  <c r="CO119" i="1"/>
  <c r="CO101" i="1"/>
  <c r="CO481" i="1"/>
  <c r="CO486" i="1"/>
  <c r="CO483" i="1"/>
  <c r="CO115" i="1"/>
  <c r="CO74" i="1"/>
  <c r="CO104" i="1"/>
  <c r="CO432" i="1"/>
  <c r="CO191" i="1"/>
  <c r="CO253" i="1"/>
  <c r="CO66" i="1"/>
  <c r="CN216" i="1"/>
  <c r="BW216" i="1"/>
  <c r="BW434" i="1"/>
  <c r="BU419" i="1"/>
  <c r="BE419" i="1"/>
  <c r="BU481" i="1"/>
  <c r="BE481" i="1"/>
  <c r="BU15" i="1"/>
  <c r="BE15" i="1"/>
  <c r="BU457" i="1"/>
  <c r="BE457" i="1"/>
  <c r="BU338" i="1"/>
  <c r="BE338" i="1"/>
  <c r="BU4" i="1"/>
  <c r="BV4" i="1" s="1"/>
  <c r="BS4" i="1" s="1"/>
  <c r="BT4" i="1" s="1"/>
  <c r="BE4" i="1"/>
  <c r="BU120" i="1"/>
  <c r="BE120" i="1"/>
  <c r="BU455" i="1"/>
  <c r="BE455" i="1"/>
  <c r="CN139" i="1"/>
  <c r="BW119" i="1"/>
  <c r="CN232" i="1"/>
  <c r="CN18" i="1"/>
  <c r="CN149" i="1"/>
  <c r="CN252" i="1"/>
  <c r="CN59" i="1"/>
  <c r="BW16" i="1"/>
  <c r="CN243" i="1"/>
  <c r="BW243" i="1"/>
  <c r="CN429" i="1"/>
  <c r="BW429" i="1"/>
  <c r="BU208" i="1"/>
  <c r="BV208" i="1" s="1"/>
  <c r="BS208" i="1" s="1"/>
  <c r="BT208" i="1" s="1"/>
  <c r="BU7" i="1"/>
  <c r="BV7" i="1" s="1"/>
  <c r="BS7" i="1" s="1"/>
  <c r="BT7" i="1" s="1"/>
  <c r="CN266" i="1"/>
  <c r="BW187" i="1"/>
  <c r="CN125" i="1"/>
  <c r="BW150" i="1"/>
  <c r="AA96" i="1"/>
  <c r="AB96" i="1" s="1"/>
  <c r="CN205" i="1"/>
  <c r="CN178" i="1"/>
  <c r="CN264" i="1"/>
  <c r="CN118" i="1"/>
  <c r="BW193" i="1"/>
  <c r="CN193" i="1"/>
  <c r="BW76" i="1"/>
  <c r="CN76" i="1"/>
  <c r="CN460" i="1"/>
  <c r="BW460" i="1"/>
  <c r="BW17" i="1"/>
  <c r="CN17" i="1"/>
  <c r="BW415" i="1"/>
  <c r="CN415" i="1"/>
  <c r="CN75" i="1"/>
  <c r="BW75" i="1"/>
  <c r="BW484" i="1"/>
  <c r="CP484" i="1" s="1"/>
  <c r="CQ484" i="1" s="1"/>
  <c r="CN484" i="1"/>
  <c r="BW214" i="1"/>
  <c r="CN214" i="1"/>
  <c r="BW195" i="1"/>
  <c r="CP195" i="1" s="1"/>
  <c r="CQ195" i="1" s="1"/>
  <c r="CN195" i="1"/>
  <c r="CN163" i="1"/>
  <c r="BW163" i="1"/>
  <c r="BW162" i="1"/>
  <c r="CP162" i="1" s="1"/>
  <c r="CQ162" i="1" s="1"/>
  <c r="CN162" i="1"/>
  <c r="CN55" i="1"/>
  <c r="BW55" i="1"/>
  <c r="BW239" i="1"/>
  <c r="CN239" i="1"/>
  <c r="BW135" i="1"/>
  <c r="CN135" i="1"/>
  <c r="BW141" i="1"/>
  <c r="CN141" i="1"/>
  <c r="CN107" i="1"/>
  <c r="BW107" i="1"/>
  <c r="BW491" i="1"/>
  <c r="CN491" i="1"/>
  <c r="BW427" i="1"/>
  <c r="CN427" i="1"/>
  <c r="BW240" i="1"/>
  <c r="CN240" i="1"/>
  <c r="BW108" i="1"/>
  <c r="CP108" i="1" s="1"/>
  <c r="CQ108" i="1" s="1"/>
  <c r="CN108" i="1"/>
  <c r="BW212" i="1"/>
  <c r="CN212" i="1"/>
  <c r="BW20" i="1"/>
  <c r="CN20" i="1"/>
  <c r="BW248" i="1"/>
  <c r="CN248" i="1"/>
  <c r="BW221" i="1"/>
  <c r="CN221" i="1"/>
  <c r="BW165" i="1"/>
  <c r="CP165" i="1" s="1"/>
  <c r="CQ165" i="1" s="1"/>
  <c r="CN165" i="1"/>
  <c r="BW444" i="1"/>
  <c r="CN444" i="1"/>
  <c r="BW480" i="1"/>
  <c r="CN480" i="1"/>
  <c r="BW272" i="1"/>
  <c r="CP272" i="1" s="1"/>
  <c r="CQ272" i="1" s="1"/>
  <c r="CN272" i="1"/>
  <c r="BW465" i="1"/>
  <c r="CN465" i="1"/>
  <c r="BW151" i="1"/>
  <c r="CN151" i="1"/>
  <c r="BW237" i="1"/>
  <c r="CN237" i="1"/>
  <c r="CN413" i="1"/>
  <c r="BW413" i="1"/>
  <c r="CP413" i="1" s="1"/>
  <c r="CQ413" i="1" s="1"/>
  <c r="BW57" i="1"/>
  <c r="CN57" i="1"/>
  <c r="BW102" i="1"/>
  <c r="CN102" i="1"/>
  <c r="CN254" i="1"/>
  <c r="BW254" i="1"/>
  <c r="BW183" i="1"/>
  <c r="CN183" i="1"/>
  <c r="BW225" i="1"/>
  <c r="CN225" i="1"/>
  <c r="BW202" i="1"/>
  <c r="CN202" i="1"/>
  <c r="BW99" i="1"/>
  <c r="CN99" i="1"/>
  <c r="BW206" i="1"/>
  <c r="CN206" i="1"/>
  <c r="CN98" i="1"/>
  <c r="BW98" i="1"/>
  <c r="CN131" i="1"/>
  <c r="BW131" i="1"/>
  <c r="BW262" i="1"/>
  <c r="CN262" i="1"/>
  <c r="BW142" i="1"/>
  <c r="CN142" i="1"/>
  <c r="BW488" i="1"/>
  <c r="CN488" i="1"/>
  <c r="CN97" i="1"/>
  <c r="BW97" i="1"/>
  <c r="BW196" i="1"/>
  <c r="CP196" i="1" s="1"/>
  <c r="CQ196" i="1" s="1"/>
  <c r="CN196" i="1"/>
  <c r="BW70" i="1"/>
  <c r="CP70" i="1" s="1"/>
  <c r="CQ70" i="1" s="1"/>
  <c r="CN70" i="1"/>
  <c r="BW170" i="1"/>
  <c r="CN170" i="1"/>
  <c r="BW238" i="1"/>
  <c r="CN238" i="1"/>
  <c r="BW426" i="1"/>
  <c r="CN426" i="1"/>
  <c r="BW458" i="1"/>
  <c r="CP458" i="1" s="1"/>
  <c r="CQ458" i="1" s="1"/>
  <c r="CN458" i="1"/>
  <c r="BW207" i="1"/>
  <c r="CN207" i="1"/>
  <c r="BW136" i="1"/>
  <c r="CN136" i="1"/>
  <c r="CN160" i="1"/>
  <c r="BW160" i="1"/>
  <c r="CP160" i="1" s="1"/>
  <c r="CQ160" i="1" s="1"/>
  <c r="CN113" i="1"/>
  <c r="BW113" i="1"/>
  <c r="CP113" i="1" s="1"/>
  <c r="CQ113" i="1" s="1"/>
  <c r="BW197" i="1"/>
  <c r="CN197" i="1"/>
  <c r="CN492" i="1"/>
  <c r="BW492" i="1"/>
  <c r="BW298" i="1"/>
  <c r="CP298" i="1" s="1"/>
  <c r="CQ298" i="1" s="1"/>
  <c r="CN298" i="1"/>
  <c r="CN148" i="1"/>
  <c r="BW148" i="1"/>
  <c r="CN14" i="1"/>
  <c r="BW14" i="1"/>
  <c r="BW13" i="1"/>
  <c r="CN13" i="1"/>
  <c r="BW123" i="1"/>
  <c r="CN123" i="1"/>
  <c r="BW278" i="1"/>
  <c r="CN278" i="1"/>
  <c r="BW188" i="1"/>
  <c r="CN188" i="1"/>
  <c r="CN442" i="1"/>
  <c r="BW442" i="1"/>
  <c r="BW94" i="1"/>
  <c r="CN94" i="1"/>
  <c r="BW234" i="1"/>
  <c r="CN234" i="1"/>
  <c r="BW95" i="1"/>
  <c r="CN95" i="1"/>
  <c r="BU11" i="1"/>
  <c r="BV11" i="1" s="1"/>
  <c r="BS11" i="1" s="1"/>
  <c r="BT11" i="1" s="1"/>
  <c r="BU482" i="1"/>
  <c r="BV482" i="1" s="1"/>
  <c r="BS482" i="1" s="1"/>
  <c r="BT482" i="1" s="1"/>
  <c r="BU109" i="1"/>
  <c r="BV109" i="1" s="1"/>
  <c r="BS109" i="1" s="1"/>
  <c r="BT109" i="1" s="1"/>
  <c r="AP96" i="1" l="1"/>
  <c r="Y96" i="1"/>
  <c r="Z96" i="1" s="1"/>
  <c r="CO149" i="1"/>
  <c r="CO118" i="1"/>
  <c r="CO272" i="1"/>
  <c r="CO113" i="1"/>
  <c r="CO162" i="1"/>
  <c r="CO108" i="1"/>
  <c r="CO70" i="1"/>
  <c r="CO165" i="1"/>
  <c r="CO413" i="1"/>
  <c r="CO458" i="1"/>
  <c r="CO298" i="1"/>
  <c r="BW4" i="1"/>
  <c r="CP4" i="1" s="1"/>
  <c r="CQ4" i="1" s="1"/>
  <c r="CO196" i="1"/>
  <c r="CO195" i="1"/>
  <c r="CO484" i="1"/>
  <c r="CO178" i="1"/>
  <c r="CO160" i="1"/>
  <c r="CN4" i="1"/>
  <c r="CN208" i="1"/>
  <c r="BW208" i="1"/>
  <c r="CN7" i="1"/>
  <c r="BW7" i="1"/>
  <c r="CP7" i="1" s="1"/>
  <c r="CQ7" i="1" s="1"/>
  <c r="AQ96" i="1"/>
  <c r="BC96" i="1" s="1"/>
  <c r="BD96" i="1" s="1"/>
  <c r="BA96" i="1" s="1"/>
  <c r="BB96" i="1" s="1"/>
  <c r="BW482" i="1"/>
  <c r="CN482" i="1"/>
  <c r="BW11" i="1"/>
  <c r="CN11" i="1"/>
  <c r="BW109" i="1"/>
  <c r="CP109" i="1" s="1"/>
  <c r="CQ109" i="1" s="1"/>
  <c r="CN109" i="1"/>
  <c r="CW226" i="1"/>
  <c r="CX226" i="1" s="1"/>
  <c r="CW338" i="1"/>
  <c r="CX338" i="1" s="1"/>
  <c r="CW229" i="1"/>
  <c r="CX229" i="1" s="1"/>
  <c r="CW105" i="1"/>
  <c r="CW462" i="1"/>
  <c r="CW218" i="1"/>
  <c r="CX218" i="1" s="1"/>
  <c r="CW169" i="1"/>
  <c r="CW75" i="1"/>
  <c r="CW465" i="1"/>
  <c r="CW379" i="1"/>
  <c r="CX379" i="1" s="1"/>
  <c r="CW64" i="1"/>
  <c r="CX64" i="1" s="1"/>
  <c r="CW207" i="1"/>
  <c r="CX207" i="1" s="1"/>
  <c r="CW418" i="1"/>
  <c r="CW460" i="1"/>
  <c r="CW464" i="1"/>
  <c r="CW428" i="1"/>
  <c r="CW353" i="1"/>
  <c r="CX353" i="1" s="1"/>
  <c r="CW221" i="1"/>
  <c r="CX221" i="1" s="1"/>
  <c r="CW60" i="1"/>
  <c r="CX60" i="1" s="1"/>
  <c r="CW56" i="1"/>
  <c r="CW448" i="1"/>
  <c r="CX448" i="1" s="1"/>
  <c r="CW450" i="1"/>
  <c r="CX450" i="1" s="1"/>
  <c r="CW120" i="1"/>
  <c r="CW242" i="1"/>
  <c r="CX242" i="1" s="1"/>
  <c r="CW334" i="1"/>
  <c r="CX334" i="1" s="1"/>
  <c r="CW157" i="1"/>
  <c r="CW240" i="1"/>
  <c r="CX240" i="1" s="1"/>
  <c r="CW87" i="1"/>
  <c r="CX87" i="1" s="1"/>
  <c r="CW280" i="1"/>
  <c r="CX280" i="1" s="1"/>
  <c r="CW141" i="1"/>
  <c r="CW315" i="1"/>
  <c r="CX315" i="1" s="1"/>
  <c r="CW202" i="1"/>
  <c r="CX202" i="1" s="1"/>
  <c r="CW405" i="1"/>
  <c r="CX405" i="1" s="1"/>
  <c r="CW426" i="1"/>
  <c r="CW183" i="1"/>
  <c r="CX183" i="1" s="1"/>
  <c r="CW485" i="1"/>
  <c r="CW297" i="1"/>
  <c r="CX297" i="1" s="1"/>
  <c r="CW225" i="1"/>
  <c r="CX225" i="1" s="1"/>
  <c r="CW58" i="1"/>
  <c r="CX58" i="1" s="1"/>
  <c r="CW495" i="1"/>
  <c r="CX495" i="1" s="1"/>
  <c r="CW200" i="1"/>
  <c r="CX200" i="1" s="1"/>
  <c r="CW136" i="1"/>
  <c r="CW264" i="1"/>
  <c r="CX264" i="1" s="1"/>
  <c r="CW344" i="1"/>
  <c r="CX344" i="1" s="1"/>
  <c r="CW180" i="1"/>
  <c r="CX180" i="1" s="1"/>
  <c r="CW411" i="1"/>
  <c r="CX411" i="1" s="1"/>
  <c r="CW309" i="1"/>
  <c r="CX309" i="1" s="1"/>
  <c r="CW345" i="1"/>
  <c r="CX345" i="1" s="1"/>
  <c r="CW181" i="1"/>
  <c r="CX181" i="1" s="1"/>
  <c r="CW97" i="1"/>
  <c r="CW206" i="1"/>
  <c r="CX206" i="1" s="1"/>
  <c r="CW282" i="1"/>
  <c r="CX282" i="1" s="1"/>
  <c r="CW154" i="1"/>
  <c r="CW431" i="1"/>
  <c r="CW459" i="1"/>
  <c r="CX459" i="1" s="1"/>
  <c r="CW158" i="1"/>
  <c r="CW278" i="1"/>
  <c r="CX278" i="1" s="1"/>
  <c r="CW504" i="1"/>
  <c r="CX504" i="1" s="1"/>
  <c r="CW347" i="1"/>
  <c r="CX347" i="1" s="1"/>
  <c r="CW451" i="1"/>
  <c r="CX451" i="1" s="1"/>
  <c r="CW501" i="1"/>
  <c r="CX501" i="1" s="1"/>
  <c r="CW499" i="1"/>
  <c r="CW274" i="1"/>
  <c r="CX274" i="1" s="1"/>
  <c r="CW503" i="1"/>
  <c r="CX503" i="1" s="1"/>
  <c r="CW476" i="1"/>
  <c r="CX476" i="1" s="1"/>
  <c r="CW505" i="1"/>
  <c r="CX505" i="1" s="1"/>
  <c r="CW494" i="1"/>
  <c r="CX494" i="1" s="1"/>
  <c r="CW493" i="1"/>
  <c r="CX493" i="1" s="1"/>
  <c r="CW341" i="1"/>
  <c r="CX341" i="1" s="1"/>
  <c r="CW72" i="1"/>
  <c r="CW332" i="1"/>
  <c r="CX332" i="1" s="1"/>
  <c r="CW123" i="1"/>
  <c r="CW295" i="1"/>
  <c r="CX295" i="1" s="1"/>
  <c r="CW127" i="1"/>
  <c r="CW223" i="1"/>
  <c r="CX223" i="1" s="1"/>
  <c r="CW296" i="1"/>
  <c r="CX296" i="1" s="1"/>
  <c r="CW463" i="1"/>
  <c r="CW170" i="1"/>
  <c r="CW140" i="1"/>
  <c r="CW228" i="1"/>
  <c r="CX228" i="1" s="1"/>
  <c r="CW110" i="1"/>
  <c r="CW388" i="1"/>
  <c r="CX388" i="1" s="1"/>
  <c r="CW137" i="1"/>
  <c r="CW119" i="1"/>
  <c r="CW301" i="1"/>
  <c r="CX301" i="1" s="1"/>
  <c r="CW308" i="1"/>
  <c r="CX308" i="1" s="1"/>
  <c r="CW211" i="1"/>
  <c r="CX211" i="1" s="1"/>
  <c r="CW352" i="1"/>
  <c r="CX352" i="1" s="1"/>
  <c r="CW396" i="1"/>
  <c r="CX396" i="1" s="1"/>
  <c r="CW447" i="1"/>
  <c r="CX447" i="1" s="1"/>
  <c r="CW214" i="1"/>
  <c r="CX214" i="1" s="1"/>
  <c r="CW337" i="1"/>
  <c r="CX337" i="1" s="1"/>
  <c r="CW394" i="1"/>
  <c r="CX394" i="1" s="1"/>
  <c r="CW98" i="1"/>
  <c r="CW167" i="1"/>
  <c r="CW303" i="1"/>
  <c r="CX303" i="1" s="1"/>
  <c r="CW159" i="1"/>
  <c r="CW243" i="1"/>
  <c r="CX243" i="1" s="1"/>
  <c r="CW456" i="1"/>
  <c r="CX456" i="1" s="1"/>
  <c r="CW197" i="1"/>
  <c r="CX197" i="1" s="1"/>
  <c r="CW398" i="1"/>
  <c r="CX398" i="1" s="1"/>
  <c r="CW408" i="1"/>
  <c r="CX408" i="1" s="1"/>
  <c r="CW294" i="1"/>
  <c r="CX294" i="1" s="1"/>
  <c r="CW395" i="1"/>
  <c r="CX395" i="1" s="1"/>
  <c r="CW230" i="1"/>
  <c r="CX230" i="1" s="1"/>
  <c r="CW284" i="1"/>
  <c r="CX284" i="1" s="1"/>
  <c r="CW198" i="1"/>
  <c r="CX198" i="1" s="1"/>
  <c r="CW188" i="1"/>
  <c r="CX188" i="1" s="1"/>
  <c r="CW312" i="1"/>
  <c r="CX312" i="1" s="1"/>
  <c r="CW55" i="1"/>
  <c r="CW65" i="1"/>
  <c r="CW433" i="1"/>
  <c r="CW425" i="1"/>
  <c r="CW151" i="1"/>
  <c r="CW171" i="1"/>
  <c r="CW500" i="1"/>
  <c r="CX500" i="1" s="1"/>
  <c r="CW446" i="1"/>
  <c r="CX446" i="1" s="1"/>
  <c r="CW410" i="1"/>
  <c r="CX410" i="1" s="1"/>
  <c r="CW73" i="1"/>
  <c r="CW68" i="1"/>
  <c r="CW152" i="1"/>
  <c r="CW492" i="1"/>
  <c r="CX492" i="1" s="1"/>
  <c r="CW266" i="1"/>
  <c r="CX266" i="1" s="1"/>
  <c r="CW156" i="1"/>
  <c r="CW502" i="1"/>
  <c r="CX502" i="1" s="1"/>
  <c r="CW145" i="1"/>
  <c r="CW335" i="1"/>
  <c r="CX335" i="1" s="1"/>
  <c r="CW498" i="1"/>
  <c r="CX498" i="1" s="1"/>
  <c r="CW422" i="1"/>
  <c r="CX422" i="1" s="1"/>
  <c r="CW89" i="1"/>
  <c r="CX89" i="1" s="1"/>
  <c r="CW103" i="1"/>
  <c r="CW144" i="1"/>
  <c r="CW472" i="1"/>
  <c r="CX472" i="1" s="1"/>
  <c r="CW161" i="1"/>
  <c r="CW133" i="1"/>
  <c r="CW122" i="1"/>
  <c r="CW265" i="1"/>
  <c r="CX265" i="1" s="1"/>
  <c r="CW212" i="1"/>
  <c r="CX212" i="1" s="1"/>
  <c r="CW469" i="1"/>
  <c r="CW217" i="1"/>
  <c r="CX217" i="1" s="1"/>
  <c r="CW128" i="1"/>
  <c r="CW412" i="1"/>
  <c r="CX412" i="1" s="1"/>
  <c r="CW150" i="1"/>
  <c r="CW193" i="1"/>
  <c r="CX193" i="1" s="1"/>
  <c r="CW186" i="1"/>
  <c r="CX186" i="1" s="1"/>
  <c r="CW359" i="1"/>
  <c r="CX359" i="1" s="1"/>
  <c r="CW192" i="1"/>
  <c r="CX192" i="1" s="1"/>
  <c r="CW82" i="1"/>
  <c r="CX82" i="1" s="1"/>
  <c r="CW248" i="1"/>
  <c r="CX248" i="1" s="1"/>
  <c r="CW480" i="1"/>
  <c r="CW203" i="1"/>
  <c r="CX203" i="1" s="1"/>
  <c r="CW142" i="1"/>
  <c r="CW333" i="1"/>
  <c r="CX333" i="1" s="1"/>
  <c r="CW355" i="1"/>
  <c r="CX355" i="1" s="1"/>
  <c r="CW283" i="1"/>
  <c r="CX283" i="1" s="1"/>
  <c r="CW153" i="1"/>
  <c r="CW329" i="1"/>
  <c r="CX329" i="1" s="1"/>
  <c r="CW360" i="1"/>
  <c r="CX360" i="1" s="1"/>
  <c r="CW354" i="1"/>
  <c r="CX354" i="1" s="1"/>
  <c r="CW420" i="1"/>
  <c r="CX420" i="1" s="1"/>
  <c r="CW488" i="1"/>
  <c r="CX488" i="1" s="1"/>
  <c r="CW442" i="1"/>
  <c r="CX442" i="1" s="1"/>
  <c r="CW239" i="1"/>
  <c r="CX239" i="1" s="1"/>
  <c r="CW336" i="1"/>
  <c r="CX336" i="1" s="1"/>
  <c r="CW246" i="1"/>
  <c r="CX246" i="1" s="1"/>
  <c r="CW436" i="1"/>
  <c r="CX436" i="1" s="1"/>
  <c r="CW427" i="1"/>
  <c r="CW414" i="1"/>
  <c r="CX414" i="1" s="1"/>
  <c r="CW121" i="1"/>
  <c r="CW124" i="1"/>
  <c r="CW375" i="1"/>
  <c r="CX375" i="1" s="1"/>
  <c r="CW381" i="1"/>
  <c r="CX381" i="1" s="1"/>
  <c r="CW373" i="1"/>
  <c r="CX373" i="1" s="1"/>
  <c r="CW367" i="1"/>
  <c r="CX367" i="1" s="1"/>
  <c r="CW363" i="1"/>
  <c r="CX363" i="1" s="1"/>
  <c r="CW366" i="1"/>
  <c r="CX366" i="1" s="1"/>
  <c r="CW371" i="1"/>
  <c r="CX371" i="1" s="1"/>
  <c r="CW374" i="1"/>
  <c r="CX374" i="1" s="1"/>
  <c r="CW380" i="1"/>
  <c r="CX380" i="1" s="1"/>
  <c r="CW361" i="1"/>
  <c r="CX361" i="1" s="1"/>
  <c r="CW314" i="1"/>
  <c r="CX314" i="1" s="1"/>
  <c r="CW319" i="1"/>
  <c r="CX319" i="1" s="1"/>
  <c r="CW318" i="1"/>
  <c r="CX318" i="1" s="1"/>
  <c r="CW372" i="1"/>
  <c r="CX372" i="1" s="1"/>
  <c r="CW378" i="1"/>
  <c r="CX378" i="1" s="1"/>
  <c r="CW370" i="1"/>
  <c r="CX370" i="1" s="1"/>
  <c r="CW365" i="1"/>
  <c r="CX365" i="1" s="1"/>
  <c r="CW350" i="1"/>
  <c r="CX350" i="1" s="1"/>
  <c r="CW227" i="1"/>
  <c r="CX227" i="1" s="1"/>
  <c r="CW216" i="1"/>
  <c r="CX216" i="1" s="1"/>
  <c r="CW220" i="1"/>
  <c r="CX220" i="1" s="1"/>
  <c r="CW386" i="1"/>
  <c r="CX386" i="1" s="1"/>
  <c r="CW362" i="1"/>
  <c r="CX362" i="1" s="1"/>
  <c r="CW356" i="1"/>
  <c r="CX356" i="1" s="1"/>
  <c r="CW328" i="1"/>
  <c r="CX328" i="1" s="1"/>
  <c r="CW249" i="1"/>
  <c r="CX249" i="1" s="1"/>
  <c r="CW252" i="1"/>
  <c r="CX252" i="1" s="1"/>
  <c r="CW306" i="1"/>
  <c r="CX306" i="1" s="1"/>
  <c r="CW199" i="1"/>
  <c r="CX199" i="1" s="1"/>
  <c r="CW241" i="1"/>
  <c r="CX241" i="1" s="1"/>
  <c r="CW358" i="1"/>
  <c r="CX358" i="1" s="1"/>
  <c r="CW62" i="1"/>
  <c r="CX62" i="1" s="1"/>
  <c r="CW369" i="1"/>
  <c r="CX369" i="1" s="1"/>
  <c r="CW286" i="1"/>
  <c r="CX286" i="1" s="1"/>
  <c r="CW261" i="1"/>
  <c r="CX261" i="1" s="1"/>
  <c r="CW231" i="1"/>
  <c r="CX231" i="1" s="1"/>
  <c r="CW208" i="1"/>
  <c r="CX208" i="1" s="1"/>
  <c r="CW457" i="1"/>
  <c r="CX457" i="1" s="1"/>
  <c r="CW455" i="1"/>
  <c r="CX455" i="1" s="1"/>
  <c r="CW51" i="1"/>
  <c r="CX51" i="1" s="1"/>
  <c r="CW452" i="1"/>
  <c r="CX452" i="1" s="1"/>
  <c r="CW25" i="1"/>
  <c r="CX25" i="1" s="1"/>
  <c r="CW23" i="1"/>
  <c r="CX23" i="1" s="1"/>
  <c r="CW20" i="1"/>
  <c r="CX20" i="1" s="1"/>
  <c r="CW14" i="1"/>
  <c r="CX14" i="1" s="1"/>
  <c r="CW48" i="1"/>
  <c r="CX48" i="1" s="1"/>
  <c r="CW50" i="1"/>
  <c r="CX50" i="1" s="1"/>
  <c r="CW37" i="1"/>
  <c r="CX37" i="1" s="1"/>
  <c r="CW35" i="1"/>
  <c r="CX35" i="1" s="1"/>
  <c r="CW30" i="1"/>
  <c r="CX30" i="1" s="1"/>
  <c r="CW441" i="1"/>
  <c r="CX441" i="1" s="1"/>
  <c r="CW26" i="1"/>
  <c r="CX26" i="1" s="1"/>
  <c r="CW24" i="1"/>
  <c r="CX24" i="1" s="1"/>
  <c r="CW424" i="1"/>
  <c r="CW39" i="1"/>
  <c r="CX39" i="1" s="1"/>
  <c r="CW53" i="1"/>
  <c r="CX53" i="1" s="1"/>
  <c r="CW445" i="1"/>
  <c r="CX445" i="1" s="1"/>
  <c r="CW38" i="1"/>
  <c r="CX38" i="1" s="1"/>
  <c r="CW61" i="1"/>
  <c r="CX61" i="1" s="1"/>
  <c r="CW12" i="1"/>
  <c r="CX12" i="1" s="1"/>
  <c r="CW43" i="1"/>
  <c r="CX43" i="1" s="1"/>
  <c r="CW18" i="1"/>
  <c r="CX18" i="1" s="1"/>
  <c r="CW49" i="1"/>
  <c r="CX49" i="1" s="1"/>
  <c r="CW36" i="1"/>
  <c r="CX36" i="1" s="1"/>
  <c r="CW54" i="1"/>
  <c r="CX54" i="1" s="1"/>
  <c r="CW52" i="1"/>
  <c r="CX52" i="1" s="1"/>
  <c r="CW382" i="1"/>
  <c r="CX382" i="1" s="1"/>
  <c r="CW45" i="1"/>
  <c r="CX45" i="1" s="1"/>
  <c r="CW331" i="1"/>
  <c r="CX331" i="1" s="1"/>
  <c r="CW325" i="1"/>
  <c r="CX325" i="1" s="1"/>
  <c r="CW313" i="1"/>
  <c r="CX313" i="1" s="1"/>
  <c r="CW32" i="1"/>
  <c r="CX32" i="1" s="1"/>
  <c r="CW41" i="1"/>
  <c r="CX41" i="1" s="1"/>
  <c r="CW349" i="1"/>
  <c r="CX349" i="1" s="1"/>
  <c r="CW27" i="1"/>
  <c r="CX27" i="1" s="1"/>
  <c r="CW31" i="1"/>
  <c r="CX31" i="1" s="1"/>
  <c r="CW279" i="1"/>
  <c r="CX279" i="1" s="1"/>
  <c r="CW19" i="1"/>
  <c r="CX19" i="1" s="1"/>
  <c r="CW16" i="1"/>
  <c r="CX16" i="1" s="1"/>
  <c r="CW13" i="1"/>
  <c r="CX13" i="1" s="1"/>
  <c r="CW2" i="1"/>
  <c r="CW299" i="1"/>
  <c r="CX299" i="1" s="1"/>
  <c r="CW247" i="1"/>
  <c r="CX247" i="1" s="1"/>
  <c r="CW415" i="1"/>
  <c r="CW42" i="1"/>
  <c r="CX42" i="1" s="1"/>
  <c r="CW47" i="1"/>
  <c r="CX47" i="1" s="1"/>
  <c r="CW28" i="1"/>
  <c r="CX28" i="1" s="1"/>
  <c r="CW22" i="1"/>
  <c r="CX22" i="1" s="1"/>
  <c r="CW11" i="1"/>
  <c r="CX11" i="1" s="1"/>
  <c r="CW232" i="1"/>
  <c r="CX232" i="1" s="1"/>
  <c r="CW285" i="1"/>
  <c r="CX285" i="1" s="1"/>
  <c r="CW5" i="1"/>
  <c r="CW3" i="1"/>
  <c r="CW385" i="1"/>
  <c r="CX385" i="1" s="1"/>
  <c r="CW21" i="1"/>
  <c r="CX21" i="1" s="1"/>
  <c r="CW17" i="1"/>
  <c r="CX17" i="1" s="1"/>
  <c r="CW40" i="1"/>
  <c r="CX40" i="1" s="1"/>
  <c r="CW389" i="1"/>
  <c r="CX389" i="1" s="1"/>
  <c r="CW368" i="1"/>
  <c r="CX368" i="1" s="1"/>
  <c r="CW340" i="1"/>
  <c r="CX340" i="1" s="1"/>
  <c r="CW46" i="1"/>
  <c r="CX46" i="1" s="1"/>
  <c r="CW302" i="1"/>
  <c r="CX302" i="1" s="1"/>
  <c r="CW473" i="1"/>
  <c r="CX473" i="1" s="1"/>
  <c r="CW250" i="1"/>
  <c r="CX250" i="1" s="1"/>
  <c r="CW235" i="1"/>
  <c r="CX235" i="1" s="1"/>
  <c r="CW95" i="1"/>
  <c r="CW91" i="1"/>
  <c r="CW106" i="1"/>
  <c r="CW138" i="1"/>
  <c r="CW262" i="1"/>
  <c r="CX262" i="1" s="1"/>
  <c r="CW189" i="1"/>
  <c r="CX189" i="1" s="1"/>
  <c r="CW377" i="1"/>
  <c r="CX377" i="1" s="1"/>
  <c r="CW258" i="1"/>
  <c r="CX258" i="1" s="1"/>
  <c r="CW330" i="1"/>
  <c r="CX330" i="1" s="1"/>
  <c r="CW316" i="1"/>
  <c r="CX316" i="1" s="1"/>
  <c r="CW210" i="1"/>
  <c r="CX210" i="1" s="1"/>
  <c r="CW93" i="1"/>
  <c r="CW391" i="1"/>
  <c r="CX391" i="1" s="1"/>
  <c r="CW94" i="1"/>
  <c r="CW327" i="1"/>
  <c r="CX327" i="1" s="1"/>
  <c r="CW390" i="1"/>
  <c r="CX390" i="1" s="1"/>
  <c r="CW339" i="1"/>
  <c r="CX339" i="1" s="1"/>
  <c r="CW63" i="1"/>
  <c r="CX63" i="1" s="1"/>
  <c r="CW351" i="1"/>
  <c r="CX351" i="1" s="1"/>
  <c r="CW326" i="1"/>
  <c r="CX326" i="1" s="1"/>
  <c r="CW304" i="1"/>
  <c r="CX304" i="1" s="1"/>
  <c r="CW311" i="1"/>
  <c r="CX311" i="1" s="1"/>
  <c r="CW346" i="1"/>
  <c r="CX346" i="1" s="1"/>
  <c r="CW310" i="1"/>
  <c r="CX310" i="1" s="1"/>
  <c r="CW268" i="1"/>
  <c r="CX268" i="1" s="1"/>
  <c r="CW107" i="1"/>
  <c r="CW305" i="1"/>
  <c r="CX305" i="1" s="1"/>
  <c r="CW112" i="1"/>
  <c r="CW126" i="1"/>
  <c r="CW307" i="1"/>
  <c r="CX307" i="1" s="1"/>
  <c r="CW276" i="1"/>
  <c r="CX276" i="1" s="1"/>
  <c r="CW245" i="1"/>
  <c r="CX245" i="1" s="1"/>
  <c r="CW244" i="1"/>
  <c r="CX244" i="1" s="1"/>
  <c r="CW324" i="1"/>
  <c r="CX324" i="1" s="1"/>
  <c r="CW293" i="1"/>
  <c r="CX293" i="1" s="1"/>
  <c r="CW135" i="1"/>
  <c r="CW288" i="1"/>
  <c r="CX288" i="1" s="1"/>
  <c r="CW387" i="1"/>
  <c r="CX387" i="1" s="1"/>
  <c r="CW409" i="1"/>
  <c r="CX409" i="1" s="1"/>
  <c r="CW85" i="1"/>
  <c r="CX85" i="1" s="1"/>
  <c r="CW237" i="1"/>
  <c r="CX237" i="1" s="1"/>
  <c r="CW57" i="1"/>
  <c r="CX57" i="1" s="1"/>
  <c r="CW148" i="1"/>
  <c r="CW233" i="1"/>
  <c r="CX233" i="1" s="1"/>
  <c r="CW383" i="1"/>
  <c r="CX383" i="1" s="1"/>
  <c r="CW490" i="1"/>
  <c r="CX490" i="1" s="1"/>
  <c r="CW323" i="1"/>
  <c r="CX323" i="1" s="1"/>
  <c r="CW438" i="1"/>
  <c r="CX438" i="1" s="1"/>
  <c r="CW376" i="1"/>
  <c r="CX376" i="1" s="1"/>
  <c r="CW99" i="1"/>
  <c r="CW407" i="1"/>
  <c r="CX407" i="1" s="1"/>
  <c r="CW321" i="1"/>
  <c r="CX321" i="1" s="1"/>
  <c r="CW404" i="1"/>
  <c r="CX404" i="1" s="1"/>
  <c r="CW401" i="1"/>
  <c r="CX401" i="1" s="1"/>
  <c r="CW400" i="1"/>
  <c r="CX400" i="1" s="1"/>
  <c r="CW402" i="1"/>
  <c r="CX402" i="1" s="1"/>
  <c r="CW397" i="1"/>
  <c r="CX397" i="1" s="1"/>
  <c r="CW260" i="1"/>
  <c r="CX260" i="1" s="1"/>
  <c r="CW471" i="1"/>
  <c r="CX471" i="1" s="1"/>
  <c r="CW163" i="1"/>
  <c r="CW205" i="1"/>
  <c r="CX205" i="1" s="1"/>
  <c r="CW399" i="1"/>
  <c r="CX399" i="1" s="1"/>
  <c r="CW364" i="1"/>
  <c r="CX364" i="1" s="1"/>
  <c r="CW234" i="1"/>
  <c r="CX234" i="1" s="1"/>
  <c r="CW222" i="1"/>
  <c r="CX222" i="1" s="1"/>
  <c r="CW187" i="1"/>
  <c r="CX187" i="1" s="1"/>
  <c r="CW384" i="1"/>
  <c r="CX384" i="1" s="1"/>
  <c r="CW273" i="1"/>
  <c r="CX273" i="1" s="1"/>
  <c r="CW139" i="1"/>
  <c r="CW393" i="1"/>
  <c r="CX393" i="1" s="1"/>
  <c r="CW343" i="1"/>
  <c r="CX343" i="1" s="1"/>
  <c r="CW443" i="1"/>
  <c r="CX443" i="1" s="1"/>
  <c r="CW423" i="1"/>
  <c r="CX423" i="1" s="1"/>
  <c r="CW406" i="1"/>
  <c r="CX406" i="1" s="1"/>
  <c r="CW322" i="1"/>
  <c r="CX322" i="1" s="1"/>
  <c r="CW290" i="1"/>
  <c r="CX290" i="1" s="1"/>
  <c r="CW291" i="1"/>
  <c r="CX291" i="1" s="1"/>
  <c r="CW34" i="1"/>
  <c r="CX34" i="1" s="1"/>
  <c r="CW342" i="1"/>
  <c r="CX342" i="1" s="1"/>
  <c r="CW287" i="1"/>
  <c r="CX287" i="1" s="1"/>
  <c r="CW259" i="1"/>
  <c r="CX259" i="1" s="1"/>
  <c r="CW255" i="1"/>
  <c r="CX255" i="1" s="1"/>
  <c r="CW194" i="1"/>
  <c r="CX194" i="1" s="1"/>
  <c r="CW201" i="1"/>
  <c r="CX201" i="1" s="1"/>
  <c r="CW100" i="1"/>
  <c r="CW102" i="1"/>
  <c r="CW421" i="1"/>
  <c r="CX421" i="1" s="1"/>
  <c r="CW403" i="1"/>
  <c r="CX403" i="1" s="1"/>
  <c r="CW479" i="1"/>
  <c r="CX479" i="1" s="1"/>
  <c r="CW88" i="1"/>
  <c r="CX88" i="1" s="1"/>
  <c r="CW86" i="1"/>
  <c r="CX86" i="1" s="1"/>
  <c r="CW81" i="1"/>
  <c r="CX81" i="1" s="1"/>
  <c r="CW489" i="1"/>
  <c r="CX489" i="1" s="1"/>
  <c r="CW79" i="1"/>
  <c r="CX79" i="1" s="1"/>
  <c r="CW491" i="1"/>
  <c r="CX491" i="1" s="1"/>
  <c r="CW83" i="1"/>
  <c r="CX83" i="1" s="1"/>
  <c r="CW84" i="1"/>
  <c r="CX84" i="1" s="1"/>
  <c r="CW80" i="1"/>
  <c r="CX80" i="1" s="1"/>
  <c r="CW440" i="1"/>
  <c r="CX440" i="1" s="1"/>
  <c r="CW78" i="1"/>
  <c r="CX78" i="1" s="1"/>
  <c r="CW77" i="1"/>
  <c r="CX77" i="1" s="1"/>
  <c r="CW76" i="1"/>
  <c r="CX76" i="1" s="1"/>
  <c r="CW59" i="1"/>
  <c r="CX59" i="1" s="1"/>
  <c r="CW487" i="1"/>
  <c r="CW69" i="1"/>
  <c r="CW71" i="1"/>
  <c r="CW143" i="1"/>
  <c r="CW270" i="1"/>
  <c r="CX270" i="1" s="1"/>
  <c r="CW444" i="1"/>
  <c r="CX444" i="1" s="1"/>
  <c r="CW257" i="1"/>
  <c r="CX257" i="1" s="1"/>
  <c r="CW434" i="1"/>
  <c r="CX434" i="1" s="1"/>
  <c r="CW254" i="1"/>
  <c r="CX254" i="1" s="1"/>
  <c r="CW263" i="1"/>
  <c r="CX263" i="1" s="1"/>
  <c r="CW174" i="1"/>
  <c r="CW147" i="1"/>
  <c r="CW236" i="1"/>
  <c r="CX236" i="1" s="1"/>
  <c r="CW437" i="1"/>
  <c r="CX437" i="1" s="1"/>
  <c r="CW215" i="1"/>
  <c r="CX215" i="1" s="1"/>
  <c r="CW177" i="1"/>
  <c r="CW348" i="1"/>
  <c r="CX348" i="1" s="1"/>
  <c r="CW251" i="1"/>
  <c r="CX251" i="1" s="1"/>
  <c r="CW238" i="1"/>
  <c r="CX238" i="1" s="1"/>
  <c r="CW466" i="1"/>
  <c r="CW116" i="1"/>
  <c r="CW467" i="1"/>
  <c r="CW44" i="1"/>
  <c r="CX44" i="1" s="1"/>
  <c r="CW271" i="1"/>
  <c r="CX271" i="1" s="1"/>
  <c r="CW256" i="1"/>
  <c r="CX256" i="1" s="1"/>
  <c r="CW134" i="1"/>
  <c r="CW173" i="1"/>
  <c r="CW168" i="1"/>
  <c r="CW155" i="1"/>
  <c r="CW125" i="1"/>
  <c r="CW164" i="1"/>
  <c r="CW131" i="1"/>
  <c r="CW114" i="1"/>
  <c r="CW281" i="1"/>
  <c r="CX281" i="1" s="1"/>
  <c r="CW204" i="1"/>
  <c r="CX204" i="1" s="1"/>
  <c r="CW478" i="1"/>
  <c r="CX478" i="1" s="1"/>
  <c r="CW454" i="1"/>
  <c r="CX454" i="1" s="1"/>
  <c r="CW453" i="1"/>
  <c r="CX453" i="1" s="1"/>
  <c r="CW449" i="1"/>
  <c r="CX449" i="1" s="1"/>
  <c r="CW33" i="1"/>
  <c r="CX33" i="1" s="1"/>
  <c r="CW15" i="1"/>
  <c r="CX15" i="1" s="1"/>
  <c r="CW439" i="1"/>
  <c r="CX439" i="1" s="1"/>
  <c r="CW496" i="1"/>
  <c r="CX496" i="1" s="1"/>
  <c r="CW435" i="1"/>
  <c r="CX435" i="1" s="1"/>
  <c r="CW9" i="1"/>
  <c r="CX9" i="1" s="1"/>
  <c r="CW419" i="1"/>
  <c r="CW468" i="1"/>
  <c r="CK504" i="1"/>
  <c r="CK347" i="1"/>
  <c r="CL347" i="1" s="1"/>
  <c r="CK451" i="1"/>
  <c r="CL451" i="1" s="1"/>
  <c r="CK501" i="1"/>
  <c r="CK499" i="1"/>
  <c r="CK432" i="1"/>
  <c r="CK274" i="1"/>
  <c r="CK503" i="1"/>
  <c r="CK476" i="1"/>
  <c r="CL476" i="1" s="1"/>
  <c r="CK505" i="1"/>
  <c r="CL505" i="1" s="1"/>
  <c r="CK191" i="1"/>
  <c r="CK494" i="1"/>
  <c r="CL494" i="1" s="1"/>
  <c r="CK104" i="1"/>
  <c r="CK493" i="1"/>
  <c r="CK341" i="1"/>
  <c r="CL341" i="1" s="1"/>
  <c r="CK72" i="1"/>
  <c r="CK332" i="1"/>
  <c r="CL332" i="1" s="1"/>
  <c r="CK497" i="1"/>
  <c r="CK295" i="1"/>
  <c r="CL295" i="1" s="1"/>
  <c r="CK127" i="1"/>
  <c r="CK223" i="1"/>
  <c r="CK296" i="1"/>
  <c r="CL296" i="1" s="1"/>
  <c r="CK463" i="1"/>
  <c r="CK140" i="1"/>
  <c r="CK228" i="1"/>
  <c r="CK110" i="1"/>
  <c r="CK388" i="1"/>
  <c r="CL388" i="1" s="1"/>
  <c r="CK137" i="1"/>
  <c r="CK301" i="1"/>
  <c r="CL301" i="1" s="1"/>
  <c r="CK308" i="1"/>
  <c r="CL308" i="1" s="1"/>
  <c r="CK211" i="1"/>
  <c r="CK352" i="1"/>
  <c r="CL352" i="1" s="1"/>
  <c r="CK396" i="1"/>
  <c r="CL396" i="1" s="1"/>
  <c r="CK447" i="1"/>
  <c r="CL447" i="1" s="1"/>
  <c r="CK337" i="1"/>
  <c r="CL337" i="1" s="1"/>
  <c r="CK394" i="1"/>
  <c r="CL394" i="1" s="1"/>
  <c r="CK167" i="1"/>
  <c r="CK303" i="1"/>
  <c r="CL303" i="1" s="1"/>
  <c r="CK159" i="1"/>
  <c r="CK456" i="1"/>
  <c r="CL456" i="1" s="1"/>
  <c r="CK398" i="1"/>
  <c r="CL398" i="1" s="1"/>
  <c r="CK408" i="1"/>
  <c r="CL408" i="1" s="1"/>
  <c r="CK461" i="1"/>
  <c r="CK294" i="1"/>
  <c r="CL294" i="1" s="1"/>
  <c r="CK395" i="1"/>
  <c r="CL395" i="1" s="1"/>
  <c r="CK230" i="1"/>
  <c r="CK284" i="1"/>
  <c r="CL284" i="1" s="1"/>
  <c r="CK198" i="1"/>
  <c r="CK312" i="1"/>
  <c r="CL312" i="1" s="1"/>
  <c r="CK65" i="1"/>
  <c r="CK433" i="1"/>
  <c r="CK425" i="1"/>
  <c r="CK171" i="1"/>
  <c r="CK117" i="1"/>
  <c r="CK500" i="1"/>
  <c r="CK446" i="1"/>
  <c r="CL446" i="1" s="1"/>
  <c r="CK410" i="1"/>
  <c r="CL410" i="1" s="1"/>
  <c r="CK73" i="1"/>
  <c r="CK68" i="1"/>
  <c r="CK152" i="1"/>
  <c r="CK190" i="1"/>
  <c r="CK156" i="1"/>
  <c r="CK502" i="1"/>
  <c r="CK145" i="1"/>
  <c r="CK335" i="1"/>
  <c r="CL335" i="1" s="1"/>
  <c r="CK498" i="1"/>
  <c r="CK422" i="1"/>
  <c r="CL422" i="1" s="1"/>
  <c r="CK89" i="1"/>
  <c r="CL89" i="1" s="1"/>
  <c r="CK103" i="1"/>
  <c r="CK144" i="1"/>
  <c r="CK472" i="1"/>
  <c r="CK161" i="1"/>
  <c r="CK133" i="1"/>
  <c r="CK122" i="1"/>
  <c r="CK265" i="1"/>
  <c r="CK469" i="1"/>
  <c r="CK217" i="1"/>
  <c r="CK128" i="1"/>
  <c r="CK412" i="1"/>
  <c r="CL412" i="1" s="1"/>
  <c r="CK115" i="1"/>
  <c r="CK186" i="1"/>
  <c r="CK359" i="1"/>
  <c r="CL359" i="1" s="1"/>
  <c r="CK82" i="1"/>
  <c r="CK203" i="1"/>
  <c r="CK333" i="1"/>
  <c r="CL333" i="1" s="1"/>
  <c r="CK355" i="1"/>
  <c r="CL355" i="1" s="1"/>
  <c r="CK283" i="1"/>
  <c r="CK153" i="1"/>
  <c r="CK329" i="1"/>
  <c r="CL329" i="1" s="1"/>
  <c r="CK360" i="1"/>
  <c r="CL360" i="1" s="1"/>
  <c r="CK354" i="1"/>
  <c r="CL354" i="1" s="1"/>
  <c r="CK420" i="1"/>
  <c r="CK336" i="1"/>
  <c r="CL336" i="1" s="1"/>
  <c r="CK246" i="1"/>
  <c r="CK184" i="1"/>
  <c r="CK436" i="1"/>
  <c r="CK414" i="1"/>
  <c r="CL414" i="1" s="1"/>
  <c r="CK121" i="1"/>
  <c r="CK124" i="1"/>
  <c r="CK375" i="1"/>
  <c r="CL375" i="1" s="1"/>
  <c r="CK381" i="1"/>
  <c r="CL381" i="1" s="1"/>
  <c r="CK373" i="1"/>
  <c r="CL373" i="1" s="1"/>
  <c r="CK367" i="1"/>
  <c r="CL367" i="1" s="1"/>
  <c r="CK363" i="1"/>
  <c r="CL363" i="1" s="1"/>
  <c r="CK366" i="1"/>
  <c r="CL366" i="1" s="1"/>
  <c r="CK371" i="1"/>
  <c r="CL371" i="1" s="1"/>
  <c r="CK374" i="1"/>
  <c r="CL374" i="1" s="1"/>
  <c r="CK380" i="1"/>
  <c r="CL380" i="1" s="1"/>
  <c r="CK361" i="1"/>
  <c r="CL361" i="1" s="1"/>
  <c r="CK314" i="1"/>
  <c r="CL314" i="1" s="1"/>
  <c r="CK319" i="1"/>
  <c r="CL319" i="1" s="1"/>
  <c r="CK318" i="1"/>
  <c r="CL318" i="1" s="1"/>
  <c r="CK372" i="1"/>
  <c r="CL372" i="1" s="1"/>
  <c r="CK378" i="1"/>
  <c r="CL378" i="1" s="1"/>
  <c r="CK370" i="1"/>
  <c r="CL370" i="1" s="1"/>
  <c r="CK365" i="1"/>
  <c r="CL365" i="1" s="1"/>
  <c r="CK350" i="1"/>
  <c r="CL350" i="1" s="1"/>
  <c r="CK227" i="1"/>
  <c r="CK220" i="1"/>
  <c r="CK386" i="1"/>
  <c r="CL386" i="1" s="1"/>
  <c r="CK362" i="1"/>
  <c r="CL362" i="1" s="1"/>
  <c r="CK356" i="1"/>
  <c r="CL356" i="1" s="1"/>
  <c r="CK328" i="1"/>
  <c r="CL328" i="1" s="1"/>
  <c r="CK249" i="1"/>
  <c r="CK306" i="1"/>
  <c r="CL306" i="1" s="1"/>
  <c r="CK199" i="1"/>
  <c r="CK241" i="1"/>
  <c r="CK358" i="1"/>
  <c r="CL358" i="1" s="1"/>
  <c r="CK62" i="1"/>
  <c r="CL62" i="1" s="1"/>
  <c r="CK369" i="1"/>
  <c r="CL369" i="1" s="1"/>
  <c r="CK286" i="1"/>
  <c r="CL286" i="1" s="1"/>
  <c r="CK261" i="1"/>
  <c r="CL261" i="1" s="1"/>
  <c r="CK231" i="1"/>
  <c r="CK457" i="1"/>
  <c r="CL457" i="1" s="1"/>
  <c r="CK455" i="1"/>
  <c r="CL455" i="1" s="1"/>
  <c r="CK51" i="1"/>
  <c r="CL51" i="1" s="1"/>
  <c r="CK452" i="1"/>
  <c r="CL452" i="1" s="1"/>
  <c r="CK25" i="1"/>
  <c r="CL25" i="1" s="1"/>
  <c r="CK23" i="1"/>
  <c r="CL23" i="1" s="1"/>
  <c r="CK48" i="1"/>
  <c r="CL48" i="1" s="1"/>
  <c r="CK50" i="1"/>
  <c r="CL50" i="1" s="1"/>
  <c r="CK37" i="1"/>
  <c r="CL37" i="1" s="1"/>
  <c r="CK35" i="1"/>
  <c r="CL35" i="1" s="1"/>
  <c r="CK30" i="1"/>
  <c r="CL30" i="1" s="1"/>
  <c r="CK441" i="1"/>
  <c r="CK26" i="1"/>
  <c r="CL26" i="1" s="1"/>
  <c r="CK24" i="1"/>
  <c r="CL24" i="1" s="1"/>
  <c r="CK424" i="1"/>
  <c r="CK39" i="1"/>
  <c r="CL39" i="1" s="1"/>
  <c r="CK53" i="1"/>
  <c r="CL53" i="1" s="1"/>
  <c r="CK445" i="1"/>
  <c r="CL445" i="1" s="1"/>
  <c r="CK38" i="1"/>
  <c r="CL38" i="1" s="1"/>
  <c r="CK61" i="1"/>
  <c r="CL61" i="1" s="1"/>
  <c r="CK12" i="1"/>
  <c r="CK43" i="1"/>
  <c r="CL43" i="1" s="1"/>
  <c r="CK49" i="1"/>
  <c r="CL49" i="1" s="1"/>
  <c r="CK36" i="1"/>
  <c r="CL36" i="1" s="1"/>
  <c r="CK54" i="1"/>
  <c r="CL54" i="1" s="1"/>
  <c r="CK52" i="1"/>
  <c r="CL52" i="1" s="1"/>
  <c r="CK382" i="1"/>
  <c r="CL382" i="1" s="1"/>
  <c r="CK45" i="1"/>
  <c r="CL45" i="1" s="1"/>
  <c r="CK331" i="1"/>
  <c r="CL331" i="1" s="1"/>
  <c r="CK325" i="1"/>
  <c r="CL325" i="1" s="1"/>
  <c r="CK313" i="1"/>
  <c r="CL313" i="1" s="1"/>
  <c r="CK32" i="1"/>
  <c r="CL32" i="1" s="1"/>
  <c r="CK41" i="1"/>
  <c r="CL41" i="1" s="1"/>
  <c r="CK349" i="1"/>
  <c r="CL349" i="1" s="1"/>
  <c r="CK27" i="1"/>
  <c r="CL27" i="1" s="1"/>
  <c r="CK31" i="1"/>
  <c r="CL31" i="1" s="1"/>
  <c r="CK279" i="1"/>
  <c r="CL279" i="1" s="1"/>
  <c r="CK19" i="1"/>
  <c r="CL19" i="1" s="1"/>
  <c r="CK2" i="1"/>
  <c r="CK299" i="1"/>
  <c r="CL299" i="1" s="1"/>
  <c r="CK247" i="1"/>
  <c r="CK42" i="1"/>
  <c r="CL42" i="1" s="1"/>
  <c r="CK47" i="1"/>
  <c r="CL47" i="1" s="1"/>
  <c r="CK28" i="1"/>
  <c r="CL28" i="1" s="1"/>
  <c r="CK22" i="1"/>
  <c r="CL22" i="1" s="1"/>
  <c r="CK285" i="1"/>
  <c r="CL285" i="1" s="1"/>
  <c r="CK5" i="1"/>
  <c r="CK3" i="1"/>
  <c r="CK385" i="1"/>
  <c r="CL385" i="1" s="1"/>
  <c r="CK21" i="1"/>
  <c r="CL21" i="1" s="1"/>
  <c r="CK40" i="1"/>
  <c r="CL40" i="1" s="1"/>
  <c r="CK389" i="1"/>
  <c r="CL389" i="1" s="1"/>
  <c r="CK368" i="1"/>
  <c r="CL368" i="1" s="1"/>
  <c r="CK340" i="1"/>
  <c r="CL340" i="1" s="1"/>
  <c r="CK46" i="1"/>
  <c r="CL46" i="1" s="1"/>
  <c r="CK302" i="1"/>
  <c r="CL302" i="1" s="1"/>
  <c r="CK473" i="1"/>
  <c r="CL473" i="1" s="1"/>
  <c r="CK250" i="1"/>
  <c r="CK235" i="1"/>
  <c r="CK91" i="1"/>
  <c r="CK138" i="1"/>
  <c r="CK189" i="1"/>
  <c r="CK377" i="1"/>
  <c r="CL377" i="1" s="1"/>
  <c r="CK258" i="1"/>
  <c r="CK330" i="1"/>
  <c r="CL330" i="1" s="1"/>
  <c r="CK316" i="1"/>
  <c r="CL316" i="1" s="1"/>
  <c r="CK210" i="1"/>
  <c r="CK93" i="1"/>
  <c r="CK391" i="1"/>
  <c r="CL391" i="1" s="1"/>
  <c r="CK327" i="1"/>
  <c r="CL327" i="1" s="1"/>
  <c r="CK390" i="1"/>
  <c r="CL390" i="1" s="1"/>
  <c r="CK339" i="1"/>
  <c r="CL339" i="1" s="1"/>
  <c r="CK63" i="1"/>
  <c r="CL63" i="1" s="1"/>
  <c r="CK351" i="1"/>
  <c r="CL351" i="1" s="1"/>
  <c r="CK326" i="1"/>
  <c r="CL326" i="1" s="1"/>
  <c r="CK304" i="1"/>
  <c r="CL304" i="1" s="1"/>
  <c r="CK311" i="1"/>
  <c r="CL311" i="1" s="1"/>
  <c r="CK346" i="1"/>
  <c r="CL346" i="1" s="1"/>
  <c r="CK310" i="1"/>
  <c r="CL310" i="1" s="1"/>
  <c r="CK268" i="1"/>
  <c r="CL268" i="1" s="1"/>
  <c r="CK92" i="1"/>
  <c r="CK305" i="1"/>
  <c r="CL305" i="1" s="1"/>
  <c r="CK112" i="1"/>
  <c r="CK307" i="1"/>
  <c r="CL307" i="1" s="1"/>
  <c r="CK276" i="1"/>
  <c r="CL276" i="1" s="1"/>
  <c r="CK245" i="1"/>
  <c r="CK244" i="1"/>
  <c r="CK130" i="1"/>
  <c r="CK324" i="1"/>
  <c r="CL324" i="1" s="1"/>
  <c r="CK293" i="1"/>
  <c r="CL293" i="1" s="1"/>
  <c r="CK288" i="1"/>
  <c r="CL288" i="1" s="1"/>
  <c r="CK387" i="1"/>
  <c r="CL387" i="1" s="1"/>
  <c r="CK409" i="1"/>
  <c r="CL409" i="1" s="1"/>
  <c r="CK85" i="1"/>
  <c r="CL85" i="1" s="1"/>
  <c r="CK233" i="1"/>
  <c r="CK383" i="1"/>
  <c r="CL383" i="1" s="1"/>
  <c r="CK490" i="1"/>
  <c r="CK323" i="1"/>
  <c r="CL323" i="1" s="1"/>
  <c r="CK438" i="1"/>
  <c r="CK376" i="1"/>
  <c r="CL376" i="1" s="1"/>
  <c r="CK407" i="1"/>
  <c r="CL407" i="1" s="1"/>
  <c r="CK321" i="1"/>
  <c r="CL321" i="1" s="1"/>
  <c r="CK404" i="1"/>
  <c r="CL404" i="1" s="1"/>
  <c r="CK401" i="1"/>
  <c r="CL401" i="1" s="1"/>
  <c r="CK400" i="1"/>
  <c r="CL400" i="1" s="1"/>
  <c r="CK402" i="1"/>
  <c r="CL402" i="1" s="1"/>
  <c r="CK397" i="1"/>
  <c r="CL397" i="1" s="1"/>
  <c r="CK260" i="1"/>
  <c r="CK471" i="1"/>
  <c r="CK399" i="1"/>
  <c r="CL399" i="1" s="1"/>
  <c r="CK364" i="1"/>
  <c r="CL364" i="1" s="1"/>
  <c r="CK222" i="1"/>
  <c r="CK384" i="1"/>
  <c r="CL384" i="1" s="1"/>
  <c r="CK273" i="1"/>
  <c r="CL273" i="1" s="1"/>
  <c r="CK393" i="1"/>
  <c r="CL393" i="1" s="1"/>
  <c r="CK343" i="1"/>
  <c r="CL343" i="1" s="1"/>
  <c r="CK443" i="1"/>
  <c r="CL443" i="1" s="1"/>
  <c r="CK423" i="1"/>
  <c r="CL423" i="1" s="1"/>
  <c r="CK406" i="1"/>
  <c r="CL406" i="1" s="1"/>
  <c r="CK322" i="1"/>
  <c r="CL322" i="1" s="1"/>
  <c r="CK290" i="1"/>
  <c r="CL290" i="1" s="1"/>
  <c r="CK291" i="1"/>
  <c r="CL291" i="1" s="1"/>
  <c r="CK34" i="1"/>
  <c r="CL34" i="1" s="1"/>
  <c r="CK342" i="1"/>
  <c r="CL342" i="1" s="1"/>
  <c r="CK287" i="1"/>
  <c r="CL287" i="1" s="1"/>
  <c r="CK259" i="1"/>
  <c r="CK255" i="1"/>
  <c r="CK481" i="1"/>
  <c r="CK194" i="1"/>
  <c r="CK201" i="1"/>
  <c r="CK100" i="1"/>
  <c r="CK421" i="1"/>
  <c r="CL421" i="1" s="1"/>
  <c r="CK403" i="1"/>
  <c r="CL403" i="1" s="1"/>
  <c r="CK479" i="1"/>
  <c r="CL479" i="1" s="1"/>
  <c r="CK88" i="1"/>
  <c r="CL88" i="1" s="1"/>
  <c r="CK86" i="1"/>
  <c r="CK81" i="1"/>
  <c r="CK489" i="1"/>
  <c r="CK79" i="1"/>
  <c r="CK83" i="1"/>
  <c r="CK84" i="1"/>
  <c r="CK80" i="1"/>
  <c r="CK440" i="1"/>
  <c r="CK78" i="1"/>
  <c r="CK77" i="1"/>
  <c r="CK487" i="1"/>
  <c r="CK74" i="1"/>
  <c r="CK69" i="1"/>
  <c r="CK71" i="1"/>
  <c r="CK143" i="1"/>
  <c r="CK66" i="1"/>
  <c r="CK270" i="1"/>
  <c r="CL270" i="1" s="1"/>
  <c r="CK257" i="1"/>
  <c r="CK263" i="1"/>
  <c r="CK174" i="1"/>
  <c r="CK147" i="1"/>
  <c r="CK236" i="1"/>
  <c r="CK437" i="1"/>
  <c r="CK215" i="1"/>
  <c r="CK177" i="1"/>
  <c r="CK348" i="1"/>
  <c r="CL348" i="1" s="1"/>
  <c r="CK251" i="1"/>
  <c r="CK466" i="1"/>
  <c r="CK116" i="1"/>
  <c r="CK467" i="1"/>
  <c r="CK44" i="1"/>
  <c r="CL44" i="1" s="1"/>
  <c r="CK271" i="1"/>
  <c r="CK256" i="1"/>
  <c r="CK134" i="1"/>
  <c r="CK173" i="1"/>
  <c r="CK168" i="1"/>
  <c r="CK155" i="1"/>
  <c r="CK164" i="1"/>
  <c r="CK114" i="1"/>
  <c r="CK281" i="1"/>
  <c r="CK204" i="1"/>
  <c r="CK478" i="1"/>
  <c r="CL478" i="1" s="1"/>
  <c r="CK454" i="1"/>
  <c r="CL454" i="1" s="1"/>
  <c r="CK453" i="1"/>
  <c r="CL453" i="1" s="1"/>
  <c r="CK449" i="1"/>
  <c r="CL449" i="1" s="1"/>
  <c r="CK33" i="1"/>
  <c r="CL33" i="1" s="1"/>
  <c r="CK15" i="1"/>
  <c r="CK439" i="1"/>
  <c r="CK496" i="1"/>
  <c r="CK435" i="1"/>
  <c r="CK9" i="1"/>
  <c r="CK419" i="1"/>
  <c r="CK468" i="1"/>
  <c r="CK56" i="1"/>
  <c r="CK448" i="1"/>
  <c r="CL448" i="1" s="1"/>
  <c r="CK450" i="1"/>
  <c r="CL450" i="1" s="1"/>
  <c r="CK120" i="1"/>
  <c r="CK242" i="1"/>
  <c r="CK334" i="1"/>
  <c r="CL334" i="1" s="1"/>
  <c r="CK157" i="1"/>
  <c r="CK87" i="1"/>
  <c r="CL87" i="1" s="1"/>
  <c r="CK280" i="1"/>
  <c r="CL280" i="1" s="1"/>
  <c r="CK315" i="1"/>
  <c r="CL315" i="1" s="1"/>
  <c r="CK405" i="1"/>
  <c r="CL405" i="1" s="1"/>
  <c r="CK485" i="1"/>
  <c r="CK297" i="1"/>
  <c r="CL297" i="1" s="1"/>
  <c r="CK58" i="1"/>
  <c r="CK101" i="1"/>
  <c r="CK495" i="1"/>
  <c r="CL495" i="1" s="1"/>
  <c r="CK200" i="1"/>
  <c r="CK111" i="1"/>
  <c r="CK344" i="1"/>
  <c r="CL344" i="1" s="1"/>
  <c r="CK180" i="1"/>
  <c r="CK411" i="1"/>
  <c r="CL411" i="1" s="1"/>
  <c r="CK309" i="1"/>
  <c r="CL309" i="1" s="1"/>
  <c r="CK345" i="1"/>
  <c r="CL345" i="1" s="1"/>
  <c r="CK181" i="1"/>
  <c r="CK282" i="1"/>
  <c r="CL282" i="1" s="1"/>
  <c r="CK154" i="1"/>
  <c r="CK431" i="1"/>
  <c r="CK459" i="1"/>
  <c r="CL459" i="1" s="1"/>
  <c r="CK158" i="1"/>
  <c r="CK179" i="1"/>
  <c r="CK379" i="1"/>
  <c r="CL379" i="1" s="1"/>
  <c r="CK64" i="1"/>
  <c r="CL64" i="1" s="1"/>
  <c r="CK418" i="1"/>
  <c r="CK464" i="1"/>
  <c r="CK428" i="1"/>
  <c r="CK353" i="1"/>
  <c r="CL353" i="1" s="1"/>
  <c r="CK253" i="1"/>
  <c r="CK175" i="1"/>
  <c r="CK60" i="1"/>
  <c r="CK417" i="1"/>
  <c r="CK67" i="1"/>
  <c r="CK226" i="1"/>
  <c r="CK338" i="1"/>
  <c r="CL338" i="1" s="1"/>
  <c r="CK229" i="1"/>
  <c r="CK105" i="1"/>
  <c r="CK462" i="1"/>
  <c r="CK218" i="1"/>
  <c r="CK169" i="1"/>
  <c r="CK486" i="1"/>
  <c r="CK483" i="1"/>
  <c r="CJ315" i="1"/>
  <c r="CJ405" i="1"/>
  <c r="CJ297" i="1"/>
  <c r="CJ495" i="1"/>
  <c r="CJ344" i="1"/>
  <c r="CJ411" i="1"/>
  <c r="CJ309" i="1"/>
  <c r="CJ345" i="1"/>
  <c r="CJ282" i="1"/>
  <c r="CJ459" i="1"/>
  <c r="CJ347" i="1"/>
  <c r="CJ451" i="1"/>
  <c r="CJ476" i="1"/>
  <c r="CJ505" i="1"/>
  <c r="CJ494" i="1"/>
  <c r="CJ341" i="1"/>
  <c r="CJ332" i="1"/>
  <c r="CJ295" i="1"/>
  <c r="CJ296" i="1"/>
  <c r="CJ388" i="1"/>
  <c r="CJ301" i="1"/>
  <c r="CJ308" i="1"/>
  <c r="CJ352" i="1"/>
  <c r="CJ396" i="1"/>
  <c r="CJ447" i="1"/>
  <c r="CJ337" i="1"/>
  <c r="CJ394" i="1"/>
  <c r="CJ303" i="1"/>
  <c r="CJ456" i="1"/>
  <c r="CJ398" i="1"/>
  <c r="CJ408" i="1"/>
  <c r="CJ294" i="1"/>
  <c r="CJ395" i="1"/>
  <c r="CJ284" i="1"/>
  <c r="CJ312" i="1"/>
  <c r="CJ446" i="1"/>
  <c r="CJ410" i="1"/>
  <c r="CJ335" i="1"/>
  <c r="CJ422" i="1"/>
  <c r="CJ89" i="1"/>
  <c r="CJ412" i="1"/>
  <c r="CJ359" i="1"/>
  <c r="CJ333" i="1"/>
  <c r="CJ355" i="1"/>
  <c r="CJ329" i="1"/>
  <c r="CJ360" i="1"/>
  <c r="CJ354" i="1"/>
  <c r="CJ336" i="1"/>
  <c r="CJ414" i="1"/>
  <c r="CJ375" i="1"/>
  <c r="CJ381" i="1"/>
  <c r="CJ373" i="1"/>
  <c r="CJ367" i="1"/>
  <c r="CJ363" i="1"/>
  <c r="CJ366" i="1"/>
  <c r="CJ371" i="1"/>
  <c r="CJ374" i="1"/>
  <c r="CJ380" i="1"/>
  <c r="CJ361" i="1"/>
  <c r="CJ314" i="1"/>
  <c r="CJ319" i="1"/>
  <c r="CJ318" i="1"/>
  <c r="CJ372" i="1"/>
  <c r="CJ378" i="1"/>
  <c r="CJ370" i="1"/>
  <c r="CJ365" i="1"/>
  <c r="CJ350" i="1"/>
  <c r="CJ386" i="1"/>
  <c r="CJ362" i="1"/>
  <c r="CJ356" i="1"/>
  <c r="CJ328" i="1"/>
  <c r="CJ306" i="1"/>
  <c r="CJ358" i="1"/>
  <c r="CJ62" i="1"/>
  <c r="CJ369" i="1"/>
  <c r="CJ286" i="1"/>
  <c r="CJ261" i="1"/>
  <c r="CJ457" i="1"/>
  <c r="CJ455" i="1"/>
  <c r="CJ51" i="1"/>
  <c r="CJ452" i="1"/>
  <c r="CJ25" i="1"/>
  <c r="CJ23" i="1"/>
  <c r="CJ48" i="1"/>
  <c r="CJ50" i="1"/>
  <c r="CJ37" i="1"/>
  <c r="CJ35" i="1"/>
  <c r="CJ30" i="1"/>
  <c r="CJ26" i="1"/>
  <c r="CJ24" i="1"/>
  <c r="CJ39" i="1"/>
  <c r="CJ53" i="1"/>
  <c r="CJ445" i="1"/>
  <c r="CJ38" i="1"/>
  <c r="CJ61" i="1"/>
  <c r="CJ43" i="1"/>
  <c r="CJ49" i="1"/>
  <c r="CJ36" i="1"/>
  <c r="CJ54" i="1"/>
  <c r="CJ52" i="1"/>
  <c r="CJ382" i="1"/>
  <c r="CJ45" i="1"/>
  <c r="CJ331" i="1"/>
  <c r="CJ325" i="1"/>
  <c r="CJ313" i="1"/>
  <c r="CJ32" i="1"/>
  <c r="CJ41" i="1"/>
  <c r="CJ349" i="1"/>
  <c r="CJ27" i="1"/>
  <c r="CJ31" i="1"/>
  <c r="CJ279" i="1"/>
  <c r="CJ19" i="1"/>
  <c r="CJ299" i="1"/>
  <c r="CJ42" i="1"/>
  <c r="CJ47" i="1"/>
  <c r="CJ28" i="1"/>
  <c r="CJ22" i="1"/>
  <c r="CJ285" i="1"/>
  <c r="CJ385" i="1"/>
  <c r="CJ21" i="1"/>
  <c r="CJ40" i="1"/>
  <c r="CJ389" i="1"/>
  <c r="CJ368" i="1"/>
  <c r="CJ340" i="1"/>
  <c r="CJ46" i="1"/>
  <c r="CJ302" i="1"/>
  <c r="CJ473" i="1"/>
  <c r="CJ377" i="1"/>
  <c r="CJ330" i="1"/>
  <c r="CJ316" i="1"/>
  <c r="CJ391" i="1"/>
  <c r="CJ327" i="1"/>
  <c r="CJ390" i="1"/>
  <c r="CJ339" i="1"/>
  <c r="CJ63" i="1"/>
  <c r="CJ351" i="1"/>
  <c r="CJ326" i="1"/>
  <c r="CJ304" i="1"/>
  <c r="CJ311" i="1"/>
  <c r="CJ346" i="1"/>
  <c r="CJ310" i="1"/>
  <c r="CJ268" i="1"/>
  <c r="CJ305" i="1"/>
  <c r="CJ307" i="1"/>
  <c r="CJ276" i="1"/>
  <c r="CJ324" i="1"/>
  <c r="CJ293" i="1"/>
  <c r="CJ288" i="1"/>
  <c r="CJ387" i="1"/>
  <c r="CJ409" i="1"/>
  <c r="CJ85" i="1"/>
  <c r="CJ383" i="1"/>
  <c r="CJ323" i="1"/>
  <c r="CJ376" i="1"/>
  <c r="CJ407" i="1"/>
  <c r="CJ321" i="1"/>
  <c r="CJ404" i="1"/>
  <c r="CJ401" i="1"/>
  <c r="CJ400" i="1"/>
  <c r="CJ402" i="1"/>
  <c r="CJ397" i="1"/>
  <c r="CJ399" i="1"/>
  <c r="CJ364" i="1"/>
  <c r="CJ384" i="1"/>
  <c r="CJ273" i="1"/>
  <c r="CJ393" i="1"/>
  <c r="CJ343" i="1"/>
  <c r="CJ443" i="1"/>
  <c r="CJ423" i="1"/>
  <c r="CJ406" i="1"/>
  <c r="CJ322" i="1"/>
  <c r="CJ290" i="1"/>
  <c r="CJ291" i="1"/>
  <c r="CJ34" i="1"/>
  <c r="CJ342" i="1"/>
  <c r="CJ287" i="1"/>
  <c r="CJ421" i="1"/>
  <c r="CJ403" i="1"/>
  <c r="CJ479" i="1"/>
  <c r="CJ88" i="1"/>
  <c r="CJ270" i="1"/>
  <c r="CJ348" i="1"/>
  <c r="CJ44" i="1"/>
  <c r="CJ478" i="1"/>
  <c r="CJ454" i="1"/>
  <c r="CJ453" i="1"/>
  <c r="CJ449" i="1"/>
  <c r="CJ33" i="1"/>
  <c r="CJ448" i="1"/>
  <c r="CJ450" i="1"/>
  <c r="CJ334" i="1"/>
  <c r="CJ87" i="1"/>
  <c r="CJ280" i="1"/>
  <c r="CJ64" i="1"/>
  <c r="CJ353" i="1"/>
  <c r="CJ338" i="1"/>
  <c r="CJ379" i="1"/>
  <c r="CL504" i="1" l="1"/>
  <c r="CL501" i="1"/>
  <c r="DB499" i="1"/>
  <c r="DC499" i="1" s="1"/>
  <c r="CL274" i="1"/>
  <c r="CL503" i="1"/>
  <c r="CL493" i="1"/>
  <c r="DB72" i="1"/>
  <c r="DC72" i="1" s="1"/>
  <c r="DB497" i="1"/>
  <c r="DC497" i="1" s="1"/>
  <c r="DB127" i="1"/>
  <c r="DC127" i="1" s="1"/>
  <c r="CL223" i="1"/>
  <c r="DB463" i="1"/>
  <c r="DC463" i="1" s="1"/>
  <c r="DB140" i="1"/>
  <c r="DC140" i="1" s="1"/>
  <c r="CL228" i="1"/>
  <c r="DB110" i="1"/>
  <c r="DC110" i="1" s="1"/>
  <c r="DB137" i="1"/>
  <c r="DC137" i="1" s="1"/>
  <c r="CL211" i="1"/>
  <c r="DB167" i="1"/>
  <c r="DC167" i="1" s="1"/>
  <c r="DB159" i="1"/>
  <c r="DC159" i="1" s="1"/>
  <c r="CL230" i="1"/>
  <c r="CL198" i="1"/>
  <c r="DB65" i="1"/>
  <c r="DC65" i="1" s="1"/>
  <c r="DB433" i="1"/>
  <c r="DC433" i="1" s="1"/>
  <c r="DB425" i="1"/>
  <c r="DC425" i="1" s="1"/>
  <c r="DB171" i="1"/>
  <c r="DC171" i="1" s="1"/>
  <c r="CL500" i="1"/>
  <c r="DB73" i="1"/>
  <c r="DC73" i="1" s="1"/>
  <c r="DB68" i="1"/>
  <c r="DC68" i="1" s="1"/>
  <c r="DB152" i="1"/>
  <c r="DC152" i="1" s="1"/>
  <c r="DB156" i="1"/>
  <c r="DC156" i="1" s="1"/>
  <c r="CL502" i="1"/>
  <c r="DB145" i="1"/>
  <c r="DC145" i="1" s="1"/>
  <c r="CL498" i="1"/>
  <c r="DB103" i="1"/>
  <c r="DC103" i="1" s="1"/>
  <c r="DB144" i="1"/>
  <c r="DC144" i="1" s="1"/>
  <c r="CL472" i="1"/>
  <c r="DB161" i="1"/>
  <c r="DC161" i="1" s="1"/>
  <c r="DB133" i="1"/>
  <c r="DC133" i="1" s="1"/>
  <c r="DB122" i="1"/>
  <c r="DC122" i="1" s="1"/>
  <c r="CL265" i="1"/>
  <c r="DB469" i="1"/>
  <c r="DC469" i="1" s="1"/>
  <c r="CL217" i="1"/>
  <c r="DB128" i="1"/>
  <c r="DC128" i="1" s="1"/>
  <c r="CL186" i="1"/>
  <c r="CL82" i="1"/>
  <c r="CL203" i="1"/>
  <c r="CL283" i="1"/>
  <c r="DB153" i="1"/>
  <c r="DC153" i="1" s="1"/>
  <c r="CL420" i="1"/>
  <c r="CL246" i="1"/>
  <c r="CL436" i="1"/>
  <c r="DB121" i="1"/>
  <c r="DC121" i="1" s="1"/>
  <c r="DB124" i="1"/>
  <c r="DC124" i="1" s="1"/>
  <c r="CL227" i="1"/>
  <c r="CH227" i="1"/>
  <c r="CI227" i="1" s="1"/>
  <c r="CL220" i="1"/>
  <c r="CH220" i="1"/>
  <c r="CI220" i="1" s="1"/>
  <c r="CL249" i="1"/>
  <c r="CL199" i="1"/>
  <c r="CL241" i="1"/>
  <c r="CL231" i="1"/>
  <c r="CL441" i="1"/>
  <c r="DB424" i="1"/>
  <c r="DC424" i="1" s="1"/>
  <c r="CL12" i="1"/>
  <c r="CL247" i="1"/>
  <c r="DB5" i="1"/>
  <c r="DC5" i="1" s="1"/>
  <c r="DB3" i="1"/>
  <c r="DC3" i="1" s="1"/>
  <c r="CL250" i="1"/>
  <c r="CL235" i="1"/>
  <c r="DB91" i="1"/>
  <c r="DC91" i="1" s="1"/>
  <c r="DB138" i="1"/>
  <c r="DC138" i="1" s="1"/>
  <c r="CL189" i="1"/>
  <c r="CL258" i="1"/>
  <c r="CL210" i="1"/>
  <c r="DB93" i="1"/>
  <c r="DC93" i="1" s="1"/>
  <c r="DB112" i="1"/>
  <c r="DC112" i="1" s="1"/>
  <c r="CL245" i="1"/>
  <c r="CL244" i="1"/>
  <c r="CL233" i="1"/>
  <c r="CL490" i="1"/>
  <c r="CL438" i="1"/>
  <c r="CL260" i="1"/>
  <c r="CL471" i="1"/>
  <c r="CL222" i="1"/>
  <c r="CL259" i="1"/>
  <c r="CL255" i="1"/>
  <c r="CL194" i="1"/>
  <c r="CL201" i="1"/>
  <c r="DB100" i="1"/>
  <c r="DC100" i="1" s="1"/>
  <c r="CL86" i="1"/>
  <c r="CL81" i="1"/>
  <c r="CL489" i="1"/>
  <c r="CL79" i="1"/>
  <c r="CL83" i="1"/>
  <c r="CL84" i="1"/>
  <c r="CL80" i="1"/>
  <c r="CL440" i="1"/>
  <c r="CL78" i="1"/>
  <c r="CL77" i="1"/>
  <c r="DB487" i="1"/>
  <c r="DC487" i="1" s="1"/>
  <c r="DB69" i="1"/>
  <c r="DC69" i="1" s="1"/>
  <c r="DB71" i="1"/>
  <c r="DC71" i="1" s="1"/>
  <c r="DB143" i="1"/>
  <c r="DC143" i="1" s="1"/>
  <c r="CL257" i="1"/>
  <c r="CL263" i="1"/>
  <c r="DB174" i="1"/>
  <c r="DC174" i="1" s="1"/>
  <c r="DB147" i="1"/>
  <c r="DC147" i="1" s="1"/>
  <c r="CL236" i="1"/>
  <c r="CL437" i="1"/>
  <c r="CL215" i="1"/>
  <c r="DB177" i="1"/>
  <c r="DC177" i="1" s="1"/>
  <c r="CL251" i="1"/>
  <c r="DB466" i="1"/>
  <c r="DC466" i="1" s="1"/>
  <c r="DB116" i="1"/>
  <c r="DC116" i="1" s="1"/>
  <c r="DB467" i="1"/>
  <c r="DC467" i="1" s="1"/>
  <c r="CL271" i="1"/>
  <c r="CL256" i="1"/>
  <c r="DB134" i="1"/>
  <c r="DC134" i="1" s="1"/>
  <c r="DB173" i="1"/>
  <c r="DC173" i="1" s="1"/>
  <c r="DB168" i="1"/>
  <c r="DC168" i="1" s="1"/>
  <c r="DB155" i="1"/>
  <c r="DC155" i="1" s="1"/>
  <c r="DB164" i="1"/>
  <c r="DC164" i="1" s="1"/>
  <c r="DB114" i="1"/>
  <c r="DC114" i="1" s="1"/>
  <c r="CL281" i="1"/>
  <c r="CL204" i="1"/>
  <c r="CL15" i="1"/>
  <c r="CL439" i="1"/>
  <c r="CL496" i="1"/>
  <c r="CL435" i="1"/>
  <c r="CL9" i="1"/>
  <c r="DB419" i="1"/>
  <c r="DC419" i="1" s="1"/>
  <c r="DB468" i="1"/>
  <c r="DC468" i="1" s="1"/>
  <c r="DB56" i="1"/>
  <c r="DC56" i="1" s="1"/>
  <c r="DB120" i="1"/>
  <c r="DC120" i="1" s="1"/>
  <c r="CL242" i="1"/>
  <c r="DB157" i="1"/>
  <c r="DC157" i="1" s="1"/>
  <c r="DB485" i="1"/>
  <c r="DC485" i="1" s="1"/>
  <c r="CL58" i="1"/>
  <c r="CL200" i="1"/>
  <c r="CL180" i="1"/>
  <c r="CL181" i="1"/>
  <c r="DB154" i="1"/>
  <c r="DC154" i="1" s="1"/>
  <c r="DB431" i="1"/>
  <c r="DC431" i="1" s="1"/>
  <c r="DB158" i="1"/>
  <c r="DC158" i="1" s="1"/>
  <c r="DB418" i="1"/>
  <c r="DC418" i="1" s="1"/>
  <c r="DB464" i="1"/>
  <c r="DC464" i="1" s="1"/>
  <c r="DB428" i="1"/>
  <c r="DC428" i="1" s="1"/>
  <c r="CL60" i="1"/>
  <c r="CL226" i="1"/>
  <c r="CL229" i="1"/>
  <c r="DB105" i="1"/>
  <c r="DC105" i="1" s="1"/>
  <c r="DB462" i="1"/>
  <c r="DC462" i="1" s="1"/>
  <c r="CL218" i="1"/>
  <c r="DB169" i="1"/>
  <c r="DC169" i="1" s="1"/>
  <c r="DB2" i="1"/>
  <c r="DC2" i="1" s="1"/>
  <c r="CO7" i="1"/>
  <c r="CO109" i="1"/>
  <c r="CO4" i="1"/>
  <c r="CX419" i="1"/>
  <c r="CX125" i="1"/>
  <c r="CX467" i="1"/>
  <c r="CX100" i="1"/>
  <c r="CX139" i="1"/>
  <c r="CX126" i="1"/>
  <c r="CX95" i="1"/>
  <c r="CX433" i="1"/>
  <c r="CX123" i="1"/>
  <c r="CX158" i="1"/>
  <c r="CX485" i="1"/>
  <c r="CX75" i="1"/>
  <c r="CX114" i="1"/>
  <c r="CX155" i="1"/>
  <c r="CX116" i="1"/>
  <c r="CX487" i="1"/>
  <c r="CX163" i="1"/>
  <c r="CX135" i="1"/>
  <c r="CX112" i="1"/>
  <c r="CX93" i="1"/>
  <c r="CX138" i="1"/>
  <c r="CX3" i="1"/>
  <c r="CX2" i="1"/>
  <c r="CX427" i="1"/>
  <c r="CX150" i="1"/>
  <c r="CX469" i="1"/>
  <c r="CX133" i="1"/>
  <c r="CX103" i="1"/>
  <c r="CX73" i="1"/>
  <c r="CX171" i="1"/>
  <c r="CX65" i="1"/>
  <c r="CX167" i="1"/>
  <c r="CX137" i="1"/>
  <c r="CX140" i="1"/>
  <c r="CX120" i="1"/>
  <c r="CX464" i="1"/>
  <c r="CX169" i="1"/>
  <c r="CX134" i="1"/>
  <c r="CX69" i="1"/>
  <c r="CX424" i="1"/>
  <c r="CX153" i="1"/>
  <c r="CX142" i="1"/>
  <c r="CX122" i="1"/>
  <c r="CX144" i="1"/>
  <c r="CX156" i="1"/>
  <c r="CX68" i="1"/>
  <c r="CX119" i="1"/>
  <c r="CX56" i="1"/>
  <c r="CX428" i="1"/>
  <c r="CX105" i="1"/>
  <c r="CX131" i="1"/>
  <c r="CX168" i="1"/>
  <c r="CX466" i="1"/>
  <c r="CX177" i="1"/>
  <c r="CX147" i="1"/>
  <c r="CX143" i="1"/>
  <c r="CX148" i="1"/>
  <c r="CX106" i="1"/>
  <c r="CX5" i="1"/>
  <c r="CX415" i="1"/>
  <c r="CX124" i="1"/>
  <c r="CX480" i="1"/>
  <c r="CX161" i="1"/>
  <c r="CX145" i="1"/>
  <c r="CX151" i="1"/>
  <c r="CX55" i="1"/>
  <c r="CX98" i="1"/>
  <c r="CX170" i="1"/>
  <c r="CX127" i="1"/>
  <c r="CX72" i="1"/>
  <c r="CX499" i="1"/>
  <c r="CX431" i="1"/>
  <c r="CX97" i="1"/>
  <c r="CX136" i="1"/>
  <c r="CX426" i="1"/>
  <c r="CX141" i="1"/>
  <c r="CX157" i="1"/>
  <c r="CX460" i="1"/>
  <c r="CX468" i="1"/>
  <c r="CX164" i="1"/>
  <c r="CX173" i="1"/>
  <c r="CX174" i="1"/>
  <c r="CX71" i="1"/>
  <c r="CX102" i="1"/>
  <c r="CX99" i="1"/>
  <c r="CX107" i="1"/>
  <c r="CX94" i="1"/>
  <c r="CX91" i="1"/>
  <c r="CX121" i="1"/>
  <c r="CX128" i="1"/>
  <c r="CX152" i="1"/>
  <c r="CX425" i="1"/>
  <c r="CX159" i="1"/>
  <c r="CX110" i="1"/>
  <c r="CX463" i="1"/>
  <c r="CX154" i="1"/>
  <c r="CX418" i="1"/>
  <c r="CX465" i="1"/>
  <c r="CX462" i="1"/>
  <c r="DA2" i="1"/>
  <c r="CL468" i="1"/>
  <c r="DA468" i="1"/>
  <c r="CL155" i="1"/>
  <c r="DA155" i="1"/>
  <c r="CL116" i="1"/>
  <c r="DA116" i="1"/>
  <c r="CL147" i="1"/>
  <c r="DA147" i="1"/>
  <c r="CL69" i="1"/>
  <c r="DA69" i="1"/>
  <c r="CL130" i="1"/>
  <c r="DD130" i="1" s="1"/>
  <c r="DA130" i="1"/>
  <c r="CL93" i="1"/>
  <c r="DA93" i="1"/>
  <c r="CL133" i="1"/>
  <c r="DA133" i="1"/>
  <c r="CL171" i="1"/>
  <c r="DA171" i="1"/>
  <c r="CL167" i="1"/>
  <c r="DA167" i="1"/>
  <c r="CL153" i="1"/>
  <c r="DA153" i="1"/>
  <c r="CL115" i="1"/>
  <c r="DD115" i="1" s="1"/>
  <c r="DA115" i="1"/>
  <c r="CL469" i="1"/>
  <c r="DA469" i="1"/>
  <c r="CL161" i="1"/>
  <c r="DA161" i="1"/>
  <c r="CL145" i="1"/>
  <c r="DA145" i="1"/>
  <c r="CL152" i="1"/>
  <c r="DA152" i="1"/>
  <c r="CL425" i="1"/>
  <c r="DA425" i="1"/>
  <c r="CL137" i="1"/>
  <c r="DA137" i="1"/>
  <c r="CL140" i="1"/>
  <c r="DA140" i="1"/>
  <c r="CL127" i="1"/>
  <c r="DA127" i="1"/>
  <c r="CL72" i="1"/>
  <c r="DA72" i="1"/>
  <c r="CL169" i="1"/>
  <c r="DA169" i="1"/>
  <c r="CL120" i="1"/>
  <c r="DA120" i="1"/>
  <c r="CL177" i="1"/>
  <c r="DA177" i="1"/>
  <c r="CL91" i="1"/>
  <c r="DA91" i="1"/>
  <c r="CL103" i="1"/>
  <c r="DA103" i="1"/>
  <c r="CL190" i="1"/>
  <c r="DD190" i="1" s="1"/>
  <c r="DA190" i="1"/>
  <c r="CL104" i="1"/>
  <c r="DD104" i="1" s="1"/>
  <c r="DA104" i="1"/>
  <c r="CL428" i="1"/>
  <c r="DA428" i="1"/>
  <c r="CL101" i="1"/>
  <c r="DD101" i="1" s="1"/>
  <c r="DA101" i="1"/>
  <c r="CL419" i="1"/>
  <c r="DA419" i="1"/>
  <c r="CL168" i="1"/>
  <c r="DA168" i="1"/>
  <c r="CL466" i="1"/>
  <c r="DA466" i="1"/>
  <c r="CL66" i="1"/>
  <c r="DD66" i="1" s="1"/>
  <c r="DA66" i="1"/>
  <c r="CL100" i="1"/>
  <c r="DA100" i="1"/>
  <c r="CL112" i="1"/>
  <c r="DA112" i="1"/>
  <c r="CL5" i="1"/>
  <c r="DA5" i="1"/>
  <c r="CL424" i="1"/>
  <c r="DA424" i="1"/>
  <c r="CL483" i="1"/>
  <c r="DD483" i="1" s="1"/>
  <c r="DA483" i="1"/>
  <c r="CL462" i="1"/>
  <c r="DA462" i="1"/>
  <c r="CL175" i="1"/>
  <c r="DD175" i="1" s="1"/>
  <c r="DA175" i="1"/>
  <c r="CL464" i="1"/>
  <c r="DA464" i="1"/>
  <c r="CL179" i="1"/>
  <c r="DD179" i="1" s="1"/>
  <c r="DA179" i="1"/>
  <c r="CL154" i="1"/>
  <c r="DA154" i="1"/>
  <c r="CL111" i="1"/>
  <c r="DD111" i="1" s="1"/>
  <c r="DA111" i="1"/>
  <c r="CL114" i="1"/>
  <c r="DA114" i="1"/>
  <c r="CL173" i="1"/>
  <c r="DA173" i="1"/>
  <c r="CL143" i="1"/>
  <c r="DA143" i="1"/>
  <c r="CL487" i="1"/>
  <c r="DA487" i="1"/>
  <c r="CL124" i="1"/>
  <c r="DA124" i="1"/>
  <c r="CL184" i="1"/>
  <c r="DD184" i="1" s="1"/>
  <c r="DA184" i="1"/>
  <c r="CL68" i="1"/>
  <c r="DA68" i="1"/>
  <c r="CL433" i="1"/>
  <c r="DA433" i="1"/>
  <c r="CL461" i="1"/>
  <c r="DD461" i="1" s="1"/>
  <c r="DA461" i="1"/>
  <c r="CL159" i="1"/>
  <c r="DA159" i="1"/>
  <c r="CL463" i="1"/>
  <c r="DA463" i="1"/>
  <c r="CL191" i="1"/>
  <c r="DD191" i="1" s="1"/>
  <c r="DA191" i="1"/>
  <c r="CL417" i="1"/>
  <c r="DA417" i="1"/>
  <c r="CL485" i="1"/>
  <c r="DA485" i="1"/>
  <c r="CL481" i="1"/>
  <c r="DD481" i="1" s="1"/>
  <c r="DA481" i="1"/>
  <c r="CL3" i="1"/>
  <c r="DA3" i="1"/>
  <c r="CL499" i="1"/>
  <c r="DA499" i="1"/>
  <c r="CL431" i="1"/>
  <c r="DA431" i="1"/>
  <c r="CL157" i="1"/>
  <c r="DA157" i="1"/>
  <c r="CL174" i="1"/>
  <c r="DA174" i="1"/>
  <c r="CL74" i="1"/>
  <c r="DD74" i="1" s="1"/>
  <c r="DA74" i="1"/>
  <c r="CL486" i="1"/>
  <c r="DD486" i="1" s="1"/>
  <c r="DA486" i="1"/>
  <c r="CL105" i="1"/>
  <c r="DA105" i="1"/>
  <c r="CL67" i="1"/>
  <c r="DA67" i="1"/>
  <c r="CL253" i="1"/>
  <c r="DD253" i="1" s="1"/>
  <c r="DA253" i="1"/>
  <c r="CL418" i="1"/>
  <c r="DA418" i="1"/>
  <c r="CL158" i="1"/>
  <c r="DA158" i="1"/>
  <c r="CL56" i="1"/>
  <c r="DA56" i="1"/>
  <c r="CL164" i="1"/>
  <c r="DA164" i="1"/>
  <c r="CL134" i="1"/>
  <c r="DA134" i="1"/>
  <c r="CL467" i="1"/>
  <c r="DA467" i="1"/>
  <c r="CL71" i="1"/>
  <c r="DA71" i="1"/>
  <c r="CL92" i="1"/>
  <c r="DD92" i="1" s="1"/>
  <c r="DA92" i="1"/>
  <c r="CL138" i="1"/>
  <c r="DA138" i="1"/>
  <c r="CL121" i="1"/>
  <c r="DA121" i="1"/>
  <c r="CL128" i="1"/>
  <c r="DA128" i="1"/>
  <c r="CL122" i="1"/>
  <c r="DA122" i="1"/>
  <c r="CL144" i="1"/>
  <c r="DA144" i="1"/>
  <c r="CL156" i="1"/>
  <c r="DA156" i="1"/>
  <c r="CL73" i="1"/>
  <c r="DA73" i="1"/>
  <c r="CL117" i="1"/>
  <c r="DD117" i="1" s="1"/>
  <c r="DA117" i="1"/>
  <c r="CL65" i="1"/>
  <c r="DA65" i="1"/>
  <c r="CL110" i="1"/>
  <c r="DA110" i="1"/>
  <c r="CL497" i="1"/>
  <c r="DA497" i="1"/>
  <c r="CL432" i="1"/>
  <c r="DD432" i="1" s="1"/>
  <c r="DA432" i="1"/>
  <c r="CL2" i="1"/>
  <c r="BU96" i="1"/>
  <c r="BV96" i="1" s="1"/>
  <c r="BE96" i="1"/>
  <c r="CP482" i="1"/>
  <c r="CC417" i="1"/>
  <c r="CC67" i="1"/>
  <c r="CC226" i="1"/>
  <c r="BZ226" i="1" s="1"/>
  <c r="CA226" i="1" s="1"/>
  <c r="CC338" i="1"/>
  <c r="CC229" i="1"/>
  <c r="BZ229" i="1" s="1"/>
  <c r="CA229" i="1" s="1"/>
  <c r="CC105" i="1"/>
  <c r="CC462" i="1"/>
  <c r="CC218" i="1"/>
  <c r="CC169" i="1"/>
  <c r="CC486" i="1"/>
  <c r="CC483" i="1"/>
  <c r="BZ483" i="1" s="1"/>
  <c r="CA483" i="1" s="1"/>
  <c r="CC379" i="1"/>
  <c r="CC64" i="1"/>
  <c r="CC418" i="1"/>
  <c r="CC464" i="1"/>
  <c r="CC428" i="1"/>
  <c r="CC353" i="1"/>
  <c r="CC253" i="1"/>
  <c r="CC175" i="1"/>
  <c r="CC60" i="1"/>
  <c r="CC56" i="1"/>
  <c r="CC448" i="1"/>
  <c r="CC450" i="1"/>
  <c r="CC120" i="1"/>
  <c r="CC242" i="1"/>
  <c r="CC334" i="1"/>
  <c r="CC157" i="1"/>
  <c r="CC87" i="1"/>
  <c r="CC280" i="1"/>
  <c r="CC315" i="1"/>
  <c r="CC405" i="1"/>
  <c r="CC485" i="1"/>
  <c r="CC297" i="1"/>
  <c r="CC58" i="1"/>
  <c r="CC101" i="1"/>
  <c r="CC495" i="1"/>
  <c r="CC200" i="1"/>
  <c r="CC111" i="1"/>
  <c r="CC344" i="1"/>
  <c r="CC180" i="1"/>
  <c r="CC411" i="1"/>
  <c r="CC309" i="1"/>
  <c r="CC345" i="1"/>
  <c r="CC181" i="1"/>
  <c r="CC282" i="1"/>
  <c r="CC154" i="1"/>
  <c r="CC431" i="1"/>
  <c r="CC459" i="1"/>
  <c r="CC158" i="1"/>
  <c r="CC179" i="1"/>
  <c r="CC504" i="1"/>
  <c r="CC347" i="1"/>
  <c r="CC451" i="1"/>
  <c r="CC501" i="1"/>
  <c r="CC499" i="1"/>
  <c r="CC432" i="1"/>
  <c r="CC274" i="1"/>
  <c r="CC503" i="1"/>
  <c r="CC476" i="1"/>
  <c r="CC505" i="1"/>
  <c r="CC191" i="1"/>
  <c r="CC494" i="1"/>
  <c r="CC104" i="1"/>
  <c r="CC493" i="1"/>
  <c r="CC341" i="1"/>
  <c r="CC72" i="1"/>
  <c r="CC332" i="1"/>
  <c r="CC497" i="1"/>
  <c r="CC295" i="1"/>
  <c r="CC127" i="1"/>
  <c r="CC223" i="1"/>
  <c r="CC296" i="1"/>
  <c r="CC463" i="1"/>
  <c r="CC140" i="1"/>
  <c r="CC228" i="1"/>
  <c r="CC110" i="1"/>
  <c r="CC388" i="1"/>
  <c r="CC137" i="1"/>
  <c r="CC301" i="1"/>
  <c r="CC308" i="1"/>
  <c r="CC211" i="1"/>
  <c r="CC352" i="1"/>
  <c r="CC396" i="1"/>
  <c r="CC447" i="1"/>
  <c r="CC337" i="1"/>
  <c r="CC394" i="1"/>
  <c r="CC167" i="1"/>
  <c r="CC303" i="1"/>
  <c r="CC159" i="1"/>
  <c r="CC456" i="1"/>
  <c r="CC398" i="1"/>
  <c r="CC408" i="1"/>
  <c r="CC461" i="1"/>
  <c r="CC294" i="1"/>
  <c r="CC395" i="1"/>
  <c r="CC230" i="1"/>
  <c r="CC284" i="1"/>
  <c r="CC198" i="1"/>
  <c r="CC312" i="1"/>
  <c r="CC65" i="1"/>
  <c r="CC433" i="1"/>
  <c r="CC425" i="1"/>
  <c r="CC171" i="1"/>
  <c r="CC117" i="1"/>
  <c r="CC500" i="1"/>
  <c r="CC446" i="1"/>
  <c r="CC410" i="1"/>
  <c r="CC73" i="1"/>
  <c r="CC68" i="1"/>
  <c r="CC152" i="1"/>
  <c r="CC190" i="1"/>
  <c r="CC156" i="1"/>
  <c r="CU156" i="1" s="1"/>
  <c r="CV156" i="1" s="1"/>
  <c r="CC502" i="1"/>
  <c r="CC145" i="1"/>
  <c r="CC335" i="1"/>
  <c r="CC498" i="1"/>
  <c r="CC422" i="1"/>
  <c r="CC89" i="1"/>
  <c r="CC103" i="1"/>
  <c r="CC144" i="1"/>
  <c r="CC472" i="1"/>
  <c r="CC161" i="1"/>
  <c r="CC133" i="1"/>
  <c r="CU133" i="1" s="1"/>
  <c r="CV133" i="1" s="1"/>
  <c r="CC122" i="1"/>
  <c r="CU122" i="1" s="1"/>
  <c r="CV122" i="1" s="1"/>
  <c r="CC265" i="1"/>
  <c r="CC469" i="1"/>
  <c r="CC217" i="1"/>
  <c r="CC128" i="1"/>
  <c r="CC412" i="1"/>
  <c r="CC115" i="1"/>
  <c r="CC186" i="1"/>
  <c r="CC359" i="1"/>
  <c r="CC82" i="1"/>
  <c r="CC203" i="1"/>
  <c r="CC333" i="1"/>
  <c r="CC355" i="1"/>
  <c r="CC283" i="1"/>
  <c r="CC153" i="1"/>
  <c r="CC329" i="1"/>
  <c r="CC360" i="1"/>
  <c r="CC354" i="1"/>
  <c r="CC420" i="1"/>
  <c r="CC336" i="1"/>
  <c r="CC246" i="1"/>
  <c r="CC184" i="1"/>
  <c r="CC436" i="1"/>
  <c r="CC414" i="1"/>
  <c r="CC121" i="1"/>
  <c r="CU121" i="1" s="1"/>
  <c r="CV121" i="1" s="1"/>
  <c r="CC124" i="1"/>
  <c r="CU124" i="1" s="1"/>
  <c r="CV124" i="1" s="1"/>
  <c r="CC375" i="1"/>
  <c r="CC381" i="1"/>
  <c r="CC373" i="1"/>
  <c r="CC367" i="1"/>
  <c r="CC363" i="1"/>
  <c r="CC366" i="1"/>
  <c r="CC371" i="1"/>
  <c r="CC374" i="1"/>
  <c r="CC380" i="1"/>
  <c r="CC361" i="1"/>
  <c r="CC314" i="1"/>
  <c r="CC319" i="1"/>
  <c r="CC318" i="1"/>
  <c r="CC372" i="1"/>
  <c r="CC378" i="1"/>
  <c r="CC370" i="1"/>
  <c r="CC365" i="1"/>
  <c r="CC350" i="1"/>
  <c r="CC227" i="1"/>
  <c r="CC220" i="1"/>
  <c r="CC386" i="1"/>
  <c r="CC362" i="1"/>
  <c r="CC356" i="1"/>
  <c r="CC328" i="1"/>
  <c r="CC249" i="1"/>
  <c r="CC306" i="1"/>
  <c r="CC199" i="1"/>
  <c r="CC241" i="1"/>
  <c r="CC358" i="1"/>
  <c r="CC62" i="1"/>
  <c r="CC369" i="1"/>
  <c r="CC286" i="1"/>
  <c r="CC261" i="1"/>
  <c r="CC231" i="1"/>
  <c r="BZ231" i="1" s="1"/>
  <c r="CA231" i="1" s="1"/>
  <c r="CC457" i="1"/>
  <c r="CC455" i="1"/>
  <c r="CC51" i="1"/>
  <c r="CC452" i="1"/>
  <c r="CC25" i="1"/>
  <c r="CC23" i="1"/>
  <c r="CC48" i="1"/>
  <c r="CC50" i="1"/>
  <c r="CC37" i="1"/>
  <c r="CC35" i="1"/>
  <c r="CC30" i="1"/>
  <c r="CC441" i="1"/>
  <c r="CC26" i="1"/>
  <c r="CC24" i="1"/>
  <c r="CC39" i="1"/>
  <c r="CC53" i="1"/>
  <c r="CC445" i="1"/>
  <c r="CC38" i="1"/>
  <c r="CC61" i="1"/>
  <c r="CC12" i="1"/>
  <c r="CC43" i="1"/>
  <c r="CC49" i="1"/>
  <c r="CC36" i="1"/>
  <c r="CC54" i="1"/>
  <c r="CC52" i="1"/>
  <c r="CC382" i="1"/>
  <c r="CC45" i="1"/>
  <c r="CC331" i="1"/>
  <c r="CC325" i="1"/>
  <c r="CC313" i="1"/>
  <c r="CC32" i="1"/>
  <c r="CC41" i="1"/>
  <c r="CC349" i="1"/>
  <c r="CC27" i="1"/>
  <c r="CC31" i="1"/>
  <c r="CC279" i="1"/>
  <c r="CC19" i="1"/>
  <c r="CC2" i="1"/>
  <c r="CU2" i="1" s="1"/>
  <c r="CV2" i="1" s="1"/>
  <c r="CC299" i="1"/>
  <c r="CC247" i="1"/>
  <c r="CC42" i="1"/>
  <c r="CC47" i="1"/>
  <c r="CC28" i="1"/>
  <c r="CC22" i="1"/>
  <c r="CC285" i="1"/>
  <c r="CC5" i="1"/>
  <c r="CC3" i="1"/>
  <c r="CC385" i="1"/>
  <c r="CC21" i="1"/>
  <c r="CC40" i="1"/>
  <c r="CC389" i="1"/>
  <c r="CC368" i="1"/>
  <c r="CC340" i="1"/>
  <c r="CC46" i="1"/>
  <c r="CC302" i="1"/>
  <c r="CC473" i="1"/>
  <c r="CC250" i="1"/>
  <c r="CC235" i="1"/>
  <c r="CC91" i="1"/>
  <c r="CC138" i="1"/>
  <c r="CC189" i="1"/>
  <c r="CC377" i="1"/>
  <c r="CC258" i="1"/>
  <c r="CC330" i="1"/>
  <c r="CC316" i="1"/>
  <c r="CC210" i="1"/>
  <c r="CC391" i="1"/>
  <c r="CC327" i="1"/>
  <c r="CC390" i="1"/>
  <c r="CC339" i="1"/>
  <c r="CC63" i="1"/>
  <c r="CC351" i="1"/>
  <c r="CC326" i="1"/>
  <c r="CC304" i="1"/>
  <c r="CC311" i="1"/>
  <c r="CC346" i="1"/>
  <c r="CC310" i="1"/>
  <c r="CC268" i="1"/>
  <c r="CC92" i="1"/>
  <c r="CC107" i="1"/>
  <c r="CC305" i="1"/>
  <c r="CC112" i="1"/>
  <c r="CC307" i="1"/>
  <c r="CC276" i="1"/>
  <c r="CC245" i="1"/>
  <c r="CC244" i="1"/>
  <c r="CC130" i="1"/>
  <c r="CC324" i="1"/>
  <c r="CC293" i="1"/>
  <c r="CC288" i="1"/>
  <c r="CC387" i="1"/>
  <c r="CC409" i="1"/>
  <c r="CC85" i="1"/>
  <c r="CC233" i="1"/>
  <c r="CC383" i="1"/>
  <c r="CC490" i="1"/>
  <c r="CC323" i="1"/>
  <c r="CC438" i="1"/>
  <c r="CC376" i="1"/>
  <c r="CC407" i="1"/>
  <c r="CC321" i="1"/>
  <c r="CC404" i="1"/>
  <c r="CC401" i="1"/>
  <c r="CC400" i="1"/>
  <c r="CC402" i="1"/>
  <c r="CC397" i="1"/>
  <c r="CC260" i="1"/>
  <c r="CC471" i="1"/>
  <c r="CC399" i="1"/>
  <c r="CC364" i="1"/>
  <c r="CC222" i="1"/>
  <c r="CC384" i="1"/>
  <c r="CC273" i="1"/>
  <c r="CC393" i="1"/>
  <c r="CC343" i="1"/>
  <c r="CC443" i="1"/>
  <c r="CC423" i="1"/>
  <c r="CC406" i="1"/>
  <c r="CC322" i="1"/>
  <c r="CC290" i="1"/>
  <c r="CC291" i="1"/>
  <c r="CC34" i="1"/>
  <c r="CC342" i="1"/>
  <c r="CC287" i="1"/>
  <c r="CC259" i="1"/>
  <c r="CC255" i="1"/>
  <c r="CC481" i="1"/>
  <c r="CC194" i="1"/>
  <c r="CC201" i="1"/>
  <c r="CC100" i="1"/>
  <c r="CC421" i="1"/>
  <c r="CC403" i="1"/>
  <c r="CC479" i="1"/>
  <c r="CC88" i="1"/>
  <c r="CC86" i="1"/>
  <c r="CC81" i="1"/>
  <c r="CC489" i="1"/>
  <c r="CC79" i="1"/>
  <c r="CC83" i="1"/>
  <c r="CC84" i="1"/>
  <c r="CC80" i="1"/>
  <c r="CC440" i="1"/>
  <c r="CC78" i="1"/>
  <c r="CC77" i="1"/>
  <c r="CC487" i="1"/>
  <c r="CC74" i="1"/>
  <c r="CC69" i="1"/>
  <c r="CC71" i="1"/>
  <c r="CC143" i="1"/>
  <c r="CC66" i="1"/>
  <c r="CC270" i="1"/>
  <c r="CC257" i="1"/>
  <c r="CC263" i="1"/>
  <c r="CC174" i="1"/>
  <c r="CC147" i="1"/>
  <c r="CC236" i="1"/>
  <c r="CC437" i="1"/>
  <c r="CC215" i="1"/>
  <c r="CC177" i="1"/>
  <c r="CC348" i="1"/>
  <c r="CC251" i="1"/>
  <c r="CC466" i="1"/>
  <c r="CC116" i="1"/>
  <c r="CC467" i="1"/>
  <c r="CC44" i="1"/>
  <c r="CC271" i="1"/>
  <c r="CC256" i="1"/>
  <c r="CC134" i="1"/>
  <c r="CC173" i="1"/>
  <c r="CC168" i="1"/>
  <c r="CC155" i="1"/>
  <c r="CC164" i="1"/>
  <c r="CC114" i="1"/>
  <c r="CC281" i="1"/>
  <c r="CC204" i="1"/>
  <c r="CC478" i="1"/>
  <c r="CC454" i="1"/>
  <c r="CC453" i="1"/>
  <c r="CC449" i="1"/>
  <c r="CC33" i="1"/>
  <c r="CC15" i="1"/>
  <c r="CC439" i="1"/>
  <c r="CC496" i="1"/>
  <c r="CC435" i="1"/>
  <c r="CC9" i="1"/>
  <c r="CC419" i="1"/>
  <c r="CC468" i="1"/>
  <c r="CC430" i="1"/>
  <c r="CB338" i="1"/>
  <c r="CB379" i="1"/>
  <c r="CB64" i="1"/>
  <c r="CB353" i="1"/>
  <c r="CB448" i="1"/>
  <c r="CB450" i="1"/>
  <c r="CB334" i="1"/>
  <c r="CB87" i="1"/>
  <c r="CB280" i="1"/>
  <c r="CB315" i="1"/>
  <c r="CB405" i="1"/>
  <c r="CB297" i="1"/>
  <c r="CB495" i="1"/>
  <c r="CB344" i="1"/>
  <c r="CB411" i="1"/>
  <c r="CB309" i="1"/>
  <c r="CB345" i="1"/>
  <c r="CB282" i="1"/>
  <c r="CB459" i="1"/>
  <c r="CB347" i="1"/>
  <c r="CB451" i="1"/>
  <c r="CB476" i="1"/>
  <c r="CB505" i="1"/>
  <c r="CB494" i="1"/>
  <c r="CB341" i="1"/>
  <c r="CB332" i="1"/>
  <c r="CB295" i="1"/>
  <c r="CB296" i="1"/>
  <c r="CB388" i="1"/>
  <c r="CB301" i="1"/>
  <c r="CB308" i="1"/>
  <c r="CB352" i="1"/>
  <c r="CB396" i="1"/>
  <c r="CB447" i="1"/>
  <c r="CB337" i="1"/>
  <c r="CB394" i="1"/>
  <c r="CB303" i="1"/>
  <c r="CB456" i="1"/>
  <c r="CB398" i="1"/>
  <c r="CB408" i="1"/>
  <c r="CB294" i="1"/>
  <c r="CB395" i="1"/>
  <c r="CB284" i="1"/>
  <c r="CB312" i="1"/>
  <c r="CB446" i="1"/>
  <c r="CB410" i="1"/>
  <c r="CB335" i="1"/>
  <c r="CB422" i="1"/>
  <c r="CB89" i="1"/>
  <c r="CB412" i="1"/>
  <c r="CB359" i="1"/>
  <c r="CB333" i="1"/>
  <c r="CB355" i="1"/>
  <c r="CB329" i="1"/>
  <c r="CB360" i="1"/>
  <c r="CB354" i="1"/>
  <c r="CB336" i="1"/>
  <c r="CB414" i="1"/>
  <c r="CB375" i="1"/>
  <c r="CB381" i="1"/>
  <c r="CB373" i="1"/>
  <c r="CB367" i="1"/>
  <c r="CB363" i="1"/>
  <c r="CB366" i="1"/>
  <c r="CB371" i="1"/>
  <c r="CB374" i="1"/>
  <c r="CB380" i="1"/>
  <c r="CB361" i="1"/>
  <c r="CB314" i="1"/>
  <c r="CB319" i="1"/>
  <c r="CB318" i="1"/>
  <c r="CB372" i="1"/>
  <c r="CB378" i="1"/>
  <c r="CB370" i="1"/>
  <c r="CB365" i="1"/>
  <c r="CB350" i="1"/>
  <c r="CB386" i="1"/>
  <c r="CB362" i="1"/>
  <c r="CB356" i="1"/>
  <c r="CB328" i="1"/>
  <c r="CB306" i="1"/>
  <c r="CB358" i="1"/>
  <c r="CB62" i="1"/>
  <c r="CB369" i="1"/>
  <c r="CB286" i="1"/>
  <c r="CB261" i="1"/>
  <c r="CB457" i="1"/>
  <c r="CB455" i="1"/>
  <c r="CB51" i="1"/>
  <c r="CB452" i="1"/>
  <c r="CB25" i="1"/>
  <c r="CB23" i="1"/>
  <c r="CB48" i="1"/>
  <c r="CB50" i="1"/>
  <c r="CB37" i="1"/>
  <c r="CB35" i="1"/>
  <c r="CB30" i="1"/>
  <c r="CB26" i="1"/>
  <c r="CB24" i="1"/>
  <c r="CB39" i="1"/>
  <c r="CB53" i="1"/>
  <c r="CB445" i="1"/>
  <c r="CB38" i="1"/>
  <c r="CB61" i="1"/>
  <c r="CB43" i="1"/>
  <c r="CB49" i="1"/>
  <c r="CB36" i="1"/>
  <c r="CB54" i="1"/>
  <c r="CB52" i="1"/>
  <c r="CB382" i="1"/>
  <c r="CB45" i="1"/>
  <c r="CB331" i="1"/>
  <c r="CB325" i="1"/>
  <c r="CB313" i="1"/>
  <c r="CB32" i="1"/>
  <c r="CB41" i="1"/>
  <c r="CB349" i="1"/>
  <c r="CB27" i="1"/>
  <c r="CB31" i="1"/>
  <c r="CB279" i="1"/>
  <c r="CB19" i="1"/>
  <c r="CB299" i="1"/>
  <c r="CB42" i="1"/>
  <c r="CB47" i="1"/>
  <c r="CB28" i="1"/>
  <c r="CB22" i="1"/>
  <c r="CB285" i="1"/>
  <c r="CB385" i="1"/>
  <c r="CB21" i="1"/>
  <c r="CB40" i="1"/>
  <c r="CB389" i="1"/>
  <c r="CB368" i="1"/>
  <c r="CB340" i="1"/>
  <c r="CB46" i="1"/>
  <c r="CB302" i="1"/>
  <c r="CB473" i="1"/>
  <c r="CB377" i="1"/>
  <c r="CB330" i="1"/>
  <c r="CB316" i="1"/>
  <c r="CB391" i="1"/>
  <c r="CB327" i="1"/>
  <c r="CB390" i="1"/>
  <c r="CB339" i="1"/>
  <c r="CB63" i="1"/>
  <c r="CB351" i="1"/>
  <c r="CB326" i="1"/>
  <c r="CB304" i="1"/>
  <c r="CB311" i="1"/>
  <c r="CB346" i="1"/>
  <c r="CB310" i="1"/>
  <c r="CB268" i="1"/>
  <c r="CB305" i="1"/>
  <c r="CB307" i="1"/>
  <c r="CB276" i="1"/>
  <c r="CB324" i="1"/>
  <c r="CB293" i="1"/>
  <c r="CB288" i="1"/>
  <c r="CB387" i="1"/>
  <c r="CB409" i="1"/>
  <c r="CB85" i="1"/>
  <c r="CB383" i="1"/>
  <c r="CB323" i="1"/>
  <c r="CB376" i="1"/>
  <c r="CB407" i="1"/>
  <c r="CB321" i="1"/>
  <c r="CB404" i="1"/>
  <c r="CB401" i="1"/>
  <c r="CB400" i="1"/>
  <c r="CB402" i="1"/>
  <c r="CB397" i="1"/>
  <c r="CB399" i="1"/>
  <c r="CB364" i="1"/>
  <c r="CB384" i="1"/>
  <c r="CB273" i="1"/>
  <c r="CB393" i="1"/>
  <c r="CB343" i="1"/>
  <c r="CB443" i="1"/>
  <c r="CB423" i="1"/>
  <c r="CB406" i="1"/>
  <c r="CB322" i="1"/>
  <c r="CB290" i="1"/>
  <c r="CB291" i="1"/>
  <c r="CB34" i="1"/>
  <c r="CB342" i="1"/>
  <c r="CB287" i="1"/>
  <c r="CB421" i="1"/>
  <c r="CB403" i="1"/>
  <c r="CB479" i="1"/>
  <c r="CB88" i="1"/>
  <c r="CB270" i="1"/>
  <c r="CB348" i="1"/>
  <c r="CB44" i="1"/>
  <c r="CB478" i="1"/>
  <c r="CB454" i="1"/>
  <c r="CB453" i="1"/>
  <c r="CB449" i="1"/>
  <c r="CB33" i="1"/>
  <c r="BP417" i="1"/>
  <c r="BP226" i="1"/>
  <c r="BP229" i="1"/>
  <c r="BP105" i="1"/>
  <c r="BP462" i="1"/>
  <c r="BP169" i="1"/>
  <c r="BP75" i="1"/>
  <c r="BP483" i="1"/>
  <c r="BP465" i="1"/>
  <c r="BP379" i="1"/>
  <c r="BP418" i="1"/>
  <c r="BP464" i="1"/>
  <c r="BP428" i="1"/>
  <c r="BP298" i="1"/>
  <c r="BP353" i="1"/>
  <c r="BP253" i="1"/>
  <c r="BP221" i="1"/>
  <c r="BP175" i="1"/>
  <c r="BP56" i="1"/>
  <c r="BP450" i="1"/>
  <c r="BP242" i="1"/>
  <c r="BP334" i="1"/>
  <c r="BP157" i="1"/>
  <c r="BP87" i="1"/>
  <c r="BP280" i="1"/>
  <c r="BP315" i="1"/>
  <c r="BP202" i="1"/>
  <c r="BP426" i="1"/>
  <c r="BP297" i="1"/>
  <c r="BP225" i="1"/>
  <c r="BP58" i="1"/>
  <c r="BP101" i="1"/>
  <c r="BP495" i="1"/>
  <c r="BP200" i="1"/>
  <c r="BP111" i="1"/>
  <c r="BP264" i="1"/>
  <c r="BP344" i="1"/>
  <c r="BP309" i="1"/>
  <c r="BP345" i="1"/>
  <c r="BP181" i="1"/>
  <c r="BP97" i="1"/>
  <c r="BP206" i="1"/>
  <c r="BP282" i="1"/>
  <c r="BP154" i="1"/>
  <c r="BP431" i="1"/>
  <c r="BP158" i="1"/>
  <c r="BP179" i="1"/>
  <c r="BP504" i="1"/>
  <c r="BP347" i="1"/>
  <c r="BP451" i="1"/>
  <c r="BP501" i="1"/>
  <c r="BP499" i="1"/>
  <c r="BP432" i="1"/>
  <c r="BP274" i="1"/>
  <c r="BP476" i="1"/>
  <c r="BP505" i="1"/>
  <c r="BP494" i="1"/>
  <c r="BP104" i="1"/>
  <c r="BP341" i="1"/>
  <c r="BP72" i="1"/>
  <c r="BP332" i="1"/>
  <c r="BP123" i="1"/>
  <c r="BP497" i="1"/>
  <c r="BP295" i="1"/>
  <c r="BP127" i="1"/>
  <c r="BP223" i="1"/>
  <c r="BP296" i="1"/>
  <c r="BP165" i="1"/>
  <c r="BP463" i="1"/>
  <c r="BP140" i="1"/>
  <c r="BP228" i="1"/>
  <c r="BP110" i="1"/>
  <c r="BP388" i="1"/>
  <c r="BP137" i="1"/>
  <c r="BP301" i="1"/>
  <c r="BP211" i="1"/>
  <c r="BP352" i="1"/>
  <c r="BP396" i="1"/>
  <c r="BP447" i="1"/>
  <c r="BP214" i="1"/>
  <c r="BP337" i="1"/>
  <c r="BP394" i="1"/>
  <c r="BP98" i="1"/>
  <c r="BP167" i="1"/>
  <c r="BP303" i="1"/>
  <c r="BP159" i="1"/>
  <c r="BP243" i="1"/>
  <c r="BP456" i="1"/>
  <c r="BP197" i="1"/>
  <c r="BP461" i="1"/>
  <c r="BP294" i="1"/>
  <c r="BP395" i="1"/>
  <c r="BP55" i="1"/>
  <c r="BP65" i="1"/>
  <c r="BP433" i="1"/>
  <c r="BP425" i="1"/>
  <c r="BP171" i="1"/>
  <c r="BP117" i="1"/>
  <c r="BP500" i="1"/>
  <c r="BP410" i="1"/>
  <c r="BP73" i="1"/>
  <c r="BP68" i="1"/>
  <c r="BP152" i="1"/>
  <c r="BP492" i="1"/>
  <c r="BP190" i="1"/>
  <c r="BP156" i="1"/>
  <c r="BP502" i="1"/>
  <c r="BP145" i="1"/>
  <c r="BP335" i="1"/>
  <c r="BP498" i="1"/>
  <c r="BP89" i="1"/>
  <c r="BP103" i="1"/>
  <c r="BP144" i="1"/>
  <c r="BP472" i="1"/>
  <c r="BP161" i="1"/>
  <c r="BP195" i="1"/>
  <c r="BP133" i="1"/>
  <c r="BP122" i="1"/>
  <c r="BP265" i="1"/>
  <c r="BP212" i="1"/>
  <c r="BP469" i="1"/>
  <c r="BP196" i="1"/>
  <c r="BP150" i="1"/>
  <c r="BP115" i="1"/>
  <c r="BP186" i="1"/>
  <c r="BP82" i="1"/>
  <c r="BP480" i="1"/>
  <c r="BP203" i="1"/>
  <c r="BP142" i="1"/>
  <c r="BP333" i="1"/>
  <c r="BP355" i="1"/>
  <c r="BP153" i="1"/>
  <c r="BP329" i="1"/>
  <c r="BP360" i="1"/>
  <c r="BP354" i="1"/>
  <c r="BP420" i="1"/>
  <c r="BP488" i="1"/>
  <c r="BP442" i="1"/>
  <c r="BP239" i="1"/>
  <c r="BP336" i="1"/>
  <c r="BP246" i="1"/>
  <c r="BP184" i="1"/>
  <c r="BP436" i="1"/>
  <c r="BP427" i="1"/>
  <c r="BP121" i="1"/>
  <c r="BP124" i="1"/>
  <c r="BP373" i="1"/>
  <c r="BP363" i="1"/>
  <c r="BP366" i="1"/>
  <c r="BP361" i="1"/>
  <c r="BP314" i="1"/>
  <c r="BP319" i="1"/>
  <c r="BP318" i="1"/>
  <c r="BP370" i="1"/>
  <c r="BP365" i="1"/>
  <c r="BP350" i="1"/>
  <c r="BP227" i="1"/>
  <c r="BP216" i="1"/>
  <c r="BP220" i="1"/>
  <c r="BP386" i="1"/>
  <c r="BP362" i="1"/>
  <c r="BP356" i="1"/>
  <c r="BP328" i="1"/>
  <c r="BP252" i="1"/>
  <c r="BP306" i="1"/>
  <c r="BP241" i="1"/>
  <c r="BP358" i="1"/>
  <c r="BP160" i="1"/>
  <c r="BP286" i="1"/>
  <c r="BP231" i="1"/>
  <c r="BP452" i="1"/>
  <c r="BP20" i="1"/>
  <c r="BP50" i="1"/>
  <c r="BP37" i="1"/>
  <c r="BP441" i="1"/>
  <c r="BP26" i="1"/>
  <c r="BP24" i="1"/>
  <c r="BP424" i="1"/>
  <c r="BP39" i="1"/>
  <c r="BP53" i="1"/>
  <c r="BP445" i="1"/>
  <c r="BP12" i="1"/>
  <c r="BP49" i="1"/>
  <c r="BP36" i="1"/>
  <c r="BP54" i="1"/>
  <c r="BP382" i="1"/>
  <c r="BP331" i="1"/>
  <c r="BP349" i="1"/>
  <c r="BP27" i="1"/>
  <c r="BP279" i="1"/>
  <c r="BP16" i="1"/>
  <c r="BP13" i="1"/>
  <c r="BP299" i="1"/>
  <c r="BP247" i="1"/>
  <c r="BP42" i="1"/>
  <c r="BP47" i="1"/>
  <c r="BP28" i="1"/>
  <c r="BP285" i="1"/>
  <c r="BP5" i="1"/>
  <c r="BP385" i="1"/>
  <c r="BP21" i="1"/>
  <c r="BP40" i="1"/>
  <c r="BP389" i="1"/>
  <c r="BP368" i="1"/>
  <c r="BP340" i="1"/>
  <c r="BP46" i="1"/>
  <c r="BP302" i="1"/>
  <c r="BP473" i="1"/>
  <c r="BP250" i="1"/>
  <c r="BP235" i="1"/>
  <c r="BP138" i="1"/>
  <c r="BP262" i="1"/>
  <c r="BP189" i="1"/>
  <c r="BP258" i="1"/>
  <c r="BP330" i="1"/>
  <c r="BP316" i="1"/>
  <c r="BP210" i="1"/>
  <c r="BP93" i="1"/>
  <c r="BP327" i="1"/>
  <c r="BP390" i="1"/>
  <c r="BP339" i="1"/>
  <c r="BP63" i="1"/>
  <c r="BP351" i="1"/>
  <c r="BP326" i="1"/>
  <c r="BP304" i="1"/>
  <c r="BP346" i="1"/>
  <c r="BP310" i="1"/>
  <c r="BP268" i="1"/>
  <c r="BP92" i="1"/>
  <c r="BP107" i="1"/>
  <c r="BP305" i="1"/>
  <c r="BP112" i="1"/>
  <c r="CH112" i="1" s="1"/>
  <c r="CI112" i="1" s="1"/>
  <c r="BP307" i="1"/>
  <c r="BP276" i="1"/>
  <c r="BP245" i="1"/>
  <c r="CH245" i="1" s="1"/>
  <c r="CI245" i="1" s="1"/>
  <c r="BP244" i="1"/>
  <c r="CH244" i="1" s="1"/>
  <c r="CI244" i="1" s="1"/>
  <c r="BP130" i="1"/>
  <c r="BP324" i="1"/>
  <c r="BP135" i="1"/>
  <c r="BP387" i="1"/>
  <c r="BP148" i="1"/>
  <c r="BP383" i="1"/>
  <c r="BP490" i="1"/>
  <c r="CH490" i="1" s="1"/>
  <c r="CI490" i="1" s="1"/>
  <c r="BP323" i="1"/>
  <c r="BP438" i="1"/>
  <c r="BP376" i="1"/>
  <c r="BP149" i="1"/>
  <c r="BP99" i="1"/>
  <c r="BP321" i="1"/>
  <c r="BP400" i="1"/>
  <c r="BP402" i="1"/>
  <c r="BP260" i="1"/>
  <c r="BP471" i="1"/>
  <c r="BP163" i="1"/>
  <c r="BP205" i="1"/>
  <c r="BP364" i="1"/>
  <c r="BP234" i="1"/>
  <c r="BP187" i="1"/>
  <c r="BP384" i="1"/>
  <c r="BP343" i="1"/>
  <c r="BP406" i="1"/>
  <c r="BP322" i="1"/>
  <c r="BP291" i="1"/>
  <c r="BP287" i="1"/>
  <c r="BP259" i="1"/>
  <c r="BP255" i="1"/>
  <c r="BP194" i="1"/>
  <c r="BP201" i="1"/>
  <c r="BP102" i="1"/>
  <c r="BP421" i="1"/>
  <c r="BP479" i="1"/>
  <c r="BP88" i="1"/>
  <c r="BP86" i="1"/>
  <c r="BP489" i="1"/>
  <c r="BP79" i="1"/>
  <c r="BP84" i="1"/>
  <c r="BP440" i="1"/>
  <c r="BP77" i="1"/>
  <c r="BP76" i="1"/>
  <c r="BP484" i="1"/>
  <c r="BP69" i="1"/>
  <c r="BP71" i="1"/>
  <c r="BP143" i="1"/>
  <c r="BP270" i="1"/>
  <c r="BP444" i="1"/>
  <c r="BP434" i="1"/>
  <c r="BP263" i="1"/>
  <c r="BP174" i="1"/>
  <c r="BP147" i="1"/>
  <c r="BP236" i="1"/>
  <c r="BP437" i="1"/>
  <c r="BP215" i="1"/>
  <c r="BP177" i="1"/>
  <c r="BP348" i="1"/>
  <c r="BP466" i="1"/>
  <c r="BP271" i="1"/>
  <c r="BP256" i="1"/>
  <c r="BP134" i="1"/>
  <c r="BP173" i="1"/>
  <c r="BP168" i="1"/>
  <c r="BP155" i="1"/>
  <c r="BP125" i="1"/>
  <c r="BP164" i="1"/>
  <c r="BP131" i="1"/>
  <c r="BP114" i="1"/>
  <c r="BP204" i="1"/>
  <c r="BP453" i="1"/>
  <c r="BP33" i="1"/>
  <c r="BP439" i="1"/>
  <c r="BP435" i="1"/>
  <c r="BP9" i="1"/>
  <c r="BP468" i="1"/>
  <c r="BI417" i="1"/>
  <c r="BI226" i="1"/>
  <c r="BI229" i="1"/>
  <c r="BI105" i="1"/>
  <c r="BI462" i="1"/>
  <c r="BI169" i="1"/>
  <c r="BI75" i="1"/>
  <c r="BI483" i="1"/>
  <c r="BI465" i="1"/>
  <c r="BI379" i="1"/>
  <c r="BI418" i="1"/>
  <c r="BI464" i="1"/>
  <c r="BI428" i="1"/>
  <c r="BI298" i="1"/>
  <c r="BI353" i="1"/>
  <c r="BI253" i="1"/>
  <c r="BI221" i="1"/>
  <c r="BI175" i="1"/>
  <c r="BI56" i="1"/>
  <c r="BI450" i="1"/>
  <c r="BI242" i="1"/>
  <c r="BI334" i="1"/>
  <c r="BI157" i="1"/>
  <c r="BI87" i="1"/>
  <c r="BI280" i="1"/>
  <c r="BI315" i="1"/>
  <c r="BI202" i="1"/>
  <c r="BI426" i="1"/>
  <c r="BI297" i="1"/>
  <c r="BI225" i="1"/>
  <c r="BI58" i="1"/>
  <c r="BI101" i="1"/>
  <c r="BI495" i="1"/>
  <c r="BI200" i="1"/>
  <c r="BI111" i="1"/>
  <c r="BI264" i="1"/>
  <c r="BI344" i="1"/>
  <c r="BI309" i="1"/>
  <c r="BI345" i="1"/>
  <c r="BI181" i="1"/>
  <c r="BI97" i="1"/>
  <c r="BI206" i="1"/>
  <c r="BI282" i="1"/>
  <c r="BI154" i="1"/>
  <c r="BI431" i="1"/>
  <c r="BI158" i="1"/>
  <c r="BI179" i="1"/>
  <c r="BI504" i="1"/>
  <c r="BI347" i="1"/>
  <c r="BI451" i="1"/>
  <c r="BI501" i="1"/>
  <c r="BI499" i="1"/>
  <c r="BI432" i="1"/>
  <c r="BI274" i="1"/>
  <c r="BI476" i="1"/>
  <c r="BI505" i="1"/>
  <c r="BI494" i="1"/>
  <c r="BI104" i="1"/>
  <c r="BI341" i="1"/>
  <c r="BI72" i="1"/>
  <c r="BI332" i="1"/>
  <c r="BI123" i="1"/>
  <c r="BI497" i="1"/>
  <c r="BI295" i="1"/>
  <c r="BI127" i="1"/>
  <c r="BI223" i="1"/>
  <c r="BI296" i="1"/>
  <c r="BI165" i="1"/>
  <c r="BI463" i="1"/>
  <c r="BI140" i="1"/>
  <c r="BI228" i="1"/>
  <c r="BI110" i="1"/>
  <c r="BI388" i="1"/>
  <c r="BI137" i="1"/>
  <c r="BI301" i="1"/>
  <c r="BI211" i="1"/>
  <c r="BI352" i="1"/>
  <c r="BI396" i="1"/>
  <c r="BI447" i="1"/>
  <c r="BI214" i="1"/>
  <c r="BI337" i="1"/>
  <c r="BI394" i="1"/>
  <c r="BI98" i="1"/>
  <c r="BI167" i="1"/>
  <c r="BI303" i="1"/>
  <c r="BI159" i="1"/>
  <c r="BI243" i="1"/>
  <c r="BI456" i="1"/>
  <c r="BI197" i="1"/>
  <c r="BI461" i="1"/>
  <c r="BI294" i="1"/>
  <c r="BI395" i="1"/>
  <c r="BI55" i="1"/>
  <c r="BI65" i="1"/>
  <c r="BI433" i="1"/>
  <c r="BI425" i="1"/>
  <c r="BI171" i="1"/>
  <c r="BI117" i="1"/>
  <c r="BI500" i="1"/>
  <c r="BI410" i="1"/>
  <c r="BI73" i="1"/>
  <c r="BI68" i="1"/>
  <c r="BI152" i="1"/>
  <c r="BI492" i="1"/>
  <c r="BI190" i="1"/>
  <c r="BI156" i="1"/>
  <c r="BI502" i="1"/>
  <c r="BI145" i="1"/>
  <c r="BI335" i="1"/>
  <c r="BI498" i="1"/>
  <c r="BI89" i="1"/>
  <c r="BI103" i="1"/>
  <c r="BI144" i="1"/>
  <c r="BI472" i="1"/>
  <c r="BI161" i="1"/>
  <c r="BI195" i="1"/>
  <c r="BI133" i="1"/>
  <c r="BI122" i="1"/>
  <c r="BI265" i="1"/>
  <c r="BI212" i="1"/>
  <c r="BI469" i="1"/>
  <c r="BI196" i="1"/>
  <c r="BI150" i="1"/>
  <c r="BI115" i="1"/>
  <c r="BI186" i="1"/>
  <c r="BI82" i="1"/>
  <c r="BI480" i="1"/>
  <c r="BI203" i="1"/>
  <c r="BI142" i="1"/>
  <c r="BI333" i="1"/>
  <c r="BI355" i="1"/>
  <c r="BI153" i="1"/>
  <c r="BI329" i="1"/>
  <c r="BI360" i="1"/>
  <c r="BI354" i="1"/>
  <c r="BI420" i="1"/>
  <c r="BI488" i="1"/>
  <c r="BI442" i="1"/>
  <c r="BI239" i="1"/>
  <c r="BI336" i="1"/>
  <c r="BI246" i="1"/>
  <c r="BI184" i="1"/>
  <c r="BI436" i="1"/>
  <c r="BI427" i="1"/>
  <c r="BI121" i="1"/>
  <c r="BI124" i="1"/>
  <c r="BI373" i="1"/>
  <c r="BI367" i="1"/>
  <c r="BI363" i="1"/>
  <c r="BI366" i="1"/>
  <c r="BI361" i="1"/>
  <c r="BI314" i="1"/>
  <c r="BI319" i="1"/>
  <c r="BI318" i="1"/>
  <c r="BI370" i="1"/>
  <c r="BI365" i="1"/>
  <c r="BI350" i="1"/>
  <c r="BI227" i="1"/>
  <c r="BI216" i="1"/>
  <c r="BI220" i="1"/>
  <c r="BI386" i="1"/>
  <c r="BI362" i="1"/>
  <c r="BI356" i="1"/>
  <c r="BI328" i="1"/>
  <c r="BI252" i="1"/>
  <c r="BI306" i="1"/>
  <c r="BI241" i="1"/>
  <c r="BI358" i="1"/>
  <c r="BI160" i="1"/>
  <c r="BI286" i="1"/>
  <c r="BI231" i="1"/>
  <c r="BI452" i="1"/>
  <c r="BI20" i="1"/>
  <c r="BI50" i="1"/>
  <c r="BI37" i="1"/>
  <c r="BI441" i="1"/>
  <c r="BI26" i="1"/>
  <c r="BI24" i="1"/>
  <c r="BI424" i="1"/>
  <c r="BI39" i="1"/>
  <c r="BI53" i="1"/>
  <c r="BI445" i="1"/>
  <c r="BI61" i="1"/>
  <c r="BI12" i="1"/>
  <c r="BI49" i="1"/>
  <c r="BI36" i="1"/>
  <c r="BI54" i="1"/>
  <c r="BI382" i="1"/>
  <c r="BI331" i="1"/>
  <c r="BI349" i="1"/>
  <c r="BI27" i="1"/>
  <c r="BI279" i="1"/>
  <c r="BI16" i="1"/>
  <c r="BI13" i="1"/>
  <c r="BI299" i="1"/>
  <c r="BI247" i="1"/>
  <c r="BI42" i="1"/>
  <c r="BI47" i="1"/>
  <c r="BI28" i="1"/>
  <c r="BI22" i="1"/>
  <c r="BI285" i="1"/>
  <c r="BI5" i="1"/>
  <c r="BI385" i="1"/>
  <c r="BI21" i="1"/>
  <c r="BI40" i="1"/>
  <c r="BI389" i="1"/>
  <c r="BI368" i="1"/>
  <c r="BI340" i="1"/>
  <c r="BI46" i="1"/>
  <c r="BI302" i="1"/>
  <c r="BI473" i="1"/>
  <c r="BI250" i="1"/>
  <c r="BI235" i="1"/>
  <c r="BI138" i="1"/>
  <c r="BI262" i="1"/>
  <c r="BI189" i="1"/>
  <c r="BI258" i="1"/>
  <c r="BI330" i="1"/>
  <c r="BI316" i="1"/>
  <c r="BI210" i="1"/>
  <c r="BI93" i="1"/>
  <c r="BI327" i="1"/>
  <c r="BI390" i="1"/>
  <c r="BI339" i="1"/>
  <c r="BI63" i="1"/>
  <c r="BI351" i="1"/>
  <c r="BI326" i="1"/>
  <c r="BI304" i="1"/>
  <c r="BI346" i="1"/>
  <c r="BI310" i="1"/>
  <c r="BI268" i="1"/>
  <c r="BI92" i="1"/>
  <c r="BI107" i="1"/>
  <c r="BI305" i="1"/>
  <c r="BI112" i="1"/>
  <c r="BI307" i="1"/>
  <c r="BI276" i="1"/>
  <c r="BI245" i="1"/>
  <c r="BI244" i="1"/>
  <c r="BI130" i="1"/>
  <c r="BI324" i="1"/>
  <c r="BI135" i="1"/>
  <c r="BI387" i="1"/>
  <c r="BI148" i="1"/>
  <c r="BI383" i="1"/>
  <c r="BI490" i="1"/>
  <c r="BI323" i="1"/>
  <c r="BI438" i="1"/>
  <c r="BI376" i="1"/>
  <c r="BI149" i="1"/>
  <c r="BI99" i="1"/>
  <c r="BI321" i="1"/>
  <c r="BI400" i="1"/>
  <c r="BI402" i="1"/>
  <c r="BI260" i="1"/>
  <c r="BI471" i="1"/>
  <c r="BI163" i="1"/>
  <c r="BI205" i="1"/>
  <c r="BI364" i="1"/>
  <c r="BI234" i="1"/>
  <c r="BI187" i="1"/>
  <c r="BI384" i="1"/>
  <c r="BI343" i="1"/>
  <c r="BI406" i="1"/>
  <c r="BI322" i="1"/>
  <c r="BI291" i="1"/>
  <c r="BI287" i="1"/>
  <c r="BI259" i="1"/>
  <c r="BI255" i="1"/>
  <c r="BI194" i="1"/>
  <c r="BI201" i="1"/>
  <c r="BI102" i="1"/>
  <c r="BI421" i="1"/>
  <c r="BI479" i="1"/>
  <c r="BI88" i="1"/>
  <c r="BI86" i="1"/>
  <c r="BI489" i="1"/>
  <c r="BI79" i="1"/>
  <c r="BI84" i="1"/>
  <c r="BI440" i="1"/>
  <c r="BI77" i="1"/>
  <c r="BI76" i="1"/>
  <c r="BI484" i="1"/>
  <c r="BI69" i="1"/>
  <c r="BI71" i="1"/>
  <c r="BI143" i="1"/>
  <c r="BI270" i="1"/>
  <c r="BI444" i="1"/>
  <c r="BI434" i="1"/>
  <c r="BI263" i="1"/>
  <c r="BI174" i="1"/>
  <c r="BI147" i="1"/>
  <c r="BI236" i="1"/>
  <c r="BI437" i="1"/>
  <c r="BI215" i="1"/>
  <c r="BI177" i="1"/>
  <c r="BI348" i="1"/>
  <c r="BI466" i="1"/>
  <c r="BI271" i="1"/>
  <c r="BI256" i="1"/>
  <c r="BI134" i="1"/>
  <c r="BI173" i="1"/>
  <c r="BI168" i="1"/>
  <c r="BI155" i="1"/>
  <c r="BI125" i="1"/>
  <c r="BI164" i="1"/>
  <c r="BI131" i="1"/>
  <c r="BI114" i="1"/>
  <c r="BI204" i="1"/>
  <c r="BI453" i="1"/>
  <c r="BI33" i="1"/>
  <c r="BI439" i="1"/>
  <c r="BI435" i="1"/>
  <c r="BI9" i="1"/>
  <c r="BI468" i="1"/>
  <c r="BZ461" i="1" l="1"/>
  <c r="CA461" i="1" s="1"/>
  <c r="BZ117" i="1"/>
  <c r="CA117" i="1" s="1"/>
  <c r="BZ211" i="1"/>
  <c r="CA211" i="1" s="1"/>
  <c r="BZ253" i="1"/>
  <c r="CA253" i="1" s="1"/>
  <c r="BZ175" i="1"/>
  <c r="CA175" i="1" s="1"/>
  <c r="BZ504" i="1"/>
  <c r="CA504" i="1" s="1"/>
  <c r="BZ501" i="1"/>
  <c r="CA501" i="1" s="1"/>
  <c r="BZ432" i="1"/>
  <c r="CA432" i="1" s="1"/>
  <c r="BZ274" i="1"/>
  <c r="CA274" i="1" s="1"/>
  <c r="BZ104" i="1"/>
  <c r="CA104" i="1" s="1"/>
  <c r="BZ223" i="1"/>
  <c r="CA223" i="1" s="1"/>
  <c r="BZ228" i="1"/>
  <c r="CA228" i="1" s="1"/>
  <c r="BZ241" i="1"/>
  <c r="CA241" i="1" s="1"/>
  <c r="BZ247" i="1"/>
  <c r="CA247" i="1" s="1"/>
  <c r="BZ250" i="1"/>
  <c r="CA250" i="1" s="1"/>
  <c r="BZ235" i="1"/>
  <c r="CA235" i="1" s="1"/>
  <c r="BZ189" i="1"/>
  <c r="CA189" i="1" s="1"/>
  <c r="BZ258" i="1"/>
  <c r="CA258" i="1" s="1"/>
  <c r="BZ210" i="1"/>
  <c r="CA210" i="1" s="1"/>
  <c r="BZ92" i="1"/>
  <c r="CA92" i="1" s="1"/>
  <c r="BZ245" i="1"/>
  <c r="CA245" i="1" s="1"/>
  <c r="BZ244" i="1"/>
  <c r="CA244" i="1" s="1"/>
  <c r="BZ130" i="1"/>
  <c r="CA130" i="1" s="1"/>
  <c r="BZ490" i="1"/>
  <c r="CA490" i="1" s="1"/>
  <c r="BZ263" i="1"/>
  <c r="CA263" i="1" s="1"/>
  <c r="BZ236" i="1"/>
  <c r="CA236" i="1" s="1"/>
  <c r="BZ437" i="1"/>
  <c r="CA437" i="1" s="1"/>
  <c r="BZ215" i="1"/>
  <c r="CA215" i="1" s="1"/>
  <c r="BZ271" i="1"/>
  <c r="CA271" i="1" s="1"/>
  <c r="BZ256" i="1"/>
  <c r="CA256" i="1" s="1"/>
  <c r="BZ204" i="1"/>
  <c r="CA204" i="1" s="1"/>
  <c r="BZ242" i="1"/>
  <c r="CA242" i="1" s="1"/>
  <c r="BZ58" i="1"/>
  <c r="CA58" i="1" s="1"/>
  <c r="BZ101" i="1"/>
  <c r="CA101" i="1" s="1"/>
  <c r="BZ200" i="1"/>
  <c r="CA200" i="1" s="1"/>
  <c r="BZ111" i="1"/>
  <c r="CA111" i="1" s="1"/>
  <c r="BZ181" i="1"/>
  <c r="CA181" i="1" s="1"/>
  <c r="BZ179" i="1"/>
  <c r="CA179" i="1" s="1"/>
  <c r="BZ500" i="1"/>
  <c r="CA500" i="1" s="1"/>
  <c r="BZ121" i="1"/>
  <c r="CA121" i="1" s="1"/>
  <c r="BZ124" i="1"/>
  <c r="CA124" i="1" s="1"/>
  <c r="BZ227" i="1"/>
  <c r="CA227" i="1" s="1"/>
  <c r="BZ220" i="1"/>
  <c r="CA220" i="1" s="1"/>
  <c r="BZ255" i="1"/>
  <c r="CA255" i="1" s="1"/>
  <c r="BZ194" i="1"/>
  <c r="CA194" i="1" s="1"/>
  <c r="BZ201" i="1"/>
  <c r="CA201" i="1" s="1"/>
  <c r="BZ86" i="1"/>
  <c r="CA86" i="1" s="1"/>
  <c r="BZ489" i="1"/>
  <c r="CA489" i="1" s="1"/>
  <c r="BZ79" i="1"/>
  <c r="CA79" i="1" s="1"/>
  <c r="BZ84" i="1"/>
  <c r="CA84" i="1" s="1"/>
  <c r="BZ440" i="1"/>
  <c r="CA440" i="1" s="1"/>
  <c r="BZ77" i="1"/>
  <c r="CA77" i="1" s="1"/>
  <c r="BZ190" i="1"/>
  <c r="CA190" i="1" s="1"/>
  <c r="BZ156" i="1"/>
  <c r="CA156" i="1" s="1"/>
  <c r="BZ502" i="1"/>
  <c r="CA502" i="1" s="1"/>
  <c r="BZ498" i="1"/>
  <c r="CA498" i="1" s="1"/>
  <c r="BZ472" i="1"/>
  <c r="CA472" i="1" s="1"/>
  <c r="BZ133" i="1"/>
  <c r="CA133" i="1" s="1"/>
  <c r="BZ122" i="1"/>
  <c r="CA122" i="1" s="1"/>
  <c r="BZ265" i="1"/>
  <c r="CA265" i="1" s="1"/>
  <c r="BZ115" i="1"/>
  <c r="CA115" i="1" s="1"/>
  <c r="BZ186" i="1"/>
  <c r="CA186" i="1" s="1"/>
  <c r="BZ82" i="1"/>
  <c r="CA82" i="1" s="1"/>
  <c r="BZ203" i="1"/>
  <c r="CA203" i="1" s="1"/>
  <c r="BZ420" i="1"/>
  <c r="CA420" i="1" s="1"/>
  <c r="BZ246" i="1"/>
  <c r="CA246" i="1" s="1"/>
  <c r="BZ184" i="1"/>
  <c r="CA184" i="1" s="1"/>
  <c r="BZ436" i="1"/>
  <c r="CA436" i="1" s="1"/>
  <c r="BZ441" i="1"/>
  <c r="CA441" i="1" s="1"/>
  <c r="BZ12" i="1"/>
  <c r="CA12" i="1" s="1"/>
  <c r="BZ438" i="1"/>
  <c r="CA438" i="1" s="1"/>
  <c r="BZ260" i="1"/>
  <c r="CA260" i="1" s="1"/>
  <c r="BZ471" i="1"/>
  <c r="CA471" i="1" s="1"/>
  <c r="BZ259" i="1"/>
  <c r="CA259" i="1" s="1"/>
  <c r="BZ439" i="1"/>
  <c r="CA439" i="1" s="1"/>
  <c r="BZ435" i="1"/>
  <c r="CA435" i="1" s="1"/>
  <c r="BZ9" i="1"/>
  <c r="CA9" i="1" s="1"/>
  <c r="BZ462" i="1"/>
  <c r="CA462" i="1" s="1"/>
  <c r="CU462" i="1"/>
  <c r="CV462" i="1" s="1"/>
  <c r="BZ169" i="1"/>
  <c r="CA169" i="1" s="1"/>
  <c r="CU169" i="1"/>
  <c r="CV169" i="1" s="1"/>
  <c r="BZ73" i="1"/>
  <c r="CA73" i="1" s="1"/>
  <c r="CU73" i="1"/>
  <c r="CV73" i="1" s="1"/>
  <c r="BZ138" i="1"/>
  <c r="CA138" i="1" s="1"/>
  <c r="CU138" i="1"/>
  <c r="CV138" i="1" s="1"/>
  <c r="BZ114" i="1"/>
  <c r="CA114" i="1" s="1"/>
  <c r="CU114" i="1"/>
  <c r="CV114" i="1" s="1"/>
  <c r="CE417" i="1"/>
  <c r="BZ417" i="1"/>
  <c r="CA417" i="1" s="1"/>
  <c r="CU105" i="1"/>
  <c r="CV105" i="1" s="1"/>
  <c r="BZ105" i="1"/>
  <c r="CA105" i="1" s="1"/>
  <c r="CU418" i="1"/>
  <c r="CV418" i="1" s="1"/>
  <c r="BZ418" i="1"/>
  <c r="CA418" i="1" s="1"/>
  <c r="CU464" i="1"/>
  <c r="CV464" i="1" s="1"/>
  <c r="BZ464" i="1"/>
  <c r="CA464" i="1" s="1"/>
  <c r="BZ428" i="1"/>
  <c r="CA428" i="1" s="1"/>
  <c r="CU428" i="1"/>
  <c r="CV428" i="1" s="1"/>
  <c r="CU56" i="1"/>
  <c r="CV56" i="1" s="1"/>
  <c r="BZ56" i="1"/>
  <c r="CA56" i="1" s="1"/>
  <c r="CU120" i="1"/>
  <c r="CV120" i="1" s="1"/>
  <c r="CU157" i="1"/>
  <c r="CV157" i="1" s="1"/>
  <c r="BZ157" i="1"/>
  <c r="CA157" i="1" s="1"/>
  <c r="CU485" i="1"/>
  <c r="CV485" i="1" s="1"/>
  <c r="CU154" i="1"/>
  <c r="CV154" i="1" s="1"/>
  <c r="BZ154" i="1"/>
  <c r="CA154" i="1" s="1"/>
  <c r="CU431" i="1"/>
  <c r="CV431" i="1" s="1"/>
  <c r="BZ431" i="1"/>
  <c r="CA431" i="1" s="1"/>
  <c r="CU158" i="1"/>
  <c r="CV158" i="1" s="1"/>
  <c r="BZ158" i="1"/>
  <c r="CA158" i="1" s="1"/>
  <c r="BZ499" i="1"/>
  <c r="CA499" i="1" s="1"/>
  <c r="CU499" i="1"/>
  <c r="CV499" i="1" s="1"/>
  <c r="CU72" i="1"/>
  <c r="CV72" i="1" s="1"/>
  <c r="BZ72" i="1"/>
  <c r="CA72" i="1" s="1"/>
  <c r="CU497" i="1"/>
  <c r="CV497" i="1" s="1"/>
  <c r="BZ497" i="1"/>
  <c r="CA497" i="1" s="1"/>
  <c r="CU127" i="1"/>
  <c r="CV127" i="1" s="1"/>
  <c r="BZ127" i="1"/>
  <c r="CA127" i="1" s="1"/>
  <c r="BZ463" i="1"/>
  <c r="CA463" i="1" s="1"/>
  <c r="CU463" i="1"/>
  <c r="CV463" i="1" s="1"/>
  <c r="CU140" i="1"/>
  <c r="CV140" i="1" s="1"/>
  <c r="BZ140" i="1"/>
  <c r="CA140" i="1" s="1"/>
  <c r="CU110" i="1"/>
  <c r="CV110" i="1" s="1"/>
  <c r="BZ110" i="1"/>
  <c r="CA110" i="1" s="1"/>
  <c r="CU137" i="1"/>
  <c r="CV137" i="1" s="1"/>
  <c r="BZ137" i="1"/>
  <c r="CA137" i="1" s="1"/>
  <c r="CU167" i="1"/>
  <c r="CV167" i="1" s="1"/>
  <c r="BZ167" i="1"/>
  <c r="CA167" i="1" s="1"/>
  <c r="BZ159" i="1"/>
  <c r="CA159" i="1" s="1"/>
  <c r="CU159" i="1"/>
  <c r="CV159" i="1" s="1"/>
  <c r="CU65" i="1"/>
  <c r="CV65" i="1" s="1"/>
  <c r="BZ65" i="1"/>
  <c r="CA65" i="1" s="1"/>
  <c r="CU433" i="1"/>
  <c r="CV433" i="1" s="1"/>
  <c r="BZ433" i="1"/>
  <c r="CA433" i="1" s="1"/>
  <c r="CU425" i="1"/>
  <c r="CV425" i="1" s="1"/>
  <c r="BZ425" i="1"/>
  <c r="CA425" i="1" s="1"/>
  <c r="CU171" i="1"/>
  <c r="CV171" i="1" s="1"/>
  <c r="BZ171" i="1"/>
  <c r="CA171" i="1" s="1"/>
  <c r="CU68" i="1"/>
  <c r="CV68" i="1" s="1"/>
  <c r="BZ68" i="1"/>
  <c r="CA68" i="1" s="1"/>
  <c r="CU152" i="1"/>
  <c r="CV152" i="1" s="1"/>
  <c r="BZ152" i="1"/>
  <c r="CA152" i="1" s="1"/>
  <c r="CU145" i="1"/>
  <c r="CV145" i="1" s="1"/>
  <c r="BZ145" i="1"/>
  <c r="CA145" i="1" s="1"/>
  <c r="CU103" i="1"/>
  <c r="CV103" i="1" s="1"/>
  <c r="BZ103" i="1"/>
  <c r="CA103" i="1" s="1"/>
  <c r="CU144" i="1"/>
  <c r="CV144" i="1" s="1"/>
  <c r="BZ144" i="1"/>
  <c r="CA144" i="1" s="1"/>
  <c r="CU161" i="1"/>
  <c r="CV161" i="1" s="1"/>
  <c r="BZ161" i="1"/>
  <c r="CA161" i="1" s="1"/>
  <c r="CU469" i="1"/>
  <c r="CV469" i="1" s="1"/>
  <c r="BZ469" i="1"/>
  <c r="CA469" i="1" s="1"/>
  <c r="CU128" i="1"/>
  <c r="CV128" i="1" s="1"/>
  <c r="CU153" i="1"/>
  <c r="CV153" i="1" s="1"/>
  <c r="BZ153" i="1"/>
  <c r="CA153" i="1" s="1"/>
  <c r="BZ5" i="1"/>
  <c r="CA5" i="1" s="1"/>
  <c r="CU5" i="1"/>
  <c r="CV5" i="1" s="1"/>
  <c r="CU3" i="1"/>
  <c r="CV3" i="1" s="1"/>
  <c r="CU91" i="1"/>
  <c r="CV91" i="1" s="1"/>
  <c r="CU107" i="1"/>
  <c r="CV107" i="1" s="1"/>
  <c r="BZ107" i="1"/>
  <c r="CA107" i="1" s="1"/>
  <c r="BZ112" i="1"/>
  <c r="CA112" i="1" s="1"/>
  <c r="CU112" i="1"/>
  <c r="CV112" i="1" s="1"/>
  <c r="CU100" i="1"/>
  <c r="CV100" i="1" s="1"/>
  <c r="CU487" i="1"/>
  <c r="CV487" i="1" s="1"/>
  <c r="CU69" i="1"/>
  <c r="CV69" i="1" s="1"/>
  <c r="BZ69" i="1"/>
  <c r="CA69" i="1" s="1"/>
  <c r="CU71" i="1"/>
  <c r="CV71" i="1" s="1"/>
  <c r="BZ71" i="1"/>
  <c r="CA71" i="1" s="1"/>
  <c r="CU143" i="1"/>
  <c r="CV143" i="1" s="1"/>
  <c r="BZ143" i="1"/>
  <c r="CA143" i="1" s="1"/>
  <c r="CU174" i="1"/>
  <c r="CV174" i="1" s="1"/>
  <c r="BZ174" i="1"/>
  <c r="CA174" i="1" s="1"/>
  <c r="CU147" i="1"/>
  <c r="CV147" i="1" s="1"/>
  <c r="BZ147" i="1"/>
  <c r="CA147" i="1" s="1"/>
  <c r="CU177" i="1"/>
  <c r="CV177" i="1" s="1"/>
  <c r="BZ177" i="1"/>
  <c r="CA177" i="1" s="1"/>
  <c r="CU466" i="1"/>
  <c r="CV466" i="1" s="1"/>
  <c r="BZ466" i="1"/>
  <c r="CA466" i="1" s="1"/>
  <c r="CU116" i="1"/>
  <c r="CV116" i="1" s="1"/>
  <c r="CU467" i="1"/>
  <c r="CV467" i="1" s="1"/>
  <c r="CU134" i="1"/>
  <c r="CV134" i="1" s="1"/>
  <c r="BZ134" i="1"/>
  <c r="CA134" i="1" s="1"/>
  <c r="CU173" i="1"/>
  <c r="CV173" i="1" s="1"/>
  <c r="BZ173" i="1"/>
  <c r="CA173" i="1" s="1"/>
  <c r="CU168" i="1"/>
  <c r="CV168" i="1" s="1"/>
  <c r="BZ168" i="1"/>
  <c r="CA168" i="1" s="1"/>
  <c r="CU155" i="1"/>
  <c r="CV155" i="1" s="1"/>
  <c r="BZ155" i="1"/>
  <c r="CA155" i="1" s="1"/>
  <c r="CU164" i="1"/>
  <c r="CV164" i="1" s="1"/>
  <c r="BZ164" i="1"/>
  <c r="CA164" i="1" s="1"/>
  <c r="CU419" i="1"/>
  <c r="CV419" i="1" s="1"/>
  <c r="CU468" i="1"/>
  <c r="CV468" i="1" s="1"/>
  <c r="BZ468" i="1"/>
  <c r="CA468" i="1" s="1"/>
  <c r="CU430" i="1"/>
  <c r="CV430" i="1" s="1"/>
  <c r="CH417" i="1"/>
  <c r="CI417" i="1" s="1"/>
  <c r="CH226" i="1"/>
  <c r="CI226" i="1" s="1"/>
  <c r="CH229" i="1"/>
  <c r="CI229" i="1" s="1"/>
  <c r="CH105" i="1"/>
  <c r="CI105" i="1" s="1"/>
  <c r="CH462" i="1"/>
  <c r="CI462" i="1" s="1"/>
  <c r="CH169" i="1"/>
  <c r="CI169" i="1" s="1"/>
  <c r="BQ75" i="1"/>
  <c r="CH483" i="1"/>
  <c r="CI483" i="1" s="1"/>
  <c r="BQ465" i="1"/>
  <c r="BQ379" i="1"/>
  <c r="CH418" i="1"/>
  <c r="CI418" i="1" s="1"/>
  <c r="CH464" i="1"/>
  <c r="CI464" i="1" s="1"/>
  <c r="CH428" i="1"/>
  <c r="CI428" i="1" s="1"/>
  <c r="BQ298" i="1"/>
  <c r="BQ353" i="1"/>
  <c r="CH253" i="1"/>
  <c r="CI253" i="1" s="1"/>
  <c r="BQ221" i="1"/>
  <c r="CH175" i="1"/>
  <c r="CI175" i="1" s="1"/>
  <c r="CH56" i="1"/>
  <c r="CI56" i="1" s="1"/>
  <c r="BQ450" i="1"/>
  <c r="CH242" i="1"/>
  <c r="CI242" i="1" s="1"/>
  <c r="BQ334" i="1"/>
  <c r="CH157" i="1"/>
  <c r="CI157" i="1" s="1"/>
  <c r="BQ87" i="1"/>
  <c r="BQ280" i="1"/>
  <c r="BQ315" i="1"/>
  <c r="BQ202" i="1"/>
  <c r="BQ426" i="1"/>
  <c r="BQ297" i="1"/>
  <c r="BQ225" i="1"/>
  <c r="CH58" i="1"/>
  <c r="CI58" i="1" s="1"/>
  <c r="CH101" i="1"/>
  <c r="CI101" i="1" s="1"/>
  <c r="BQ495" i="1"/>
  <c r="CH200" i="1"/>
  <c r="CI200" i="1" s="1"/>
  <c r="CH111" i="1"/>
  <c r="CI111" i="1" s="1"/>
  <c r="BQ264" i="1"/>
  <c r="BQ344" i="1"/>
  <c r="BQ309" i="1"/>
  <c r="BQ345" i="1"/>
  <c r="CH181" i="1"/>
  <c r="CI181" i="1" s="1"/>
  <c r="BQ97" i="1"/>
  <c r="BQ206" i="1"/>
  <c r="BQ282" i="1"/>
  <c r="CH154" i="1"/>
  <c r="CI154" i="1" s="1"/>
  <c r="CH431" i="1"/>
  <c r="CI431" i="1" s="1"/>
  <c r="CH158" i="1"/>
  <c r="CI158" i="1" s="1"/>
  <c r="CH179" i="1"/>
  <c r="CI179" i="1" s="1"/>
  <c r="CH504" i="1"/>
  <c r="CI504" i="1" s="1"/>
  <c r="BQ347" i="1"/>
  <c r="BQ451" i="1"/>
  <c r="CH501" i="1"/>
  <c r="CI501" i="1" s="1"/>
  <c r="CH499" i="1"/>
  <c r="CI499" i="1" s="1"/>
  <c r="CH432" i="1"/>
  <c r="CI432" i="1" s="1"/>
  <c r="CH274" i="1"/>
  <c r="CI274" i="1" s="1"/>
  <c r="BQ476" i="1"/>
  <c r="BQ505" i="1"/>
  <c r="BQ494" i="1"/>
  <c r="CH104" i="1"/>
  <c r="CI104" i="1" s="1"/>
  <c r="BQ341" i="1"/>
  <c r="CH72" i="1"/>
  <c r="CI72" i="1" s="1"/>
  <c r="BQ332" i="1"/>
  <c r="BQ123" i="1"/>
  <c r="CH497" i="1"/>
  <c r="CI497" i="1" s="1"/>
  <c r="BQ295" i="1"/>
  <c r="CH127" i="1"/>
  <c r="CI127" i="1" s="1"/>
  <c r="CH223" i="1"/>
  <c r="CI223" i="1" s="1"/>
  <c r="BQ296" i="1"/>
  <c r="BQ165" i="1"/>
  <c r="CH463" i="1"/>
  <c r="CI463" i="1" s="1"/>
  <c r="CH140" i="1"/>
  <c r="CI140" i="1" s="1"/>
  <c r="CH228" i="1"/>
  <c r="CI228" i="1" s="1"/>
  <c r="CH110" i="1"/>
  <c r="CI110" i="1" s="1"/>
  <c r="BQ388" i="1"/>
  <c r="CH137" i="1"/>
  <c r="CI137" i="1" s="1"/>
  <c r="BQ301" i="1"/>
  <c r="CH211" i="1"/>
  <c r="CI211" i="1" s="1"/>
  <c r="BQ352" i="1"/>
  <c r="BQ396" i="1"/>
  <c r="BQ447" i="1"/>
  <c r="BQ214" i="1"/>
  <c r="BQ337" i="1"/>
  <c r="BQ394" i="1"/>
  <c r="BQ98" i="1"/>
  <c r="CH167" i="1"/>
  <c r="CI167" i="1" s="1"/>
  <c r="BQ303" i="1"/>
  <c r="CH159" i="1"/>
  <c r="CI159" i="1" s="1"/>
  <c r="BQ243" i="1"/>
  <c r="BQ456" i="1"/>
  <c r="BQ197" i="1"/>
  <c r="CH461" i="1"/>
  <c r="CI461" i="1" s="1"/>
  <c r="BQ294" i="1"/>
  <c r="BQ395" i="1"/>
  <c r="BQ55" i="1"/>
  <c r="CH65" i="1"/>
  <c r="CI65" i="1" s="1"/>
  <c r="CH433" i="1"/>
  <c r="CI433" i="1" s="1"/>
  <c r="CH425" i="1"/>
  <c r="CI425" i="1" s="1"/>
  <c r="CH171" i="1"/>
  <c r="CI171" i="1" s="1"/>
  <c r="CH117" i="1"/>
  <c r="CI117" i="1" s="1"/>
  <c r="CH500" i="1"/>
  <c r="CI500" i="1" s="1"/>
  <c r="BQ410" i="1"/>
  <c r="CH73" i="1"/>
  <c r="CI73" i="1" s="1"/>
  <c r="CH68" i="1"/>
  <c r="CI68" i="1" s="1"/>
  <c r="CH152" i="1"/>
  <c r="CI152" i="1" s="1"/>
  <c r="BQ492" i="1"/>
  <c r="CH190" i="1"/>
  <c r="CI190" i="1" s="1"/>
  <c r="CH156" i="1"/>
  <c r="CI156" i="1" s="1"/>
  <c r="CH502" i="1"/>
  <c r="CI502" i="1" s="1"/>
  <c r="CH145" i="1"/>
  <c r="CI145" i="1" s="1"/>
  <c r="BQ335" i="1"/>
  <c r="CH498" i="1"/>
  <c r="CI498" i="1" s="1"/>
  <c r="BQ89" i="1"/>
  <c r="CH103" i="1"/>
  <c r="CI103" i="1" s="1"/>
  <c r="CH144" i="1"/>
  <c r="CI144" i="1" s="1"/>
  <c r="CH472" i="1"/>
  <c r="CI472" i="1" s="1"/>
  <c r="CH161" i="1"/>
  <c r="CI161" i="1" s="1"/>
  <c r="BQ195" i="1"/>
  <c r="CH133" i="1"/>
  <c r="CI133" i="1" s="1"/>
  <c r="CH122" i="1"/>
  <c r="CI122" i="1" s="1"/>
  <c r="CH265" i="1"/>
  <c r="CI265" i="1" s="1"/>
  <c r="BQ212" i="1"/>
  <c r="CH469" i="1"/>
  <c r="CI469" i="1" s="1"/>
  <c r="BQ196" i="1"/>
  <c r="BQ150" i="1"/>
  <c r="CH115" i="1"/>
  <c r="CI115" i="1" s="1"/>
  <c r="CH186" i="1"/>
  <c r="CI186" i="1" s="1"/>
  <c r="CH82" i="1"/>
  <c r="CI82" i="1" s="1"/>
  <c r="BM82" i="1"/>
  <c r="BN82" i="1" s="1"/>
  <c r="BQ480" i="1"/>
  <c r="BM480" i="1"/>
  <c r="BN480" i="1" s="1"/>
  <c r="CH203" i="1"/>
  <c r="CI203" i="1" s="1"/>
  <c r="BQ142" i="1"/>
  <c r="BM142" i="1"/>
  <c r="BN142" i="1" s="1"/>
  <c r="BQ333" i="1"/>
  <c r="BM333" i="1"/>
  <c r="BN333" i="1" s="1"/>
  <c r="BQ355" i="1"/>
  <c r="BM355" i="1"/>
  <c r="BN355" i="1" s="1"/>
  <c r="CH153" i="1"/>
  <c r="CI153" i="1" s="1"/>
  <c r="BM153" i="1"/>
  <c r="BN153" i="1" s="1"/>
  <c r="BQ329" i="1"/>
  <c r="BM329" i="1"/>
  <c r="BN329" i="1" s="1"/>
  <c r="BQ360" i="1"/>
  <c r="BM360" i="1"/>
  <c r="BN360" i="1" s="1"/>
  <c r="BQ354" i="1"/>
  <c r="CH420" i="1"/>
  <c r="CI420" i="1" s="1"/>
  <c r="BQ488" i="1"/>
  <c r="BQ442" i="1"/>
  <c r="BQ239" i="1"/>
  <c r="BQ336" i="1"/>
  <c r="CH246" i="1"/>
  <c r="CI246" i="1" s="1"/>
  <c r="CH184" i="1"/>
  <c r="CI184" i="1" s="1"/>
  <c r="CH436" i="1"/>
  <c r="CI436" i="1" s="1"/>
  <c r="BQ427" i="1"/>
  <c r="CH121" i="1"/>
  <c r="CI121" i="1" s="1"/>
  <c r="CH124" i="1"/>
  <c r="CI124" i="1" s="1"/>
  <c r="BQ373" i="1"/>
  <c r="BQ363" i="1"/>
  <c r="BQ366" i="1"/>
  <c r="BQ361" i="1"/>
  <c r="BQ314" i="1"/>
  <c r="BQ319" i="1"/>
  <c r="BQ318" i="1"/>
  <c r="BQ370" i="1"/>
  <c r="BQ365" i="1"/>
  <c r="BQ350" i="1"/>
  <c r="BQ216" i="1"/>
  <c r="BQ386" i="1"/>
  <c r="BQ362" i="1"/>
  <c r="BQ356" i="1"/>
  <c r="BQ328" i="1"/>
  <c r="BQ252" i="1"/>
  <c r="BQ306" i="1"/>
  <c r="CH241" i="1"/>
  <c r="CI241" i="1" s="1"/>
  <c r="BQ358" i="1"/>
  <c r="BQ160" i="1"/>
  <c r="BQ286" i="1"/>
  <c r="CH231" i="1"/>
  <c r="CI231" i="1" s="1"/>
  <c r="BQ452" i="1"/>
  <c r="BQ20" i="1"/>
  <c r="BQ50" i="1"/>
  <c r="BQ37" i="1"/>
  <c r="CH441" i="1"/>
  <c r="CI441" i="1" s="1"/>
  <c r="BQ26" i="1"/>
  <c r="BQ24" i="1"/>
  <c r="CH424" i="1"/>
  <c r="CI424" i="1" s="1"/>
  <c r="BQ39" i="1"/>
  <c r="BQ53" i="1"/>
  <c r="BQ445" i="1"/>
  <c r="CH12" i="1"/>
  <c r="CI12" i="1" s="1"/>
  <c r="BQ49" i="1"/>
  <c r="BQ36" i="1"/>
  <c r="BQ54" i="1"/>
  <c r="BQ382" i="1"/>
  <c r="BQ331" i="1"/>
  <c r="BQ349" i="1"/>
  <c r="BQ27" i="1"/>
  <c r="BQ279" i="1"/>
  <c r="BQ16" i="1"/>
  <c r="BQ13" i="1"/>
  <c r="BQ299" i="1"/>
  <c r="CH247" i="1"/>
  <c r="CI247" i="1" s="1"/>
  <c r="BQ42" i="1"/>
  <c r="BQ47" i="1"/>
  <c r="BQ28" i="1"/>
  <c r="BQ285" i="1"/>
  <c r="CH5" i="1"/>
  <c r="CI5" i="1" s="1"/>
  <c r="BQ385" i="1"/>
  <c r="BQ21" i="1"/>
  <c r="BQ40" i="1"/>
  <c r="BQ389" i="1"/>
  <c r="BQ368" i="1"/>
  <c r="BQ340" i="1"/>
  <c r="BQ46" i="1"/>
  <c r="BQ302" i="1"/>
  <c r="BQ473" i="1"/>
  <c r="CH250" i="1"/>
  <c r="CI250" i="1" s="1"/>
  <c r="CH235" i="1"/>
  <c r="CI235" i="1" s="1"/>
  <c r="CH138" i="1"/>
  <c r="CI138" i="1" s="1"/>
  <c r="BQ262" i="1"/>
  <c r="CH189" i="1"/>
  <c r="CI189" i="1" s="1"/>
  <c r="CH258" i="1"/>
  <c r="CI258" i="1" s="1"/>
  <c r="BQ330" i="1"/>
  <c r="BQ316" i="1"/>
  <c r="CH210" i="1"/>
  <c r="CI210" i="1" s="1"/>
  <c r="CH93" i="1"/>
  <c r="CI93" i="1" s="1"/>
  <c r="BQ327" i="1"/>
  <c r="BQ390" i="1"/>
  <c r="BQ339" i="1"/>
  <c r="BQ63" i="1"/>
  <c r="BQ351" i="1"/>
  <c r="BQ326" i="1"/>
  <c r="BQ304" i="1"/>
  <c r="BQ346" i="1"/>
  <c r="BQ310" i="1"/>
  <c r="BQ268" i="1"/>
  <c r="CH92" i="1"/>
  <c r="CI92" i="1" s="1"/>
  <c r="BQ107" i="1"/>
  <c r="BQ305" i="1"/>
  <c r="BQ307" i="1"/>
  <c r="BQ276" i="1"/>
  <c r="CH130" i="1"/>
  <c r="CI130" i="1" s="1"/>
  <c r="BQ324" i="1"/>
  <c r="BQ135" i="1"/>
  <c r="BQ387" i="1"/>
  <c r="BQ148" i="1"/>
  <c r="BQ383" i="1"/>
  <c r="BQ323" i="1"/>
  <c r="CH438" i="1"/>
  <c r="CI438" i="1" s="1"/>
  <c r="BQ376" i="1"/>
  <c r="BQ149" i="1"/>
  <c r="BQ99" i="1"/>
  <c r="BQ321" i="1"/>
  <c r="BQ400" i="1"/>
  <c r="BQ402" i="1"/>
  <c r="CH260" i="1"/>
  <c r="CI260" i="1" s="1"/>
  <c r="CH471" i="1"/>
  <c r="CI471" i="1" s="1"/>
  <c r="BQ163" i="1"/>
  <c r="BQ205" i="1"/>
  <c r="BQ364" i="1"/>
  <c r="BQ234" i="1"/>
  <c r="BQ187" i="1"/>
  <c r="BQ384" i="1"/>
  <c r="BQ343" i="1"/>
  <c r="BQ406" i="1"/>
  <c r="BQ322" i="1"/>
  <c r="BQ291" i="1"/>
  <c r="BQ287" i="1"/>
  <c r="CH259" i="1"/>
  <c r="CI259" i="1" s="1"/>
  <c r="CH255" i="1"/>
  <c r="CI255" i="1" s="1"/>
  <c r="CH194" i="1"/>
  <c r="CI194" i="1" s="1"/>
  <c r="CH201" i="1"/>
  <c r="CI201" i="1" s="1"/>
  <c r="BQ102" i="1"/>
  <c r="BQ421" i="1"/>
  <c r="BQ479" i="1"/>
  <c r="BQ88" i="1"/>
  <c r="CH86" i="1"/>
  <c r="CI86" i="1" s="1"/>
  <c r="CH489" i="1"/>
  <c r="CI489" i="1" s="1"/>
  <c r="CH79" i="1"/>
  <c r="CI79" i="1" s="1"/>
  <c r="CH84" i="1"/>
  <c r="CI84" i="1" s="1"/>
  <c r="CH440" i="1"/>
  <c r="CI440" i="1" s="1"/>
  <c r="CH77" i="1"/>
  <c r="CI77" i="1" s="1"/>
  <c r="BQ76" i="1"/>
  <c r="BQ484" i="1"/>
  <c r="CH69" i="1"/>
  <c r="CI69" i="1" s="1"/>
  <c r="CH71" i="1"/>
  <c r="CI71" i="1" s="1"/>
  <c r="CH143" i="1"/>
  <c r="CI143" i="1" s="1"/>
  <c r="BQ270" i="1"/>
  <c r="BQ444" i="1"/>
  <c r="BQ434" i="1"/>
  <c r="CH263" i="1"/>
  <c r="CI263" i="1" s="1"/>
  <c r="CH174" i="1"/>
  <c r="CI174" i="1" s="1"/>
  <c r="CH147" i="1"/>
  <c r="CI147" i="1" s="1"/>
  <c r="CH236" i="1"/>
  <c r="CI236" i="1" s="1"/>
  <c r="CH437" i="1"/>
  <c r="CI437" i="1" s="1"/>
  <c r="CH215" i="1"/>
  <c r="CI215" i="1" s="1"/>
  <c r="CH177" i="1"/>
  <c r="CI177" i="1" s="1"/>
  <c r="BQ348" i="1"/>
  <c r="CH466" i="1"/>
  <c r="CI466" i="1" s="1"/>
  <c r="CH271" i="1"/>
  <c r="CI271" i="1" s="1"/>
  <c r="CH256" i="1"/>
  <c r="CI256" i="1" s="1"/>
  <c r="CH134" i="1"/>
  <c r="CI134" i="1" s="1"/>
  <c r="CH173" i="1"/>
  <c r="CI173" i="1" s="1"/>
  <c r="CH168" i="1"/>
  <c r="CI168" i="1" s="1"/>
  <c r="CH155" i="1"/>
  <c r="CI155" i="1" s="1"/>
  <c r="BQ125" i="1"/>
  <c r="CH164" i="1"/>
  <c r="CI164" i="1" s="1"/>
  <c r="BQ131" i="1"/>
  <c r="CH114" i="1"/>
  <c r="CI114" i="1" s="1"/>
  <c r="CH204" i="1"/>
  <c r="CI204" i="1" s="1"/>
  <c r="BQ453" i="1"/>
  <c r="BQ33" i="1"/>
  <c r="CH439" i="1"/>
  <c r="CI439" i="1" s="1"/>
  <c r="CH435" i="1"/>
  <c r="CI435" i="1" s="1"/>
  <c r="CH9" i="1"/>
  <c r="CI9" i="1" s="1"/>
  <c r="CH468" i="1"/>
  <c r="CI468" i="1" s="1"/>
  <c r="BW96" i="1"/>
  <c r="CP96" i="1" s="1"/>
  <c r="BS96" i="1"/>
  <c r="BT96" i="1" s="1"/>
  <c r="CQ482" i="1"/>
  <c r="CO482" i="1"/>
  <c r="DE486" i="1"/>
  <c r="DB486" i="1"/>
  <c r="DC486" i="1" s="1"/>
  <c r="DE191" i="1"/>
  <c r="DB191" i="1"/>
  <c r="DC191" i="1" s="1"/>
  <c r="DE184" i="1"/>
  <c r="DB184" i="1"/>
  <c r="DC184" i="1" s="1"/>
  <c r="DE111" i="1"/>
  <c r="DB111" i="1"/>
  <c r="DC111" i="1" s="1"/>
  <c r="DE179" i="1"/>
  <c r="DB179" i="1"/>
  <c r="DC179" i="1" s="1"/>
  <c r="DE175" i="1"/>
  <c r="DB175" i="1"/>
  <c r="DC175" i="1" s="1"/>
  <c r="DE483" i="1"/>
  <c r="DB483" i="1"/>
  <c r="DC483" i="1" s="1"/>
  <c r="DE190" i="1"/>
  <c r="DB190" i="1"/>
  <c r="DC190" i="1" s="1"/>
  <c r="DE432" i="1"/>
  <c r="DB432" i="1"/>
  <c r="DC432" i="1" s="1"/>
  <c r="DE117" i="1"/>
  <c r="DB117" i="1"/>
  <c r="DC117" i="1" s="1"/>
  <c r="DE92" i="1"/>
  <c r="DB92" i="1"/>
  <c r="DC92" i="1" s="1"/>
  <c r="DE253" i="1"/>
  <c r="DB253" i="1"/>
  <c r="DC253" i="1" s="1"/>
  <c r="DE74" i="1"/>
  <c r="DB74" i="1"/>
  <c r="DC74" i="1" s="1"/>
  <c r="DE481" i="1"/>
  <c r="DB481" i="1"/>
  <c r="DC481" i="1" s="1"/>
  <c r="DE461" i="1"/>
  <c r="DB461" i="1"/>
  <c r="DC461" i="1" s="1"/>
  <c r="DE66" i="1"/>
  <c r="DB66" i="1"/>
  <c r="DC66" i="1" s="1"/>
  <c r="DE101" i="1"/>
  <c r="DB101" i="1"/>
  <c r="DC101" i="1" s="1"/>
  <c r="DE104" i="1"/>
  <c r="DB104" i="1"/>
  <c r="DC104" i="1" s="1"/>
  <c r="DE115" i="1"/>
  <c r="DB115" i="1"/>
  <c r="DC115" i="1" s="1"/>
  <c r="DE130" i="1"/>
  <c r="DB130" i="1"/>
  <c r="DC130" i="1" s="1"/>
  <c r="CN96" i="1"/>
  <c r="CJ439" i="1"/>
  <c r="BQ439" i="1"/>
  <c r="CJ114" i="1"/>
  <c r="BQ114" i="1"/>
  <c r="CJ155" i="1"/>
  <c r="BQ155" i="1"/>
  <c r="CJ256" i="1"/>
  <c r="BQ256" i="1"/>
  <c r="CJ177" i="1"/>
  <c r="BQ177" i="1"/>
  <c r="CJ147" i="1"/>
  <c r="BQ147" i="1"/>
  <c r="CJ69" i="1"/>
  <c r="BQ69" i="1"/>
  <c r="CJ440" i="1"/>
  <c r="BQ440" i="1"/>
  <c r="CJ86" i="1"/>
  <c r="BQ86" i="1"/>
  <c r="CJ259" i="1"/>
  <c r="BQ259" i="1"/>
  <c r="CJ471" i="1"/>
  <c r="BQ471" i="1"/>
  <c r="CJ438" i="1"/>
  <c r="BQ438" i="1"/>
  <c r="CJ130" i="1"/>
  <c r="BQ130" i="1"/>
  <c r="CJ92" i="1"/>
  <c r="BQ92" i="1"/>
  <c r="CJ210" i="1"/>
  <c r="BQ210" i="1"/>
  <c r="CJ189" i="1"/>
  <c r="BQ189" i="1"/>
  <c r="CJ250" i="1"/>
  <c r="BQ250" i="1"/>
  <c r="CJ227" i="1"/>
  <c r="BQ227" i="1"/>
  <c r="CJ121" i="1"/>
  <c r="BQ121" i="1"/>
  <c r="CJ246" i="1"/>
  <c r="BQ246" i="1"/>
  <c r="CJ186" i="1"/>
  <c r="BQ186" i="1"/>
  <c r="CJ469" i="1"/>
  <c r="BQ469" i="1"/>
  <c r="CJ133" i="1"/>
  <c r="BQ133" i="1"/>
  <c r="CJ144" i="1"/>
  <c r="BQ144" i="1"/>
  <c r="CJ190" i="1"/>
  <c r="BQ190" i="1"/>
  <c r="CJ73" i="1"/>
  <c r="BQ73" i="1"/>
  <c r="CJ171" i="1"/>
  <c r="BQ171" i="1"/>
  <c r="CJ463" i="1"/>
  <c r="BQ463" i="1"/>
  <c r="CJ127" i="1"/>
  <c r="BQ127" i="1"/>
  <c r="CJ432" i="1"/>
  <c r="BQ432" i="1"/>
  <c r="CJ431" i="1"/>
  <c r="BQ431" i="1"/>
  <c r="CJ242" i="1"/>
  <c r="BQ242" i="1"/>
  <c r="CJ428" i="1"/>
  <c r="BQ428" i="1"/>
  <c r="CJ462" i="1"/>
  <c r="BQ462" i="1"/>
  <c r="CJ417" i="1"/>
  <c r="BQ417" i="1"/>
  <c r="CJ468" i="1"/>
  <c r="BQ468" i="1"/>
  <c r="CJ215" i="1"/>
  <c r="BQ215" i="1"/>
  <c r="CJ84" i="1"/>
  <c r="BQ84" i="1"/>
  <c r="CJ201" i="1"/>
  <c r="BQ201" i="1"/>
  <c r="CJ260" i="1"/>
  <c r="BQ260" i="1"/>
  <c r="CJ244" i="1"/>
  <c r="BQ244" i="1"/>
  <c r="CJ112" i="1"/>
  <c r="BQ112" i="1"/>
  <c r="CJ420" i="1"/>
  <c r="BQ420" i="1"/>
  <c r="CJ153" i="1"/>
  <c r="BQ153" i="1"/>
  <c r="CJ203" i="1"/>
  <c r="BQ203" i="1"/>
  <c r="CJ115" i="1"/>
  <c r="BQ115" i="1"/>
  <c r="CJ103" i="1"/>
  <c r="BQ103" i="1"/>
  <c r="CJ145" i="1"/>
  <c r="BQ145" i="1"/>
  <c r="CJ425" i="1"/>
  <c r="BQ425" i="1"/>
  <c r="CJ167" i="1"/>
  <c r="BQ167" i="1"/>
  <c r="CJ211" i="1"/>
  <c r="BQ211" i="1"/>
  <c r="CJ110" i="1"/>
  <c r="BQ110" i="1"/>
  <c r="CJ72" i="1"/>
  <c r="BQ72" i="1"/>
  <c r="CJ499" i="1"/>
  <c r="BQ499" i="1"/>
  <c r="CJ504" i="1"/>
  <c r="BQ504" i="1"/>
  <c r="CJ154" i="1"/>
  <c r="BQ154" i="1"/>
  <c r="CJ181" i="1"/>
  <c r="BQ181" i="1"/>
  <c r="CJ101" i="1"/>
  <c r="BQ101" i="1"/>
  <c r="CJ253" i="1"/>
  <c r="BQ253" i="1"/>
  <c r="CJ464" i="1"/>
  <c r="BQ464" i="1"/>
  <c r="CJ483" i="1"/>
  <c r="BQ483" i="1"/>
  <c r="CJ105" i="1"/>
  <c r="BQ105" i="1"/>
  <c r="CJ168" i="1"/>
  <c r="BQ168" i="1"/>
  <c r="CJ271" i="1"/>
  <c r="BQ271" i="1"/>
  <c r="CJ174" i="1"/>
  <c r="BQ174" i="1"/>
  <c r="CJ9" i="1"/>
  <c r="BQ9" i="1"/>
  <c r="CJ164" i="1"/>
  <c r="BQ164" i="1"/>
  <c r="CJ173" i="1"/>
  <c r="BQ173" i="1"/>
  <c r="CJ466" i="1"/>
  <c r="BQ466" i="1"/>
  <c r="CJ437" i="1"/>
  <c r="BQ437" i="1"/>
  <c r="CJ263" i="1"/>
  <c r="BQ263" i="1"/>
  <c r="CJ143" i="1"/>
  <c r="BQ143" i="1"/>
  <c r="CJ79" i="1"/>
  <c r="BQ79" i="1"/>
  <c r="CJ194" i="1"/>
  <c r="BQ194" i="1"/>
  <c r="CJ490" i="1"/>
  <c r="BQ490" i="1"/>
  <c r="CJ245" i="1"/>
  <c r="BQ245" i="1"/>
  <c r="CJ138" i="1"/>
  <c r="BQ138" i="1"/>
  <c r="CJ5" i="1"/>
  <c r="BQ5" i="1"/>
  <c r="CJ441" i="1"/>
  <c r="BQ441" i="1"/>
  <c r="CJ220" i="1"/>
  <c r="BQ220" i="1"/>
  <c r="CJ436" i="1"/>
  <c r="BQ436" i="1"/>
  <c r="CJ265" i="1"/>
  <c r="BQ265" i="1"/>
  <c r="CJ161" i="1"/>
  <c r="BQ161" i="1"/>
  <c r="CJ502" i="1"/>
  <c r="BQ502" i="1"/>
  <c r="CJ152" i="1"/>
  <c r="BQ152" i="1"/>
  <c r="CJ500" i="1"/>
  <c r="BQ500" i="1"/>
  <c r="CJ433" i="1"/>
  <c r="BQ433" i="1"/>
  <c r="CJ228" i="1"/>
  <c r="BQ228" i="1"/>
  <c r="CJ497" i="1"/>
  <c r="BQ497" i="1"/>
  <c r="CJ501" i="1"/>
  <c r="BQ501" i="1"/>
  <c r="CJ179" i="1"/>
  <c r="BQ179" i="1"/>
  <c r="CJ111" i="1"/>
  <c r="BQ111" i="1"/>
  <c r="CJ58" i="1"/>
  <c r="BQ58" i="1"/>
  <c r="CJ157" i="1"/>
  <c r="BQ157" i="1"/>
  <c r="CJ56" i="1"/>
  <c r="BQ56" i="1"/>
  <c r="CJ418" i="1"/>
  <c r="BQ418" i="1"/>
  <c r="CJ229" i="1"/>
  <c r="BQ229" i="1"/>
  <c r="CJ435" i="1"/>
  <c r="BQ435" i="1"/>
  <c r="CJ204" i="1"/>
  <c r="BQ204" i="1"/>
  <c r="CJ134" i="1"/>
  <c r="BQ134" i="1"/>
  <c r="CJ236" i="1"/>
  <c r="BQ236" i="1"/>
  <c r="CJ71" i="1"/>
  <c r="BQ71" i="1"/>
  <c r="CJ77" i="1"/>
  <c r="BQ77" i="1"/>
  <c r="CJ489" i="1"/>
  <c r="BQ489" i="1"/>
  <c r="CJ255" i="1"/>
  <c r="BQ255" i="1"/>
  <c r="CJ93" i="1"/>
  <c r="BQ93" i="1"/>
  <c r="CJ258" i="1"/>
  <c r="BQ258" i="1"/>
  <c r="CJ235" i="1"/>
  <c r="BQ235" i="1"/>
  <c r="CJ247" i="1"/>
  <c r="BQ247" i="1"/>
  <c r="CJ12" i="1"/>
  <c r="BQ12" i="1"/>
  <c r="CJ424" i="1"/>
  <c r="BQ424" i="1"/>
  <c r="CJ231" i="1"/>
  <c r="BQ231" i="1"/>
  <c r="CJ241" i="1"/>
  <c r="BQ241" i="1"/>
  <c r="CJ124" i="1"/>
  <c r="BQ124" i="1"/>
  <c r="CJ184" i="1"/>
  <c r="BQ184" i="1"/>
  <c r="CJ82" i="1"/>
  <c r="BQ82" i="1"/>
  <c r="CJ122" i="1"/>
  <c r="BQ122" i="1"/>
  <c r="CJ472" i="1"/>
  <c r="BQ472" i="1"/>
  <c r="CJ498" i="1"/>
  <c r="BQ498" i="1"/>
  <c r="CJ156" i="1"/>
  <c r="BQ156" i="1"/>
  <c r="CJ68" i="1"/>
  <c r="BQ68" i="1"/>
  <c r="CJ117" i="1"/>
  <c r="BQ117" i="1"/>
  <c r="CJ65" i="1"/>
  <c r="BQ65" i="1"/>
  <c r="CJ461" i="1"/>
  <c r="BQ461" i="1"/>
  <c r="CJ159" i="1"/>
  <c r="BQ159" i="1"/>
  <c r="CJ137" i="1"/>
  <c r="BQ137" i="1"/>
  <c r="CJ140" i="1"/>
  <c r="BQ140" i="1"/>
  <c r="CJ223" i="1"/>
  <c r="BQ223" i="1"/>
  <c r="CJ104" i="1"/>
  <c r="BQ104" i="1"/>
  <c r="CJ274" i="1"/>
  <c r="BQ274" i="1"/>
  <c r="CJ158" i="1"/>
  <c r="BQ158" i="1"/>
  <c r="CJ200" i="1"/>
  <c r="BQ200" i="1"/>
  <c r="CJ175" i="1"/>
  <c r="BQ175" i="1"/>
  <c r="CJ169" i="1"/>
  <c r="BQ169" i="1"/>
  <c r="CJ226" i="1"/>
  <c r="BQ226" i="1"/>
  <c r="CE430" i="1"/>
  <c r="CT430" i="1"/>
  <c r="CB134" i="1"/>
  <c r="CD134" i="1"/>
  <c r="BJ134" i="1"/>
  <c r="CB434" i="1"/>
  <c r="CC434" i="1" s="1"/>
  <c r="BJ434" i="1"/>
  <c r="CD421" i="1"/>
  <c r="BJ421" i="1"/>
  <c r="CB260" i="1"/>
  <c r="BJ260" i="1"/>
  <c r="CD260" i="1"/>
  <c r="CB130" i="1"/>
  <c r="CD130" i="1"/>
  <c r="BJ130" i="1"/>
  <c r="CD63" i="1"/>
  <c r="BJ63" i="1"/>
  <c r="CD46" i="1"/>
  <c r="BJ46" i="1"/>
  <c r="CB16" i="1"/>
  <c r="CC16" i="1" s="1"/>
  <c r="BJ16" i="1"/>
  <c r="CB160" i="1"/>
  <c r="CC160" i="1" s="1"/>
  <c r="BJ160" i="1"/>
  <c r="CD366" i="1"/>
  <c r="BJ366" i="1"/>
  <c r="CB427" i="1"/>
  <c r="CC427" i="1" s="1"/>
  <c r="BJ427" i="1"/>
  <c r="CB442" i="1"/>
  <c r="CC442" i="1" s="1"/>
  <c r="BJ442" i="1"/>
  <c r="CB480" i="1"/>
  <c r="CC480" i="1" s="1"/>
  <c r="CE480" i="1" s="1"/>
  <c r="BJ480" i="1"/>
  <c r="CB150" i="1"/>
  <c r="CC150" i="1" s="1"/>
  <c r="BZ150" i="1" s="1"/>
  <c r="CA150" i="1" s="1"/>
  <c r="BJ150" i="1"/>
  <c r="CB144" i="1"/>
  <c r="CD144" i="1"/>
  <c r="BJ144" i="1"/>
  <c r="CB492" i="1"/>
  <c r="CC492" i="1" s="1"/>
  <c r="BJ492" i="1"/>
  <c r="CB65" i="1"/>
  <c r="CD65" i="1"/>
  <c r="BJ65" i="1"/>
  <c r="CB159" i="1"/>
  <c r="CD159" i="1"/>
  <c r="BJ159" i="1"/>
  <c r="CB72" i="1"/>
  <c r="CD72" i="1"/>
  <c r="BJ72" i="1"/>
  <c r="CB181" i="1"/>
  <c r="CD181" i="1"/>
  <c r="BJ181" i="1"/>
  <c r="CD450" i="1"/>
  <c r="BJ450" i="1"/>
  <c r="CB105" i="1"/>
  <c r="CD105" i="1"/>
  <c r="BJ105" i="1"/>
  <c r="CB435" i="1"/>
  <c r="CD435" i="1"/>
  <c r="BJ435" i="1"/>
  <c r="CD348" i="1"/>
  <c r="BJ348" i="1"/>
  <c r="CB77" i="1"/>
  <c r="CD77" i="1"/>
  <c r="BJ77" i="1"/>
  <c r="CB255" i="1"/>
  <c r="CD255" i="1"/>
  <c r="BJ255" i="1"/>
  <c r="CD364" i="1"/>
  <c r="BJ364" i="1"/>
  <c r="CB148" i="1"/>
  <c r="CC148" i="1" s="1"/>
  <c r="BZ148" i="1" s="1"/>
  <c r="CA148" i="1" s="1"/>
  <c r="BJ148" i="1"/>
  <c r="CB107" i="1"/>
  <c r="CD107" i="1"/>
  <c r="BJ107" i="1"/>
  <c r="CB235" i="1"/>
  <c r="CD235" i="1"/>
  <c r="BJ235" i="1"/>
  <c r="CD285" i="1"/>
  <c r="BJ285" i="1"/>
  <c r="CD49" i="1"/>
  <c r="BJ49" i="1"/>
  <c r="CB20" i="1"/>
  <c r="CC20" i="1" s="1"/>
  <c r="CT20" i="1" s="1"/>
  <c r="BJ20" i="1"/>
  <c r="CB227" i="1"/>
  <c r="CD227" i="1"/>
  <c r="BJ227" i="1"/>
  <c r="CD336" i="1"/>
  <c r="BJ336" i="1"/>
  <c r="CB82" i="1"/>
  <c r="CD82" i="1"/>
  <c r="BJ82" i="1"/>
  <c r="CB196" i="1"/>
  <c r="CC196" i="1" s="1"/>
  <c r="CT196" i="1" s="1"/>
  <c r="BJ196" i="1"/>
  <c r="CD89" i="1"/>
  <c r="BJ89" i="1"/>
  <c r="CD395" i="1"/>
  <c r="BJ395" i="1"/>
  <c r="CB98" i="1"/>
  <c r="CC98" i="1" s="1"/>
  <c r="BZ98" i="1" s="1"/>
  <c r="CA98" i="1" s="1"/>
  <c r="BJ98" i="1"/>
  <c r="CB137" i="1"/>
  <c r="CD137" i="1"/>
  <c r="BJ137" i="1"/>
  <c r="CB165" i="1"/>
  <c r="CC165" i="1" s="1"/>
  <c r="BJ165" i="1"/>
  <c r="CB504" i="1"/>
  <c r="CD504" i="1"/>
  <c r="BJ504" i="1"/>
  <c r="CD87" i="1"/>
  <c r="BJ87" i="1"/>
  <c r="BJ429" i="1"/>
  <c r="CB439" i="1"/>
  <c r="CD439" i="1"/>
  <c r="BJ439" i="1"/>
  <c r="CB114" i="1"/>
  <c r="CD114" i="1"/>
  <c r="BJ114" i="1"/>
  <c r="CB155" i="1"/>
  <c r="CD155" i="1"/>
  <c r="BJ155" i="1"/>
  <c r="CB256" i="1"/>
  <c r="CD256" i="1"/>
  <c r="BJ256" i="1"/>
  <c r="CB177" i="1"/>
  <c r="CD177" i="1"/>
  <c r="BJ177" i="1"/>
  <c r="CB147" i="1"/>
  <c r="CD147" i="1"/>
  <c r="BJ147" i="1"/>
  <c r="CB444" i="1"/>
  <c r="CC444" i="1" s="1"/>
  <c r="BJ444" i="1"/>
  <c r="CB69" i="1"/>
  <c r="CD69" i="1"/>
  <c r="BJ69" i="1"/>
  <c r="CB440" i="1"/>
  <c r="CD440" i="1"/>
  <c r="BJ440" i="1"/>
  <c r="CB86" i="1"/>
  <c r="CD86" i="1"/>
  <c r="BJ86" i="1"/>
  <c r="CB102" i="1"/>
  <c r="CC102" i="1" s="1"/>
  <c r="BZ102" i="1" s="1"/>
  <c r="CA102" i="1" s="1"/>
  <c r="BJ102" i="1"/>
  <c r="CB259" i="1"/>
  <c r="CD259" i="1"/>
  <c r="BJ259" i="1"/>
  <c r="CD291" i="1"/>
  <c r="BJ291" i="1"/>
  <c r="CD384" i="1"/>
  <c r="BJ384" i="1"/>
  <c r="CB205" i="1"/>
  <c r="CC205" i="1" s="1"/>
  <c r="BJ205" i="1"/>
  <c r="CD402" i="1"/>
  <c r="BJ402" i="1"/>
  <c r="CB99" i="1"/>
  <c r="CC99" i="1" s="1"/>
  <c r="BJ99" i="1"/>
  <c r="CD323" i="1"/>
  <c r="BJ323" i="1"/>
  <c r="CD387" i="1"/>
  <c r="BJ387" i="1"/>
  <c r="CB244" i="1"/>
  <c r="CD244" i="1"/>
  <c r="BJ244" i="1"/>
  <c r="CB92" i="1"/>
  <c r="CD92" i="1"/>
  <c r="BJ92" i="1"/>
  <c r="CD304" i="1"/>
  <c r="BJ304" i="1"/>
  <c r="BJ339" i="1"/>
  <c r="CD339" i="1"/>
  <c r="CB210" i="1"/>
  <c r="CD210" i="1"/>
  <c r="BJ210" i="1"/>
  <c r="CB189" i="1"/>
  <c r="CD189" i="1"/>
  <c r="BJ189" i="1"/>
  <c r="CB250" i="1"/>
  <c r="CD250" i="1"/>
  <c r="BJ250" i="1"/>
  <c r="CD340" i="1"/>
  <c r="BJ340" i="1"/>
  <c r="CD21" i="1"/>
  <c r="BJ21" i="1"/>
  <c r="CD22" i="1"/>
  <c r="BJ22" i="1"/>
  <c r="CB247" i="1"/>
  <c r="CD247" i="1"/>
  <c r="BJ247" i="1"/>
  <c r="BJ279" i="1"/>
  <c r="CD279" i="1"/>
  <c r="CD382" i="1"/>
  <c r="BJ382" i="1"/>
  <c r="CB12" i="1"/>
  <c r="CD12" i="1"/>
  <c r="BJ12" i="1"/>
  <c r="CD39" i="1"/>
  <c r="BJ39" i="1"/>
  <c r="CB441" i="1"/>
  <c r="CD441" i="1"/>
  <c r="BJ441" i="1"/>
  <c r="CD452" i="1"/>
  <c r="BJ452" i="1"/>
  <c r="CD358" i="1"/>
  <c r="BJ358" i="1"/>
  <c r="CD328" i="1"/>
  <c r="BJ328" i="1"/>
  <c r="CD386" i="1"/>
  <c r="BJ386" i="1"/>
  <c r="CD350" i="1"/>
  <c r="BJ350" i="1"/>
  <c r="CD319" i="1"/>
  <c r="BJ319" i="1"/>
  <c r="CD363" i="1"/>
  <c r="BJ363" i="1"/>
  <c r="CB124" i="1"/>
  <c r="CD124" i="1"/>
  <c r="BJ124" i="1"/>
  <c r="CB488" i="1"/>
  <c r="CC488" i="1" s="1"/>
  <c r="BJ488" i="1"/>
  <c r="CD360" i="1"/>
  <c r="BJ360" i="1"/>
  <c r="CD355" i="1"/>
  <c r="BJ355" i="1"/>
  <c r="CB142" i="1"/>
  <c r="CC142" i="1" s="1"/>
  <c r="BZ142" i="1" s="1"/>
  <c r="CA142" i="1" s="1"/>
  <c r="BJ142" i="1"/>
  <c r="CB186" i="1"/>
  <c r="CD186" i="1"/>
  <c r="BJ186" i="1"/>
  <c r="CB469" i="1"/>
  <c r="CD469" i="1"/>
  <c r="BJ469" i="1"/>
  <c r="CB195" i="1"/>
  <c r="CC195" i="1" s="1"/>
  <c r="BJ195" i="1"/>
  <c r="CB498" i="1"/>
  <c r="CD498" i="1"/>
  <c r="BJ498" i="1"/>
  <c r="CB152" i="1"/>
  <c r="CD152" i="1"/>
  <c r="BJ152" i="1"/>
  <c r="CD410" i="1"/>
  <c r="BJ410" i="1"/>
  <c r="CB171" i="1"/>
  <c r="CD171" i="1"/>
  <c r="BJ171" i="1"/>
  <c r="CD294" i="1"/>
  <c r="BJ294" i="1"/>
  <c r="CB214" i="1"/>
  <c r="CC214" i="1" s="1"/>
  <c r="BJ214" i="1"/>
  <c r="CD352" i="1"/>
  <c r="BJ352" i="1"/>
  <c r="CD388" i="1"/>
  <c r="BJ388" i="1"/>
  <c r="CB228" i="1"/>
  <c r="CD228" i="1"/>
  <c r="BJ228" i="1"/>
  <c r="CD296" i="1"/>
  <c r="BJ296" i="1"/>
  <c r="CB497" i="1"/>
  <c r="CD497" i="1"/>
  <c r="BJ497" i="1"/>
  <c r="CD341" i="1"/>
  <c r="BJ341" i="1"/>
  <c r="CD476" i="1"/>
  <c r="BJ476" i="1"/>
  <c r="CB501" i="1"/>
  <c r="CD501" i="1"/>
  <c r="BJ501" i="1"/>
  <c r="CB179" i="1"/>
  <c r="CD179" i="1"/>
  <c r="BJ179" i="1"/>
  <c r="CD282" i="1"/>
  <c r="BJ282" i="1"/>
  <c r="CD345" i="1"/>
  <c r="BJ345" i="1"/>
  <c r="CB111" i="1"/>
  <c r="CD111" i="1"/>
  <c r="BJ111" i="1"/>
  <c r="CB58" i="1"/>
  <c r="CD58" i="1"/>
  <c r="BJ58" i="1"/>
  <c r="CB202" i="1"/>
  <c r="CC202" i="1" s="1"/>
  <c r="BJ202" i="1"/>
  <c r="CB157" i="1"/>
  <c r="CD157" i="1"/>
  <c r="BJ157" i="1"/>
  <c r="CB56" i="1"/>
  <c r="CD56" i="1"/>
  <c r="BJ56" i="1"/>
  <c r="CD353" i="1"/>
  <c r="BJ353" i="1"/>
  <c r="CB418" i="1"/>
  <c r="CD418" i="1"/>
  <c r="BJ418" i="1"/>
  <c r="CB75" i="1"/>
  <c r="CC75" i="1" s="1"/>
  <c r="BJ75" i="1"/>
  <c r="CB229" i="1"/>
  <c r="CD229" i="1"/>
  <c r="BJ229" i="1"/>
  <c r="CB125" i="1"/>
  <c r="CC125" i="1" s="1"/>
  <c r="BZ125" i="1" s="1"/>
  <c r="CA125" i="1" s="1"/>
  <c r="BJ125" i="1"/>
  <c r="CB236" i="1"/>
  <c r="CD236" i="1"/>
  <c r="BJ236" i="1"/>
  <c r="CB489" i="1"/>
  <c r="CD489" i="1"/>
  <c r="BJ489" i="1"/>
  <c r="CD343" i="1"/>
  <c r="BJ343" i="1"/>
  <c r="CB438" i="1"/>
  <c r="CD438" i="1"/>
  <c r="BJ438" i="1"/>
  <c r="CD346" i="1"/>
  <c r="BJ346" i="1"/>
  <c r="CB258" i="1"/>
  <c r="CD258" i="1"/>
  <c r="BJ258" i="1"/>
  <c r="CD42" i="1"/>
  <c r="BJ42" i="1"/>
  <c r="CD53" i="1"/>
  <c r="BJ53" i="1"/>
  <c r="CB252" i="1"/>
  <c r="CC252" i="1" s="1"/>
  <c r="BJ252" i="1"/>
  <c r="BJ318" i="1"/>
  <c r="CD318" i="1"/>
  <c r="CD333" i="1"/>
  <c r="BJ333" i="1"/>
  <c r="CB133" i="1"/>
  <c r="CD133" i="1"/>
  <c r="BJ133" i="1"/>
  <c r="CB502" i="1"/>
  <c r="CD502" i="1"/>
  <c r="BJ502" i="1"/>
  <c r="CD337" i="1"/>
  <c r="BJ337" i="1"/>
  <c r="CD301" i="1"/>
  <c r="BJ301" i="1"/>
  <c r="CD295" i="1"/>
  <c r="BJ295" i="1"/>
  <c r="CB499" i="1"/>
  <c r="CD499" i="1"/>
  <c r="BJ499" i="1"/>
  <c r="CB264" i="1"/>
  <c r="CC264" i="1" s="1"/>
  <c r="BJ264" i="1"/>
  <c r="CB253" i="1"/>
  <c r="CD253" i="1"/>
  <c r="BJ253" i="1"/>
  <c r="CB483" i="1"/>
  <c r="CD483" i="1"/>
  <c r="BJ483" i="1"/>
  <c r="CB468" i="1"/>
  <c r="CD468" i="1"/>
  <c r="BJ468" i="1"/>
  <c r="CB131" i="1"/>
  <c r="CC131" i="1" s="1"/>
  <c r="BJ131" i="1"/>
  <c r="CB271" i="1"/>
  <c r="CD271" i="1"/>
  <c r="BJ271" i="1"/>
  <c r="CB174" i="1"/>
  <c r="CD174" i="1"/>
  <c r="BJ174" i="1"/>
  <c r="CB484" i="1"/>
  <c r="CC484" i="1" s="1"/>
  <c r="BJ484" i="1"/>
  <c r="CD88" i="1"/>
  <c r="BJ88" i="1"/>
  <c r="CD322" i="1"/>
  <c r="BJ322" i="1"/>
  <c r="CB163" i="1"/>
  <c r="CC163" i="1" s="1"/>
  <c r="BZ163" i="1" s="1"/>
  <c r="CA163" i="1" s="1"/>
  <c r="BJ163" i="1"/>
  <c r="CD400" i="1"/>
  <c r="BJ400" i="1"/>
  <c r="CB149" i="1"/>
  <c r="CC149" i="1" s="1"/>
  <c r="BJ149" i="1"/>
  <c r="CB490" i="1"/>
  <c r="CD490" i="1"/>
  <c r="BJ490" i="1"/>
  <c r="CB135" i="1"/>
  <c r="CC135" i="1" s="1"/>
  <c r="BZ135" i="1" s="1"/>
  <c r="CA135" i="1" s="1"/>
  <c r="BJ135" i="1"/>
  <c r="CB245" i="1"/>
  <c r="CD245" i="1"/>
  <c r="BJ245" i="1"/>
  <c r="CB112" i="1"/>
  <c r="BJ112" i="1"/>
  <c r="CD112" i="1"/>
  <c r="CD268" i="1"/>
  <c r="BJ268" i="1"/>
  <c r="CD326" i="1"/>
  <c r="BJ326" i="1"/>
  <c r="CD390" i="1"/>
  <c r="BJ390" i="1"/>
  <c r="CD316" i="1"/>
  <c r="BJ316" i="1"/>
  <c r="CB262" i="1"/>
  <c r="CC262" i="1" s="1"/>
  <c r="BJ262" i="1"/>
  <c r="CD473" i="1"/>
  <c r="BJ473" i="1"/>
  <c r="CD368" i="1"/>
  <c r="BJ368" i="1"/>
  <c r="CD385" i="1"/>
  <c r="BJ385" i="1"/>
  <c r="CD28" i="1"/>
  <c r="BJ28" i="1"/>
  <c r="CD299" i="1"/>
  <c r="BJ299" i="1"/>
  <c r="CD27" i="1"/>
  <c r="BJ27" i="1"/>
  <c r="CD54" i="1"/>
  <c r="BJ54" i="1"/>
  <c r="BJ61" i="1"/>
  <c r="CD61" i="1"/>
  <c r="CB424" i="1"/>
  <c r="CC424" i="1" s="1"/>
  <c r="BZ424" i="1" s="1"/>
  <c r="CA424" i="1" s="1"/>
  <c r="BJ424" i="1"/>
  <c r="CD37" i="1"/>
  <c r="BJ37" i="1"/>
  <c r="CB231" i="1"/>
  <c r="CD231" i="1"/>
  <c r="BJ231" i="1"/>
  <c r="CB241" i="1"/>
  <c r="BJ241" i="1"/>
  <c r="CD241" i="1"/>
  <c r="CD356" i="1"/>
  <c r="BJ356" i="1"/>
  <c r="CB220" i="1"/>
  <c r="CD220" i="1"/>
  <c r="BJ220" i="1"/>
  <c r="CD365" i="1"/>
  <c r="BJ365" i="1"/>
  <c r="CD314" i="1"/>
  <c r="BJ314" i="1"/>
  <c r="CD367" i="1"/>
  <c r="BJ367" i="1"/>
  <c r="CB121" i="1"/>
  <c r="CD121" i="1"/>
  <c r="BJ121" i="1"/>
  <c r="CB184" i="1"/>
  <c r="CD184" i="1"/>
  <c r="BJ184" i="1"/>
  <c r="CB239" i="1"/>
  <c r="CC239" i="1" s="1"/>
  <c r="BJ239" i="1"/>
  <c r="CD329" i="1"/>
  <c r="BJ329" i="1"/>
  <c r="CB153" i="1"/>
  <c r="CD153" i="1"/>
  <c r="BJ153" i="1"/>
  <c r="CB212" i="1"/>
  <c r="CC212" i="1" s="1"/>
  <c r="BJ212" i="1"/>
  <c r="CB122" i="1"/>
  <c r="CD122" i="1"/>
  <c r="BJ122" i="1"/>
  <c r="CB161" i="1"/>
  <c r="CD161" i="1"/>
  <c r="BJ161" i="1"/>
  <c r="CD335" i="1"/>
  <c r="BJ335" i="1"/>
  <c r="CB156" i="1"/>
  <c r="CD156" i="1"/>
  <c r="BJ156" i="1"/>
  <c r="CB68" i="1"/>
  <c r="CD68" i="1"/>
  <c r="BJ68" i="1"/>
  <c r="CB73" i="1"/>
  <c r="CD73" i="1"/>
  <c r="BJ73" i="1"/>
  <c r="CB500" i="1"/>
  <c r="CD500" i="1"/>
  <c r="BJ500" i="1"/>
  <c r="CB425" i="1"/>
  <c r="CD425" i="1"/>
  <c r="BJ425" i="1"/>
  <c r="CB55" i="1"/>
  <c r="CC55" i="1" s="1"/>
  <c r="BZ55" i="1" s="1"/>
  <c r="CA55" i="1" s="1"/>
  <c r="BJ55" i="1"/>
  <c r="CB197" i="1"/>
  <c r="CC197" i="1" s="1"/>
  <c r="BJ197" i="1"/>
  <c r="CD456" i="1"/>
  <c r="BJ456" i="1"/>
  <c r="CD303" i="1"/>
  <c r="BJ303" i="1"/>
  <c r="CD394" i="1"/>
  <c r="BJ394" i="1"/>
  <c r="CD447" i="1"/>
  <c r="BJ447" i="1"/>
  <c r="CB211" i="1"/>
  <c r="CD211" i="1"/>
  <c r="BJ211" i="1"/>
  <c r="CB140" i="1"/>
  <c r="CD140" i="1"/>
  <c r="BJ140" i="1"/>
  <c r="CB223" i="1"/>
  <c r="CD223" i="1"/>
  <c r="BJ223" i="1"/>
  <c r="CB123" i="1"/>
  <c r="CC123" i="1" s="1"/>
  <c r="BZ123" i="1" s="1"/>
  <c r="CA123" i="1" s="1"/>
  <c r="BJ123" i="1"/>
  <c r="CB104" i="1"/>
  <c r="CD104" i="1"/>
  <c r="BJ104" i="1"/>
  <c r="CB274" i="1"/>
  <c r="CD274" i="1"/>
  <c r="BJ274" i="1"/>
  <c r="CD451" i="1"/>
  <c r="BJ451" i="1"/>
  <c r="CB158" i="1"/>
  <c r="CD158" i="1"/>
  <c r="BJ158" i="1"/>
  <c r="CB206" i="1"/>
  <c r="CC206" i="1" s="1"/>
  <c r="BJ206" i="1"/>
  <c r="CD309" i="1"/>
  <c r="BJ309" i="1"/>
  <c r="CB200" i="1"/>
  <c r="CD200" i="1"/>
  <c r="BJ200" i="1"/>
  <c r="CB225" i="1"/>
  <c r="CC225" i="1" s="1"/>
  <c r="BJ225" i="1"/>
  <c r="CD315" i="1"/>
  <c r="BJ315" i="1"/>
  <c r="CD334" i="1"/>
  <c r="BJ334" i="1"/>
  <c r="CB175" i="1"/>
  <c r="CD175" i="1"/>
  <c r="BJ175" i="1"/>
  <c r="CB298" i="1"/>
  <c r="CC298" i="1" s="1"/>
  <c r="BJ298" i="1"/>
  <c r="CD379" i="1"/>
  <c r="BJ379" i="1"/>
  <c r="CB169" i="1"/>
  <c r="CD169" i="1"/>
  <c r="BJ169" i="1"/>
  <c r="CB226" i="1"/>
  <c r="CD226" i="1"/>
  <c r="BJ226" i="1"/>
  <c r="CB204" i="1"/>
  <c r="BJ204" i="1"/>
  <c r="CD204" i="1"/>
  <c r="CB71" i="1"/>
  <c r="CD71" i="1"/>
  <c r="BJ71" i="1"/>
  <c r="CD307" i="1"/>
  <c r="BJ307" i="1"/>
  <c r="CB93" i="1"/>
  <c r="CC93" i="1" s="1"/>
  <c r="BJ93" i="1"/>
  <c r="CD40" i="1"/>
  <c r="BJ40" i="1"/>
  <c r="CD331" i="1"/>
  <c r="BJ331" i="1"/>
  <c r="CD26" i="1"/>
  <c r="BJ26" i="1"/>
  <c r="CD354" i="1"/>
  <c r="BJ354" i="1"/>
  <c r="CB265" i="1"/>
  <c r="CD265" i="1"/>
  <c r="BJ265" i="1"/>
  <c r="CB190" i="1"/>
  <c r="CD190" i="1"/>
  <c r="BJ190" i="1"/>
  <c r="CD396" i="1"/>
  <c r="BJ396" i="1"/>
  <c r="CB110" i="1"/>
  <c r="CD110" i="1"/>
  <c r="BJ110" i="1"/>
  <c r="CD505" i="1"/>
  <c r="BJ505" i="1"/>
  <c r="CB154" i="1"/>
  <c r="CD154" i="1"/>
  <c r="BJ154" i="1"/>
  <c r="CB101" i="1"/>
  <c r="CD101" i="1"/>
  <c r="BJ101" i="1"/>
  <c r="CB426" i="1"/>
  <c r="CC426" i="1" s="1"/>
  <c r="BZ426" i="1" s="1"/>
  <c r="CA426" i="1" s="1"/>
  <c r="BJ426" i="1"/>
  <c r="CB464" i="1"/>
  <c r="CD464" i="1"/>
  <c r="BJ464" i="1"/>
  <c r="CD33" i="1"/>
  <c r="BJ33" i="1"/>
  <c r="CB168" i="1"/>
  <c r="CD168" i="1"/>
  <c r="BJ168" i="1"/>
  <c r="CB215" i="1"/>
  <c r="CD215" i="1"/>
  <c r="BJ215" i="1"/>
  <c r="CD270" i="1"/>
  <c r="BJ270" i="1"/>
  <c r="CB84" i="1"/>
  <c r="CD84" i="1"/>
  <c r="BJ84" i="1"/>
  <c r="CB201" i="1"/>
  <c r="CD201" i="1"/>
  <c r="BJ201" i="1"/>
  <c r="CB187" i="1"/>
  <c r="CC187" i="1" s="1"/>
  <c r="BJ187" i="1"/>
  <c r="CB9" i="1"/>
  <c r="CD9" i="1"/>
  <c r="BJ9" i="1"/>
  <c r="CD453" i="1"/>
  <c r="BJ453" i="1"/>
  <c r="CB164" i="1"/>
  <c r="CD164" i="1"/>
  <c r="BJ164" i="1"/>
  <c r="CB173" i="1"/>
  <c r="CD173" i="1"/>
  <c r="BJ173" i="1"/>
  <c r="CB466" i="1"/>
  <c r="CD466" i="1"/>
  <c r="BJ466" i="1"/>
  <c r="CB437" i="1"/>
  <c r="BJ437" i="1"/>
  <c r="CD437" i="1"/>
  <c r="CB263" i="1"/>
  <c r="CD263" i="1"/>
  <c r="BJ263" i="1"/>
  <c r="CB143" i="1"/>
  <c r="BJ143" i="1"/>
  <c r="CD143" i="1"/>
  <c r="CB76" i="1"/>
  <c r="CC76" i="1" s="1"/>
  <c r="BJ76" i="1"/>
  <c r="CB79" i="1"/>
  <c r="CD79" i="1"/>
  <c r="BJ79" i="1"/>
  <c r="CD479" i="1"/>
  <c r="BJ479" i="1"/>
  <c r="CB194" i="1"/>
  <c r="CD194" i="1"/>
  <c r="BJ194" i="1"/>
  <c r="CD287" i="1"/>
  <c r="BJ287" i="1"/>
  <c r="CD406" i="1"/>
  <c r="BJ406" i="1"/>
  <c r="CB234" i="1"/>
  <c r="CC234" i="1" s="1"/>
  <c r="BJ234" i="1"/>
  <c r="CB471" i="1"/>
  <c r="CD471" i="1"/>
  <c r="BJ471" i="1"/>
  <c r="CD321" i="1"/>
  <c r="BJ321" i="1"/>
  <c r="CD376" i="1"/>
  <c r="BJ376" i="1"/>
  <c r="BJ383" i="1"/>
  <c r="CD383" i="1"/>
  <c r="CD324" i="1"/>
  <c r="BJ324" i="1"/>
  <c r="BJ276" i="1"/>
  <c r="CD276" i="1"/>
  <c r="CD305" i="1"/>
  <c r="BJ305" i="1"/>
  <c r="CD310" i="1"/>
  <c r="BJ310" i="1"/>
  <c r="CD351" i="1"/>
  <c r="BJ351" i="1"/>
  <c r="CD327" i="1"/>
  <c r="BJ327" i="1"/>
  <c r="CD330" i="1"/>
  <c r="BJ330" i="1"/>
  <c r="CB138" i="1"/>
  <c r="CD138" i="1"/>
  <c r="BJ138" i="1"/>
  <c r="BJ302" i="1"/>
  <c r="CD302" i="1"/>
  <c r="CD389" i="1"/>
  <c r="BJ389" i="1"/>
  <c r="CB5" i="1"/>
  <c r="BJ5" i="1"/>
  <c r="CD5" i="1"/>
  <c r="CD47" i="1"/>
  <c r="BJ47" i="1"/>
  <c r="CB13" i="1"/>
  <c r="CC13" i="1" s="1"/>
  <c r="BJ13" i="1"/>
  <c r="CD349" i="1"/>
  <c r="BJ349" i="1"/>
  <c r="CD36" i="1"/>
  <c r="BJ36" i="1"/>
  <c r="CD445" i="1"/>
  <c r="BJ445" i="1"/>
  <c r="CD24" i="1"/>
  <c r="BJ24" i="1"/>
  <c r="BJ50" i="1"/>
  <c r="CD50" i="1"/>
  <c r="CD286" i="1"/>
  <c r="BJ286" i="1"/>
  <c r="CD306" i="1"/>
  <c r="BJ306" i="1"/>
  <c r="CD362" i="1"/>
  <c r="BJ362" i="1"/>
  <c r="CB216" i="1"/>
  <c r="CC216" i="1" s="1"/>
  <c r="BJ216" i="1"/>
  <c r="CD370" i="1"/>
  <c r="BJ370" i="1"/>
  <c r="CD361" i="1"/>
  <c r="BJ361" i="1"/>
  <c r="CD373" i="1"/>
  <c r="BJ373" i="1"/>
  <c r="CB436" i="1"/>
  <c r="CD436" i="1"/>
  <c r="BJ436" i="1"/>
  <c r="CB246" i="1"/>
  <c r="CD246" i="1"/>
  <c r="BJ246" i="1"/>
  <c r="CB420" i="1"/>
  <c r="CD420" i="1"/>
  <c r="BJ420" i="1"/>
  <c r="CB203" i="1"/>
  <c r="CD203" i="1"/>
  <c r="BJ203" i="1"/>
  <c r="CB115" i="1"/>
  <c r="CD115" i="1"/>
  <c r="BJ115" i="1"/>
  <c r="CB472" i="1"/>
  <c r="CD472" i="1"/>
  <c r="BJ472" i="1"/>
  <c r="CB103" i="1"/>
  <c r="CD103" i="1"/>
  <c r="BJ103" i="1"/>
  <c r="CB145" i="1"/>
  <c r="CD145" i="1"/>
  <c r="BJ145" i="1"/>
  <c r="CB117" i="1"/>
  <c r="CD117" i="1"/>
  <c r="BJ117" i="1"/>
  <c r="CB433" i="1"/>
  <c r="CD433" i="1"/>
  <c r="BJ433" i="1"/>
  <c r="CB461" i="1"/>
  <c r="CD461" i="1"/>
  <c r="BJ461" i="1"/>
  <c r="CB243" i="1"/>
  <c r="CC243" i="1" s="1"/>
  <c r="BJ243" i="1"/>
  <c r="CB167" i="1"/>
  <c r="CD167" i="1"/>
  <c r="BJ167" i="1"/>
  <c r="CB463" i="1"/>
  <c r="CD463" i="1"/>
  <c r="BJ463" i="1"/>
  <c r="CB127" i="1"/>
  <c r="CD127" i="1"/>
  <c r="BJ127" i="1"/>
  <c r="CD332" i="1"/>
  <c r="BJ332" i="1"/>
  <c r="CD494" i="1"/>
  <c r="BJ494" i="1"/>
  <c r="CB432" i="1"/>
  <c r="CD432" i="1"/>
  <c r="BJ432" i="1"/>
  <c r="CD347" i="1"/>
  <c r="BJ347" i="1"/>
  <c r="CB431" i="1"/>
  <c r="CD431" i="1"/>
  <c r="BJ431" i="1"/>
  <c r="CB97" i="1"/>
  <c r="CC97" i="1" s="1"/>
  <c r="BZ97" i="1" s="1"/>
  <c r="CA97" i="1" s="1"/>
  <c r="BJ97" i="1"/>
  <c r="CD344" i="1"/>
  <c r="BJ344" i="1"/>
  <c r="CD495" i="1"/>
  <c r="BJ495" i="1"/>
  <c r="CD297" i="1"/>
  <c r="BJ297" i="1"/>
  <c r="CD280" i="1"/>
  <c r="BJ280" i="1"/>
  <c r="CB242" i="1"/>
  <c r="CD242" i="1"/>
  <c r="BJ242" i="1"/>
  <c r="CB221" i="1"/>
  <c r="CC221" i="1" s="1"/>
  <c r="BJ221" i="1"/>
  <c r="CB428" i="1"/>
  <c r="CD428" i="1"/>
  <c r="BJ428" i="1"/>
  <c r="CB465" i="1"/>
  <c r="CC465" i="1" s="1"/>
  <c r="BJ465" i="1"/>
  <c r="CB462" i="1"/>
  <c r="CD462" i="1"/>
  <c r="BJ462" i="1"/>
  <c r="CB417" i="1"/>
  <c r="CD417" i="1"/>
  <c r="BJ417" i="1"/>
  <c r="CT379" i="1"/>
  <c r="CE379" i="1"/>
  <c r="CJ205" i="1"/>
  <c r="CK205" i="1" s="1"/>
  <c r="CJ99" i="1"/>
  <c r="CK99" i="1" s="1"/>
  <c r="CJ150" i="1"/>
  <c r="CK150" i="1" s="1"/>
  <c r="CT15" i="1"/>
  <c r="CE15" i="1"/>
  <c r="CT173" i="1"/>
  <c r="CE173" i="1"/>
  <c r="CT251" i="1"/>
  <c r="CE251" i="1"/>
  <c r="CT263" i="1"/>
  <c r="CE263" i="1"/>
  <c r="CT80" i="1"/>
  <c r="CE80" i="1"/>
  <c r="CT201" i="1"/>
  <c r="CE201" i="1"/>
  <c r="CT406" i="1"/>
  <c r="CE406" i="1"/>
  <c r="CT364" i="1"/>
  <c r="CE364" i="1"/>
  <c r="CT376" i="1"/>
  <c r="CE376" i="1"/>
  <c r="CT387" i="1"/>
  <c r="CE387" i="1"/>
  <c r="CT307" i="1"/>
  <c r="CE307" i="1"/>
  <c r="CT346" i="1"/>
  <c r="CE346" i="1"/>
  <c r="CT138" i="1"/>
  <c r="CE138" i="1"/>
  <c r="CT385" i="1"/>
  <c r="CE385" i="1"/>
  <c r="CT22" i="1"/>
  <c r="CE22" i="1"/>
  <c r="CT41" i="1"/>
  <c r="CE41" i="1"/>
  <c r="CT54" i="1"/>
  <c r="CE54" i="1"/>
  <c r="CT441" i="1"/>
  <c r="CE441" i="1"/>
  <c r="CT452" i="1"/>
  <c r="CE452" i="1"/>
  <c r="CT62" i="1"/>
  <c r="CE62" i="1"/>
  <c r="CT227" i="1"/>
  <c r="CE227" i="1"/>
  <c r="CT378" i="1"/>
  <c r="CE378" i="1"/>
  <c r="CT371" i="1"/>
  <c r="CE371" i="1"/>
  <c r="CT124" i="1"/>
  <c r="CE124" i="1"/>
  <c r="CT436" i="1"/>
  <c r="CE436" i="1"/>
  <c r="CE336" i="1"/>
  <c r="CT336" i="1"/>
  <c r="CT355" i="1"/>
  <c r="CE355" i="1"/>
  <c r="CE128" i="1"/>
  <c r="CT128" i="1"/>
  <c r="CT265" i="1"/>
  <c r="CE265" i="1"/>
  <c r="CT502" i="1"/>
  <c r="CE502" i="1"/>
  <c r="CT68" i="1"/>
  <c r="CE68" i="1"/>
  <c r="CT500" i="1"/>
  <c r="CE500" i="1"/>
  <c r="CT425" i="1"/>
  <c r="CE425" i="1"/>
  <c r="CT395" i="1"/>
  <c r="CE395" i="1"/>
  <c r="CT110" i="1"/>
  <c r="CE110" i="1"/>
  <c r="CT497" i="1"/>
  <c r="CE497" i="1"/>
  <c r="CT505" i="1"/>
  <c r="CE505" i="1"/>
  <c r="CT432" i="1"/>
  <c r="CE432" i="1"/>
  <c r="CW432" i="1" s="1"/>
  <c r="CT347" i="1"/>
  <c r="CE347" i="1"/>
  <c r="CT181" i="1"/>
  <c r="CE181" i="1"/>
  <c r="CT495" i="1"/>
  <c r="CE495" i="1"/>
  <c r="CT87" i="1"/>
  <c r="CE87" i="1"/>
  <c r="CT120" i="1"/>
  <c r="CE120" i="1"/>
  <c r="CT60" i="1"/>
  <c r="CE60" i="1"/>
  <c r="CT218" i="1"/>
  <c r="CE218" i="1"/>
  <c r="CJ131" i="1"/>
  <c r="CK131" i="1" s="1"/>
  <c r="CJ484" i="1"/>
  <c r="CK484" i="1" s="1"/>
  <c r="CH484" i="1" s="1"/>
  <c r="CI484" i="1" s="1"/>
  <c r="CJ187" i="1"/>
  <c r="CK187" i="1" s="1"/>
  <c r="CJ163" i="1"/>
  <c r="CK163" i="1" s="1"/>
  <c r="CJ149" i="1"/>
  <c r="CK149" i="1" s="1"/>
  <c r="CH149" i="1" s="1"/>
  <c r="CI149" i="1" s="1"/>
  <c r="CJ135" i="1"/>
  <c r="CK135" i="1" s="1"/>
  <c r="CJ262" i="1"/>
  <c r="CK262" i="1" s="1"/>
  <c r="CJ13" i="1"/>
  <c r="CK13" i="1" s="1"/>
  <c r="CJ20" i="1"/>
  <c r="CK20" i="1" s="1"/>
  <c r="CJ160" i="1"/>
  <c r="CK160" i="1" s="1"/>
  <c r="CH160" i="1" s="1"/>
  <c r="CI160" i="1" s="1"/>
  <c r="CJ252" i="1"/>
  <c r="CK252" i="1" s="1"/>
  <c r="CJ488" i="1"/>
  <c r="CK488" i="1" s="1"/>
  <c r="CJ142" i="1"/>
  <c r="CK142" i="1" s="1"/>
  <c r="CJ195" i="1"/>
  <c r="CK195" i="1" s="1"/>
  <c r="CH195" i="1" s="1"/>
  <c r="CI195" i="1" s="1"/>
  <c r="CJ214" i="1"/>
  <c r="CK214" i="1" s="1"/>
  <c r="CJ123" i="1"/>
  <c r="CK123" i="1" s="1"/>
  <c r="CJ206" i="1"/>
  <c r="CK206" i="1" s="1"/>
  <c r="CJ225" i="1"/>
  <c r="CK225" i="1" s="1"/>
  <c r="CJ298" i="1"/>
  <c r="CK298" i="1" s="1"/>
  <c r="CH298" i="1" s="1"/>
  <c r="CI298" i="1" s="1"/>
  <c r="CT435" i="1"/>
  <c r="CE435" i="1"/>
  <c r="CT33" i="1"/>
  <c r="CE33" i="1"/>
  <c r="CT478" i="1"/>
  <c r="CE478" i="1"/>
  <c r="CT164" i="1"/>
  <c r="CE164" i="1"/>
  <c r="CT134" i="1"/>
  <c r="CE134" i="1"/>
  <c r="CT467" i="1"/>
  <c r="CE467" i="1"/>
  <c r="CT348" i="1"/>
  <c r="CE348" i="1"/>
  <c r="CT236" i="1"/>
  <c r="CE236" i="1"/>
  <c r="CT257" i="1"/>
  <c r="CE257" i="1"/>
  <c r="CT71" i="1"/>
  <c r="CE71" i="1"/>
  <c r="CT77" i="1"/>
  <c r="CE77" i="1"/>
  <c r="CT84" i="1"/>
  <c r="CE84" i="1"/>
  <c r="CT81" i="1"/>
  <c r="CE81" i="1"/>
  <c r="CT403" i="1"/>
  <c r="CE403" i="1"/>
  <c r="CT194" i="1"/>
  <c r="CE194" i="1"/>
  <c r="CT287" i="1"/>
  <c r="CE287" i="1"/>
  <c r="CT291" i="1"/>
  <c r="CE291" i="1"/>
  <c r="CT423" i="1"/>
  <c r="CE423" i="1"/>
  <c r="CT273" i="1"/>
  <c r="CE273" i="1"/>
  <c r="CT399" i="1"/>
  <c r="CE399" i="1"/>
  <c r="CT402" i="1"/>
  <c r="CE402" i="1"/>
  <c r="CT321" i="1"/>
  <c r="CE321" i="1"/>
  <c r="CT438" i="1"/>
  <c r="CE438" i="1"/>
  <c r="CT233" i="1"/>
  <c r="CE233" i="1"/>
  <c r="CT288" i="1"/>
  <c r="CE288" i="1"/>
  <c r="CT244" i="1"/>
  <c r="CE244" i="1"/>
  <c r="CT92" i="1"/>
  <c r="CE92" i="1"/>
  <c r="CW92" i="1" s="1"/>
  <c r="CT311" i="1"/>
  <c r="CE311" i="1"/>
  <c r="CE63" i="1"/>
  <c r="CT63" i="1"/>
  <c r="CT391" i="1"/>
  <c r="CE391" i="1"/>
  <c r="CE258" i="1"/>
  <c r="CT258" i="1"/>
  <c r="CT91" i="1"/>
  <c r="CE91" i="1"/>
  <c r="CT302" i="1"/>
  <c r="CE302" i="1"/>
  <c r="CT389" i="1"/>
  <c r="CE389" i="1"/>
  <c r="CT3" i="1"/>
  <c r="CE3" i="1"/>
  <c r="CT28" i="1"/>
  <c r="CE28" i="1"/>
  <c r="CT299" i="1"/>
  <c r="CE299" i="1"/>
  <c r="CT31" i="1"/>
  <c r="CE31" i="1"/>
  <c r="CT32" i="1"/>
  <c r="CE32" i="1"/>
  <c r="CE45" i="1"/>
  <c r="CT45" i="1"/>
  <c r="CT36" i="1"/>
  <c r="CE36" i="1"/>
  <c r="CT61" i="1"/>
  <c r="CE61" i="1"/>
  <c r="CT39" i="1"/>
  <c r="CE39" i="1"/>
  <c r="CT30" i="1"/>
  <c r="CE30" i="1"/>
  <c r="CT48" i="1"/>
  <c r="CE48" i="1"/>
  <c r="CT51" i="1"/>
  <c r="CE51" i="1"/>
  <c r="CT261" i="1"/>
  <c r="CE261" i="1"/>
  <c r="CT358" i="1"/>
  <c r="CE358" i="1"/>
  <c r="CT249" i="1"/>
  <c r="CE249" i="1"/>
  <c r="CT350" i="1"/>
  <c r="CE350" i="1"/>
  <c r="CT372" i="1"/>
  <c r="CE372" i="1"/>
  <c r="CT361" i="1"/>
  <c r="CE361" i="1"/>
  <c r="CT366" i="1"/>
  <c r="CE366" i="1"/>
  <c r="CT381" i="1"/>
  <c r="CE381" i="1"/>
  <c r="CT121" i="1"/>
  <c r="CE121" i="1"/>
  <c r="CT184" i="1"/>
  <c r="CE184" i="1"/>
  <c r="CW184" i="1" s="1"/>
  <c r="CT360" i="1"/>
  <c r="CE360" i="1"/>
  <c r="CT186" i="1"/>
  <c r="CE186" i="1"/>
  <c r="CT217" i="1"/>
  <c r="CE217" i="1"/>
  <c r="CT161" i="1"/>
  <c r="CE161" i="1"/>
  <c r="CT103" i="1"/>
  <c r="CE103" i="1"/>
  <c r="CE117" i="1"/>
  <c r="CW117" i="1" s="1"/>
  <c r="CT117" i="1"/>
  <c r="CT433" i="1"/>
  <c r="CE433" i="1"/>
  <c r="CT284" i="1"/>
  <c r="CE284" i="1"/>
  <c r="CT294" i="1"/>
  <c r="CE294" i="1"/>
  <c r="CT398" i="1"/>
  <c r="CE398" i="1"/>
  <c r="CT456" i="1"/>
  <c r="CE456" i="1"/>
  <c r="CT167" i="1"/>
  <c r="CE167" i="1"/>
  <c r="CT337" i="1"/>
  <c r="CE337" i="1"/>
  <c r="CT352" i="1"/>
  <c r="CE352" i="1"/>
  <c r="CT388" i="1"/>
  <c r="CE388" i="1"/>
  <c r="CT228" i="1"/>
  <c r="CE228" i="1"/>
  <c r="CT223" i="1"/>
  <c r="CE223" i="1"/>
  <c r="CT332" i="1"/>
  <c r="CE332" i="1"/>
  <c r="CT104" i="1"/>
  <c r="CE104" i="1"/>
  <c r="CW104" i="1" s="1"/>
  <c r="CT476" i="1"/>
  <c r="CE476" i="1"/>
  <c r="CT499" i="1"/>
  <c r="CE499" i="1"/>
  <c r="CT504" i="1"/>
  <c r="CE504" i="1"/>
  <c r="CT431" i="1"/>
  <c r="CE431" i="1"/>
  <c r="CT345" i="1"/>
  <c r="CE345" i="1"/>
  <c r="CT344" i="1"/>
  <c r="CE344" i="1"/>
  <c r="CT101" i="1"/>
  <c r="CE101" i="1"/>
  <c r="CW101" i="1" s="1"/>
  <c r="CT405" i="1"/>
  <c r="CE405" i="1"/>
  <c r="CT157" i="1"/>
  <c r="CE157" i="1"/>
  <c r="CT450" i="1"/>
  <c r="CE450" i="1"/>
  <c r="CT175" i="1"/>
  <c r="CE175" i="1"/>
  <c r="CW175" i="1" s="1"/>
  <c r="CT464" i="1"/>
  <c r="CE464" i="1"/>
  <c r="CT483" i="1"/>
  <c r="CE483" i="1"/>
  <c r="CW483" i="1" s="1"/>
  <c r="CT462" i="1"/>
  <c r="CE462" i="1"/>
  <c r="CT226" i="1"/>
  <c r="CE226" i="1"/>
  <c r="CJ427" i="1"/>
  <c r="CK427" i="1" s="1"/>
  <c r="CJ480" i="1"/>
  <c r="CK480" i="1" s="1"/>
  <c r="CJ492" i="1"/>
  <c r="CK492" i="1" s="1"/>
  <c r="CJ202" i="1"/>
  <c r="CK202" i="1" s="1"/>
  <c r="CT454" i="1"/>
  <c r="CE454" i="1"/>
  <c r="CT44" i="1"/>
  <c r="CE44" i="1"/>
  <c r="CT487" i="1"/>
  <c r="CE487" i="1"/>
  <c r="CT259" i="1"/>
  <c r="CE259" i="1"/>
  <c r="CT397" i="1"/>
  <c r="CE397" i="1"/>
  <c r="CT130" i="1"/>
  <c r="CE130" i="1"/>
  <c r="CW130" i="1" s="1"/>
  <c r="CT351" i="1"/>
  <c r="CE351" i="1"/>
  <c r="CT473" i="1"/>
  <c r="CE473" i="1"/>
  <c r="CT279" i="1"/>
  <c r="CE279" i="1"/>
  <c r="CT53" i="1"/>
  <c r="CE53" i="1"/>
  <c r="CT231" i="1"/>
  <c r="CE231" i="1"/>
  <c r="CT306" i="1"/>
  <c r="CE306" i="1"/>
  <c r="CT314" i="1"/>
  <c r="CE314" i="1"/>
  <c r="CT373" i="1"/>
  <c r="CE373" i="1"/>
  <c r="CT414" i="1"/>
  <c r="CE414" i="1"/>
  <c r="CT354" i="1"/>
  <c r="CE354" i="1"/>
  <c r="CT115" i="1"/>
  <c r="CE115" i="1"/>
  <c r="CW115" i="1" s="1"/>
  <c r="CT133" i="1"/>
  <c r="CE133" i="1"/>
  <c r="CT498" i="1"/>
  <c r="CE498" i="1"/>
  <c r="CT190" i="1"/>
  <c r="CE190" i="1"/>
  <c r="CW190" i="1" s="1"/>
  <c r="CT73" i="1"/>
  <c r="CE73" i="1"/>
  <c r="CT198" i="1"/>
  <c r="CE198" i="1"/>
  <c r="CT408" i="1"/>
  <c r="CE408" i="1"/>
  <c r="CT303" i="1"/>
  <c r="CE303" i="1"/>
  <c r="CT396" i="1"/>
  <c r="CE396" i="1"/>
  <c r="CT296" i="1"/>
  <c r="CE296" i="1"/>
  <c r="CT493" i="1"/>
  <c r="CE493" i="1"/>
  <c r="CT459" i="1"/>
  <c r="CE459" i="1"/>
  <c r="CT180" i="1"/>
  <c r="CE180" i="1"/>
  <c r="CT485" i="1"/>
  <c r="CE485" i="1"/>
  <c r="CT428" i="1"/>
  <c r="CE428" i="1"/>
  <c r="CT338" i="1"/>
  <c r="CE338" i="1"/>
  <c r="CJ76" i="1"/>
  <c r="CK76" i="1" s="1"/>
  <c r="CJ234" i="1"/>
  <c r="CK234" i="1" s="1"/>
  <c r="CJ16" i="1"/>
  <c r="CK16" i="1" s="1"/>
  <c r="CJ239" i="1"/>
  <c r="CK239" i="1" s="1"/>
  <c r="CJ212" i="1"/>
  <c r="CK212" i="1" s="1"/>
  <c r="CJ55" i="1"/>
  <c r="CK55" i="1" s="1"/>
  <c r="CJ197" i="1"/>
  <c r="CK197" i="1" s="1"/>
  <c r="CJ97" i="1"/>
  <c r="CK97" i="1" s="1"/>
  <c r="CJ221" i="1"/>
  <c r="CK221" i="1" s="1"/>
  <c r="CJ465" i="1"/>
  <c r="CK465" i="1" s="1"/>
  <c r="CT468" i="1"/>
  <c r="CE468" i="1"/>
  <c r="CT496" i="1"/>
  <c r="CE496" i="1"/>
  <c r="CT449" i="1"/>
  <c r="CE449" i="1"/>
  <c r="CT204" i="1"/>
  <c r="CE204" i="1"/>
  <c r="CT155" i="1"/>
  <c r="CE155" i="1"/>
  <c r="CT256" i="1"/>
  <c r="CE256" i="1"/>
  <c r="CT116" i="1"/>
  <c r="CE116" i="1"/>
  <c r="CT177" i="1"/>
  <c r="CE177" i="1"/>
  <c r="CT147" i="1"/>
  <c r="CE147" i="1"/>
  <c r="CT270" i="1"/>
  <c r="CE270" i="1"/>
  <c r="CT69" i="1"/>
  <c r="CE69" i="1"/>
  <c r="CT78" i="1"/>
  <c r="CE78" i="1"/>
  <c r="CT83" i="1"/>
  <c r="CE83" i="1"/>
  <c r="CT86" i="1"/>
  <c r="CE86" i="1"/>
  <c r="CT421" i="1"/>
  <c r="CE421" i="1"/>
  <c r="CT481" i="1"/>
  <c r="CE481" i="1"/>
  <c r="CW481" i="1" s="1"/>
  <c r="CT342" i="1"/>
  <c r="CE342" i="1"/>
  <c r="CT290" i="1"/>
  <c r="CE290" i="1"/>
  <c r="CT443" i="1"/>
  <c r="CE443" i="1"/>
  <c r="CT384" i="1"/>
  <c r="CE384" i="1"/>
  <c r="CT471" i="1"/>
  <c r="CE471" i="1"/>
  <c r="CT400" i="1"/>
  <c r="CE400" i="1"/>
  <c r="CT323" i="1"/>
  <c r="CE323" i="1"/>
  <c r="CT85" i="1"/>
  <c r="CE85" i="1"/>
  <c r="CT293" i="1"/>
  <c r="CE293" i="1"/>
  <c r="CE245" i="1"/>
  <c r="CT245" i="1"/>
  <c r="CT112" i="1"/>
  <c r="CE112" i="1"/>
  <c r="CT268" i="1"/>
  <c r="CE268" i="1"/>
  <c r="CT304" i="1"/>
  <c r="CE304" i="1"/>
  <c r="CT339" i="1"/>
  <c r="CE339" i="1"/>
  <c r="CT210" i="1"/>
  <c r="CE210" i="1"/>
  <c r="CT377" i="1"/>
  <c r="CE377" i="1"/>
  <c r="CT235" i="1"/>
  <c r="CE235" i="1"/>
  <c r="CT46" i="1"/>
  <c r="CE46" i="1"/>
  <c r="CT40" i="1"/>
  <c r="CE40" i="1"/>
  <c r="CT5" i="1"/>
  <c r="CE5" i="1"/>
  <c r="CT47" i="1"/>
  <c r="CE47" i="1"/>
  <c r="CT2" i="1"/>
  <c r="CE2" i="1"/>
  <c r="CT27" i="1"/>
  <c r="CE27" i="1"/>
  <c r="CT313" i="1"/>
  <c r="CE313" i="1"/>
  <c r="CT382" i="1"/>
  <c r="CE382" i="1"/>
  <c r="CT49" i="1"/>
  <c r="CE49" i="1"/>
  <c r="CT38" i="1"/>
  <c r="CE38" i="1"/>
  <c r="CT24" i="1"/>
  <c r="CE24" i="1"/>
  <c r="CT35" i="1"/>
  <c r="CE35" i="1"/>
  <c r="CT23" i="1"/>
  <c r="CE23" i="1"/>
  <c r="CT455" i="1"/>
  <c r="CE455" i="1"/>
  <c r="CT286" i="1"/>
  <c r="CE286" i="1"/>
  <c r="CT241" i="1"/>
  <c r="CE241" i="1"/>
  <c r="CT328" i="1"/>
  <c r="CE328" i="1"/>
  <c r="CT386" i="1"/>
  <c r="CE386" i="1"/>
  <c r="CT365" i="1"/>
  <c r="CE365" i="1"/>
  <c r="CT318" i="1"/>
  <c r="CE318" i="1"/>
  <c r="CT380" i="1"/>
  <c r="CE380" i="1"/>
  <c r="CT363" i="1"/>
  <c r="CE363" i="1"/>
  <c r="CT375" i="1"/>
  <c r="CE375" i="1"/>
  <c r="CE246" i="1"/>
  <c r="CT246" i="1"/>
  <c r="CT329" i="1"/>
  <c r="CE329" i="1"/>
  <c r="CT153" i="1"/>
  <c r="CE153" i="1"/>
  <c r="CT359" i="1"/>
  <c r="CE359" i="1"/>
  <c r="CT469" i="1"/>
  <c r="CE469" i="1"/>
  <c r="CT122" i="1"/>
  <c r="CE122" i="1"/>
  <c r="CT472" i="1"/>
  <c r="CE472" i="1"/>
  <c r="CT89" i="1"/>
  <c r="CE89" i="1"/>
  <c r="CT335" i="1"/>
  <c r="CE335" i="1"/>
  <c r="CT156" i="1"/>
  <c r="CE156" i="1"/>
  <c r="CT410" i="1"/>
  <c r="CE410" i="1"/>
  <c r="CT65" i="1"/>
  <c r="CE65" i="1"/>
  <c r="CT159" i="1"/>
  <c r="CE159" i="1"/>
  <c r="CT447" i="1"/>
  <c r="CE447" i="1"/>
  <c r="CT211" i="1"/>
  <c r="CE211" i="1"/>
  <c r="CT301" i="1"/>
  <c r="CE301" i="1"/>
  <c r="CT137" i="1"/>
  <c r="CE137" i="1"/>
  <c r="CT140" i="1"/>
  <c r="CE140" i="1"/>
  <c r="CT127" i="1"/>
  <c r="CE127" i="1"/>
  <c r="CT72" i="1"/>
  <c r="CE72" i="1"/>
  <c r="CT494" i="1"/>
  <c r="CE494" i="1"/>
  <c r="CT503" i="1"/>
  <c r="CE503" i="1"/>
  <c r="CT501" i="1"/>
  <c r="CE501" i="1"/>
  <c r="CT179" i="1"/>
  <c r="CE179" i="1"/>
  <c r="CW179" i="1" s="1"/>
  <c r="CT154" i="1"/>
  <c r="CE154" i="1"/>
  <c r="CT309" i="1"/>
  <c r="CE309" i="1"/>
  <c r="CT111" i="1"/>
  <c r="CE111" i="1"/>
  <c r="CW111" i="1" s="1"/>
  <c r="CT58" i="1"/>
  <c r="CE58" i="1"/>
  <c r="CE315" i="1"/>
  <c r="CT315" i="1"/>
  <c r="CT334" i="1"/>
  <c r="CE334" i="1"/>
  <c r="CT448" i="1"/>
  <c r="CE448" i="1"/>
  <c r="CT253" i="1"/>
  <c r="CE253" i="1"/>
  <c r="CW253" i="1" s="1"/>
  <c r="CT418" i="1"/>
  <c r="CE418" i="1"/>
  <c r="CT486" i="1"/>
  <c r="CE486" i="1"/>
  <c r="CT105" i="1"/>
  <c r="CE105" i="1"/>
  <c r="CT67" i="1"/>
  <c r="CE67" i="1"/>
  <c r="CW67" i="1" s="1"/>
  <c r="CJ444" i="1"/>
  <c r="CK444" i="1" s="1"/>
  <c r="CJ102" i="1"/>
  <c r="CK102" i="1" s="1"/>
  <c r="CJ216" i="1"/>
  <c r="CK216" i="1" s="1"/>
  <c r="CJ442" i="1"/>
  <c r="CK442" i="1" s="1"/>
  <c r="CJ196" i="1"/>
  <c r="CK196" i="1" s="1"/>
  <c r="CH196" i="1" s="1"/>
  <c r="CI196" i="1" s="1"/>
  <c r="CJ98" i="1"/>
  <c r="CK98" i="1" s="1"/>
  <c r="CJ75" i="1"/>
  <c r="CK75" i="1" s="1"/>
  <c r="CT9" i="1"/>
  <c r="CE9" i="1"/>
  <c r="CT114" i="1"/>
  <c r="CE114" i="1"/>
  <c r="CT437" i="1"/>
  <c r="CE437" i="1"/>
  <c r="CT143" i="1"/>
  <c r="CE143" i="1"/>
  <c r="CT489" i="1"/>
  <c r="CE489" i="1"/>
  <c r="CT479" i="1"/>
  <c r="CE479" i="1"/>
  <c r="CT393" i="1"/>
  <c r="CE393" i="1"/>
  <c r="CT404" i="1"/>
  <c r="CE404" i="1"/>
  <c r="CT383" i="1"/>
  <c r="CE383" i="1"/>
  <c r="CT107" i="1"/>
  <c r="CE107" i="1"/>
  <c r="CT327" i="1"/>
  <c r="CE327" i="1"/>
  <c r="CT330" i="1"/>
  <c r="CE330" i="1"/>
  <c r="CT368" i="1"/>
  <c r="CE368" i="1"/>
  <c r="CT247" i="1"/>
  <c r="CE247" i="1"/>
  <c r="CT331" i="1"/>
  <c r="CE331" i="1"/>
  <c r="CT12" i="1"/>
  <c r="CE12" i="1"/>
  <c r="CT50" i="1"/>
  <c r="CE50" i="1"/>
  <c r="CT362" i="1"/>
  <c r="CE362" i="1"/>
  <c r="CJ125" i="1"/>
  <c r="CK125" i="1" s="1"/>
  <c r="CJ434" i="1"/>
  <c r="CK434" i="1" s="1"/>
  <c r="CJ148" i="1"/>
  <c r="CK148" i="1" s="1"/>
  <c r="CJ107" i="1"/>
  <c r="CK107" i="1" s="1"/>
  <c r="CJ243" i="1"/>
  <c r="CK243" i="1" s="1"/>
  <c r="CJ165" i="1"/>
  <c r="CK165" i="1" s="1"/>
  <c r="CH165" i="1" s="1"/>
  <c r="CI165" i="1" s="1"/>
  <c r="CJ264" i="1"/>
  <c r="CK264" i="1" s="1"/>
  <c r="CJ426" i="1"/>
  <c r="CK426" i="1" s="1"/>
  <c r="CT419" i="1"/>
  <c r="CE419" i="1"/>
  <c r="CT439" i="1"/>
  <c r="CE439" i="1"/>
  <c r="CT453" i="1"/>
  <c r="CE453" i="1"/>
  <c r="CT281" i="1"/>
  <c r="CE281" i="1"/>
  <c r="CT168" i="1"/>
  <c r="CE168" i="1"/>
  <c r="CT271" i="1"/>
  <c r="CE271" i="1"/>
  <c r="CT466" i="1"/>
  <c r="CE466" i="1"/>
  <c r="CT215" i="1"/>
  <c r="CE215" i="1"/>
  <c r="CT174" i="1"/>
  <c r="CE174" i="1"/>
  <c r="CT66" i="1"/>
  <c r="CE66" i="1"/>
  <c r="CW66" i="1" s="1"/>
  <c r="CT74" i="1"/>
  <c r="CE74" i="1"/>
  <c r="CW74" i="1" s="1"/>
  <c r="CT440" i="1"/>
  <c r="CE440" i="1"/>
  <c r="CT79" i="1"/>
  <c r="CE79" i="1"/>
  <c r="CT88" i="1"/>
  <c r="CE88" i="1"/>
  <c r="CT100" i="1"/>
  <c r="CE100" i="1"/>
  <c r="CT255" i="1"/>
  <c r="CE255" i="1"/>
  <c r="CT34" i="1"/>
  <c r="CE34" i="1"/>
  <c r="CT322" i="1"/>
  <c r="CE322" i="1"/>
  <c r="CT343" i="1"/>
  <c r="CE343" i="1"/>
  <c r="CT222" i="1"/>
  <c r="CE222" i="1"/>
  <c r="CT260" i="1"/>
  <c r="CE260" i="1"/>
  <c r="CT401" i="1"/>
  <c r="CE401" i="1"/>
  <c r="CT407" i="1"/>
  <c r="CE407" i="1"/>
  <c r="CT490" i="1"/>
  <c r="CE490" i="1"/>
  <c r="CT409" i="1"/>
  <c r="CE409" i="1"/>
  <c r="CT324" i="1"/>
  <c r="CE324" i="1"/>
  <c r="CT276" i="1"/>
  <c r="CE276" i="1"/>
  <c r="CT305" i="1"/>
  <c r="CE305" i="1"/>
  <c r="CT310" i="1"/>
  <c r="CE310" i="1"/>
  <c r="CT326" i="1"/>
  <c r="CE326" i="1"/>
  <c r="CT390" i="1"/>
  <c r="CE390" i="1"/>
  <c r="CT316" i="1"/>
  <c r="CE316" i="1"/>
  <c r="CT189" i="1"/>
  <c r="CE189" i="1"/>
  <c r="CT250" i="1"/>
  <c r="CE250" i="1"/>
  <c r="CT340" i="1"/>
  <c r="CE340" i="1"/>
  <c r="CT21" i="1"/>
  <c r="CE21" i="1"/>
  <c r="CT285" i="1"/>
  <c r="CE285" i="1"/>
  <c r="CT42" i="1"/>
  <c r="CE42" i="1"/>
  <c r="CT19" i="1"/>
  <c r="CE19" i="1"/>
  <c r="CT349" i="1"/>
  <c r="CE349" i="1"/>
  <c r="CT325" i="1"/>
  <c r="CE325" i="1"/>
  <c r="CT52" i="1"/>
  <c r="CE52" i="1"/>
  <c r="CT43" i="1"/>
  <c r="CE43" i="1"/>
  <c r="CT445" i="1"/>
  <c r="CE445" i="1"/>
  <c r="CT26" i="1"/>
  <c r="CE26" i="1"/>
  <c r="CT37" i="1"/>
  <c r="CE37" i="1"/>
  <c r="CT25" i="1"/>
  <c r="CE25" i="1"/>
  <c r="CT457" i="1"/>
  <c r="CE457" i="1"/>
  <c r="CT369" i="1"/>
  <c r="CE369" i="1"/>
  <c r="CT199" i="1"/>
  <c r="CE199" i="1"/>
  <c r="CT356" i="1"/>
  <c r="CE356" i="1"/>
  <c r="CT220" i="1"/>
  <c r="CE220" i="1"/>
  <c r="CT370" i="1"/>
  <c r="CE370" i="1"/>
  <c r="CT319" i="1"/>
  <c r="CE319" i="1"/>
  <c r="CT374" i="1"/>
  <c r="CE374" i="1"/>
  <c r="CT367" i="1"/>
  <c r="CE367" i="1"/>
  <c r="CE420" i="1"/>
  <c r="CT420" i="1"/>
  <c r="CT283" i="1"/>
  <c r="CE283" i="1"/>
  <c r="CT333" i="1"/>
  <c r="CE333" i="1"/>
  <c r="CT203" i="1"/>
  <c r="CE203" i="1"/>
  <c r="CT82" i="1"/>
  <c r="CE82" i="1"/>
  <c r="CT412" i="1"/>
  <c r="CE412" i="1"/>
  <c r="CT144" i="1"/>
  <c r="CE144" i="1"/>
  <c r="CT422" i="1"/>
  <c r="CE422" i="1"/>
  <c r="CT145" i="1"/>
  <c r="CE145" i="1"/>
  <c r="CT152" i="1"/>
  <c r="CE152" i="1"/>
  <c r="CT446" i="1"/>
  <c r="CE446" i="1"/>
  <c r="CT171" i="1"/>
  <c r="CE171" i="1"/>
  <c r="CT312" i="1"/>
  <c r="CE312" i="1"/>
  <c r="CT230" i="1"/>
  <c r="CE230" i="1"/>
  <c r="CT461" i="1"/>
  <c r="CE461" i="1"/>
  <c r="CW461" i="1" s="1"/>
  <c r="CT394" i="1"/>
  <c r="CE394" i="1"/>
  <c r="CT308" i="1"/>
  <c r="CE308" i="1"/>
  <c r="CT463" i="1"/>
  <c r="CE463" i="1"/>
  <c r="CT295" i="1"/>
  <c r="CE295" i="1"/>
  <c r="CT341" i="1"/>
  <c r="CE341" i="1"/>
  <c r="CT191" i="1"/>
  <c r="CE191" i="1"/>
  <c r="CW191" i="1" s="1"/>
  <c r="CT274" i="1"/>
  <c r="CE274" i="1"/>
  <c r="CT451" i="1"/>
  <c r="CE451" i="1"/>
  <c r="CT158" i="1"/>
  <c r="CE158" i="1"/>
  <c r="CT282" i="1"/>
  <c r="CE282" i="1"/>
  <c r="CT411" i="1"/>
  <c r="CE411" i="1"/>
  <c r="CT200" i="1"/>
  <c r="CE200" i="1"/>
  <c r="CT297" i="1"/>
  <c r="CE297" i="1"/>
  <c r="CT280" i="1"/>
  <c r="CE280" i="1"/>
  <c r="CT242" i="1"/>
  <c r="CE242" i="1"/>
  <c r="CT56" i="1"/>
  <c r="CE56" i="1"/>
  <c r="CT353" i="1"/>
  <c r="CE353" i="1"/>
  <c r="CT64" i="1"/>
  <c r="CE64" i="1"/>
  <c r="CT169" i="1"/>
  <c r="CE169" i="1"/>
  <c r="CT229" i="1"/>
  <c r="CE229" i="1"/>
  <c r="CT417" i="1"/>
  <c r="AY417" i="1"/>
  <c r="BO417" i="1" s="1"/>
  <c r="AY67" i="1"/>
  <c r="AY226" i="1"/>
  <c r="BO226" i="1" s="1"/>
  <c r="AY338" i="1"/>
  <c r="AY229" i="1"/>
  <c r="BO229" i="1" s="1"/>
  <c r="AY105" i="1"/>
  <c r="BO105" i="1" s="1"/>
  <c r="AY462" i="1"/>
  <c r="BO462" i="1" s="1"/>
  <c r="AY218" i="1"/>
  <c r="AY169" i="1"/>
  <c r="BO169" i="1" s="1"/>
  <c r="AY75" i="1"/>
  <c r="BO75" i="1" s="1"/>
  <c r="AY486" i="1"/>
  <c r="AY483" i="1"/>
  <c r="BO483" i="1" s="1"/>
  <c r="AY465" i="1"/>
  <c r="BO465" i="1" s="1"/>
  <c r="AY379" i="1"/>
  <c r="BO379" i="1" s="1"/>
  <c r="AY64" i="1"/>
  <c r="AY207" i="1"/>
  <c r="AY418" i="1"/>
  <c r="BO418" i="1" s="1"/>
  <c r="AY460" i="1"/>
  <c r="AY464" i="1"/>
  <c r="BO464" i="1" s="1"/>
  <c r="AY428" i="1"/>
  <c r="BO428" i="1" s="1"/>
  <c r="AY298" i="1"/>
  <c r="BO298" i="1" s="1"/>
  <c r="AY353" i="1"/>
  <c r="BO353" i="1" s="1"/>
  <c r="AY253" i="1"/>
  <c r="BO253" i="1" s="1"/>
  <c r="AY221" i="1"/>
  <c r="BO221" i="1" s="1"/>
  <c r="AY175" i="1"/>
  <c r="BO175" i="1" s="1"/>
  <c r="AY56" i="1"/>
  <c r="BO56" i="1" s="1"/>
  <c r="AY448" i="1"/>
  <c r="AY450" i="1"/>
  <c r="BO450" i="1" s="1"/>
  <c r="AY272" i="1"/>
  <c r="AY242" i="1"/>
  <c r="BO242" i="1" s="1"/>
  <c r="AY334" i="1"/>
  <c r="BO334" i="1" s="1"/>
  <c r="AY157" i="1"/>
  <c r="BO157" i="1" s="1"/>
  <c r="AY240" i="1"/>
  <c r="AY87" i="1"/>
  <c r="BO87" i="1" s="1"/>
  <c r="AY280" i="1"/>
  <c r="BO280" i="1" s="1"/>
  <c r="AY141" i="1"/>
  <c r="AY315" i="1"/>
  <c r="BO315" i="1" s="1"/>
  <c r="AY202" i="1"/>
  <c r="BO202" i="1" s="1"/>
  <c r="AY405" i="1"/>
  <c r="AY426" i="1"/>
  <c r="BO426" i="1" s="1"/>
  <c r="AY183" i="1"/>
  <c r="AY485" i="1"/>
  <c r="AY297" i="1"/>
  <c r="BO297" i="1" s="1"/>
  <c r="AY58" i="1"/>
  <c r="BO58" i="1" s="1"/>
  <c r="AY101" i="1"/>
  <c r="BO101" i="1" s="1"/>
  <c r="AY495" i="1"/>
  <c r="BO495" i="1" s="1"/>
  <c r="AY200" i="1"/>
  <c r="BO200" i="1" s="1"/>
  <c r="AY111" i="1"/>
  <c r="BO111" i="1" s="1"/>
  <c r="AY136" i="1"/>
  <c r="AY264" i="1"/>
  <c r="BO264" i="1" s="1"/>
  <c r="AY344" i="1"/>
  <c r="BO344" i="1" s="1"/>
  <c r="AY411" i="1"/>
  <c r="AY309" i="1"/>
  <c r="BO309" i="1" s="1"/>
  <c r="AY345" i="1"/>
  <c r="BO345" i="1" s="1"/>
  <c r="AY181" i="1"/>
  <c r="BO181" i="1" s="1"/>
  <c r="AY97" i="1"/>
  <c r="BO97" i="1" s="1"/>
  <c r="AY206" i="1"/>
  <c r="BO206" i="1" s="1"/>
  <c r="AY154" i="1"/>
  <c r="BO154" i="1" s="1"/>
  <c r="AY431" i="1"/>
  <c r="BO431" i="1" s="1"/>
  <c r="AY459" i="1"/>
  <c r="AY158" i="1"/>
  <c r="BO158" i="1" s="1"/>
  <c r="AY278" i="1"/>
  <c r="AY179" i="1"/>
  <c r="BO179" i="1" s="1"/>
  <c r="AY504" i="1"/>
  <c r="BO504" i="1" s="1"/>
  <c r="AY347" i="1"/>
  <c r="BO347" i="1" s="1"/>
  <c r="AY451" i="1"/>
  <c r="BO451" i="1" s="1"/>
  <c r="AY501" i="1"/>
  <c r="BO501" i="1" s="1"/>
  <c r="AY432" i="1"/>
  <c r="BO432" i="1" s="1"/>
  <c r="AY274" i="1"/>
  <c r="BO274" i="1" s="1"/>
  <c r="AY503" i="1"/>
  <c r="AY476" i="1"/>
  <c r="BO476" i="1" s="1"/>
  <c r="AY191" i="1"/>
  <c r="AY494" i="1"/>
  <c r="BO494" i="1" s="1"/>
  <c r="AY104" i="1"/>
  <c r="BO104" i="1" s="1"/>
  <c r="AY493" i="1"/>
  <c r="AY341" i="1"/>
  <c r="BO341" i="1" s="1"/>
  <c r="AY72" i="1"/>
  <c r="BO72" i="1" s="1"/>
  <c r="AY123" i="1"/>
  <c r="BO123" i="1" s="1"/>
  <c r="AY413" i="1"/>
  <c r="AY497" i="1"/>
  <c r="BO497" i="1" s="1"/>
  <c r="AY295" i="1"/>
  <c r="BO295" i="1" s="1"/>
  <c r="AY127" i="1"/>
  <c r="BO127" i="1" s="1"/>
  <c r="AY223" i="1"/>
  <c r="BO223" i="1" s="1"/>
  <c r="AY296" i="1"/>
  <c r="BO296" i="1" s="1"/>
  <c r="AY165" i="1"/>
  <c r="BO165" i="1" s="1"/>
  <c r="AY463" i="1"/>
  <c r="BO463" i="1" s="1"/>
  <c r="AY170" i="1"/>
  <c r="AY228" i="1"/>
  <c r="BO228" i="1" s="1"/>
  <c r="AY110" i="1"/>
  <c r="BO110" i="1" s="1"/>
  <c r="AY388" i="1"/>
  <c r="BO388" i="1" s="1"/>
  <c r="AY137" i="1"/>
  <c r="BO137" i="1" s="1"/>
  <c r="AY119" i="1"/>
  <c r="AY301" i="1"/>
  <c r="BO301" i="1" s="1"/>
  <c r="AY308" i="1"/>
  <c r="AY211" i="1"/>
  <c r="BO211" i="1" s="1"/>
  <c r="AY352" i="1"/>
  <c r="BO352" i="1" s="1"/>
  <c r="AY396" i="1"/>
  <c r="BO396" i="1" s="1"/>
  <c r="AY447" i="1"/>
  <c r="BO447" i="1" s="1"/>
  <c r="AY214" i="1"/>
  <c r="BO214" i="1" s="1"/>
  <c r="AY337" i="1"/>
  <c r="BO337" i="1" s="1"/>
  <c r="AY394" i="1"/>
  <c r="BO394" i="1" s="1"/>
  <c r="AY98" i="1"/>
  <c r="BO98" i="1" s="1"/>
  <c r="AY167" i="1"/>
  <c r="BO167" i="1" s="1"/>
  <c r="AY303" i="1"/>
  <c r="BO303" i="1" s="1"/>
  <c r="AY159" i="1"/>
  <c r="BO159" i="1" s="1"/>
  <c r="AY243" i="1"/>
  <c r="BO243" i="1" s="1"/>
  <c r="AY197" i="1"/>
  <c r="BO197" i="1" s="1"/>
  <c r="AY398" i="1"/>
  <c r="AY408" i="1"/>
  <c r="AY461" i="1"/>
  <c r="BO461" i="1" s="1"/>
  <c r="AY395" i="1"/>
  <c r="BO395" i="1" s="1"/>
  <c r="AY230" i="1"/>
  <c r="AY198" i="1"/>
  <c r="AY188" i="1"/>
  <c r="AY312" i="1"/>
  <c r="AY65" i="1"/>
  <c r="BO65" i="1" s="1"/>
  <c r="AY433" i="1"/>
  <c r="BO433" i="1" s="1"/>
  <c r="AY425" i="1"/>
  <c r="BO425" i="1" s="1"/>
  <c r="AY171" i="1"/>
  <c r="BO171" i="1" s="1"/>
  <c r="AY117" i="1"/>
  <c r="BO117" i="1" s="1"/>
  <c r="AY500" i="1"/>
  <c r="BO500" i="1" s="1"/>
  <c r="AY446" i="1"/>
  <c r="AY410" i="1"/>
  <c r="BO410" i="1" s="1"/>
  <c r="AY73" i="1"/>
  <c r="BO73" i="1" s="1"/>
  <c r="AY68" i="1"/>
  <c r="BO68" i="1" s="1"/>
  <c r="AY152" i="1"/>
  <c r="BO152" i="1" s="1"/>
  <c r="AY190" i="1"/>
  <c r="BO190" i="1" s="1"/>
  <c r="AY266" i="1"/>
  <c r="AY156" i="1"/>
  <c r="BO156" i="1" s="1"/>
  <c r="AY502" i="1"/>
  <c r="BO502" i="1" s="1"/>
  <c r="AY145" i="1"/>
  <c r="BO145" i="1" s="1"/>
  <c r="AY335" i="1"/>
  <c r="BO335" i="1" s="1"/>
  <c r="AY498" i="1"/>
  <c r="BO498" i="1" s="1"/>
  <c r="AY422" i="1"/>
  <c r="AY89" i="1"/>
  <c r="BO89" i="1" s="1"/>
  <c r="AY103" i="1"/>
  <c r="BO103" i="1" s="1"/>
  <c r="AY144" i="1"/>
  <c r="BO144" i="1" s="1"/>
  <c r="AY472" i="1"/>
  <c r="BO472" i="1" s="1"/>
  <c r="AY161" i="1"/>
  <c r="BO161" i="1" s="1"/>
  <c r="AY195" i="1"/>
  <c r="BO195" i="1" s="1"/>
  <c r="AY133" i="1"/>
  <c r="BO133" i="1" s="1"/>
  <c r="AY122" i="1"/>
  <c r="BO122" i="1" s="1"/>
  <c r="AY265" i="1"/>
  <c r="BO265" i="1" s="1"/>
  <c r="AY212" i="1"/>
  <c r="BO212" i="1" s="1"/>
  <c r="AY469" i="1"/>
  <c r="BO469" i="1" s="1"/>
  <c r="AY196" i="1"/>
  <c r="BO196" i="1" s="1"/>
  <c r="AY217" i="1"/>
  <c r="AY128" i="1"/>
  <c r="AY412" i="1"/>
  <c r="AY150" i="1"/>
  <c r="BO150" i="1" s="1"/>
  <c r="AY115" i="1"/>
  <c r="BO115" i="1" s="1"/>
  <c r="AY193" i="1"/>
  <c r="AY186" i="1"/>
  <c r="BO186" i="1" s="1"/>
  <c r="AY82" i="1"/>
  <c r="BO82" i="1" s="1"/>
  <c r="AY248" i="1"/>
  <c r="AY480" i="1"/>
  <c r="BO480" i="1" s="1"/>
  <c r="AY203" i="1"/>
  <c r="BO203" i="1" s="1"/>
  <c r="AY333" i="1"/>
  <c r="BO333" i="1" s="1"/>
  <c r="AY355" i="1"/>
  <c r="BO355" i="1" s="1"/>
  <c r="AY283" i="1"/>
  <c r="AY329" i="1"/>
  <c r="BO329" i="1" s="1"/>
  <c r="AY360" i="1"/>
  <c r="BO360" i="1" s="1"/>
  <c r="AY354" i="1"/>
  <c r="BO354" i="1" s="1"/>
  <c r="AY420" i="1"/>
  <c r="BO420" i="1" s="1"/>
  <c r="AY488" i="1"/>
  <c r="BO488" i="1" s="1"/>
  <c r="AY442" i="1"/>
  <c r="BO442" i="1" s="1"/>
  <c r="AY458" i="1"/>
  <c r="AY246" i="1"/>
  <c r="BO246" i="1" s="1"/>
  <c r="AY436" i="1"/>
  <c r="BO436" i="1" s="1"/>
  <c r="AY414" i="1"/>
  <c r="AY178" i="1"/>
  <c r="AY121" i="1"/>
  <c r="BO121" i="1" s="1"/>
  <c r="AY124" i="1"/>
  <c r="BO124" i="1" s="1"/>
  <c r="AY375" i="1"/>
  <c r="AY381" i="1"/>
  <c r="AY363" i="1"/>
  <c r="BO363" i="1" s="1"/>
  <c r="AY366" i="1"/>
  <c r="BO366" i="1" s="1"/>
  <c r="AY371" i="1"/>
  <c r="AY380" i="1"/>
  <c r="AY361" i="1"/>
  <c r="BO361" i="1" s="1"/>
  <c r="AY318" i="1"/>
  <c r="BO318" i="1" s="1"/>
  <c r="AY378" i="1"/>
  <c r="AY370" i="1"/>
  <c r="BO370" i="1" s="1"/>
  <c r="AY365" i="1"/>
  <c r="BO365" i="1" s="1"/>
  <c r="AY227" i="1"/>
  <c r="BO227" i="1" s="1"/>
  <c r="AY216" i="1"/>
  <c r="BO216" i="1" s="1"/>
  <c r="AY220" i="1"/>
  <c r="BO220" i="1" s="1"/>
  <c r="AY386" i="1"/>
  <c r="BO386" i="1" s="1"/>
  <c r="AY362" i="1"/>
  <c r="BO362" i="1" s="1"/>
  <c r="AY356" i="1"/>
  <c r="BO356" i="1" s="1"/>
  <c r="AY328" i="1"/>
  <c r="BO328" i="1" s="1"/>
  <c r="AY249" i="1"/>
  <c r="AY252" i="1"/>
  <c r="BO252" i="1" s="1"/>
  <c r="AY199" i="1"/>
  <c r="AY241" i="1"/>
  <c r="BO241" i="1" s="1"/>
  <c r="AY358" i="1"/>
  <c r="BO358" i="1" s="1"/>
  <c r="AY118" i="1"/>
  <c r="AY62" i="1"/>
  <c r="AY286" i="1"/>
  <c r="BO286" i="1" s="1"/>
  <c r="AY261" i="1"/>
  <c r="AY231" i="1"/>
  <c r="BO231" i="1" s="1"/>
  <c r="AY452" i="1"/>
  <c r="BO452" i="1" s="1"/>
  <c r="AY25" i="1"/>
  <c r="AY20" i="1"/>
  <c r="BO20" i="1" s="1"/>
  <c r="AY14" i="1"/>
  <c r="AY48" i="1"/>
  <c r="AY50" i="1"/>
  <c r="BO50" i="1" s="1"/>
  <c r="AY37" i="1"/>
  <c r="BO37" i="1" s="1"/>
  <c r="AY441" i="1"/>
  <c r="BO441" i="1" s="1"/>
  <c r="AY26" i="1"/>
  <c r="BO26" i="1" s="1"/>
  <c r="AY24" i="1"/>
  <c r="BO24" i="1" s="1"/>
  <c r="AY424" i="1"/>
  <c r="BO424" i="1" s="1"/>
  <c r="AY53" i="1"/>
  <c r="BO53" i="1" s="1"/>
  <c r="AY445" i="1"/>
  <c r="BO445" i="1" s="1"/>
  <c r="AY61" i="1"/>
  <c r="AY12" i="1"/>
  <c r="BO12" i="1" s="1"/>
  <c r="AY18" i="1"/>
  <c r="AY54" i="1"/>
  <c r="BO54" i="1" s="1"/>
  <c r="AY52" i="1"/>
  <c r="AY382" i="1"/>
  <c r="BO382" i="1" s="1"/>
  <c r="AY45" i="1"/>
  <c r="AY331" i="1"/>
  <c r="BO331" i="1" s="1"/>
  <c r="AY325" i="1"/>
  <c r="AY313" i="1"/>
  <c r="AY32" i="1"/>
  <c r="AY349" i="1"/>
  <c r="BO349" i="1" s="1"/>
  <c r="AY27" i="1"/>
  <c r="BO27" i="1" s="1"/>
  <c r="AY279" i="1"/>
  <c r="BO279" i="1" s="1"/>
  <c r="AY19" i="1"/>
  <c r="AY16" i="1"/>
  <c r="BO16" i="1" s="1"/>
  <c r="AY13" i="1"/>
  <c r="BO13" i="1" s="1"/>
  <c r="AY2" i="1"/>
  <c r="AY247" i="1"/>
  <c r="BO247" i="1" s="1"/>
  <c r="AY415" i="1"/>
  <c r="AY47" i="1"/>
  <c r="BO47" i="1" s="1"/>
  <c r="AY28" i="1"/>
  <c r="BO28" i="1" s="1"/>
  <c r="AY22" i="1"/>
  <c r="AY285" i="1"/>
  <c r="BO285" i="1" s="1"/>
  <c r="AY5" i="1"/>
  <c r="BO5" i="1" s="1"/>
  <c r="AY3" i="1"/>
  <c r="AY113" i="1"/>
  <c r="AY21" i="1"/>
  <c r="BO21" i="1" s="1"/>
  <c r="AY40" i="1"/>
  <c r="BO40" i="1" s="1"/>
  <c r="AY389" i="1"/>
  <c r="BO389" i="1" s="1"/>
  <c r="AY368" i="1"/>
  <c r="BO368" i="1" s="1"/>
  <c r="AY340" i="1"/>
  <c r="BO340" i="1" s="1"/>
  <c r="AY46" i="1"/>
  <c r="BO46" i="1" s="1"/>
  <c r="AY302" i="1"/>
  <c r="BO302" i="1" s="1"/>
  <c r="AY250" i="1"/>
  <c r="BO250" i="1" s="1"/>
  <c r="AY235" i="1"/>
  <c r="BO235" i="1" s="1"/>
  <c r="AY95" i="1"/>
  <c r="AY91" i="1"/>
  <c r="AY138" i="1"/>
  <c r="BO138" i="1" s="1"/>
  <c r="AY189" i="1"/>
  <c r="BO189" i="1" s="1"/>
  <c r="AY377" i="1"/>
  <c r="AY258" i="1"/>
  <c r="BO258" i="1" s="1"/>
  <c r="AY330" i="1"/>
  <c r="BO330" i="1" s="1"/>
  <c r="AY316" i="1"/>
  <c r="BO316" i="1" s="1"/>
  <c r="AY210" i="1"/>
  <c r="BO210" i="1" s="1"/>
  <c r="AY93" i="1"/>
  <c r="BO93" i="1" s="1"/>
  <c r="AY391" i="1"/>
  <c r="AY94" i="1"/>
  <c r="AY327" i="1"/>
  <c r="BO327" i="1" s="1"/>
  <c r="AY390" i="1"/>
  <c r="BO390" i="1" s="1"/>
  <c r="AY339" i="1"/>
  <c r="BO339" i="1" s="1"/>
  <c r="AY63" i="1"/>
  <c r="BO63" i="1" s="1"/>
  <c r="AY351" i="1"/>
  <c r="BO351" i="1" s="1"/>
  <c r="AY326" i="1"/>
  <c r="BO326" i="1" s="1"/>
  <c r="AY304" i="1"/>
  <c r="BO304" i="1" s="1"/>
  <c r="AY311" i="1"/>
  <c r="AY346" i="1"/>
  <c r="BO346" i="1" s="1"/>
  <c r="AY310" i="1"/>
  <c r="BO310" i="1" s="1"/>
  <c r="AY268" i="1"/>
  <c r="BO268" i="1" s="1"/>
  <c r="AY92" i="1"/>
  <c r="BO92" i="1" s="1"/>
  <c r="AY107" i="1"/>
  <c r="BO107" i="1" s="1"/>
  <c r="AY305" i="1"/>
  <c r="BO305" i="1" s="1"/>
  <c r="AY112" i="1"/>
  <c r="BO112" i="1" s="1"/>
  <c r="AY307" i="1"/>
  <c r="BO307" i="1" s="1"/>
  <c r="AY276" i="1"/>
  <c r="BO276" i="1" s="1"/>
  <c r="AY245" i="1"/>
  <c r="BO245" i="1" s="1"/>
  <c r="AY244" i="1"/>
  <c r="BO244" i="1" s="1"/>
  <c r="AY130" i="1"/>
  <c r="BO130" i="1" s="1"/>
  <c r="AY324" i="1"/>
  <c r="BO324" i="1" s="1"/>
  <c r="AY293" i="1"/>
  <c r="AY135" i="1"/>
  <c r="BO135" i="1" s="1"/>
  <c r="AY288" i="1"/>
  <c r="AY162" i="1"/>
  <c r="AY409" i="1"/>
  <c r="AY85" i="1"/>
  <c r="AY237" i="1"/>
  <c r="AY57" i="1"/>
  <c r="AY148" i="1"/>
  <c r="BO148" i="1" s="1"/>
  <c r="AY233" i="1"/>
  <c r="AY383" i="1"/>
  <c r="BO383" i="1" s="1"/>
  <c r="AY490" i="1"/>
  <c r="BO490" i="1" s="1"/>
  <c r="AY438" i="1"/>
  <c r="BO438" i="1" s="1"/>
  <c r="AY376" i="1"/>
  <c r="BO376" i="1" s="1"/>
  <c r="AY149" i="1"/>
  <c r="BO149" i="1" s="1"/>
  <c r="AY99" i="1"/>
  <c r="BO99" i="1" s="1"/>
  <c r="AY407" i="1"/>
  <c r="AY108" i="1"/>
  <c r="AY321" i="1"/>
  <c r="BO321" i="1" s="1"/>
  <c r="AY404" i="1"/>
  <c r="AY401" i="1"/>
  <c r="AY400" i="1"/>
  <c r="BO400" i="1" s="1"/>
  <c r="AY402" i="1"/>
  <c r="BO402" i="1" s="1"/>
  <c r="AY397" i="1"/>
  <c r="AY260" i="1"/>
  <c r="BO260" i="1" s="1"/>
  <c r="AY471" i="1"/>
  <c r="BO471" i="1" s="1"/>
  <c r="AY163" i="1"/>
  <c r="BO163" i="1" s="1"/>
  <c r="AY205" i="1"/>
  <c r="BO205" i="1" s="1"/>
  <c r="AY399" i="1"/>
  <c r="AY364" i="1"/>
  <c r="BO364" i="1" s="1"/>
  <c r="AY234" i="1"/>
  <c r="BO234" i="1" s="1"/>
  <c r="AY222" i="1"/>
  <c r="AY187" i="1"/>
  <c r="BO187" i="1" s="1"/>
  <c r="AY384" i="1"/>
  <c r="BO384" i="1" s="1"/>
  <c r="AY273" i="1"/>
  <c r="AY139" i="1"/>
  <c r="AY343" i="1"/>
  <c r="BO343" i="1" s="1"/>
  <c r="AY443" i="1"/>
  <c r="AY423" i="1"/>
  <c r="AY406" i="1"/>
  <c r="BO406" i="1" s="1"/>
  <c r="AY322" i="1"/>
  <c r="BO322" i="1" s="1"/>
  <c r="AY290" i="1"/>
  <c r="AY291" i="1"/>
  <c r="BO291" i="1" s="1"/>
  <c r="AY34" i="1"/>
  <c r="AY342" i="1"/>
  <c r="AY259" i="1"/>
  <c r="BO259" i="1" s="1"/>
  <c r="AY255" i="1"/>
  <c r="BO255" i="1" s="1"/>
  <c r="AY194" i="1"/>
  <c r="BO194" i="1" s="1"/>
  <c r="AY201" i="1"/>
  <c r="BO201" i="1" s="1"/>
  <c r="AY102" i="1"/>
  <c r="BO102" i="1" s="1"/>
  <c r="AY421" i="1"/>
  <c r="BO421" i="1" s="1"/>
  <c r="AY403" i="1"/>
  <c r="AY479" i="1"/>
  <c r="BO479" i="1" s="1"/>
  <c r="AY88" i="1"/>
  <c r="BO88" i="1" s="1"/>
  <c r="AY86" i="1"/>
  <c r="BO86" i="1" s="1"/>
  <c r="AY81" i="1"/>
  <c r="AY489" i="1"/>
  <c r="BO489" i="1" s="1"/>
  <c r="AY79" i="1"/>
  <c r="BO79" i="1" s="1"/>
  <c r="AY491" i="1"/>
  <c r="AY83" i="1"/>
  <c r="AY84" i="1"/>
  <c r="BO84" i="1" s="1"/>
  <c r="AY80" i="1"/>
  <c r="AY440" i="1"/>
  <c r="BO440" i="1" s="1"/>
  <c r="AY78" i="1"/>
  <c r="AY77" i="1"/>
  <c r="BO77" i="1" s="1"/>
  <c r="AY59" i="1"/>
  <c r="AY487" i="1"/>
  <c r="AY484" i="1"/>
  <c r="BO484" i="1" s="1"/>
  <c r="AY74" i="1"/>
  <c r="AY70" i="1"/>
  <c r="AY69" i="1"/>
  <c r="BO69" i="1" s="1"/>
  <c r="AY71" i="1"/>
  <c r="BO71" i="1" s="1"/>
  <c r="AY143" i="1"/>
  <c r="BO143" i="1" s="1"/>
  <c r="AY66" i="1"/>
  <c r="AY270" i="1"/>
  <c r="BO270" i="1" s="1"/>
  <c r="AY444" i="1"/>
  <c r="BO444" i="1" s="1"/>
  <c r="AY257" i="1"/>
  <c r="AY434" i="1"/>
  <c r="BO434" i="1" s="1"/>
  <c r="AY254" i="1"/>
  <c r="AY263" i="1"/>
  <c r="BO263" i="1" s="1"/>
  <c r="AY174" i="1"/>
  <c r="BO174" i="1" s="1"/>
  <c r="AY147" i="1"/>
  <c r="BO147" i="1" s="1"/>
  <c r="AY437" i="1"/>
  <c r="BO437" i="1" s="1"/>
  <c r="AY215" i="1"/>
  <c r="BO215" i="1" s="1"/>
  <c r="AY177" i="1"/>
  <c r="BO177" i="1" s="1"/>
  <c r="AY348" i="1"/>
  <c r="BO348" i="1" s="1"/>
  <c r="AY251" i="1"/>
  <c r="AY238" i="1"/>
  <c r="AY466" i="1"/>
  <c r="BO466" i="1" s="1"/>
  <c r="AY116" i="1"/>
  <c r="AY467" i="1"/>
  <c r="AY44" i="1"/>
  <c r="AY271" i="1"/>
  <c r="BO271" i="1" s="1"/>
  <c r="AY256" i="1"/>
  <c r="BO256" i="1" s="1"/>
  <c r="AY134" i="1"/>
  <c r="BO134" i="1" s="1"/>
  <c r="AY168" i="1"/>
  <c r="BO168" i="1" s="1"/>
  <c r="AY155" i="1"/>
  <c r="BO155" i="1" s="1"/>
  <c r="AY125" i="1"/>
  <c r="BO125" i="1" s="1"/>
  <c r="AY164" i="1"/>
  <c r="BO164" i="1" s="1"/>
  <c r="AY131" i="1"/>
  <c r="BO131" i="1" s="1"/>
  <c r="AY114" i="1"/>
  <c r="BO114" i="1" s="1"/>
  <c r="AY281" i="1"/>
  <c r="AY204" i="1"/>
  <c r="BO204" i="1" s="1"/>
  <c r="AY478" i="1"/>
  <c r="AY454" i="1"/>
  <c r="AY453" i="1"/>
  <c r="BO453" i="1" s="1"/>
  <c r="AY449" i="1"/>
  <c r="AY33" i="1"/>
  <c r="BO33" i="1" s="1"/>
  <c r="AY439" i="1"/>
  <c r="BO439" i="1" s="1"/>
  <c r="AY496" i="1"/>
  <c r="AY435" i="1"/>
  <c r="BO435" i="1" s="1"/>
  <c r="AY9" i="1"/>
  <c r="BO9" i="1" s="1"/>
  <c r="AY468" i="1"/>
  <c r="BO468" i="1" s="1"/>
  <c r="AY430" i="1"/>
  <c r="AY429" i="1"/>
  <c r="BO429" i="1" s="1"/>
  <c r="AT474" i="1"/>
  <c r="AU417" i="1"/>
  <c r="BH417" i="1" s="1"/>
  <c r="AU67" i="1"/>
  <c r="AU226" i="1"/>
  <c r="BH226" i="1" s="1"/>
  <c r="AU105" i="1"/>
  <c r="BH105" i="1" s="1"/>
  <c r="AU462" i="1"/>
  <c r="BH462" i="1" s="1"/>
  <c r="AU218" i="1"/>
  <c r="AU75" i="1"/>
  <c r="BH75" i="1" s="1"/>
  <c r="AU486" i="1"/>
  <c r="AU483" i="1"/>
  <c r="BH483" i="1" s="1"/>
  <c r="AU465" i="1"/>
  <c r="BH465" i="1" s="1"/>
  <c r="AU379" i="1"/>
  <c r="BH379" i="1" s="1"/>
  <c r="AU64" i="1"/>
  <c r="AU207" i="1"/>
  <c r="AU418" i="1"/>
  <c r="BH418" i="1" s="1"/>
  <c r="AU460" i="1"/>
  <c r="AU464" i="1"/>
  <c r="BH464" i="1" s="1"/>
  <c r="AU428" i="1"/>
  <c r="BH428" i="1" s="1"/>
  <c r="AU298" i="1"/>
  <c r="BH298" i="1" s="1"/>
  <c r="AU353" i="1"/>
  <c r="BH353" i="1" s="1"/>
  <c r="AU253" i="1"/>
  <c r="BH253" i="1" s="1"/>
  <c r="AU221" i="1"/>
  <c r="BH221" i="1" s="1"/>
  <c r="AU175" i="1"/>
  <c r="BH175" i="1" s="1"/>
  <c r="AU56" i="1"/>
  <c r="BH56" i="1" s="1"/>
  <c r="AU448" i="1"/>
  <c r="AU450" i="1"/>
  <c r="BH450" i="1" s="1"/>
  <c r="AU272" i="1"/>
  <c r="AU242" i="1"/>
  <c r="BH242" i="1" s="1"/>
  <c r="AU334" i="1"/>
  <c r="BH334" i="1" s="1"/>
  <c r="AU157" i="1"/>
  <c r="BH157" i="1" s="1"/>
  <c r="AU240" i="1"/>
  <c r="AU87" i="1"/>
  <c r="BH87" i="1" s="1"/>
  <c r="AU280" i="1"/>
  <c r="BH280" i="1" s="1"/>
  <c r="AU141" i="1"/>
  <c r="AU315" i="1"/>
  <c r="BH315" i="1" s="1"/>
  <c r="AU202" i="1"/>
  <c r="BH202" i="1" s="1"/>
  <c r="AU405" i="1"/>
  <c r="AU426" i="1"/>
  <c r="BH426" i="1" s="1"/>
  <c r="AU183" i="1"/>
  <c r="AU485" i="1"/>
  <c r="AU297" i="1"/>
  <c r="BH297" i="1" s="1"/>
  <c r="AU58" i="1"/>
  <c r="BH58" i="1" s="1"/>
  <c r="AU101" i="1"/>
  <c r="BH101" i="1" s="1"/>
  <c r="AU495" i="1"/>
  <c r="BH495" i="1" s="1"/>
  <c r="AU200" i="1"/>
  <c r="BH200" i="1" s="1"/>
  <c r="AU111" i="1"/>
  <c r="BH111" i="1" s="1"/>
  <c r="AU136" i="1"/>
  <c r="AU264" i="1"/>
  <c r="BH264" i="1" s="1"/>
  <c r="AU344" i="1"/>
  <c r="BH344" i="1" s="1"/>
  <c r="AU411" i="1"/>
  <c r="AU309" i="1"/>
  <c r="BH309" i="1" s="1"/>
  <c r="AU345" i="1"/>
  <c r="BH345" i="1" s="1"/>
  <c r="AU181" i="1"/>
  <c r="BH181" i="1" s="1"/>
  <c r="AU97" i="1"/>
  <c r="BH97" i="1" s="1"/>
  <c r="AU206" i="1"/>
  <c r="BH206" i="1" s="1"/>
  <c r="AU154" i="1"/>
  <c r="BH154" i="1" s="1"/>
  <c r="AU431" i="1"/>
  <c r="BH431" i="1" s="1"/>
  <c r="AU459" i="1"/>
  <c r="AU158" i="1"/>
  <c r="BH158" i="1" s="1"/>
  <c r="AU278" i="1"/>
  <c r="AU179" i="1"/>
  <c r="BH179" i="1" s="1"/>
  <c r="AU504" i="1"/>
  <c r="BH504" i="1" s="1"/>
  <c r="AU347" i="1"/>
  <c r="BH347" i="1" s="1"/>
  <c r="AU451" i="1"/>
  <c r="BH451" i="1" s="1"/>
  <c r="AU501" i="1"/>
  <c r="BH501" i="1" s="1"/>
  <c r="AU432" i="1"/>
  <c r="BH432" i="1" s="1"/>
  <c r="AU274" i="1"/>
  <c r="BH274" i="1" s="1"/>
  <c r="AU503" i="1"/>
  <c r="AU476" i="1"/>
  <c r="BH476" i="1" s="1"/>
  <c r="AU191" i="1"/>
  <c r="AU494" i="1"/>
  <c r="BH494" i="1" s="1"/>
  <c r="AU104" i="1"/>
  <c r="BH104" i="1" s="1"/>
  <c r="AU493" i="1"/>
  <c r="AU341" i="1"/>
  <c r="BH341" i="1" s="1"/>
  <c r="AU72" i="1"/>
  <c r="BH72" i="1" s="1"/>
  <c r="AU123" i="1"/>
  <c r="BH123" i="1" s="1"/>
  <c r="AU413" i="1"/>
  <c r="AU497" i="1"/>
  <c r="BH497" i="1" s="1"/>
  <c r="AU295" i="1"/>
  <c r="BH295" i="1" s="1"/>
  <c r="AU127" i="1"/>
  <c r="BH127" i="1" s="1"/>
  <c r="AU223" i="1"/>
  <c r="BH223" i="1" s="1"/>
  <c r="AU296" i="1"/>
  <c r="BH296" i="1" s="1"/>
  <c r="AU165" i="1"/>
  <c r="BH165" i="1" s="1"/>
  <c r="AU463" i="1"/>
  <c r="BH463" i="1" s="1"/>
  <c r="AU170" i="1"/>
  <c r="AU228" i="1"/>
  <c r="BH228" i="1" s="1"/>
  <c r="AU110" i="1"/>
  <c r="BH110" i="1" s="1"/>
  <c r="AU388" i="1"/>
  <c r="BH388" i="1" s="1"/>
  <c r="AU137" i="1"/>
  <c r="BH137" i="1" s="1"/>
  <c r="AU119" i="1"/>
  <c r="AU301" i="1"/>
  <c r="BH301" i="1" s="1"/>
  <c r="AU308" i="1"/>
  <c r="AU211" i="1"/>
  <c r="BH211" i="1" s="1"/>
  <c r="AU352" i="1"/>
  <c r="BH352" i="1" s="1"/>
  <c r="AU396" i="1"/>
  <c r="BH396" i="1" s="1"/>
  <c r="AU447" i="1"/>
  <c r="BH447" i="1" s="1"/>
  <c r="AU214" i="1"/>
  <c r="BH214" i="1" s="1"/>
  <c r="AU337" i="1"/>
  <c r="BH337" i="1" s="1"/>
  <c r="AU394" i="1"/>
  <c r="BH394" i="1" s="1"/>
  <c r="AU98" i="1"/>
  <c r="BH98" i="1" s="1"/>
  <c r="AU167" i="1"/>
  <c r="BH167" i="1" s="1"/>
  <c r="AU303" i="1"/>
  <c r="BH303" i="1" s="1"/>
  <c r="AU159" i="1"/>
  <c r="BH159" i="1" s="1"/>
  <c r="AU243" i="1"/>
  <c r="BH243" i="1" s="1"/>
  <c r="AU197" i="1"/>
  <c r="BH197" i="1" s="1"/>
  <c r="AU398" i="1"/>
  <c r="AU408" i="1"/>
  <c r="AU461" i="1"/>
  <c r="BH461" i="1" s="1"/>
  <c r="AU294" i="1"/>
  <c r="BH294" i="1" s="1"/>
  <c r="AU395" i="1"/>
  <c r="BH395" i="1" s="1"/>
  <c r="AU230" i="1"/>
  <c r="AU198" i="1"/>
  <c r="AU188" i="1"/>
  <c r="AU312" i="1"/>
  <c r="AU65" i="1"/>
  <c r="BH65" i="1" s="1"/>
  <c r="AU433" i="1"/>
  <c r="BH433" i="1" s="1"/>
  <c r="AU425" i="1"/>
  <c r="BH425" i="1" s="1"/>
  <c r="AU171" i="1"/>
  <c r="BH171" i="1" s="1"/>
  <c r="AU117" i="1"/>
  <c r="BH117" i="1" s="1"/>
  <c r="AU500" i="1"/>
  <c r="BH500" i="1" s="1"/>
  <c r="AU446" i="1"/>
  <c r="AU410" i="1"/>
  <c r="BH410" i="1" s="1"/>
  <c r="AU73" i="1"/>
  <c r="BH73" i="1" s="1"/>
  <c r="AU68" i="1"/>
  <c r="BH68" i="1" s="1"/>
  <c r="AU152" i="1"/>
  <c r="BH152" i="1" s="1"/>
  <c r="AU190" i="1"/>
  <c r="BH190" i="1" s="1"/>
  <c r="AU266" i="1"/>
  <c r="AU156" i="1"/>
  <c r="BH156" i="1" s="1"/>
  <c r="AU502" i="1"/>
  <c r="BH502" i="1" s="1"/>
  <c r="AU145" i="1"/>
  <c r="BH145" i="1" s="1"/>
  <c r="AU335" i="1"/>
  <c r="BH335" i="1" s="1"/>
  <c r="AU498" i="1"/>
  <c r="BH498" i="1" s="1"/>
  <c r="AU422" i="1"/>
  <c r="AU89" i="1"/>
  <c r="BH89" i="1" s="1"/>
  <c r="AU103" i="1"/>
  <c r="BH103" i="1" s="1"/>
  <c r="AU144" i="1"/>
  <c r="BH144" i="1" s="1"/>
  <c r="AU472" i="1"/>
  <c r="BH472" i="1" s="1"/>
  <c r="AU161" i="1"/>
  <c r="BH161" i="1" s="1"/>
  <c r="AU195" i="1"/>
  <c r="BH195" i="1" s="1"/>
  <c r="AU133" i="1"/>
  <c r="BH133" i="1" s="1"/>
  <c r="AU122" i="1"/>
  <c r="BH122" i="1" s="1"/>
  <c r="AU265" i="1"/>
  <c r="BH265" i="1" s="1"/>
  <c r="AU212" i="1"/>
  <c r="BH212" i="1" s="1"/>
  <c r="AU469" i="1"/>
  <c r="BH469" i="1" s="1"/>
  <c r="AU196" i="1"/>
  <c r="BH196" i="1" s="1"/>
  <c r="AU217" i="1"/>
  <c r="AU128" i="1"/>
  <c r="AU412" i="1"/>
  <c r="AU150" i="1"/>
  <c r="BH150" i="1" s="1"/>
  <c r="AU115" i="1"/>
  <c r="BH115" i="1" s="1"/>
  <c r="AU193" i="1"/>
  <c r="AU186" i="1"/>
  <c r="BH186" i="1" s="1"/>
  <c r="AU82" i="1"/>
  <c r="BH82" i="1" s="1"/>
  <c r="AU248" i="1"/>
  <c r="AU480" i="1"/>
  <c r="BH480" i="1" s="1"/>
  <c r="AU203" i="1"/>
  <c r="BH203" i="1" s="1"/>
  <c r="AU333" i="1"/>
  <c r="BH333" i="1" s="1"/>
  <c r="AU355" i="1"/>
  <c r="BH355" i="1" s="1"/>
  <c r="AU283" i="1"/>
  <c r="AU329" i="1"/>
  <c r="BH329" i="1" s="1"/>
  <c r="AU360" i="1"/>
  <c r="BH360" i="1" s="1"/>
  <c r="AU354" i="1"/>
  <c r="BH354" i="1" s="1"/>
  <c r="AU420" i="1"/>
  <c r="BH420" i="1" s="1"/>
  <c r="AU488" i="1"/>
  <c r="BH488" i="1" s="1"/>
  <c r="AU442" i="1"/>
  <c r="BH442" i="1" s="1"/>
  <c r="AU458" i="1"/>
  <c r="AU246" i="1"/>
  <c r="BH246" i="1" s="1"/>
  <c r="AU436" i="1"/>
  <c r="BH436" i="1" s="1"/>
  <c r="AU414" i="1"/>
  <c r="AU178" i="1"/>
  <c r="AU121" i="1"/>
  <c r="BH121" i="1" s="1"/>
  <c r="AU124" i="1"/>
  <c r="BH124" i="1" s="1"/>
  <c r="AU375" i="1"/>
  <c r="AU381" i="1"/>
  <c r="AU363" i="1"/>
  <c r="BH363" i="1" s="1"/>
  <c r="AU366" i="1"/>
  <c r="BH366" i="1" s="1"/>
  <c r="AU371" i="1"/>
  <c r="AU380" i="1"/>
  <c r="AU361" i="1"/>
  <c r="BH361" i="1" s="1"/>
  <c r="AU318" i="1"/>
  <c r="BH318" i="1" s="1"/>
  <c r="AU378" i="1"/>
  <c r="AU370" i="1"/>
  <c r="BH370" i="1" s="1"/>
  <c r="AU365" i="1"/>
  <c r="BH365" i="1" s="1"/>
  <c r="AU227" i="1"/>
  <c r="BH227" i="1" s="1"/>
  <c r="AU216" i="1"/>
  <c r="BH216" i="1" s="1"/>
  <c r="AU220" i="1"/>
  <c r="BH220" i="1" s="1"/>
  <c r="AU386" i="1"/>
  <c r="BH386" i="1" s="1"/>
  <c r="AU362" i="1"/>
  <c r="BH362" i="1" s="1"/>
  <c r="AU356" i="1"/>
  <c r="BH356" i="1" s="1"/>
  <c r="AU328" i="1"/>
  <c r="BH328" i="1" s="1"/>
  <c r="AU249" i="1"/>
  <c r="AU252" i="1"/>
  <c r="BH252" i="1" s="1"/>
  <c r="AU199" i="1"/>
  <c r="AU241" i="1"/>
  <c r="BH241" i="1" s="1"/>
  <c r="AU358" i="1"/>
  <c r="BH358" i="1" s="1"/>
  <c r="AU118" i="1"/>
  <c r="AU62" i="1"/>
  <c r="AU286" i="1"/>
  <c r="BH286" i="1" s="1"/>
  <c r="AU261" i="1"/>
  <c r="AU231" i="1"/>
  <c r="BH231" i="1" s="1"/>
  <c r="AU452" i="1"/>
  <c r="BH452" i="1" s="1"/>
  <c r="AU25" i="1"/>
  <c r="AU20" i="1"/>
  <c r="BH20" i="1" s="1"/>
  <c r="AU14" i="1"/>
  <c r="AU48" i="1"/>
  <c r="AU50" i="1"/>
  <c r="BH50" i="1" s="1"/>
  <c r="AU37" i="1"/>
  <c r="BH37" i="1" s="1"/>
  <c r="AU441" i="1"/>
  <c r="BH441" i="1" s="1"/>
  <c r="AU26" i="1"/>
  <c r="BH26" i="1" s="1"/>
  <c r="AU24" i="1"/>
  <c r="BH24" i="1" s="1"/>
  <c r="AU424" i="1"/>
  <c r="BH424" i="1" s="1"/>
  <c r="AU53" i="1"/>
  <c r="BH53" i="1" s="1"/>
  <c r="AU445" i="1"/>
  <c r="BH445" i="1" s="1"/>
  <c r="AU61" i="1"/>
  <c r="BH61" i="1" s="1"/>
  <c r="AU12" i="1"/>
  <c r="BH12" i="1" s="1"/>
  <c r="AU18" i="1"/>
  <c r="AU54" i="1"/>
  <c r="BH54" i="1" s="1"/>
  <c r="AU52" i="1"/>
  <c r="AU382" i="1"/>
  <c r="BH382" i="1" s="1"/>
  <c r="AU45" i="1"/>
  <c r="AU331" i="1"/>
  <c r="BH331" i="1" s="1"/>
  <c r="AU325" i="1"/>
  <c r="AU313" i="1"/>
  <c r="AU32" i="1"/>
  <c r="AU349" i="1"/>
  <c r="BH349" i="1" s="1"/>
  <c r="AU27" i="1"/>
  <c r="BH27" i="1" s="1"/>
  <c r="AU279" i="1"/>
  <c r="BH279" i="1" s="1"/>
  <c r="AU19" i="1"/>
  <c r="AU16" i="1"/>
  <c r="BH16" i="1" s="1"/>
  <c r="AU13" i="1"/>
  <c r="BH13" i="1" s="1"/>
  <c r="AU2" i="1"/>
  <c r="AU247" i="1"/>
  <c r="BH247" i="1" s="1"/>
  <c r="AU415" i="1"/>
  <c r="AU47" i="1"/>
  <c r="BH47" i="1" s="1"/>
  <c r="AU28" i="1"/>
  <c r="BH28" i="1" s="1"/>
  <c r="AU22" i="1"/>
  <c r="BH22" i="1" s="1"/>
  <c r="AU285" i="1"/>
  <c r="BH285" i="1" s="1"/>
  <c r="AU5" i="1"/>
  <c r="BH5" i="1" s="1"/>
  <c r="AU3" i="1"/>
  <c r="AU113" i="1"/>
  <c r="AU21" i="1"/>
  <c r="BH21" i="1" s="1"/>
  <c r="AU40" i="1"/>
  <c r="BH40" i="1" s="1"/>
  <c r="AU389" i="1"/>
  <c r="BH389" i="1" s="1"/>
  <c r="AU368" i="1"/>
  <c r="BH368" i="1" s="1"/>
  <c r="AU340" i="1"/>
  <c r="BH340" i="1" s="1"/>
  <c r="AU46" i="1"/>
  <c r="BH46" i="1" s="1"/>
  <c r="AU302" i="1"/>
  <c r="BH302" i="1" s="1"/>
  <c r="AU250" i="1"/>
  <c r="BH250" i="1" s="1"/>
  <c r="AU235" i="1"/>
  <c r="BH235" i="1" s="1"/>
  <c r="AU95" i="1"/>
  <c r="AU91" i="1"/>
  <c r="AU138" i="1"/>
  <c r="BH138" i="1" s="1"/>
  <c r="AU189" i="1"/>
  <c r="BH189" i="1" s="1"/>
  <c r="AU377" i="1"/>
  <c r="AU258" i="1"/>
  <c r="BH258" i="1" s="1"/>
  <c r="AU330" i="1"/>
  <c r="BH330" i="1" s="1"/>
  <c r="AU316" i="1"/>
  <c r="BH316" i="1" s="1"/>
  <c r="AU210" i="1"/>
  <c r="BH210" i="1" s="1"/>
  <c r="AU93" i="1"/>
  <c r="BH93" i="1" s="1"/>
  <c r="AU391" i="1"/>
  <c r="AU94" i="1"/>
  <c r="AU327" i="1"/>
  <c r="BH327" i="1" s="1"/>
  <c r="AU390" i="1"/>
  <c r="BH390" i="1" s="1"/>
  <c r="AU339" i="1"/>
  <c r="BH339" i="1" s="1"/>
  <c r="AU63" i="1"/>
  <c r="BH63" i="1" s="1"/>
  <c r="AU351" i="1"/>
  <c r="BH351" i="1" s="1"/>
  <c r="AU326" i="1"/>
  <c r="BH326" i="1" s="1"/>
  <c r="AU304" i="1"/>
  <c r="BH304" i="1" s="1"/>
  <c r="AU311" i="1"/>
  <c r="AU346" i="1"/>
  <c r="BH346" i="1" s="1"/>
  <c r="AU310" i="1"/>
  <c r="BH310" i="1" s="1"/>
  <c r="AU268" i="1"/>
  <c r="BH268" i="1" s="1"/>
  <c r="AU92" i="1"/>
  <c r="BH92" i="1" s="1"/>
  <c r="AU107" i="1"/>
  <c r="BH107" i="1" s="1"/>
  <c r="AU305" i="1"/>
  <c r="BH305" i="1" s="1"/>
  <c r="AU112" i="1"/>
  <c r="BH112" i="1" s="1"/>
  <c r="AU307" i="1"/>
  <c r="BH307" i="1" s="1"/>
  <c r="AU276" i="1"/>
  <c r="BH276" i="1" s="1"/>
  <c r="AU245" i="1"/>
  <c r="BH245" i="1" s="1"/>
  <c r="AU244" i="1"/>
  <c r="BH244" i="1" s="1"/>
  <c r="AU130" i="1"/>
  <c r="BH130" i="1" s="1"/>
  <c r="AU324" i="1"/>
  <c r="BH324" i="1" s="1"/>
  <c r="AU293" i="1"/>
  <c r="AU135" i="1"/>
  <c r="BH135" i="1" s="1"/>
  <c r="AU288" i="1"/>
  <c r="AU162" i="1"/>
  <c r="AU409" i="1"/>
  <c r="AU85" i="1"/>
  <c r="AU237" i="1"/>
  <c r="AU57" i="1"/>
  <c r="AU148" i="1"/>
  <c r="BH148" i="1" s="1"/>
  <c r="AU233" i="1"/>
  <c r="AU383" i="1"/>
  <c r="BH383" i="1" s="1"/>
  <c r="AU490" i="1"/>
  <c r="BH490" i="1" s="1"/>
  <c r="AU438" i="1"/>
  <c r="BH438" i="1" s="1"/>
  <c r="AU376" i="1"/>
  <c r="BH376" i="1" s="1"/>
  <c r="AU149" i="1"/>
  <c r="BH149" i="1" s="1"/>
  <c r="AU99" i="1"/>
  <c r="BH99" i="1" s="1"/>
  <c r="AU407" i="1"/>
  <c r="AU108" i="1"/>
  <c r="AU321" i="1"/>
  <c r="BH321" i="1" s="1"/>
  <c r="AU404" i="1"/>
  <c r="AU401" i="1"/>
  <c r="AU400" i="1"/>
  <c r="BH400" i="1" s="1"/>
  <c r="AU402" i="1"/>
  <c r="BH402" i="1" s="1"/>
  <c r="AU397" i="1"/>
  <c r="AU260" i="1"/>
  <c r="BH260" i="1" s="1"/>
  <c r="AU471" i="1"/>
  <c r="BH471" i="1" s="1"/>
  <c r="AU163" i="1"/>
  <c r="BH163" i="1" s="1"/>
  <c r="AU205" i="1"/>
  <c r="BH205" i="1" s="1"/>
  <c r="AU399" i="1"/>
  <c r="AU364" i="1"/>
  <c r="BH364" i="1" s="1"/>
  <c r="AU234" i="1"/>
  <c r="BH234" i="1" s="1"/>
  <c r="AU222" i="1"/>
  <c r="AU187" i="1"/>
  <c r="BH187" i="1" s="1"/>
  <c r="AU384" i="1"/>
  <c r="BH384" i="1" s="1"/>
  <c r="AU273" i="1"/>
  <c r="AU139" i="1"/>
  <c r="AU343" i="1"/>
  <c r="BH343" i="1" s="1"/>
  <c r="AU443" i="1"/>
  <c r="AU423" i="1"/>
  <c r="AU406" i="1"/>
  <c r="BH406" i="1" s="1"/>
  <c r="AU322" i="1"/>
  <c r="BH322" i="1" s="1"/>
  <c r="AU290" i="1"/>
  <c r="AU291" i="1"/>
  <c r="BH291" i="1" s="1"/>
  <c r="AU34" i="1"/>
  <c r="AU342" i="1"/>
  <c r="AU259" i="1"/>
  <c r="BH259" i="1" s="1"/>
  <c r="AU255" i="1"/>
  <c r="BH255" i="1" s="1"/>
  <c r="AU194" i="1"/>
  <c r="BH194" i="1" s="1"/>
  <c r="AU201" i="1"/>
  <c r="BH201" i="1" s="1"/>
  <c r="AU102" i="1"/>
  <c r="BH102" i="1" s="1"/>
  <c r="AU421" i="1"/>
  <c r="BH421" i="1" s="1"/>
  <c r="AU403" i="1"/>
  <c r="AU479" i="1"/>
  <c r="BH479" i="1" s="1"/>
  <c r="AU88" i="1"/>
  <c r="BH88" i="1" s="1"/>
  <c r="AU86" i="1"/>
  <c r="BH86" i="1" s="1"/>
  <c r="AU81" i="1"/>
  <c r="AU489" i="1"/>
  <c r="BH489" i="1" s="1"/>
  <c r="AU79" i="1"/>
  <c r="BH79" i="1" s="1"/>
  <c r="AU491" i="1"/>
  <c r="AU83" i="1"/>
  <c r="AU84" i="1"/>
  <c r="BH84" i="1" s="1"/>
  <c r="AU80" i="1"/>
  <c r="AU440" i="1"/>
  <c r="BH440" i="1" s="1"/>
  <c r="AU78" i="1"/>
  <c r="AU77" i="1"/>
  <c r="BH77" i="1" s="1"/>
  <c r="AU59" i="1"/>
  <c r="AU487" i="1"/>
  <c r="AU484" i="1"/>
  <c r="BH484" i="1" s="1"/>
  <c r="AU74" i="1"/>
  <c r="AU70" i="1"/>
  <c r="AU69" i="1"/>
  <c r="BH69" i="1" s="1"/>
  <c r="AU71" i="1"/>
  <c r="BH71" i="1" s="1"/>
  <c r="AU143" i="1"/>
  <c r="BH143" i="1" s="1"/>
  <c r="AU66" i="1"/>
  <c r="AU270" i="1"/>
  <c r="BH270" i="1" s="1"/>
  <c r="AU444" i="1"/>
  <c r="BH444" i="1" s="1"/>
  <c r="AU257" i="1"/>
  <c r="AU434" i="1"/>
  <c r="BH434" i="1" s="1"/>
  <c r="AU254" i="1"/>
  <c r="AU263" i="1"/>
  <c r="BH263" i="1" s="1"/>
  <c r="AU174" i="1"/>
  <c r="BH174" i="1" s="1"/>
  <c r="AU147" i="1"/>
  <c r="BH147" i="1" s="1"/>
  <c r="AU437" i="1"/>
  <c r="BH437" i="1" s="1"/>
  <c r="AU215" i="1"/>
  <c r="BH215" i="1" s="1"/>
  <c r="AU177" i="1"/>
  <c r="BH177" i="1" s="1"/>
  <c r="AU348" i="1"/>
  <c r="BH348" i="1" s="1"/>
  <c r="AU251" i="1"/>
  <c r="AU238" i="1"/>
  <c r="AU466" i="1"/>
  <c r="BH466" i="1" s="1"/>
  <c r="AU116" i="1"/>
  <c r="AU467" i="1"/>
  <c r="AU44" i="1"/>
  <c r="AU271" i="1"/>
  <c r="BH271" i="1" s="1"/>
  <c r="AU256" i="1"/>
  <c r="BH256" i="1" s="1"/>
  <c r="AU134" i="1"/>
  <c r="BH134" i="1" s="1"/>
  <c r="AU168" i="1"/>
  <c r="BH168" i="1" s="1"/>
  <c r="AU155" i="1"/>
  <c r="BH155" i="1" s="1"/>
  <c r="AU125" i="1"/>
  <c r="BH125" i="1" s="1"/>
  <c r="AU164" i="1"/>
  <c r="BH164" i="1" s="1"/>
  <c r="AU131" i="1"/>
  <c r="BH131" i="1" s="1"/>
  <c r="AU114" i="1"/>
  <c r="BH114" i="1" s="1"/>
  <c r="AU281" i="1"/>
  <c r="AU204" i="1"/>
  <c r="BH204" i="1" s="1"/>
  <c r="AU478" i="1"/>
  <c r="AU454" i="1"/>
  <c r="AU453" i="1"/>
  <c r="BH453" i="1" s="1"/>
  <c r="AU449" i="1"/>
  <c r="AU33" i="1"/>
  <c r="BH33" i="1" s="1"/>
  <c r="AU439" i="1"/>
  <c r="BH439" i="1" s="1"/>
  <c r="AU496" i="1"/>
  <c r="AU435" i="1"/>
  <c r="BH435" i="1" s="1"/>
  <c r="AU9" i="1"/>
  <c r="BH9" i="1" s="1"/>
  <c r="AU468" i="1"/>
  <c r="BH468" i="1" s="1"/>
  <c r="AU430" i="1"/>
  <c r="AU429" i="1"/>
  <c r="BH429" i="1" s="1"/>
  <c r="AH67" i="1"/>
  <c r="AH226" i="1"/>
  <c r="AH338" i="1"/>
  <c r="AH229" i="1"/>
  <c r="AE229" i="1" s="1"/>
  <c r="AF229" i="1" s="1"/>
  <c r="AH105" i="1"/>
  <c r="AH462" i="1"/>
  <c r="AH218" i="1"/>
  <c r="AH169" i="1"/>
  <c r="AH75" i="1"/>
  <c r="AH486" i="1"/>
  <c r="AH483" i="1"/>
  <c r="AH465" i="1"/>
  <c r="AH379" i="1"/>
  <c r="AH64" i="1"/>
  <c r="AH482" i="1"/>
  <c r="AH418" i="1"/>
  <c r="AH460" i="1"/>
  <c r="AH464" i="1"/>
  <c r="AH428" i="1"/>
  <c r="AH298" i="1"/>
  <c r="AH353" i="1"/>
  <c r="AH253" i="1"/>
  <c r="AH221" i="1"/>
  <c r="AH175" i="1"/>
  <c r="AH56" i="1"/>
  <c r="AH448" i="1"/>
  <c r="AH450" i="1"/>
  <c r="AH120" i="1"/>
  <c r="AH272" i="1"/>
  <c r="AH334" i="1"/>
  <c r="AH157" i="1"/>
  <c r="AH87" i="1"/>
  <c r="AH280" i="1"/>
  <c r="AH141" i="1"/>
  <c r="AH315" i="1"/>
  <c r="AH202" i="1"/>
  <c r="AH405" i="1"/>
  <c r="AH426" i="1"/>
  <c r="AH183" i="1"/>
  <c r="AH485" i="1"/>
  <c r="AH297" i="1"/>
  <c r="AH225" i="1"/>
  <c r="AH58" i="1"/>
  <c r="AH101" i="1"/>
  <c r="AH495" i="1"/>
  <c r="AH200" i="1"/>
  <c r="AH111" i="1"/>
  <c r="AH136" i="1"/>
  <c r="AH264" i="1"/>
  <c r="AH411" i="1"/>
  <c r="AH309" i="1"/>
  <c r="AH345" i="1"/>
  <c r="AH97" i="1"/>
  <c r="AH206" i="1"/>
  <c r="AH282" i="1"/>
  <c r="AH154" i="1"/>
  <c r="AH431" i="1"/>
  <c r="AH459" i="1"/>
  <c r="AH158" i="1"/>
  <c r="AH278" i="1"/>
  <c r="AH179" i="1"/>
  <c r="AH504" i="1"/>
  <c r="AH347" i="1"/>
  <c r="AH451" i="1"/>
  <c r="AH501" i="1"/>
  <c r="AH499" i="1"/>
  <c r="AH432" i="1"/>
  <c r="AH274" i="1"/>
  <c r="AH503" i="1"/>
  <c r="AH505" i="1"/>
  <c r="AH191" i="1"/>
  <c r="AH104" i="1"/>
  <c r="AH493" i="1"/>
  <c r="AH341" i="1"/>
  <c r="AH72" i="1"/>
  <c r="AH332" i="1"/>
  <c r="AH413" i="1"/>
  <c r="AH497" i="1"/>
  <c r="AH295" i="1"/>
  <c r="AH223" i="1"/>
  <c r="AH296" i="1"/>
  <c r="AH165" i="1"/>
  <c r="AH170" i="1"/>
  <c r="AH140" i="1"/>
  <c r="AE140" i="1" s="1"/>
  <c r="AF140" i="1" s="1"/>
  <c r="AH228" i="1"/>
  <c r="AH110" i="1"/>
  <c r="AH388" i="1"/>
  <c r="AH137" i="1"/>
  <c r="AH119" i="1"/>
  <c r="AH301" i="1"/>
  <c r="AH308" i="1"/>
  <c r="AH352" i="1"/>
  <c r="AH396" i="1"/>
  <c r="AH447" i="1"/>
  <c r="AH214" i="1"/>
  <c r="AH337" i="1"/>
  <c r="AH394" i="1"/>
  <c r="AH98" i="1"/>
  <c r="AH303" i="1"/>
  <c r="AH159" i="1"/>
  <c r="AH243" i="1"/>
  <c r="AH197" i="1"/>
  <c r="AH398" i="1"/>
  <c r="AH408" i="1"/>
  <c r="AH461" i="1"/>
  <c r="AH294" i="1"/>
  <c r="AH395" i="1"/>
  <c r="AH230" i="1"/>
  <c r="AH198" i="1"/>
  <c r="AH188" i="1"/>
  <c r="AH312" i="1"/>
  <c r="AH65" i="1"/>
  <c r="AH433" i="1"/>
  <c r="AH425" i="1"/>
  <c r="AH151" i="1"/>
  <c r="AE151" i="1" s="1"/>
  <c r="AF151" i="1" s="1"/>
  <c r="AH171" i="1"/>
  <c r="AH117" i="1"/>
  <c r="AH500" i="1"/>
  <c r="AH446" i="1"/>
  <c r="AH410" i="1"/>
  <c r="AH73" i="1"/>
  <c r="AH68" i="1"/>
  <c r="AH152" i="1"/>
  <c r="AH190" i="1"/>
  <c r="AH266" i="1"/>
  <c r="AH502" i="1"/>
  <c r="AH335" i="1"/>
  <c r="AH498" i="1"/>
  <c r="AH422" i="1"/>
  <c r="AH89" i="1"/>
  <c r="AH144" i="1"/>
  <c r="AH472" i="1"/>
  <c r="AH161" i="1"/>
  <c r="AH195" i="1"/>
  <c r="AH133" i="1"/>
  <c r="AH122" i="1"/>
  <c r="AH265" i="1"/>
  <c r="AH212" i="1"/>
  <c r="AH469" i="1"/>
  <c r="AH196" i="1"/>
  <c r="AH217" i="1"/>
  <c r="AH128" i="1"/>
  <c r="AH412" i="1"/>
  <c r="AH150" i="1"/>
  <c r="AH115" i="1"/>
  <c r="AH193" i="1"/>
  <c r="AH186" i="1"/>
  <c r="AH82" i="1"/>
  <c r="AH248" i="1"/>
  <c r="AH480" i="1"/>
  <c r="AH142" i="1"/>
  <c r="AH333" i="1"/>
  <c r="AH355" i="1"/>
  <c r="AH283" i="1"/>
  <c r="AH153" i="1"/>
  <c r="AH329" i="1"/>
  <c r="AH360" i="1"/>
  <c r="AH354" i="1"/>
  <c r="AH420" i="1"/>
  <c r="AH488" i="1"/>
  <c r="AH442" i="1"/>
  <c r="AH458" i="1"/>
  <c r="AH246" i="1"/>
  <c r="AH184" i="1"/>
  <c r="AH436" i="1"/>
  <c r="AH414" i="1"/>
  <c r="AH178" i="1"/>
  <c r="AH121" i="1"/>
  <c r="AH124" i="1"/>
  <c r="AH375" i="1"/>
  <c r="AH381" i="1"/>
  <c r="AH373" i="1"/>
  <c r="AH367" i="1"/>
  <c r="AH363" i="1"/>
  <c r="AH366" i="1"/>
  <c r="AH371" i="1"/>
  <c r="AH374" i="1"/>
  <c r="AH380" i="1"/>
  <c r="AH361" i="1"/>
  <c r="AH314" i="1"/>
  <c r="AH319" i="1"/>
  <c r="AH318" i="1"/>
  <c r="AH372" i="1"/>
  <c r="AE372" i="1" s="1"/>
  <c r="AF372" i="1" s="1"/>
  <c r="AH378" i="1"/>
  <c r="AH370" i="1"/>
  <c r="AH365" i="1"/>
  <c r="AH350" i="1"/>
  <c r="AE350" i="1" s="1"/>
  <c r="AF350" i="1" s="1"/>
  <c r="AH227" i="1"/>
  <c r="AH216" i="1"/>
  <c r="AH220" i="1"/>
  <c r="AH386" i="1"/>
  <c r="AH362" i="1"/>
  <c r="AH356" i="1"/>
  <c r="AH328" i="1"/>
  <c r="AH249" i="1"/>
  <c r="AH252" i="1"/>
  <c r="AH199" i="1"/>
  <c r="AH241" i="1"/>
  <c r="AH358" i="1"/>
  <c r="AH160" i="1"/>
  <c r="AH62" i="1"/>
  <c r="AH286" i="1"/>
  <c r="AH261" i="1"/>
  <c r="AH231" i="1"/>
  <c r="AH208" i="1"/>
  <c r="AH457" i="1"/>
  <c r="AH455" i="1"/>
  <c r="AH452" i="1"/>
  <c r="AH25" i="1"/>
  <c r="AH20" i="1"/>
  <c r="AH14" i="1"/>
  <c r="AH48" i="1"/>
  <c r="AH50" i="1"/>
  <c r="AH37" i="1"/>
  <c r="AH35" i="1"/>
  <c r="AH441" i="1"/>
  <c r="AH26" i="1"/>
  <c r="AH24" i="1"/>
  <c r="AH424" i="1"/>
  <c r="AH53" i="1"/>
  <c r="AH445" i="1"/>
  <c r="AH38" i="1"/>
  <c r="AE38" i="1" s="1"/>
  <c r="AF38" i="1" s="1"/>
  <c r="AH61" i="1"/>
  <c r="AH7" i="1"/>
  <c r="AE7" i="1" s="1"/>
  <c r="AF7" i="1" s="1"/>
  <c r="AH18" i="1"/>
  <c r="AH49" i="1"/>
  <c r="AH54" i="1"/>
  <c r="AH382" i="1"/>
  <c r="AH45" i="1"/>
  <c r="AH331" i="1"/>
  <c r="AH325" i="1"/>
  <c r="AH313" i="1"/>
  <c r="AH32" i="1"/>
  <c r="AH349" i="1"/>
  <c r="AH27" i="1"/>
  <c r="AH279" i="1"/>
  <c r="AH19" i="1"/>
  <c r="AH13" i="1"/>
  <c r="AH2" i="1"/>
  <c r="AH299" i="1"/>
  <c r="AH247" i="1"/>
  <c r="AH47" i="1"/>
  <c r="AH28" i="1"/>
  <c r="AH22" i="1"/>
  <c r="AH11" i="1"/>
  <c r="AH232" i="1"/>
  <c r="AH285" i="1"/>
  <c r="AH5" i="1"/>
  <c r="AH113" i="1"/>
  <c r="AH385" i="1"/>
  <c r="AH21" i="1"/>
  <c r="AH17" i="1"/>
  <c r="AH40" i="1"/>
  <c r="AH4" i="1"/>
  <c r="AH389" i="1"/>
  <c r="AH368" i="1"/>
  <c r="AH340" i="1"/>
  <c r="AH46" i="1"/>
  <c r="AH302" i="1"/>
  <c r="AH473" i="1"/>
  <c r="AH250" i="1"/>
  <c r="AH235" i="1"/>
  <c r="AH95" i="1"/>
  <c r="AH91" i="1"/>
  <c r="AH138" i="1"/>
  <c r="AH262" i="1"/>
  <c r="AH189" i="1"/>
  <c r="AH377" i="1"/>
  <c r="AH258" i="1"/>
  <c r="AH330" i="1"/>
  <c r="AH316" i="1"/>
  <c r="AH210" i="1"/>
  <c r="AH93" i="1"/>
  <c r="AH391" i="1"/>
  <c r="AH94" i="1"/>
  <c r="AH327" i="1"/>
  <c r="AH390" i="1"/>
  <c r="AH339" i="1"/>
  <c r="AH63" i="1"/>
  <c r="AH351" i="1"/>
  <c r="AH326" i="1"/>
  <c r="AH304" i="1"/>
  <c r="AH311" i="1"/>
  <c r="AH310" i="1"/>
  <c r="AH268" i="1"/>
  <c r="AH92" i="1"/>
  <c r="AH107" i="1"/>
  <c r="AH305" i="1"/>
  <c r="AH112" i="1"/>
  <c r="AH307" i="1"/>
  <c r="AH276" i="1"/>
  <c r="AH245" i="1"/>
  <c r="AH244" i="1"/>
  <c r="AH130" i="1"/>
  <c r="AH324" i="1"/>
  <c r="AH293" i="1"/>
  <c r="AH135" i="1"/>
  <c r="AH288" i="1"/>
  <c r="AH162" i="1"/>
  <c r="AH387" i="1"/>
  <c r="AH409" i="1"/>
  <c r="AH85" i="1"/>
  <c r="AH237" i="1"/>
  <c r="AH57" i="1"/>
  <c r="AH148" i="1"/>
  <c r="AH233" i="1"/>
  <c r="AH383" i="1"/>
  <c r="AH490" i="1"/>
  <c r="AH323" i="1"/>
  <c r="AH438" i="1"/>
  <c r="AH376" i="1"/>
  <c r="AH149" i="1"/>
  <c r="AH99" i="1"/>
  <c r="AH407" i="1"/>
  <c r="AH321" i="1"/>
  <c r="AH404" i="1"/>
  <c r="AH401" i="1"/>
  <c r="AH400" i="1"/>
  <c r="AH402" i="1"/>
  <c r="AH397" i="1"/>
  <c r="AH260" i="1"/>
  <c r="AH471" i="1"/>
  <c r="AH163" i="1"/>
  <c r="AH205" i="1"/>
  <c r="AH399" i="1"/>
  <c r="AH364" i="1"/>
  <c r="AH234" i="1"/>
  <c r="AH222" i="1"/>
  <c r="AH187" i="1"/>
  <c r="AH384" i="1"/>
  <c r="AH273" i="1"/>
  <c r="AH139" i="1"/>
  <c r="AH393" i="1"/>
  <c r="AH343" i="1"/>
  <c r="AH443" i="1"/>
  <c r="AH423" i="1"/>
  <c r="AH406" i="1"/>
  <c r="AH322" i="1"/>
  <c r="AH290" i="1"/>
  <c r="AH291" i="1"/>
  <c r="AH342" i="1"/>
  <c r="AH287" i="1"/>
  <c r="AH259" i="1"/>
  <c r="AH255" i="1"/>
  <c r="AH481" i="1"/>
  <c r="AH194" i="1"/>
  <c r="AH201" i="1"/>
  <c r="AH109" i="1"/>
  <c r="AH102" i="1"/>
  <c r="AH421" i="1"/>
  <c r="AH403" i="1"/>
  <c r="AH479" i="1"/>
  <c r="AH88" i="1"/>
  <c r="AH86" i="1"/>
  <c r="AH81" i="1"/>
  <c r="AH489" i="1"/>
  <c r="AH79" i="1"/>
  <c r="AH491" i="1"/>
  <c r="AH83" i="1"/>
  <c r="AH84" i="1"/>
  <c r="AH80" i="1"/>
  <c r="AH440" i="1"/>
  <c r="AH78" i="1"/>
  <c r="AH77" i="1"/>
  <c r="AH76" i="1"/>
  <c r="AH59" i="1"/>
  <c r="AH487" i="1"/>
  <c r="AH484" i="1"/>
  <c r="AH74" i="1"/>
  <c r="AH69" i="1"/>
  <c r="AH71" i="1"/>
  <c r="AH143" i="1"/>
  <c r="AH66" i="1"/>
  <c r="AH270" i="1"/>
  <c r="AH444" i="1"/>
  <c r="AH257" i="1"/>
  <c r="AH434" i="1"/>
  <c r="AH254" i="1"/>
  <c r="AH263" i="1"/>
  <c r="AH174" i="1"/>
  <c r="AH147" i="1"/>
  <c r="AH236" i="1"/>
  <c r="AE236" i="1" s="1"/>
  <c r="AF236" i="1" s="1"/>
  <c r="AH437" i="1"/>
  <c r="AH215" i="1"/>
  <c r="AH177" i="1"/>
  <c r="AH348" i="1"/>
  <c r="AH238" i="1"/>
  <c r="AH466" i="1"/>
  <c r="AH116" i="1"/>
  <c r="AH467" i="1"/>
  <c r="AH44" i="1"/>
  <c r="AH271" i="1"/>
  <c r="AH256" i="1"/>
  <c r="AH134" i="1"/>
  <c r="AH173" i="1"/>
  <c r="AH168" i="1"/>
  <c r="AH155" i="1"/>
  <c r="AH125" i="1"/>
  <c r="AH164" i="1"/>
  <c r="AH131" i="1"/>
  <c r="AH114" i="1"/>
  <c r="AH281" i="1"/>
  <c r="AH204" i="1"/>
  <c r="AH478" i="1"/>
  <c r="AH454" i="1"/>
  <c r="AH453" i="1"/>
  <c r="AH449" i="1"/>
  <c r="AH33" i="1"/>
  <c r="AH15" i="1"/>
  <c r="AE15" i="1" s="1"/>
  <c r="AF15" i="1" s="1"/>
  <c r="AH439" i="1"/>
  <c r="AH496" i="1"/>
  <c r="AH435" i="1"/>
  <c r="AH9" i="1"/>
  <c r="AH419" i="1"/>
  <c r="AE419" i="1" s="1"/>
  <c r="AF419" i="1" s="1"/>
  <c r="AH468" i="1"/>
  <c r="AH430" i="1"/>
  <c r="AH429" i="1"/>
  <c r="AN67" i="1"/>
  <c r="AN226" i="1"/>
  <c r="BM226" i="1" s="1"/>
  <c r="BN226" i="1" s="1"/>
  <c r="AN338" i="1"/>
  <c r="AN229" i="1"/>
  <c r="BM229" i="1" s="1"/>
  <c r="BN229" i="1" s="1"/>
  <c r="AN105" i="1"/>
  <c r="BM105" i="1" s="1"/>
  <c r="BN105" i="1" s="1"/>
  <c r="AN462" i="1"/>
  <c r="BM462" i="1" s="1"/>
  <c r="BN462" i="1" s="1"/>
  <c r="AN218" i="1"/>
  <c r="AN169" i="1"/>
  <c r="BM169" i="1" s="1"/>
  <c r="BN169" i="1" s="1"/>
  <c r="AN75" i="1"/>
  <c r="BM75" i="1" s="1"/>
  <c r="BN75" i="1" s="1"/>
  <c r="AN486" i="1"/>
  <c r="AN483" i="1"/>
  <c r="BM483" i="1" s="1"/>
  <c r="BN483" i="1" s="1"/>
  <c r="AN465" i="1"/>
  <c r="BM465" i="1" s="1"/>
  <c r="BN465" i="1" s="1"/>
  <c r="AN379" i="1"/>
  <c r="BM379" i="1" s="1"/>
  <c r="BN379" i="1" s="1"/>
  <c r="AN64" i="1"/>
  <c r="AN482" i="1"/>
  <c r="AN418" i="1"/>
  <c r="BM418" i="1" s="1"/>
  <c r="BN418" i="1" s="1"/>
  <c r="AN460" i="1"/>
  <c r="AN464" i="1"/>
  <c r="BM464" i="1" s="1"/>
  <c r="BN464" i="1" s="1"/>
  <c r="AN428" i="1"/>
  <c r="BM428" i="1" s="1"/>
  <c r="BN428" i="1" s="1"/>
  <c r="AN298" i="1"/>
  <c r="BM298" i="1" s="1"/>
  <c r="BN298" i="1" s="1"/>
  <c r="AN353" i="1"/>
  <c r="BM353" i="1" s="1"/>
  <c r="BN353" i="1" s="1"/>
  <c r="AN253" i="1"/>
  <c r="BM253" i="1" s="1"/>
  <c r="BN253" i="1" s="1"/>
  <c r="AN221" i="1"/>
  <c r="BM221" i="1" s="1"/>
  <c r="BN221" i="1" s="1"/>
  <c r="AN175" i="1"/>
  <c r="BM175" i="1" s="1"/>
  <c r="BN175" i="1" s="1"/>
  <c r="AN56" i="1"/>
  <c r="BM56" i="1" s="1"/>
  <c r="BN56" i="1" s="1"/>
  <c r="AN448" i="1"/>
  <c r="AN450" i="1"/>
  <c r="BM450" i="1" s="1"/>
  <c r="BN450" i="1" s="1"/>
  <c r="AN120" i="1"/>
  <c r="AK120" i="1" s="1"/>
  <c r="AL120" i="1" s="1"/>
  <c r="AN272" i="1"/>
  <c r="AN334" i="1"/>
  <c r="BM334" i="1" s="1"/>
  <c r="BN334" i="1" s="1"/>
  <c r="AN157" i="1"/>
  <c r="BM157" i="1" s="1"/>
  <c r="BN157" i="1" s="1"/>
  <c r="AN87" i="1"/>
  <c r="BM87" i="1" s="1"/>
  <c r="BN87" i="1" s="1"/>
  <c r="AN280" i="1"/>
  <c r="BM280" i="1" s="1"/>
  <c r="BN280" i="1" s="1"/>
  <c r="AN141" i="1"/>
  <c r="AN315" i="1"/>
  <c r="BM315" i="1" s="1"/>
  <c r="BN315" i="1" s="1"/>
  <c r="AN202" i="1"/>
  <c r="BM202" i="1" s="1"/>
  <c r="BN202" i="1" s="1"/>
  <c r="AN405" i="1"/>
  <c r="AN426" i="1"/>
  <c r="BM426" i="1" s="1"/>
  <c r="BN426" i="1" s="1"/>
  <c r="AN183" i="1"/>
  <c r="AN485" i="1"/>
  <c r="AN297" i="1"/>
  <c r="BM297" i="1" s="1"/>
  <c r="BN297" i="1" s="1"/>
  <c r="AN225" i="1"/>
  <c r="BM225" i="1" s="1"/>
  <c r="BN225" i="1" s="1"/>
  <c r="AN58" i="1"/>
  <c r="BM58" i="1" s="1"/>
  <c r="BN58" i="1" s="1"/>
  <c r="AN101" i="1"/>
  <c r="BM101" i="1" s="1"/>
  <c r="BN101" i="1" s="1"/>
  <c r="AN495" i="1"/>
  <c r="BM495" i="1" s="1"/>
  <c r="BN495" i="1" s="1"/>
  <c r="AN200" i="1"/>
  <c r="BM200" i="1" s="1"/>
  <c r="BN200" i="1" s="1"/>
  <c r="AN111" i="1"/>
  <c r="BM111" i="1" s="1"/>
  <c r="BN111" i="1" s="1"/>
  <c r="AN136" i="1"/>
  <c r="AN264" i="1"/>
  <c r="BM264" i="1" s="1"/>
  <c r="BN264" i="1" s="1"/>
  <c r="AN411" i="1"/>
  <c r="AN309" i="1"/>
  <c r="BM309" i="1" s="1"/>
  <c r="BN309" i="1" s="1"/>
  <c r="AN345" i="1"/>
  <c r="BM345" i="1" s="1"/>
  <c r="BN345" i="1" s="1"/>
  <c r="AN97" i="1"/>
  <c r="BM97" i="1" s="1"/>
  <c r="BN97" i="1" s="1"/>
  <c r="AN206" i="1"/>
  <c r="BM206" i="1" s="1"/>
  <c r="BN206" i="1" s="1"/>
  <c r="AN282" i="1"/>
  <c r="BM282" i="1" s="1"/>
  <c r="BN282" i="1" s="1"/>
  <c r="AN154" i="1"/>
  <c r="BM154" i="1" s="1"/>
  <c r="BN154" i="1" s="1"/>
  <c r="AN431" i="1"/>
  <c r="BM431" i="1" s="1"/>
  <c r="BN431" i="1" s="1"/>
  <c r="AN459" i="1"/>
  <c r="AN158" i="1"/>
  <c r="BM158" i="1" s="1"/>
  <c r="BN158" i="1" s="1"/>
  <c r="AN278" i="1"/>
  <c r="AN179" i="1"/>
  <c r="BM179" i="1" s="1"/>
  <c r="BN179" i="1" s="1"/>
  <c r="AN504" i="1"/>
  <c r="AN347" i="1"/>
  <c r="AN451" i="1"/>
  <c r="AN501" i="1"/>
  <c r="AN499" i="1"/>
  <c r="AN432" i="1"/>
  <c r="AN274" i="1"/>
  <c r="AN503" i="1"/>
  <c r="AN505" i="1"/>
  <c r="AN191" i="1"/>
  <c r="AN104" i="1"/>
  <c r="AN493" i="1"/>
  <c r="AN341" i="1"/>
  <c r="AN72" i="1"/>
  <c r="AN332" i="1"/>
  <c r="AN413" i="1"/>
  <c r="AN497" i="1"/>
  <c r="AN295" i="1"/>
  <c r="AN223" i="1"/>
  <c r="AN296" i="1"/>
  <c r="AN165" i="1"/>
  <c r="AN170" i="1"/>
  <c r="AN140" i="1"/>
  <c r="AN228" i="1"/>
  <c r="AN110" i="1"/>
  <c r="AN388" i="1"/>
  <c r="AN137" i="1"/>
  <c r="AN119" i="1"/>
  <c r="AN301" i="1"/>
  <c r="AN308" i="1"/>
  <c r="AN352" i="1"/>
  <c r="AN396" i="1"/>
  <c r="AN447" i="1"/>
  <c r="AN214" i="1"/>
  <c r="AN337" i="1"/>
  <c r="AN394" i="1"/>
  <c r="AN98" i="1"/>
  <c r="AN303" i="1"/>
  <c r="AN159" i="1"/>
  <c r="AN243" i="1"/>
  <c r="AN197" i="1"/>
  <c r="AN398" i="1"/>
  <c r="AN408" i="1"/>
  <c r="AN461" i="1"/>
  <c r="AN294" i="1"/>
  <c r="AN395" i="1"/>
  <c r="AN230" i="1"/>
  <c r="AN198" i="1"/>
  <c r="AN188" i="1"/>
  <c r="AN312" i="1"/>
  <c r="AN65" i="1"/>
  <c r="AN433" i="1"/>
  <c r="AN425" i="1"/>
  <c r="AN151" i="1"/>
  <c r="AK151" i="1" s="1"/>
  <c r="AL151" i="1" s="1"/>
  <c r="AN171" i="1"/>
  <c r="AN117" i="1"/>
  <c r="AN500" i="1"/>
  <c r="AN446" i="1"/>
  <c r="AN410" i="1"/>
  <c r="AN73" i="1"/>
  <c r="AN68" i="1"/>
  <c r="AN152" i="1"/>
  <c r="AN190" i="1"/>
  <c r="AN266" i="1"/>
  <c r="AN502" i="1"/>
  <c r="AN335" i="1"/>
  <c r="AN498" i="1"/>
  <c r="AN422" i="1"/>
  <c r="AN89" i="1"/>
  <c r="AN144" i="1"/>
  <c r="AN472" i="1"/>
  <c r="BM472" i="1" s="1"/>
  <c r="BN472" i="1" s="1"/>
  <c r="AN161" i="1"/>
  <c r="BM161" i="1" s="1"/>
  <c r="BN161" i="1" s="1"/>
  <c r="AN195" i="1"/>
  <c r="BM195" i="1" s="1"/>
  <c r="BN195" i="1" s="1"/>
  <c r="AN133" i="1"/>
  <c r="BM133" i="1" s="1"/>
  <c r="BN133" i="1" s="1"/>
  <c r="AN122" i="1"/>
  <c r="BM122" i="1" s="1"/>
  <c r="BN122" i="1" s="1"/>
  <c r="AN265" i="1"/>
  <c r="BM265" i="1" s="1"/>
  <c r="BN265" i="1" s="1"/>
  <c r="AN212" i="1"/>
  <c r="BM212" i="1" s="1"/>
  <c r="BN212" i="1" s="1"/>
  <c r="AN469" i="1"/>
  <c r="BM469" i="1" s="1"/>
  <c r="BN469" i="1" s="1"/>
  <c r="AN196" i="1"/>
  <c r="BM196" i="1" s="1"/>
  <c r="BN196" i="1" s="1"/>
  <c r="AN217" i="1"/>
  <c r="AN128" i="1"/>
  <c r="AN412" i="1"/>
  <c r="AN150" i="1"/>
  <c r="BM150" i="1" s="1"/>
  <c r="BN150" i="1" s="1"/>
  <c r="AN115" i="1"/>
  <c r="BM115" i="1" s="1"/>
  <c r="BN115" i="1" s="1"/>
  <c r="AN193" i="1"/>
  <c r="AN186" i="1"/>
  <c r="BM186" i="1" s="1"/>
  <c r="BN186" i="1" s="1"/>
  <c r="AN82" i="1"/>
  <c r="AN248" i="1"/>
  <c r="AN480" i="1"/>
  <c r="AN142" i="1"/>
  <c r="AN333" i="1"/>
  <c r="AN355" i="1"/>
  <c r="AN283" i="1"/>
  <c r="AN153" i="1"/>
  <c r="AK153" i="1" s="1"/>
  <c r="AL153" i="1" s="1"/>
  <c r="AN329" i="1"/>
  <c r="AN360" i="1"/>
  <c r="AN354" i="1"/>
  <c r="BM354" i="1" s="1"/>
  <c r="BN354" i="1" s="1"/>
  <c r="AN420" i="1"/>
  <c r="BM420" i="1" s="1"/>
  <c r="BN420" i="1" s="1"/>
  <c r="AN488" i="1"/>
  <c r="BM488" i="1" s="1"/>
  <c r="BN488" i="1" s="1"/>
  <c r="AN442" i="1"/>
  <c r="BM442" i="1" s="1"/>
  <c r="BN442" i="1" s="1"/>
  <c r="AN458" i="1"/>
  <c r="AN246" i="1"/>
  <c r="BM246" i="1" s="1"/>
  <c r="BN246" i="1" s="1"/>
  <c r="AN184" i="1"/>
  <c r="AN436" i="1"/>
  <c r="BM436" i="1" s="1"/>
  <c r="BN436" i="1" s="1"/>
  <c r="AN414" i="1"/>
  <c r="AN178" i="1"/>
  <c r="AN121" i="1"/>
  <c r="BM121" i="1" s="1"/>
  <c r="BN121" i="1" s="1"/>
  <c r="AN124" i="1"/>
  <c r="BM124" i="1" s="1"/>
  <c r="BN124" i="1" s="1"/>
  <c r="AN375" i="1"/>
  <c r="AN381" i="1"/>
  <c r="AN373" i="1"/>
  <c r="AN367" i="1"/>
  <c r="AK367" i="1" s="1"/>
  <c r="AL367" i="1" s="1"/>
  <c r="AN363" i="1"/>
  <c r="BM363" i="1" s="1"/>
  <c r="BN363" i="1" s="1"/>
  <c r="AN366" i="1"/>
  <c r="BM366" i="1" s="1"/>
  <c r="BN366" i="1" s="1"/>
  <c r="AN371" i="1"/>
  <c r="AN374" i="1"/>
  <c r="AK374" i="1" s="1"/>
  <c r="AL374" i="1" s="1"/>
  <c r="AN380" i="1"/>
  <c r="AN361" i="1"/>
  <c r="BM361" i="1" s="1"/>
  <c r="BN361" i="1" s="1"/>
  <c r="AN314" i="1"/>
  <c r="AN319" i="1"/>
  <c r="AN318" i="1"/>
  <c r="BM318" i="1" s="1"/>
  <c r="BN318" i="1" s="1"/>
  <c r="AN372" i="1"/>
  <c r="AK372" i="1" s="1"/>
  <c r="AL372" i="1" s="1"/>
  <c r="AN378" i="1"/>
  <c r="AN370" i="1"/>
  <c r="BM370" i="1" s="1"/>
  <c r="BN370" i="1" s="1"/>
  <c r="AN365" i="1"/>
  <c r="BM365" i="1" s="1"/>
  <c r="BN365" i="1" s="1"/>
  <c r="AN350" i="1"/>
  <c r="AN227" i="1"/>
  <c r="AN216" i="1"/>
  <c r="BM216" i="1" s="1"/>
  <c r="BN216" i="1" s="1"/>
  <c r="AN220" i="1"/>
  <c r="AN386" i="1"/>
  <c r="BM386" i="1" s="1"/>
  <c r="BN386" i="1" s="1"/>
  <c r="AN362" i="1"/>
  <c r="BM362" i="1" s="1"/>
  <c r="BN362" i="1" s="1"/>
  <c r="AN356" i="1"/>
  <c r="BM356" i="1" s="1"/>
  <c r="BN356" i="1" s="1"/>
  <c r="AN328" i="1"/>
  <c r="BM328" i="1" s="1"/>
  <c r="BN328" i="1" s="1"/>
  <c r="AN249" i="1"/>
  <c r="AN252" i="1"/>
  <c r="BM252" i="1" s="1"/>
  <c r="BN252" i="1" s="1"/>
  <c r="AN199" i="1"/>
  <c r="AN241" i="1"/>
  <c r="AN358" i="1"/>
  <c r="AN160" i="1"/>
  <c r="AN62" i="1"/>
  <c r="AN286" i="1"/>
  <c r="AN261" i="1"/>
  <c r="AN231" i="1"/>
  <c r="AN208" i="1"/>
  <c r="AK208" i="1" s="1"/>
  <c r="AL208" i="1" s="1"/>
  <c r="AN457" i="1"/>
  <c r="AK457" i="1" s="1"/>
  <c r="AL457" i="1" s="1"/>
  <c r="AN455" i="1"/>
  <c r="AK455" i="1" s="1"/>
  <c r="AL455" i="1" s="1"/>
  <c r="AN452" i="1"/>
  <c r="AN25" i="1"/>
  <c r="AN20" i="1"/>
  <c r="AN14" i="1"/>
  <c r="AN48" i="1"/>
  <c r="AN50" i="1"/>
  <c r="AN37" i="1"/>
  <c r="AN35" i="1"/>
  <c r="AN441" i="1"/>
  <c r="AN26" i="1"/>
  <c r="AN24" i="1"/>
  <c r="AN424" i="1"/>
  <c r="AN53" i="1"/>
  <c r="AN445" i="1"/>
  <c r="AN38" i="1"/>
  <c r="AK38" i="1" s="1"/>
  <c r="AL38" i="1" s="1"/>
  <c r="AN61" i="1"/>
  <c r="AN7" i="1"/>
  <c r="AK7" i="1" s="1"/>
  <c r="AL7" i="1" s="1"/>
  <c r="AN18" i="1"/>
  <c r="AN49" i="1"/>
  <c r="AN54" i="1"/>
  <c r="AN382" i="1"/>
  <c r="AN45" i="1"/>
  <c r="AN331" i="1"/>
  <c r="AN325" i="1"/>
  <c r="AN313" i="1"/>
  <c r="AN32" i="1"/>
  <c r="AN349" i="1"/>
  <c r="AN27" i="1"/>
  <c r="AN279" i="1"/>
  <c r="AN19" i="1"/>
  <c r="AN13" i="1"/>
  <c r="AN2" i="1"/>
  <c r="AN299" i="1"/>
  <c r="AN247" i="1"/>
  <c r="AN47" i="1"/>
  <c r="AN28" i="1"/>
  <c r="AN22" i="1"/>
  <c r="AN11" i="1"/>
  <c r="AK11" i="1" s="1"/>
  <c r="AL11" i="1" s="1"/>
  <c r="AN232" i="1"/>
  <c r="AK232" i="1" s="1"/>
  <c r="AL232" i="1" s="1"/>
  <c r="AN285" i="1"/>
  <c r="AN5" i="1"/>
  <c r="AN113" i="1"/>
  <c r="AN385" i="1"/>
  <c r="AN21" i="1"/>
  <c r="AN17" i="1"/>
  <c r="AK17" i="1" s="1"/>
  <c r="AL17" i="1" s="1"/>
  <c r="AN40" i="1"/>
  <c r="AN4" i="1"/>
  <c r="AK4" i="1" s="1"/>
  <c r="AL4" i="1" s="1"/>
  <c r="AN389" i="1"/>
  <c r="AN368" i="1"/>
  <c r="AN340" i="1"/>
  <c r="AN46" i="1"/>
  <c r="AN302" i="1"/>
  <c r="AN473" i="1"/>
  <c r="AN250" i="1"/>
  <c r="AN235" i="1"/>
  <c r="AN95" i="1"/>
  <c r="AN91" i="1"/>
  <c r="AN138" i="1"/>
  <c r="AN262" i="1"/>
  <c r="AN189" i="1"/>
  <c r="AN377" i="1"/>
  <c r="AN258" i="1"/>
  <c r="AN330" i="1"/>
  <c r="AN316" i="1"/>
  <c r="AN210" i="1"/>
  <c r="AN93" i="1"/>
  <c r="AN391" i="1"/>
  <c r="AN94" i="1"/>
  <c r="AN327" i="1"/>
  <c r="AN390" i="1"/>
  <c r="AN339" i="1"/>
  <c r="AN63" i="1"/>
  <c r="AN351" i="1"/>
  <c r="AN326" i="1"/>
  <c r="AN304" i="1"/>
  <c r="AN311" i="1"/>
  <c r="AN310" i="1"/>
  <c r="AN268" i="1"/>
  <c r="AN92" i="1"/>
  <c r="AN107" i="1"/>
  <c r="AN305" i="1"/>
  <c r="AN112" i="1"/>
  <c r="AN307" i="1"/>
  <c r="AN276" i="1"/>
  <c r="AN245" i="1"/>
  <c r="AN244" i="1"/>
  <c r="AN130" i="1"/>
  <c r="AN324" i="1"/>
  <c r="AN293" i="1"/>
  <c r="AN135" i="1"/>
  <c r="AN288" i="1"/>
  <c r="AN162" i="1"/>
  <c r="AN387" i="1"/>
  <c r="AN409" i="1"/>
  <c r="AN85" i="1"/>
  <c r="AN237" i="1"/>
  <c r="AN57" i="1"/>
  <c r="AN148" i="1"/>
  <c r="AN233" i="1"/>
  <c r="AN383" i="1"/>
  <c r="AN490" i="1"/>
  <c r="AN323" i="1"/>
  <c r="AN438" i="1"/>
  <c r="AN376" i="1"/>
  <c r="AN149" i="1"/>
  <c r="AN99" i="1"/>
  <c r="AN407" i="1"/>
  <c r="AN321" i="1"/>
  <c r="AN404" i="1"/>
  <c r="AN401" i="1"/>
  <c r="AN400" i="1"/>
  <c r="AN402" i="1"/>
  <c r="AN397" i="1"/>
  <c r="AN260" i="1"/>
  <c r="AN471" i="1"/>
  <c r="AN163" i="1"/>
  <c r="AN205" i="1"/>
  <c r="AN399" i="1"/>
  <c r="AN364" i="1"/>
  <c r="AN234" i="1"/>
  <c r="AN222" i="1"/>
  <c r="AN187" i="1"/>
  <c r="AN384" i="1"/>
  <c r="AN273" i="1"/>
  <c r="AN139" i="1"/>
  <c r="AN393" i="1"/>
  <c r="AK393" i="1" s="1"/>
  <c r="AL393" i="1" s="1"/>
  <c r="AN343" i="1"/>
  <c r="AN443" i="1"/>
  <c r="AN423" i="1"/>
  <c r="AN406" i="1"/>
  <c r="AN322" i="1"/>
  <c r="AN290" i="1"/>
  <c r="AN291" i="1"/>
  <c r="AN342" i="1"/>
  <c r="AN287" i="1"/>
  <c r="AN259" i="1"/>
  <c r="AN255" i="1"/>
  <c r="AN481" i="1"/>
  <c r="AK481" i="1" s="1"/>
  <c r="AL481" i="1" s="1"/>
  <c r="AN194" i="1"/>
  <c r="AN201" i="1"/>
  <c r="AN109" i="1"/>
  <c r="AK109" i="1" s="1"/>
  <c r="AL109" i="1" s="1"/>
  <c r="AN102" i="1"/>
  <c r="AN421" i="1"/>
  <c r="AN403" i="1"/>
  <c r="AN479" i="1"/>
  <c r="AN88" i="1"/>
  <c r="AN86" i="1"/>
  <c r="AN81" i="1"/>
  <c r="AN489" i="1"/>
  <c r="AN79" i="1"/>
  <c r="AN491" i="1"/>
  <c r="AN83" i="1"/>
  <c r="AN84" i="1"/>
  <c r="AN80" i="1"/>
  <c r="AN440" i="1"/>
  <c r="AN78" i="1"/>
  <c r="AN77" i="1"/>
  <c r="AN76" i="1"/>
  <c r="AN59" i="1"/>
  <c r="AN487" i="1"/>
  <c r="AN484" i="1"/>
  <c r="AN74" i="1"/>
  <c r="AN69" i="1"/>
  <c r="AN71" i="1"/>
  <c r="AN143" i="1"/>
  <c r="AN66" i="1"/>
  <c r="AN270" i="1"/>
  <c r="AN444" i="1"/>
  <c r="AN257" i="1"/>
  <c r="AN434" i="1"/>
  <c r="AN254" i="1"/>
  <c r="AN263" i="1"/>
  <c r="AN174" i="1"/>
  <c r="AN147" i="1"/>
  <c r="AN236" i="1"/>
  <c r="AN437" i="1"/>
  <c r="AN215" i="1"/>
  <c r="AN177" i="1"/>
  <c r="AN348" i="1"/>
  <c r="AN238" i="1"/>
  <c r="AN466" i="1"/>
  <c r="AN116" i="1"/>
  <c r="AN467" i="1"/>
  <c r="AN44" i="1"/>
  <c r="AN271" i="1"/>
  <c r="AN256" i="1"/>
  <c r="AN134" i="1"/>
  <c r="AN173" i="1"/>
  <c r="AN168" i="1"/>
  <c r="AN155" i="1"/>
  <c r="AN125" i="1"/>
  <c r="AN164" i="1"/>
  <c r="AN131" i="1"/>
  <c r="AN114" i="1"/>
  <c r="AN281" i="1"/>
  <c r="AN204" i="1"/>
  <c r="AN478" i="1"/>
  <c r="AN454" i="1"/>
  <c r="AN453" i="1"/>
  <c r="AN449" i="1"/>
  <c r="AN33" i="1"/>
  <c r="AN15" i="1"/>
  <c r="AN439" i="1"/>
  <c r="AN496" i="1"/>
  <c r="AN435" i="1"/>
  <c r="AN9" i="1"/>
  <c r="AN419" i="1"/>
  <c r="AK419" i="1" s="1"/>
  <c r="AL419" i="1" s="1"/>
  <c r="AN468" i="1"/>
  <c r="AN430" i="1"/>
  <c r="AN429" i="1"/>
  <c r="V96" i="1"/>
  <c r="W96" i="1" s="1"/>
  <c r="CT434" i="1" l="1"/>
  <c r="CE434" i="1"/>
  <c r="AK184" i="1"/>
  <c r="AL184" i="1" s="1"/>
  <c r="BM184" i="1"/>
  <c r="BN184" i="1" s="1"/>
  <c r="AK373" i="1"/>
  <c r="AL373" i="1" s="1"/>
  <c r="BM373" i="1"/>
  <c r="BN373" i="1" s="1"/>
  <c r="AK314" i="1"/>
  <c r="AL314" i="1" s="1"/>
  <c r="BM314" i="1"/>
  <c r="BN314" i="1" s="1"/>
  <c r="AK319" i="1"/>
  <c r="AL319" i="1" s="1"/>
  <c r="BM319" i="1"/>
  <c r="BN319" i="1" s="1"/>
  <c r="AK350" i="1"/>
  <c r="AL350" i="1" s="1"/>
  <c r="BM350" i="1"/>
  <c r="BN350" i="1" s="1"/>
  <c r="BZ465" i="1"/>
  <c r="CA465" i="1" s="1"/>
  <c r="CT465" i="1"/>
  <c r="CO96" i="1"/>
  <c r="CQ96" i="1"/>
  <c r="CD434" i="1"/>
  <c r="BZ434" i="1"/>
  <c r="CA434" i="1" s="1"/>
  <c r="CD16" i="1"/>
  <c r="BZ16" i="1"/>
  <c r="CA16" i="1" s="1"/>
  <c r="CD160" i="1"/>
  <c r="BZ160" i="1"/>
  <c r="CA160" i="1" s="1"/>
  <c r="CT427" i="1"/>
  <c r="BZ427" i="1"/>
  <c r="CA427" i="1" s="1"/>
  <c r="CD442" i="1"/>
  <c r="BZ442" i="1"/>
  <c r="CA442" i="1" s="1"/>
  <c r="CT480" i="1"/>
  <c r="BZ480" i="1"/>
  <c r="CA480" i="1" s="1"/>
  <c r="CD492" i="1"/>
  <c r="BZ492" i="1"/>
  <c r="CA492" i="1" s="1"/>
  <c r="CD20" i="1"/>
  <c r="BZ20" i="1"/>
  <c r="CA20" i="1" s="1"/>
  <c r="CD196" i="1"/>
  <c r="BZ196" i="1"/>
  <c r="CA196" i="1" s="1"/>
  <c r="CD165" i="1"/>
  <c r="BZ165" i="1"/>
  <c r="CA165" i="1" s="1"/>
  <c r="CD444" i="1"/>
  <c r="BZ444" i="1"/>
  <c r="CA444" i="1" s="1"/>
  <c r="CE444" i="1"/>
  <c r="CT444" i="1"/>
  <c r="CD205" i="1"/>
  <c r="CE205" i="1"/>
  <c r="BZ205" i="1"/>
  <c r="CA205" i="1" s="1"/>
  <c r="CT205" i="1"/>
  <c r="CE99" i="1"/>
  <c r="BZ99" i="1"/>
  <c r="CA99" i="1" s="1"/>
  <c r="CT99" i="1"/>
  <c r="CD488" i="1"/>
  <c r="BZ488" i="1"/>
  <c r="CA488" i="1" s="1"/>
  <c r="CT488" i="1"/>
  <c r="CD195" i="1"/>
  <c r="CT195" i="1"/>
  <c r="BZ195" i="1"/>
  <c r="CA195" i="1" s="1"/>
  <c r="CE195" i="1"/>
  <c r="CW195" i="1" s="1"/>
  <c r="CD214" i="1"/>
  <c r="BZ214" i="1"/>
  <c r="CA214" i="1" s="1"/>
  <c r="CD202" i="1"/>
  <c r="BZ202" i="1"/>
  <c r="CA202" i="1" s="1"/>
  <c r="CE75" i="1"/>
  <c r="BZ75" i="1"/>
  <c r="CA75" i="1" s="1"/>
  <c r="CD252" i="1"/>
  <c r="BZ252" i="1"/>
  <c r="CA252" i="1" s="1"/>
  <c r="CD264" i="1"/>
  <c r="BZ264" i="1"/>
  <c r="CA264" i="1" s="1"/>
  <c r="CT131" i="1"/>
  <c r="BZ131" i="1"/>
  <c r="CA131" i="1" s="1"/>
  <c r="CD484" i="1"/>
  <c r="CT484" i="1"/>
  <c r="BZ484" i="1"/>
  <c r="CA484" i="1" s="1"/>
  <c r="CD149" i="1"/>
  <c r="BZ149" i="1"/>
  <c r="CA149" i="1" s="1"/>
  <c r="CD262" i="1"/>
  <c r="BZ262" i="1"/>
  <c r="CA262" i="1" s="1"/>
  <c r="CD239" i="1"/>
  <c r="BZ239" i="1"/>
  <c r="CA239" i="1" s="1"/>
  <c r="CD212" i="1"/>
  <c r="CT212" i="1"/>
  <c r="BZ212" i="1"/>
  <c r="CA212" i="1" s="1"/>
  <c r="CD197" i="1"/>
  <c r="BZ197" i="1"/>
  <c r="CA197" i="1" s="1"/>
  <c r="CD206" i="1"/>
  <c r="CT206" i="1"/>
  <c r="CE206" i="1"/>
  <c r="BZ206" i="1"/>
  <c r="CA206" i="1" s="1"/>
  <c r="CD225" i="1"/>
  <c r="BZ225" i="1"/>
  <c r="CA225" i="1" s="1"/>
  <c r="CD298" i="1"/>
  <c r="BZ298" i="1"/>
  <c r="CA298" i="1" s="1"/>
  <c r="CT93" i="1"/>
  <c r="BZ93" i="1"/>
  <c r="CA93" i="1" s="1"/>
  <c r="CD187" i="1"/>
  <c r="BZ187" i="1"/>
  <c r="CA187" i="1" s="1"/>
  <c r="CD76" i="1"/>
  <c r="BZ76" i="1"/>
  <c r="CA76" i="1" s="1"/>
  <c r="CD234" i="1"/>
  <c r="BZ234" i="1"/>
  <c r="CA234" i="1" s="1"/>
  <c r="CD13" i="1"/>
  <c r="BZ13" i="1"/>
  <c r="CA13" i="1" s="1"/>
  <c r="CD216" i="1"/>
  <c r="BZ216" i="1"/>
  <c r="CA216" i="1" s="1"/>
  <c r="CD243" i="1"/>
  <c r="BZ243" i="1"/>
  <c r="CA243" i="1" s="1"/>
  <c r="CD221" i="1"/>
  <c r="BZ221" i="1"/>
  <c r="CA221" i="1" s="1"/>
  <c r="CL205" i="1"/>
  <c r="CH205" i="1"/>
  <c r="CI205" i="1" s="1"/>
  <c r="DB99" i="1"/>
  <c r="DC99" i="1" s="1"/>
  <c r="CH99" i="1"/>
  <c r="CI99" i="1" s="1"/>
  <c r="DB150" i="1"/>
  <c r="DC150" i="1" s="1"/>
  <c r="CH150" i="1"/>
  <c r="CI150" i="1" s="1"/>
  <c r="DB131" i="1"/>
  <c r="DC131" i="1" s="1"/>
  <c r="CH131" i="1"/>
  <c r="CI131" i="1" s="1"/>
  <c r="CL187" i="1"/>
  <c r="CH187" i="1"/>
  <c r="CI187" i="1" s="1"/>
  <c r="DB163" i="1"/>
  <c r="DC163" i="1" s="1"/>
  <c r="CH163" i="1"/>
  <c r="CI163" i="1" s="1"/>
  <c r="DB135" i="1"/>
  <c r="DC135" i="1" s="1"/>
  <c r="CH135" i="1"/>
  <c r="CI135" i="1" s="1"/>
  <c r="CL262" i="1"/>
  <c r="CH262" i="1"/>
  <c r="CI262" i="1" s="1"/>
  <c r="CL13" i="1"/>
  <c r="CH13" i="1"/>
  <c r="CI13" i="1" s="1"/>
  <c r="CL20" i="1"/>
  <c r="CH20" i="1"/>
  <c r="CI20" i="1" s="1"/>
  <c r="CL252" i="1"/>
  <c r="CH252" i="1"/>
  <c r="CI252" i="1" s="1"/>
  <c r="CL488" i="1"/>
  <c r="CH488" i="1"/>
  <c r="CI488" i="1" s="1"/>
  <c r="DB142" i="1"/>
  <c r="DC142" i="1" s="1"/>
  <c r="CH142" i="1"/>
  <c r="CI142" i="1" s="1"/>
  <c r="CL214" i="1"/>
  <c r="CH214" i="1"/>
  <c r="CI214" i="1" s="1"/>
  <c r="DB123" i="1"/>
  <c r="DC123" i="1" s="1"/>
  <c r="CH123" i="1"/>
  <c r="CI123" i="1" s="1"/>
  <c r="CL206" i="1"/>
  <c r="CH206" i="1"/>
  <c r="CI206" i="1" s="1"/>
  <c r="CL225" i="1"/>
  <c r="CH225" i="1"/>
  <c r="CI225" i="1" s="1"/>
  <c r="DB427" i="1"/>
  <c r="DC427" i="1" s="1"/>
  <c r="CH427" i="1"/>
  <c r="CI427" i="1" s="1"/>
  <c r="DB480" i="1"/>
  <c r="DC480" i="1" s="1"/>
  <c r="CH480" i="1"/>
  <c r="CI480" i="1" s="1"/>
  <c r="CL492" i="1"/>
  <c r="CH492" i="1"/>
  <c r="CI492" i="1" s="1"/>
  <c r="CL202" i="1"/>
  <c r="CH202" i="1"/>
  <c r="CI202" i="1" s="1"/>
  <c r="CL76" i="1"/>
  <c r="CH76" i="1"/>
  <c r="CI76" i="1" s="1"/>
  <c r="CL234" i="1"/>
  <c r="CH234" i="1"/>
  <c r="CI234" i="1" s="1"/>
  <c r="CL16" i="1"/>
  <c r="CH16" i="1"/>
  <c r="CI16" i="1" s="1"/>
  <c r="CL239" i="1"/>
  <c r="CH239" i="1"/>
  <c r="CI239" i="1" s="1"/>
  <c r="CL212" i="1"/>
  <c r="CH212" i="1"/>
  <c r="CI212" i="1" s="1"/>
  <c r="DB55" i="1"/>
  <c r="DC55" i="1" s="1"/>
  <c r="CH55" i="1"/>
  <c r="CI55" i="1" s="1"/>
  <c r="CL197" i="1"/>
  <c r="CH197" i="1"/>
  <c r="CI197" i="1" s="1"/>
  <c r="DB97" i="1"/>
  <c r="DC97" i="1" s="1"/>
  <c r="CH97" i="1"/>
  <c r="CI97" i="1" s="1"/>
  <c r="CL221" i="1"/>
  <c r="CH221" i="1"/>
  <c r="CI221" i="1" s="1"/>
  <c r="DB465" i="1"/>
  <c r="DC465" i="1" s="1"/>
  <c r="CH465" i="1"/>
  <c r="CI465" i="1" s="1"/>
  <c r="CL444" i="1"/>
  <c r="CH444" i="1"/>
  <c r="CI444" i="1" s="1"/>
  <c r="DB102" i="1"/>
  <c r="DC102" i="1" s="1"/>
  <c r="CH102" i="1"/>
  <c r="CI102" i="1" s="1"/>
  <c r="CL216" i="1"/>
  <c r="CH216" i="1"/>
  <c r="CI216" i="1" s="1"/>
  <c r="CL442" i="1"/>
  <c r="CH442" i="1"/>
  <c r="CI442" i="1" s="1"/>
  <c r="DB98" i="1"/>
  <c r="DC98" i="1" s="1"/>
  <c r="CH98" i="1"/>
  <c r="CI98" i="1" s="1"/>
  <c r="DB75" i="1"/>
  <c r="DC75" i="1" s="1"/>
  <c r="CH75" i="1"/>
  <c r="CI75" i="1" s="1"/>
  <c r="DB125" i="1"/>
  <c r="DC125" i="1" s="1"/>
  <c r="CH125" i="1"/>
  <c r="CI125" i="1" s="1"/>
  <c r="CL434" i="1"/>
  <c r="CH434" i="1"/>
  <c r="CI434" i="1" s="1"/>
  <c r="DB148" i="1"/>
  <c r="DC148" i="1" s="1"/>
  <c r="CH148" i="1"/>
  <c r="CI148" i="1" s="1"/>
  <c r="DB107" i="1"/>
  <c r="DC107" i="1" s="1"/>
  <c r="CH107" i="1"/>
  <c r="CI107" i="1" s="1"/>
  <c r="CL243" i="1"/>
  <c r="CH243" i="1"/>
  <c r="CI243" i="1" s="1"/>
  <c r="CL264" i="1"/>
  <c r="CH264" i="1"/>
  <c r="CI264" i="1" s="1"/>
  <c r="DB426" i="1"/>
  <c r="DC426" i="1" s="1"/>
  <c r="CH426" i="1"/>
  <c r="CI426" i="1" s="1"/>
  <c r="AT67" i="1"/>
  <c r="AE67" i="1"/>
  <c r="AF67" i="1" s="1"/>
  <c r="AT226" i="1"/>
  <c r="AE226" i="1"/>
  <c r="AF226" i="1" s="1"/>
  <c r="AT338" i="1"/>
  <c r="AU338" i="1" s="1"/>
  <c r="AE338" i="1"/>
  <c r="AF338" i="1" s="1"/>
  <c r="AT105" i="1"/>
  <c r="AE105" i="1"/>
  <c r="AF105" i="1" s="1"/>
  <c r="AT462" i="1"/>
  <c r="AE462" i="1"/>
  <c r="AF462" i="1" s="1"/>
  <c r="AT218" i="1"/>
  <c r="AE218" i="1"/>
  <c r="AF218" i="1" s="1"/>
  <c r="AT169" i="1"/>
  <c r="AU169" i="1" s="1"/>
  <c r="BH169" i="1" s="1"/>
  <c r="AE169" i="1"/>
  <c r="AF169" i="1" s="1"/>
  <c r="AT75" i="1"/>
  <c r="AE75" i="1"/>
  <c r="AF75" i="1" s="1"/>
  <c r="AT486" i="1"/>
  <c r="AE486" i="1"/>
  <c r="AF486" i="1" s="1"/>
  <c r="AT483" i="1"/>
  <c r="AE483" i="1"/>
  <c r="AF483" i="1" s="1"/>
  <c r="AT465" i="1"/>
  <c r="AE465" i="1"/>
  <c r="AF465" i="1" s="1"/>
  <c r="AT379" i="1"/>
  <c r="AE379" i="1"/>
  <c r="AF379" i="1" s="1"/>
  <c r="AT64" i="1"/>
  <c r="AE64" i="1"/>
  <c r="AF64" i="1" s="1"/>
  <c r="AT482" i="1"/>
  <c r="AU482" i="1" s="1"/>
  <c r="AE482" i="1"/>
  <c r="AF482" i="1" s="1"/>
  <c r="AT418" i="1"/>
  <c r="AE418" i="1"/>
  <c r="AF418" i="1" s="1"/>
  <c r="AT460" i="1"/>
  <c r="AE460" i="1"/>
  <c r="AF460" i="1" s="1"/>
  <c r="AT464" i="1"/>
  <c r="AE464" i="1"/>
  <c r="AF464" i="1" s="1"/>
  <c r="AT428" i="1"/>
  <c r="AE428" i="1"/>
  <c r="AF428" i="1" s="1"/>
  <c r="AT298" i="1"/>
  <c r="AE298" i="1"/>
  <c r="AF298" i="1" s="1"/>
  <c r="AT353" i="1"/>
  <c r="AE353" i="1"/>
  <c r="AF353" i="1" s="1"/>
  <c r="AT253" i="1"/>
  <c r="AE253" i="1"/>
  <c r="AF253" i="1" s="1"/>
  <c r="AT221" i="1"/>
  <c r="AE221" i="1"/>
  <c r="AF221" i="1" s="1"/>
  <c r="AT175" i="1"/>
  <c r="AE175" i="1"/>
  <c r="AF175" i="1" s="1"/>
  <c r="AT56" i="1"/>
  <c r="AE56" i="1"/>
  <c r="AF56" i="1" s="1"/>
  <c r="AT448" i="1"/>
  <c r="AE448" i="1"/>
  <c r="AF448" i="1" s="1"/>
  <c r="AT450" i="1"/>
  <c r="AE450" i="1"/>
  <c r="AF450" i="1" s="1"/>
  <c r="AT120" i="1"/>
  <c r="AU120" i="1" s="1"/>
  <c r="AE120" i="1"/>
  <c r="AF120" i="1" s="1"/>
  <c r="AT272" i="1"/>
  <c r="AE272" i="1"/>
  <c r="AF272" i="1" s="1"/>
  <c r="AT334" i="1"/>
  <c r="AE334" i="1"/>
  <c r="AF334" i="1" s="1"/>
  <c r="AT157" i="1"/>
  <c r="AE157" i="1"/>
  <c r="AF157" i="1" s="1"/>
  <c r="AT87" i="1"/>
  <c r="AE87" i="1"/>
  <c r="AF87" i="1" s="1"/>
  <c r="AT280" i="1"/>
  <c r="AE280" i="1"/>
  <c r="AF280" i="1" s="1"/>
  <c r="AT141" i="1"/>
  <c r="AE141" i="1"/>
  <c r="AF141" i="1" s="1"/>
  <c r="AT315" i="1"/>
  <c r="AE315" i="1"/>
  <c r="AF315" i="1" s="1"/>
  <c r="AT202" i="1"/>
  <c r="AE202" i="1"/>
  <c r="AF202" i="1" s="1"/>
  <c r="AT405" i="1"/>
  <c r="AE405" i="1"/>
  <c r="AF405" i="1" s="1"/>
  <c r="AT426" i="1"/>
  <c r="AE426" i="1"/>
  <c r="AF426" i="1" s="1"/>
  <c r="AT183" i="1"/>
  <c r="AE183" i="1"/>
  <c r="AF183" i="1" s="1"/>
  <c r="AT485" i="1"/>
  <c r="AE485" i="1"/>
  <c r="AF485" i="1" s="1"/>
  <c r="AT297" i="1"/>
  <c r="AE297" i="1"/>
  <c r="AF297" i="1" s="1"/>
  <c r="AT225" i="1"/>
  <c r="AU225" i="1" s="1"/>
  <c r="BH225" i="1" s="1"/>
  <c r="AE225" i="1"/>
  <c r="AF225" i="1" s="1"/>
  <c r="AT58" i="1"/>
  <c r="AE58" i="1"/>
  <c r="AF58" i="1" s="1"/>
  <c r="AT101" i="1"/>
  <c r="AE101" i="1"/>
  <c r="AF101" i="1" s="1"/>
  <c r="AT495" i="1"/>
  <c r="AE495" i="1"/>
  <c r="AF495" i="1" s="1"/>
  <c r="AT200" i="1"/>
  <c r="AE200" i="1"/>
  <c r="AF200" i="1" s="1"/>
  <c r="AT111" i="1"/>
  <c r="AE111" i="1"/>
  <c r="AF111" i="1" s="1"/>
  <c r="AT136" i="1"/>
  <c r="AE136" i="1"/>
  <c r="AF136" i="1" s="1"/>
  <c r="AT264" i="1"/>
  <c r="AE264" i="1"/>
  <c r="AF264" i="1" s="1"/>
  <c r="AT411" i="1"/>
  <c r="AE411" i="1"/>
  <c r="AF411" i="1" s="1"/>
  <c r="AT309" i="1"/>
  <c r="AE309" i="1"/>
  <c r="AF309" i="1" s="1"/>
  <c r="AT345" i="1"/>
  <c r="AE345" i="1"/>
  <c r="AF345" i="1" s="1"/>
  <c r="AT97" i="1"/>
  <c r="AE97" i="1"/>
  <c r="AF97" i="1" s="1"/>
  <c r="AT206" i="1"/>
  <c r="AE206" i="1"/>
  <c r="AF206" i="1" s="1"/>
  <c r="AT282" i="1"/>
  <c r="AU282" i="1" s="1"/>
  <c r="BH282" i="1" s="1"/>
  <c r="AE282" i="1"/>
  <c r="AF282" i="1" s="1"/>
  <c r="AT154" i="1"/>
  <c r="AE154" i="1"/>
  <c r="AF154" i="1" s="1"/>
  <c r="AT431" i="1"/>
  <c r="AE431" i="1"/>
  <c r="AF431" i="1" s="1"/>
  <c r="AT459" i="1"/>
  <c r="AE459" i="1"/>
  <c r="AF459" i="1" s="1"/>
  <c r="AT158" i="1"/>
  <c r="AE158" i="1"/>
  <c r="AF158" i="1" s="1"/>
  <c r="AT278" i="1"/>
  <c r="AE278" i="1"/>
  <c r="AF278" i="1" s="1"/>
  <c r="AT179" i="1"/>
  <c r="AE179" i="1"/>
  <c r="AF179" i="1" s="1"/>
  <c r="AT504" i="1"/>
  <c r="AE504" i="1"/>
  <c r="AF504" i="1" s="1"/>
  <c r="AT347" i="1"/>
  <c r="AE347" i="1"/>
  <c r="AF347" i="1" s="1"/>
  <c r="AT451" i="1"/>
  <c r="AE451" i="1"/>
  <c r="AF451" i="1" s="1"/>
  <c r="AT501" i="1"/>
  <c r="AE501" i="1"/>
  <c r="AF501" i="1" s="1"/>
  <c r="AT499" i="1"/>
  <c r="AU499" i="1" s="1"/>
  <c r="BH499" i="1" s="1"/>
  <c r="AE499" i="1"/>
  <c r="AF499" i="1" s="1"/>
  <c r="AT432" i="1"/>
  <c r="AE432" i="1"/>
  <c r="AF432" i="1" s="1"/>
  <c r="AT274" i="1"/>
  <c r="AE274" i="1"/>
  <c r="AF274" i="1" s="1"/>
  <c r="AT503" i="1"/>
  <c r="AE503" i="1"/>
  <c r="AF503" i="1" s="1"/>
  <c r="AT505" i="1"/>
  <c r="AU505" i="1" s="1"/>
  <c r="BH505" i="1" s="1"/>
  <c r="AE505" i="1"/>
  <c r="AF505" i="1" s="1"/>
  <c r="AT191" i="1"/>
  <c r="AE191" i="1"/>
  <c r="AF191" i="1" s="1"/>
  <c r="AT104" i="1"/>
  <c r="AE104" i="1"/>
  <c r="AF104" i="1" s="1"/>
  <c r="AT493" i="1"/>
  <c r="AE493" i="1"/>
  <c r="AF493" i="1" s="1"/>
  <c r="AT341" i="1"/>
  <c r="AE341" i="1"/>
  <c r="AF341" i="1" s="1"/>
  <c r="AT72" i="1"/>
  <c r="AE72" i="1"/>
  <c r="AF72" i="1" s="1"/>
  <c r="AT332" i="1"/>
  <c r="AU332" i="1" s="1"/>
  <c r="BH332" i="1" s="1"/>
  <c r="AE332" i="1"/>
  <c r="AF332" i="1" s="1"/>
  <c r="AT413" i="1"/>
  <c r="AE413" i="1"/>
  <c r="AF413" i="1" s="1"/>
  <c r="AT497" i="1"/>
  <c r="AE497" i="1"/>
  <c r="AF497" i="1" s="1"/>
  <c r="AT295" i="1"/>
  <c r="AE295" i="1"/>
  <c r="AF295" i="1" s="1"/>
  <c r="AT223" i="1"/>
  <c r="AE223" i="1"/>
  <c r="AF223" i="1" s="1"/>
  <c r="AT296" i="1"/>
  <c r="AE296" i="1"/>
  <c r="AF296" i="1" s="1"/>
  <c r="AT165" i="1"/>
  <c r="AE165" i="1"/>
  <c r="AF165" i="1" s="1"/>
  <c r="AT170" i="1"/>
  <c r="AE170" i="1"/>
  <c r="AF170" i="1" s="1"/>
  <c r="AT228" i="1"/>
  <c r="AE228" i="1"/>
  <c r="AF228" i="1" s="1"/>
  <c r="AT110" i="1"/>
  <c r="AE110" i="1"/>
  <c r="AF110" i="1" s="1"/>
  <c r="AT388" i="1"/>
  <c r="AE388" i="1"/>
  <c r="AF388" i="1" s="1"/>
  <c r="AT137" i="1"/>
  <c r="AE137" i="1"/>
  <c r="AF137" i="1" s="1"/>
  <c r="AT119" i="1"/>
  <c r="AE119" i="1"/>
  <c r="AF119" i="1" s="1"/>
  <c r="AT301" i="1"/>
  <c r="AE301" i="1"/>
  <c r="AF301" i="1" s="1"/>
  <c r="AT308" i="1"/>
  <c r="AE308" i="1"/>
  <c r="AF308" i="1" s="1"/>
  <c r="AT352" i="1"/>
  <c r="AE352" i="1"/>
  <c r="AF352" i="1" s="1"/>
  <c r="AT396" i="1"/>
  <c r="AE396" i="1"/>
  <c r="AF396" i="1" s="1"/>
  <c r="AT447" i="1"/>
  <c r="AE447" i="1"/>
  <c r="AF447" i="1" s="1"/>
  <c r="AT214" i="1"/>
  <c r="AE214" i="1"/>
  <c r="AF214" i="1" s="1"/>
  <c r="AT337" i="1"/>
  <c r="AE337" i="1"/>
  <c r="AF337" i="1" s="1"/>
  <c r="AT394" i="1"/>
  <c r="AE394" i="1"/>
  <c r="AF394" i="1" s="1"/>
  <c r="AT98" i="1"/>
  <c r="AE98" i="1"/>
  <c r="AF98" i="1" s="1"/>
  <c r="AT303" i="1"/>
  <c r="AE303" i="1"/>
  <c r="AF303" i="1" s="1"/>
  <c r="AT159" i="1"/>
  <c r="AE159" i="1"/>
  <c r="AF159" i="1" s="1"/>
  <c r="AT243" i="1"/>
  <c r="AE243" i="1"/>
  <c r="AF243" i="1" s="1"/>
  <c r="AT197" i="1"/>
  <c r="AE197" i="1"/>
  <c r="AF197" i="1" s="1"/>
  <c r="AT398" i="1"/>
  <c r="AE398" i="1"/>
  <c r="AF398" i="1" s="1"/>
  <c r="AT408" i="1"/>
  <c r="AE408" i="1"/>
  <c r="AF408" i="1" s="1"/>
  <c r="AT461" i="1"/>
  <c r="AE461" i="1"/>
  <c r="AF461" i="1" s="1"/>
  <c r="AT294" i="1"/>
  <c r="AE294" i="1"/>
  <c r="AF294" i="1" s="1"/>
  <c r="AT395" i="1"/>
  <c r="AE395" i="1"/>
  <c r="AF395" i="1" s="1"/>
  <c r="AT230" i="1"/>
  <c r="AE230" i="1"/>
  <c r="AF230" i="1" s="1"/>
  <c r="AT198" i="1"/>
  <c r="AE198" i="1"/>
  <c r="AF198" i="1" s="1"/>
  <c r="AT188" i="1"/>
  <c r="AE188" i="1"/>
  <c r="AF188" i="1" s="1"/>
  <c r="AT312" i="1"/>
  <c r="AE312" i="1"/>
  <c r="AF312" i="1" s="1"/>
  <c r="AT65" i="1"/>
  <c r="AE65" i="1"/>
  <c r="AF65" i="1" s="1"/>
  <c r="AT433" i="1"/>
  <c r="AE433" i="1"/>
  <c r="AF433" i="1" s="1"/>
  <c r="AT425" i="1"/>
  <c r="AE425" i="1"/>
  <c r="AF425" i="1" s="1"/>
  <c r="AT171" i="1"/>
  <c r="AE171" i="1"/>
  <c r="AF171" i="1" s="1"/>
  <c r="AT117" i="1"/>
  <c r="AE117" i="1"/>
  <c r="AF117" i="1" s="1"/>
  <c r="AT500" i="1"/>
  <c r="AE500" i="1"/>
  <c r="AF500" i="1" s="1"/>
  <c r="AT446" i="1"/>
  <c r="AE446" i="1"/>
  <c r="AF446" i="1" s="1"/>
  <c r="AT410" i="1"/>
  <c r="AE410" i="1"/>
  <c r="AF410" i="1" s="1"/>
  <c r="AT73" i="1"/>
  <c r="AE73" i="1"/>
  <c r="AF73" i="1" s="1"/>
  <c r="AT68" i="1"/>
  <c r="AE68" i="1"/>
  <c r="AF68" i="1" s="1"/>
  <c r="AT152" i="1"/>
  <c r="AE152" i="1"/>
  <c r="AF152" i="1" s="1"/>
  <c r="AT190" i="1"/>
  <c r="AE190" i="1"/>
  <c r="AF190" i="1" s="1"/>
  <c r="AT266" i="1"/>
  <c r="AE266" i="1"/>
  <c r="AF266" i="1" s="1"/>
  <c r="AT502" i="1"/>
  <c r="AE502" i="1"/>
  <c r="AF502" i="1" s="1"/>
  <c r="AT335" i="1"/>
  <c r="AE335" i="1"/>
  <c r="AF335" i="1" s="1"/>
  <c r="AT498" i="1"/>
  <c r="AE498" i="1"/>
  <c r="AF498" i="1" s="1"/>
  <c r="AT422" i="1"/>
  <c r="AE422" i="1"/>
  <c r="AF422" i="1" s="1"/>
  <c r="AT89" i="1"/>
  <c r="AE89" i="1"/>
  <c r="AF89" i="1" s="1"/>
  <c r="AT144" i="1"/>
  <c r="AE144" i="1"/>
  <c r="AF144" i="1" s="1"/>
  <c r="AT472" i="1"/>
  <c r="AE472" i="1"/>
  <c r="AF472" i="1" s="1"/>
  <c r="AT161" i="1"/>
  <c r="AE161" i="1"/>
  <c r="AF161" i="1" s="1"/>
  <c r="AT195" i="1"/>
  <c r="AE195" i="1"/>
  <c r="AF195" i="1" s="1"/>
  <c r="AT133" i="1"/>
  <c r="AE133" i="1"/>
  <c r="AF133" i="1" s="1"/>
  <c r="AT122" i="1"/>
  <c r="AE122" i="1"/>
  <c r="AF122" i="1" s="1"/>
  <c r="AT265" i="1"/>
  <c r="AE265" i="1"/>
  <c r="AF265" i="1" s="1"/>
  <c r="AT212" i="1"/>
  <c r="AE212" i="1"/>
  <c r="AF212" i="1" s="1"/>
  <c r="AT469" i="1"/>
  <c r="AE469" i="1"/>
  <c r="AF469" i="1" s="1"/>
  <c r="AT196" i="1"/>
  <c r="AE196" i="1"/>
  <c r="AF196" i="1" s="1"/>
  <c r="AT217" i="1"/>
  <c r="AE217" i="1"/>
  <c r="AF217" i="1" s="1"/>
  <c r="AT128" i="1"/>
  <c r="AE128" i="1"/>
  <c r="AF128" i="1" s="1"/>
  <c r="AT412" i="1"/>
  <c r="AE412" i="1"/>
  <c r="AF412" i="1" s="1"/>
  <c r="AT150" i="1"/>
  <c r="AE150" i="1"/>
  <c r="AF150" i="1" s="1"/>
  <c r="AT115" i="1"/>
  <c r="AE115" i="1"/>
  <c r="AF115" i="1" s="1"/>
  <c r="AT193" i="1"/>
  <c r="AE193" i="1"/>
  <c r="AF193" i="1" s="1"/>
  <c r="AT186" i="1"/>
  <c r="AE186" i="1"/>
  <c r="AF186" i="1" s="1"/>
  <c r="AT82" i="1"/>
  <c r="AE82" i="1"/>
  <c r="AF82" i="1" s="1"/>
  <c r="AT248" i="1"/>
  <c r="AE248" i="1"/>
  <c r="AF248" i="1" s="1"/>
  <c r="AT480" i="1"/>
  <c r="AE480" i="1"/>
  <c r="AF480" i="1" s="1"/>
  <c r="AT142" i="1"/>
  <c r="AU142" i="1" s="1"/>
  <c r="BH142" i="1" s="1"/>
  <c r="AE142" i="1"/>
  <c r="AF142" i="1" s="1"/>
  <c r="AT333" i="1"/>
  <c r="AE333" i="1"/>
  <c r="AF333" i="1" s="1"/>
  <c r="AT355" i="1"/>
  <c r="AE355" i="1"/>
  <c r="AF355" i="1" s="1"/>
  <c r="AT283" i="1"/>
  <c r="AE283" i="1"/>
  <c r="AF283" i="1" s="1"/>
  <c r="AT153" i="1"/>
  <c r="AU153" i="1" s="1"/>
  <c r="BH153" i="1" s="1"/>
  <c r="AE153" i="1"/>
  <c r="AF153" i="1" s="1"/>
  <c r="AT329" i="1"/>
  <c r="AE329" i="1"/>
  <c r="AF329" i="1" s="1"/>
  <c r="AT360" i="1"/>
  <c r="AE360" i="1"/>
  <c r="AF360" i="1" s="1"/>
  <c r="AT354" i="1"/>
  <c r="AE354" i="1"/>
  <c r="AF354" i="1" s="1"/>
  <c r="AT420" i="1"/>
  <c r="AE420" i="1"/>
  <c r="AF420" i="1" s="1"/>
  <c r="AT488" i="1"/>
  <c r="AE488" i="1"/>
  <c r="AF488" i="1" s="1"/>
  <c r="AT442" i="1"/>
  <c r="AE442" i="1"/>
  <c r="AF442" i="1" s="1"/>
  <c r="AT458" i="1"/>
  <c r="AE458" i="1"/>
  <c r="AF458" i="1" s="1"/>
  <c r="AT246" i="1"/>
  <c r="AE246" i="1"/>
  <c r="AF246" i="1" s="1"/>
  <c r="AT184" i="1"/>
  <c r="AU184" i="1" s="1"/>
  <c r="BH184" i="1" s="1"/>
  <c r="AE184" i="1"/>
  <c r="AF184" i="1" s="1"/>
  <c r="AT436" i="1"/>
  <c r="AE436" i="1"/>
  <c r="AF436" i="1" s="1"/>
  <c r="AT414" i="1"/>
  <c r="AE414" i="1"/>
  <c r="AF414" i="1" s="1"/>
  <c r="AT178" i="1"/>
  <c r="AE178" i="1"/>
  <c r="AF178" i="1" s="1"/>
  <c r="AT121" i="1"/>
  <c r="AE121" i="1"/>
  <c r="AF121" i="1" s="1"/>
  <c r="AT124" i="1"/>
  <c r="AE124" i="1"/>
  <c r="AF124" i="1" s="1"/>
  <c r="AT375" i="1"/>
  <c r="AE375" i="1"/>
  <c r="AF375" i="1" s="1"/>
  <c r="AT381" i="1"/>
  <c r="AE381" i="1"/>
  <c r="AF381" i="1" s="1"/>
  <c r="AT373" i="1"/>
  <c r="AU373" i="1" s="1"/>
  <c r="BH373" i="1" s="1"/>
  <c r="AE373" i="1"/>
  <c r="AF373" i="1" s="1"/>
  <c r="AT367" i="1"/>
  <c r="AU367" i="1" s="1"/>
  <c r="BH367" i="1" s="1"/>
  <c r="AE367" i="1"/>
  <c r="AF367" i="1" s="1"/>
  <c r="AT363" i="1"/>
  <c r="AE363" i="1"/>
  <c r="AF363" i="1" s="1"/>
  <c r="AT366" i="1"/>
  <c r="AE366" i="1"/>
  <c r="AF366" i="1" s="1"/>
  <c r="AT371" i="1"/>
  <c r="AE371" i="1"/>
  <c r="AF371" i="1" s="1"/>
  <c r="AT374" i="1"/>
  <c r="AU374" i="1" s="1"/>
  <c r="AE374" i="1"/>
  <c r="AF374" i="1" s="1"/>
  <c r="AT380" i="1"/>
  <c r="AE380" i="1"/>
  <c r="AF380" i="1" s="1"/>
  <c r="AT361" i="1"/>
  <c r="AE361" i="1"/>
  <c r="AF361" i="1" s="1"/>
  <c r="AT314" i="1"/>
  <c r="AU314" i="1" s="1"/>
  <c r="BH314" i="1" s="1"/>
  <c r="AE314" i="1"/>
  <c r="AF314" i="1" s="1"/>
  <c r="AT319" i="1"/>
  <c r="AU319" i="1" s="1"/>
  <c r="BH319" i="1" s="1"/>
  <c r="AE319" i="1"/>
  <c r="AF319" i="1" s="1"/>
  <c r="AT318" i="1"/>
  <c r="AE318" i="1"/>
  <c r="AF318" i="1" s="1"/>
  <c r="AT378" i="1"/>
  <c r="AE378" i="1"/>
  <c r="AF378" i="1" s="1"/>
  <c r="AT370" i="1"/>
  <c r="AE370" i="1"/>
  <c r="AF370" i="1" s="1"/>
  <c r="AT365" i="1"/>
  <c r="AE365" i="1"/>
  <c r="AF365" i="1" s="1"/>
  <c r="AT227" i="1"/>
  <c r="AE227" i="1"/>
  <c r="AF227" i="1" s="1"/>
  <c r="AT216" i="1"/>
  <c r="AE216" i="1"/>
  <c r="AF216" i="1" s="1"/>
  <c r="AT220" i="1"/>
  <c r="AE220" i="1"/>
  <c r="AF220" i="1" s="1"/>
  <c r="AT386" i="1"/>
  <c r="AE386" i="1"/>
  <c r="AF386" i="1" s="1"/>
  <c r="AT362" i="1"/>
  <c r="AE362" i="1"/>
  <c r="AF362" i="1" s="1"/>
  <c r="AT356" i="1"/>
  <c r="AE356" i="1"/>
  <c r="AF356" i="1" s="1"/>
  <c r="AT328" i="1"/>
  <c r="AE328" i="1"/>
  <c r="AF328" i="1" s="1"/>
  <c r="AT249" i="1"/>
  <c r="AE249" i="1"/>
  <c r="AF249" i="1" s="1"/>
  <c r="AT252" i="1"/>
  <c r="AE252" i="1"/>
  <c r="AF252" i="1" s="1"/>
  <c r="AT199" i="1"/>
  <c r="AE199" i="1"/>
  <c r="AF199" i="1" s="1"/>
  <c r="AT241" i="1"/>
  <c r="AE241" i="1"/>
  <c r="AF241" i="1" s="1"/>
  <c r="AT358" i="1"/>
  <c r="AE358" i="1"/>
  <c r="AF358" i="1" s="1"/>
  <c r="AT160" i="1"/>
  <c r="AU160" i="1" s="1"/>
  <c r="BH160" i="1" s="1"/>
  <c r="AE160" i="1"/>
  <c r="AF160" i="1" s="1"/>
  <c r="AT62" i="1"/>
  <c r="AE62" i="1"/>
  <c r="AF62" i="1" s="1"/>
  <c r="AT286" i="1"/>
  <c r="AE286" i="1"/>
  <c r="AF286" i="1" s="1"/>
  <c r="AT261" i="1"/>
  <c r="AE261" i="1"/>
  <c r="AF261" i="1" s="1"/>
  <c r="AT231" i="1"/>
  <c r="AE231" i="1"/>
  <c r="AF231" i="1" s="1"/>
  <c r="AT208" i="1"/>
  <c r="AU208" i="1" s="1"/>
  <c r="AE208" i="1"/>
  <c r="AF208" i="1" s="1"/>
  <c r="AT457" i="1"/>
  <c r="AU457" i="1" s="1"/>
  <c r="AE457" i="1"/>
  <c r="AF457" i="1" s="1"/>
  <c r="AT455" i="1"/>
  <c r="AU455" i="1" s="1"/>
  <c r="AE455" i="1"/>
  <c r="AF455" i="1" s="1"/>
  <c r="AT452" i="1"/>
  <c r="AE452" i="1"/>
  <c r="AF452" i="1" s="1"/>
  <c r="AT25" i="1"/>
  <c r="AE25" i="1"/>
  <c r="AF25" i="1" s="1"/>
  <c r="AT20" i="1"/>
  <c r="AE20" i="1"/>
  <c r="AF20" i="1" s="1"/>
  <c r="AT14" i="1"/>
  <c r="AE14" i="1"/>
  <c r="AF14" i="1" s="1"/>
  <c r="AT48" i="1"/>
  <c r="AE48" i="1"/>
  <c r="AF48" i="1" s="1"/>
  <c r="AT50" i="1"/>
  <c r="AE50" i="1"/>
  <c r="AF50" i="1" s="1"/>
  <c r="AT37" i="1"/>
  <c r="AE37" i="1"/>
  <c r="AF37" i="1" s="1"/>
  <c r="AT35" i="1"/>
  <c r="AU35" i="1" s="1"/>
  <c r="AE35" i="1"/>
  <c r="AF35" i="1" s="1"/>
  <c r="AT441" i="1"/>
  <c r="AE441" i="1"/>
  <c r="AF441" i="1" s="1"/>
  <c r="AT26" i="1"/>
  <c r="AE26" i="1"/>
  <c r="AF26" i="1" s="1"/>
  <c r="AT24" i="1"/>
  <c r="AE24" i="1"/>
  <c r="AF24" i="1" s="1"/>
  <c r="AT424" i="1"/>
  <c r="AE424" i="1"/>
  <c r="AF424" i="1" s="1"/>
  <c r="AT53" i="1"/>
  <c r="AE53" i="1"/>
  <c r="AF53" i="1" s="1"/>
  <c r="AT445" i="1"/>
  <c r="AE445" i="1"/>
  <c r="AF445" i="1" s="1"/>
  <c r="AT61" i="1"/>
  <c r="AE61" i="1"/>
  <c r="AF61" i="1" s="1"/>
  <c r="AT18" i="1"/>
  <c r="AE18" i="1"/>
  <c r="AF18" i="1" s="1"/>
  <c r="AT49" i="1"/>
  <c r="AU49" i="1" s="1"/>
  <c r="BH49" i="1" s="1"/>
  <c r="AE49" i="1"/>
  <c r="AF49" i="1" s="1"/>
  <c r="AT54" i="1"/>
  <c r="AE54" i="1"/>
  <c r="AF54" i="1" s="1"/>
  <c r="AT382" i="1"/>
  <c r="AE382" i="1"/>
  <c r="AF382" i="1" s="1"/>
  <c r="AT45" i="1"/>
  <c r="AE45" i="1"/>
  <c r="AF45" i="1" s="1"/>
  <c r="AT331" i="1"/>
  <c r="AE331" i="1"/>
  <c r="AF331" i="1" s="1"/>
  <c r="AT325" i="1"/>
  <c r="AE325" i="1"/>
  <c r="AF325" i="1" s="1"/>
  <c r="AT313" i="1"/>
  <c r="AE313" i="1"/>
  <c r="AF313" i="1" s="1"/>
  <c r="AT32" i="1"/>
  <c r="AE32" i="1"/>
  <c r="AF32" i="1" s="1"/>
  <c r="AT349" i="1"/>
  <c r="AE349" i="1"/>
  <c r="AF349" i="1" s="1"/>
  <c r="AT27" i="1"/>
  <c r="AE27" i="1"/>
  <c r="AF27" i="1" s="1"/>
  <c r="AT279" i="1"/>
  <c r="AE279" i="1"/>
  <c r="AF279" i="1" s="1"/>
  <c r="AT19" i="1"/>
  <c r="AE19" i="1"/>
  <c r="AF19" i="1" s="1"/>
  <c r="AT13" i="1"/>
  <c r="AE13" i="1"/>
  <c r="AF13" i="1" s="1"/>
  <c r="AT2" i="1"/>
  <c r="AE2" i="1"/>
  <c r="AF2" i="1" s="1"/>
  <c r="AT299" i="1"/>
  <c r="AU299" i="1" s="1"/>
  <c r="BH299" i="1" s="1"/>
  <c r="AE299" i="1"/>
  <c r="AF299" i="1" s="1"/>
  <c r="AT247" i="1"/>
  <c r="AE247" i="1"/>
  <c r="AF247" i="1" s="1"/>
  <c r="AT47" i="1"/>
  <c r="AE47" i="1"/>
  <c r="AF47" i="1" s="1"/>
  <c r="AT28" i="1"/>
  <c r="AE28" i="1"/>
  <c r="AF28" i="1" s="1"/>
  <c r="AT22" i="1"/>
  <c r="AE22" i="1"/>
  <c r="AF22" i="1" s="1"/>
  <c r="AT11" i="1"/>
  <c r="AU11" i="1" s="1"/>
  <c r="AE11" i="1"/>
  <c r="AF11" i="1" s="1"/>
  <c r="AT232" i="1"/>
  <c r="AU232" i="1" s="1"/>
  <c r="AE232" i="1"/>
  <c r="AF232" i="1" s="1"/>
  <c r="AT285" i="1"/>
  <c r="AE285" i="1"/>
  <c r="AF285" i="1" s="1"/>
  <c r="AT5" i="1"/>
  <c r="AE5" i="1"/>
  <c r="AF5" i="1" s="1"/>
  <c r="AT113" i="1"/>
  <c r="AE113" i="1"/>
  <c r="AF113" i="1" s="1"/>
  <c r="AT385" i="1"/>
  <c r="AU385" i="1" s="1"/>
  <c r="BH385" i="1" s="1"/>
  <c r="AE385" i="1"/>
  <c r="AF385" i="1" s="1"/>
  <c r="AT21" i="1"/>
  <c r="AE21" i="1"/>
  <c r="AF21" i="1" s="1"/>
  <c r="AT17" i="1"/>
  <c r="AU17" i="1" s="1"/>
  <c r="AE17" i="1"/>
  <c r="AF17" i="1" s="1"/>
  <c r="AT40" i="1"/>
  <c r="AE40" i="1"/>
  <c r="AF40" i="1" s="1"/>
  <c r="AT4" i="1"/>
  <c r="AU4" i="1" s="1"/>
  <c r="AE4" i="1"/>
  <c r="AF4" i="1" s="1"/>
  <c r="AT389" i="1"/>
  <c r="AE389" i="1"/>
  <c r="AF389" i="1" s="1"/>
  <c r="AT368" i="1"/>
  <c r="AE368" i="1"/>
  <c r="AF368" i="1" s="1"/>
  <c r="AT340" i="1"/>
  <c r="AE340" i="1"/>
  <c r="AF340" i="1" s="1"/>
  <c r="AT46" i="1"/>
  <c r="AE46" i="1"/>
  <c r="AF46" i="1" s="1"/>
  <c r="AT302" i="1"/>
  <c r="AE302" i="1"/>
  <c r="AF302" i="1" s="1"/>
  <c r="AT473" i="1"/>
  <c r="AU473" i="1" s="1"/>
  <c r="BH473" i="1" s="1"/>
  <c r="AE473" i="1"/>
  <c r="AF473" i="1" s="1"/>
  <c r="AT250" i="1"/>
  <c r="AE250" i="1"/>
  <c r="AF250" i="1" s="1"/>
  <c r="AT235" i="1"/>
  <c r="AE235" i="1"/>
  <c r="AF235" i="1" s="1"/>
  <c r="AT95" i="1"/>
  <c r="AE95" i="1"/>
  <c r="AF95" i="1" s="1"/>
  <c r="AT91" i="1"/>
  <c r="AE91" i="1"/>
  <c r="AF91" i="1" s="1"/>
  <c r="AT138" i="1"/>
  <c r="AE138" i="1"/>
  <c r="AF138" i="1" s="1"/>
  <c r="AT262" i="1"/>
  <c r="AU262" i="1" s="1"/>
  <c r="BH262" i="1" s="1"/>
  <c r="AE262" i="1"/>
  <c r="AF262" i="1" s="1"/>
  <c r="AT189" i="1"/>
  <c r="AE189" i="1"/>
  <c r="AF189" i="1" s="1"/>
  <c r="AT377" i="1"/>
  <c r="AE377" i="1"/>
  <c r="AF377" i="1" s="1"/>
  <c r="AT258" i="1"/>
  <c r="AE258" i="1"/>
  <c r="AF258" i="1" s="1"/>
  <c r="AT330" i="1"/>
  <c r="AE330" i="1"/>
  <c r="AF330" i="1" s="1"/>
  <c r="AT316" i="1"/>
  <c r="AE316" i="1"/>
  <c r="AF316" i="1" s="1"/>
  <c r="AT210" i="1"/>
  <c r="AE210" i="1"/>
  <c r="AF210" i="1" s="1"/>
  <c r="AT93" i="1"/>
  <c r="AE93" i="1"/>
  <c r="AF93" i="1" s="1"/>
  <c r="AT391" i="1"/>
  <c r="AE391" i="1"/>
  <c r="AF391" i="1" s="1"/>
  <c r="AT94" i="1"/>
  <c r="AE94" i="1"/>
  <c r="AF94" i="1" s="1"/>
  <c r="AT327" i="1"/>
  <c r="AE327" i="1"/>
  <c r="AF327" i="1" s="1"/>
  <c r="AT390" i="1"/>
  <c r="AE390" i="1"/>
  <c r="AF390" i="1" s="1"/>
  <c r="AT339" i="1"/>
  <c r="AE339" i="1"/>
  <c r="AF339" i="1" s="1"/>
  <c r="AT63" i="1"/>
  <c r="AE63" i="1"/>
  <c r="AF63" i="1" s="1"/>
  <c r="AT351" i="1"/>
  <c r="AE351" i="1"/>
  <c r="AF351" i="1" s="1"/>
  <c r="AT326" i="1"/>
  <c r="AE326" i="1"/>
  <c r="AF326" i="1" s="1"/>
  <c r="AT304" i="1"/>
  <c r="AE304" i="1"/>
  <c r="AF304" i="1" s="1"/>
  <c r="AT311" i="1"/>
  <c r="AE311" i="1"/>
  <c r="AF311" i="1" s="1"/>
  <c r="AT310" i="1"/>
  <c r="AE310" i="1"/>
  <c r="AF310" i="1" s="1"/>
  <c r="AT268" i="1"/>
  <c r="AE268" i="1"/>
  <c r="AF268" i="1" s="1"/>
  <c r="AT92" i="1"/>
  <c r="AE92" i="1"/>
  <c r="AF92" i="1" s="1"/>
  <c r="AT107" i="1"/>
  <c r="AE107" i="1"/>
  <c r="AF107" i="1" s="1"/>
  <c r="AT305" i="1"/>
  <c r="AE305" i="1"/>
  <c r="AF305" i="1" s="1"/>
  <c r="AT112" i="1"/>
  <c r="AE112" i="1"/>
  <c r="AF112" i="1" s="1"/>
  <c r="AT307" i="1"/>
  <c r="AE307" i="1"/>
  <c r="AF307" i="1" s="1"/>
  <c r="AT276" i="1"/>
  <c r="AE276" i="1"/>
  <c r="AF276" i="1" s="1"/>
  <c r="AT245" i="1"/>
  <c r="AE245" i="1"/>
  <c r="AF245" i="1" s="1"/>
  <c r="AT244" i="1"/>
  <c r="AE244" i="1"/>
  <c r="AF244" i="1" s="1"/>
  <c r="AT130" i="1"/>
  <c r="AE130" i="1"/>
  <c r="AF130" i="1" s="1"/>
  <c r="AT324" i="1"/>
  <c r="AE324" i="1"/>
  <c r="AF324" i="1" s="1"/>
  <c r="AT293" i="1"/>
  <c r="AE293" i="1"/>
  <c r="AF293" i="1" s="1"/>
  <c r="AT135" i="1"/>
  <c r="AE135" i="1"/>
  <c r="AF135" i="1" s="1"/>
  <c r="AT288" i="1"/>
  <c r="AE288" i="1"/>
  <c r="AF288" i="1" s="1"/>
  <c r="AT162" i="1"/>
  <c r="AE162" i="1"/>
  <c r="AF162" i="1" s="1"/>
  <c r="AT387" i="1"/>
  <c r="AU387" i="1" s="1"/>
  <c r="BH387" i="1" s="1"/>
  <c r="AE387" i="1"/>
  <c r="AF387" i="1" s="1"/>
  <c r="AT409" i="1"/>
  <c r="AE409" i="1"/>
  <c r="AF409" i="1" s="1"/>
  <c r="AT85" i="1"/>
  <c r="AE85" i="1"/>
  <c r="AF85" i="1" s="1"/>
  <c r="AT237" i="1"/>
  <c r="AE237" i="1"/>
  <c r="AF237" i="1" s="1"/>
  <c r="AT57" i="1"/>
  <c r="AE57" i="1"/>
  <c r="AF57" i="1" s="1"/>
  <c r="AT148" i="1"/>
  <c r="AE148" i="1"/>
  <c r="AF148" i="1" s="1"/>
  <c r="AT233" i="1"/>
  <c r="AE233" i="1"/>
  <c r="AF233" i="1" s="1"/>
  <c r="AT383" i="1"/>
  <c r="AE383" i="1"/>
  <c r="AF383" i="1" s="1"/>
  <c r="AT490" i="1"/>
  <c r="AE490" i="1"/>
  <c r="AF490" i="1" s="1"/>
  <c r="AT323" i="1"/>
  <c r="AU323" i="1" s="1"/>
  <c r="BH323" i="1" s="1"/>
  <c r="AE323" i="1"/>
  <c r="AF323" i="1" s="1"/>
  <c r="AT438" i="1"/>
  <c r="AE438" i="1"/>
  <c r="AF438" i="1" s="1"/>
  <c r="AT376" i="1"/>
  <c r="AE376" i="1"/>
  <c r="AF376" i="1" s="1"/>
  <c r="AT149" i="1"/>
  <c r="AE149" i="1"/>
  <c r="AF149" i="1" s="1"/>
  <c r="AT99" i="1"/>
  <c r="AE99" i="1"/>
  <c r="AF99" i="1" s="1"/>
  <c r="AT407" i="1"/>
  <c r="AE407" i="1"/>
  <c r="AF407" i="1" s="1"/>
  <c r="AT321" i="1"/>
  <c r="AE321" i="1"/>
  <c r="AF321" i="1" s="1"/>
  <c r="AT404" i="1"/>
  <c r="AE404" i="1"/>
  <c r="AF404" i="1" s="1"/>
  <c r="AT401" i="1"/>
  <c r="AE401" i="1"/>
  <c r="AF401" i="1" s="1"/>
  <c r="AT400" i="1"/>
  <c r="AE400" i="1"/>
  <c r="AF400" i="1" s="1"/>
  <c r="AT402" i="1"/>
  <c r="AE402" i="1"/>
  <c r="AF402" i="1" s="1"/>
  <c r="AT397" i="1"/>
  <c r="AE397" i="1"/>
  <c r="AF397" i="1" s="1"/>
  <c r="AT260" i="1"/>
  <c r="AE260" i="1"/>
  <c r="AF260" i="1" s="1"/>
  <c r="AT471" i="1"/>
  <c r="AE471" i="1"/>
  <c r="AF471" i="1" s="1"/>
  <c r="AT163" i="1"/>
  <c r="AE163" i="1"/>
  <c r="AF163" i="1" s="1"/>
  <c r="AT205" i="1"/>
  <c r="AE205" i="1"/>
  <c r="AF205" i="1" s="1"/>
  <c r="AT399" i="1"/>
  <c r="AE399" i="1"/>
  <c r="AF399" i="1" s="1"/>
  <c r="AT364" i="1"/>
  <c r="AE364" i="1"/>
  <c r="AF364" i="1" s="1"/>
  <c r="AT234" i="1"/>
  <c r="AE234" i="1"/>
  <c r="AF234" i="1" s="1"/>
  <c r="AT222" i="1"/>
  <c r="AE222" i="1"/>
  <c r="AF222" i="1" s="1"/>
  <c r="AT187" i="1"/>
  <c r="AE187" i="1"/>
  <c r="AF187" i="1" s="1"/>
  <c r="AT384" i="1"/>
  <c r="AE384" i="1"/>
  <c r="AF384" i="1" s="1"/>
  <c r="AT273" i="1"/>
  <c r="AE273" i="1"/>
  <c r="AF273" i="1" s="1"/>
  <c r="AT139" i="1"/>
  <c r="AE139" i="1"/>
  <c r="AF139" i="1" s="1"/>
  <c r="AT393" i="1"/>
  <c r="AE393" i="1"/>
  <c r="AF393" i="1" s="1"/>
  <c r="AT343" i="1"/>
  <c r="AE343" i="1"/>
  <c r="AF343" i="1" s="1"/>
  <c r="AT443" i="1"/>
  <c r="AE443" i="1"/>
  <c r="AF443" i="1" s="1"/>
  <c r="AT423" i="1"/>
  <c r="AE423" i="1"/>
  <c r="AF423" i="1" s="1"/>
  <c r="AT406" i="1"/>
  <c r="AE406" i="1"/>
  <c r="AF406" i="1" s="1"/>
  <c r="AT322" i="1"/>
  <c r="AE322" i="1"/>
  <c r="AF322" i="1" s="1"/>
  <c r="AT290" i="1"/>
  <c r="AE290" i="1"/>
  <c r="AF290" i="1" s="1"/>
  <c r="AT291" i="1"/>
  <c r="AE291" i="1"/>
  <c r="AF291" i="1" s="1"/>
  <c r="AT342" i="1"/>
  <c r="AE342" i="1"/>
  <c r="AF342" i="1" s="1"/>
  <c r="AT287" i="1"/>
  <c r="AE287" i="1"/>
  <c r="AF287" i="1" s="1"/>
  <c r="AT259" i="1"/>
  <c r="AE259" i="1"/>
  <c r="AF259" i="1" s="1"/>
  <c r="AT255" i="1"/>
  <c r="AE255" i="1"/>
  <c r="AF255" i="1" s="1"/>
  <c r="AT481" i="1"/>
  <c r="AE481" i="1"/>
  <c r="AF481" i="1" s="1"/>
  <c r="AT194" i="1"/>
  <c r="AE194" i="1"/>
  <c r="AF194" i="1" s="1"/>
  <c r="AT201" i="1"/>
  <c r="AE201" i="1"/>
  <c r="AF201" i="1" s="1"/>
  <c r="AT109" i="1"/>
  <c r="AE109" i="1"/>
  <c r="AF109" i="1" s="1"/>
  <c r="AT102" i="1"/>
  <c r="AE102" i="1"/>
  <c r="AF102" i="1" s="1"/>
  <c r="AT421" i="1"/>
  <c r="AE421" i="1"/>
  <c r="AF421" i="1" s="1"/>
  <c r="AT403" i="1"/>
  <c r="AE403" i="1"/>
  <c r="AF403" i="1" s="1"/>
  <c r="AT479" i="1"/>
  <c r="AE479" i="1"/>
  <c r="AF479" i="1" s="1"/>
  <c r="AT88" i="1"/>
  <c r="AE88" i="1"/>
  <c r="AF88" i="1" s="1"/>
  <c r="AT86" i="1"/>
  <c r="AE86" i="1"/>
  <c r="AF86" i="1" s="1"/>
  <c r="AT81" i="1"/>
  <c r="AE81" i="1"/>
  <c r="AF81" i="1" s="1"/>
  <c r="AT489" i="1"/>
  <c r="AE489" i="1"/>
  <c r="AF489" i="1" s="1"/>
  <c r="AT79" i="1"/>
  <c r="AE79" i="1"/>
  <c r="AF79" i="1" s="1"/>
  <c r="AT491" i="1"/>
  <c r="AE491" i="1"/>
  <c r="AF491" i="1" s="1"/>
  <c r="AT83" i="1"/>
  <c r="AE83" i="1"/>
  <c r="AF83" i="1" s="1"/>
  <c r="AT84" i="1"/>
  <c r="AE84" i="1"/>
  <c r="AF84" i="1" s="1"/>
  <c r="AT80" i="1"/>
  <c r="AE80" i="1"/>
  <c r="AF80" i="1" s="1"/>
  <c r="AT440" i="1"/>
  <c r="AE440" i="1"/>
  <c r="AF440" i="1" s="1"/>
  <c r="AT78" i="1"/>
  <c r="AE78" i="1"/>
  <c r="AF78" i="1" s="1"/>
  <c r="AT77" i="1"/>
  <c r="AE77" i="1"/>
  <c r="AF77" i="1" s="1"/>
  <c r="AT76" i="1"/>
  <c r="AU76" i="1" s="1"/>
  <c r="BH76" i="1" s="1"/>
  <c r="AE76" i="1"/>
  <c r="AF76" i="1" s="1"/>
  <c r="AT59" i="1"/>
  <c r="AE59" i="1"/>
  <c r="AF59" i="1" s="1"/>
  <c r="AT487" i="1"/>
  <c r="AE487" i="1"/>
  <c r="AF487" i="1" s="1"/>
  <c r="AT484" i="1"/>
  <c r="AE484" i="1"/>
  <c r="AF484" i="1" s="1"/>
  <c r="AT74" i="1"/>
  <c r="AE74" i="1"/>
  <c r="AF74" i="1" s="1"/>
  <c r="AT69" i="1"/>
  <c r="AE69" i="1"/>
  <c r="AF69" i="1" s="1"/>
  <c r="AT71" i="1"/>
  <c r="AE71" i="1"/>
  <c r="AF71" i="1" s="1"/>
  <c r="AT143" i="1"/>
  <c r="AE143" i="1"/>
  <c r="AF143" i="1" s="1"/>
  <c r="AT66" i="1"/>
  <c r="AE66" i="1"/>
  <c r="AF66" i="1" s="1"/>
  <c r="AT270" i="1"/>
  <c r="AE270" i="1"/>
  <c r="AF270" i="1" s="1"/>
  <c r="AT444" i="1"/>
  <c r="AE444" i="1"/>
  <c r="AF444" i="1" s="1"/>
  <c r="AT257" i="1"/>
  <c r="AE257" i="1"/>
  <c r="AF257" i="1" s="1"/>
  <c r="AT434" i="1"/>
  <c r="AE434" i="1"/>
  <c r="AF434" i="1" s="1"/>
  <c r="AT254" i="1"/>
  <c r="AE254" i="1"/>
  <c r="AF254" i="1" s="1"/>
  <c r="AT263" i="1"/>
  <c r="AE263" i="1"/>
  <c r="AF263" i="1" s="1"/>
  <c r="AT174" i="1"/>
  <c r="AE174" i="1"/>
  <c r="AF174" i="1" s="1"/>
  <c r="AT147" i="1"/>
  <c r="AE147" i="1"/>
  <c r="AF147" i="1" s="1"/>
  <c r="AT437" i="1"/>
  <c r="AE437" i="1"/>
  <c r="AF437" i="1" s="1"/>
  <c r="AT215" i="1"/>
  <c r="AE215" i="1"/>
  <c r="AF215" i="1" s="1"/>
  <c r="AT177" i="1"/>
  <c r="AE177" i="1"/>
  <c r="AF177" i="1" s="1"/>
  <c r="AT348" i="1"/>
  <c r="AE348" i="1"/>
  <c r="AF348" i="1" s="1"/>
  <c r="AT238" i="1"/>
  <c r="AE238" i="1"/>
  <c r="AF238" i="1" s="1"/>
  <c r="AT466" i="1"/>
  <c r="AE466" i="1"/>
  <c r="AF466" i="1" s="1"/>
  <c r="AT116" i="1"/>
  <c r="AE116" i="1"/>
  <c r="AF116" i="1" s="1"/>
  <c r="AT467" i="1"/>
  <c r="AE467" i="1"/>
  <c r="AF467" i="1" s="1"/>
  <c r="AT44" i="1"/>
  <c r="AE44" i="1"/>
  <c r="AF44" i="1" s="1"/>
  <c r="AT271" i="1"/>
  <c r="AE271" i="1"/>
  <c r="AF271" i="1" s="1"/>
  <c r="AT256" i="1"/>
  <c r="AE256" i="1"/>
  <c r="AF256" i="1" s="1"/>
  <c r="AT134" i="1"/>
  <c r="AE134" i="1"/>
  <c r="AF134" i="1" s="1"/>
  <c r="AT173" i="1"/>
  <c r="AE173" i="1"/>
  <c r="AF173" i="1" s="1"/>
  <c r="AT168" i="1"/>
  <c r="AE168" i="1"/>
  <c r="AF168" i="1" s="1"/>
  <c r="AT155" i="1"/>
  <c r="AE155" i="1"/>
  <c r="AF155" i="1" s="1"/>
  <c r="AT125" i="1"/>
  <c r="AE125" i="1"/>
  <c r="AF125" i="1" s="1"/>
  <c r="AT164" i="1"/>
  <c r="AE164" i="1"/>
  <c r="AF164" i="1" s="1"/>
  <c r="AT131" i="1"/>
  <c r="AE131" i="1"/>
  <c r="AF131" i="1" s="1"/>
  <c r="AT114" i="1"/>
  <c r="AE114" i="1"/>
  <c r="AF114" i="1" s="1"/>
  <c r="AT281" i="1"/>
  <c r="AE281" i="1"/>
  <c r="AF281" i="1" s="1"/>
  <c r="AT204" i="1"/>
  <c r="AE204" i="1"/>
  <c r="AF204" i="1" s="1"/>
  <c r="AT478" i="1"/>
  <c r="AE478" i="1"/>
  <c r="AF478" i="1" s="1"/>
  <c r="AT454" i="1"/>
  <c r="AE454" i="1"/>
  <c r="AF454" i="1" s="1"/>
  <c r="AT453" i="1"/>
  <c r="AE453" i="1"/>
  <c r="AF453" i="1" s="1"/>
  <c r="AT449" i="1"/>
  <c r="AE449" i="1"/>
  <c r="AF449" i="1" s="1"/>
  <c r="AT33" i="1"/>
  <c r="AE33" i="1"/>
  <c r="AF33" i="1" s="1"/>
  <c r="AT439" i="1"/>
  <c r="AE439" i="1"/>
  <c r="AF439" i="1" s="1"/>
  <c r="AT496" i="1"/>
  <c r="AE496" i="1"/>
  <c r="AF496" i="1" s="1"/>
  <c r="AT435" i="1"/>
  <c r="AE435" i="1"/>
  <c r="AF435" i="1" s="1"/>
  <c r="AT9" i="1"/>
  <c r="AE9" i="1"/>
  <c r="AF9" i="1" s="1"/>
  <c r="AT468" i="1"/>
  <c r="AE468" i="1"/>
  <c r="AF468" i="1" s="1"/>
  <c r="AT430" i="1"/>
  <c r="AE430" i="1"/>
  <c r="AF430" i="1" s="1"/>
  <c r="AT429" i="1"/>
  <c r="AE429" i="1"/>
  <c r="AF429" i="1" s="1"/>
  <c r="AX67" i="1"/>
  <c r="AK67" i="1"/>
  <c r="AL67" i="1" s="1"/>
  <c r="AX226" i="1"/>
  <c r="AK226" i="1"/>
  <c r="AL226" i="1" s="1"/>
  <c r="AX338" i="1"/>
  <c r="AK338" i="1"/>
  <c r="AL338" i="1" s="1"/>
  <c r="AX229" i="1"/>
  <c r="AK229" i="1"/>
  <c r="AL229" i="1" s="1"/>
  <c r="AX105" i="1"/>
  <c r="AK105" i="1"/>
  <c r="AL105" i="1" s="1"/>
  <c r="AX462" i="1"/>
  <c r="AK462" i="1"/>
  <c r="AL462" i="1" s="1"/>
  <c r="AX218" i="1"/>
  <c r="AK218" i="1"/>
  <c r="AL218" i="1" s="1"/>
  <c r="AX169" i="1"/>
  <c r="AK169" i="1"/>
  <c r="AL169" i="1" s="1"/>
  <c r="AX75" i="1"/>
  <c r="AK75" i="1"/>
  <c r="AL75" i="1" s="1"/>
  <c r="AX486" i="1"/>
  <c r="AK486" i="1"/>
  <c r="AL486" i="1" s="1"/>
  <c r="AX483" i="1"/>
  <c r="AK483" i="1"/>
  <c r="AL483" i="1" s="1"/>
  <c r="AX465" i="1"/>
  <c r="AK465" i="1"/>
  <c r="AL465" i="1" s="1"/>
  <c r="AX379" i="1"/>
  <c r="AK379" i="1"/>
  <c r="AL379" i="1" s="1"/>
  <c r="AX64" i="1"/>
  <c r="AK64" i="1"/>
  <c r="AL64" i="1" s="1"/>
  <c r="AX482" i="1"/>
  <c r="AY482" i="1" s="1"/>
  <c r="AK482" i="1"/>
  <c r="AL482" i="1" s="1"/>
  <c r="AX418" i="1"/>
  <c r="AK418" i="1"/>
  <c r="AL418" i="1" s="1"/>
  <c r="AX460" i="1"/>
  <c r="AK460" i="1"/>
  <c r="AL460" i="1" s="1"/>
  <c r="AX464" i="1"/>
  <c r="AK464" i="1"/>
  <c r="AL464" i="1" s="1"/>
  <c r="AX428" i="1"/>
  <c r="AK428" i="1"/>
  <c r="AL428" i="1" s="1"/>
  <c r="AX298" i="1"/>
  <c r="AK298" i="1"/>
  <c r="AL298" i="1" s="1"/>
  <c r="AX353" i="1"/>
  <c r="AK353" i="1"/>
  <c r="AL353" i="1" s="1"/>
  <c r="AX253" i="1"/>
  <c r="AK253" i="1"/>
  <c r="AL253" i="1" s="1"/>
  <c r="AX221" i="1"/>
  <c r="AK221" i="1"/>
  <c r="AL221" i="1" s="1"/>
  <c r="AX175" i="1"/>
  <c r="AK175" i="1"/>
  <c r="AL175" i="1" s="1"/>
  <c r="AX56" i="1"/>
  <c r="AK56" i="1"/>
  <c r="AL56" i="1" s="1"/>
  <c r="AX448" i="1"/>
  <c r="AK448" i="1"/>
  <c r="AL448" i="1" s="1"/>
  <c r="AX450" i="1"/>
  <c r="AK450" i="1"/>
  <c r="AL450" i="1" s="1"/>
  <c r="AX272" i="1"/>
  <c r="AK272" i="1"/>
  <c r="AL272" i="1" s="1"/>
  <c r="AX334" i="1"/>
  <c r="AK334" i="1"/>
  <c r="AL334" i="1" s="1"/>
  <c r="AX157" i="1"/>
  <c r="AK157" i="1"/>
  <c r="AL157" i="1" s="1"/>
  <c r="AX87" i="1"/>
  <c r="AK87" i="1"/>
  <c r="AL87" i="1" s="1"/>
  <c r="AX280" i="1"/>
  <c r="AK280" i="1"/>
  <c r="AL280" i="1" s="1"/>
  <c r="AX141" i="1"/>
  <c r="AK141" i="1"/>
  <c r="AL141" i="1" s="1"/>
  <c r="AX315" i="1"/>
  <c r="AK315" i="1"/>
  <c r="AL315" i="1" s="1"/>
  <c r="AX202" i="1"/>
  <c r="AK202" i="1"/>
  <c r="AL202" i="1" s="1"/>
  <c r="AX405" i="1"/>
  <c r="AK405" i="1"/>
  <c r="AL405" i="1" s="1"/>
  <c r="AX426" i="1"/>
  <c r="AK426" i="1"/>
  <c r="AL426" i="1" s="1"/>
  <c r="AX183" i="1"/>
  <c r="AK183" i="1"/>
  <c r="AL183" i="1" s="1"/>
  <c r="AX485" i="1"/>
  <c r="AK485" i="1"/>
  <c r="AL485" i="1" s="1"/>
  <c r="AX297" i="1"/>
  <c r="AK297" i="1"/>
  <c r="AL297" i="1" s="1"/>
  <c r="AX225" i="1"/>
  <c r="AY225" i="1" s="1"/>
  <c r="BO225" i="1" s="1"/>
  <c r="AK225" i="1"/>
  <c r="AL225" i="1" s="1"/>
  <c r="AX58" i="1"/>
  <c r="AK58" i="1"/>
  <c r="AL58" i="1" s="1"/>
  <c r="AX101" i="1"/>
  <c r="AK101" i="1"/>
  <c r="AL101" i="1" s="1"/>
  <c r="AX495" i="1"/>
  <c r="AK495" i="1"/>
  <c r="AL495" i="1" s="1"/>
  <c r="AX200" i="1"/>
  <c r="AK200" i="1"/>
  <c r="AL200" i="1" s="1"/>
  <c r="AX111" i="1"/>
  <c r="AK111" i="1"/>
  <c r="AL111" i="1" s="1"/>
  <c r="AX136" i="1"/>
  <c r="AK136" i="1"/>
  <c r="AL136" i="1" s="1"/>
  <c r="AX264" i="1"/>
  <c r="AK264" i="1"/>
  <c r="AL264" i="1" s="1"/>
  <c r="AX411" i="1"/>
  <c r="AK411" i="1"/>
  <c r="AL411" i="1" s="1"/>
  <c r="AX309" i="1"/>
  <c r="AK309" i="1"/>
  <c r="AL309" i="1" s="1"/>
  <c r="AX345" i="1"/>
  <c r="AK345" i="1"/>
  <c r="AL345" i="1" s="1"/>
  <c r="AX97" i="1"/>
  <c r="AK97" i="1"/>
  <c r="AL97" i="1" s="1"/>
  <c r="AX206" i="1"/>
  <c r="AK206" i="1"/>
  <c r="AL206" i="1" s="1"/>
  <c r="AX282" i="1"/>
  <c r="AK282" i="1"/>
  <c r="AL282" i="1" s="1"/>
  <c r="AX154" i="1"/>
  <c r="AK154" i="1"/>
  <c r="AL154" i="1" s="1"/>
  <c r="AX431" i="1"/>
  <c r="AK431" i="1"/>
  <c r="AL431" i="1" s="1"/>
  <c r="AX459" i="1"/>
  <c r="AK459" i="1"/>
  <c r="AL459" i="1" s="1"/>
  <c r="AX158" i="1"/>
  <c r="AK158" i="1"/>
  <c r="AL158" i="1" s="1"/>
  <c r="AX278" i="1"/>
  <c r="AK278" i="1"/>
  <c r="AL278" i="1" s="1"/>
  <c r="AX179" i="1"/>
  <c r="AK179" i="1"/>
  <c r="AL179" i="1" s="1"/>
  <c r="AX504" i="1"/>
  <c r="AK504" i="1"/>
  <c r="AL504" i="1" s="1"/>
  <c r="BM504" i="1"/>
  <c r="BN504" i="1" s="1"/>
  <c r="AX347" i="1"/>
  <c r="BM347" i="1"/>
  <c r="BN347" i="1" s="1"/>
  <c r="AK347" i="1"/>
  <c r="AL347" i="1" s="1"/>
  <c r="AX451" i="1"/>
  <c r="BM451" i="1"/>
  <c r="BN451" i="1" s="1"/>
  <c r="AK451" i="1"/>
  <c r="AL451" i="1" s="1"/>
  <c r="AX501" i="1"/>
  <c r="AK501" i="1"/>
  <c r="AL501" i="1" s="1"/>
  <c r="BM501" i="1"/>
  <c r="BN501" i="1" s="1"/>
  <c r="AK499" i="1"/>
  <c r="AL499" i="1" s="1"/>
  <c r="BM499" i="1"/>
  <c r="BN499" i="1" s="1"/>
  <c r="AX432" i="1"/>
  <c r="BM432" i="1"/>
  <c r="BN432" i="1" s="1"/>
  <c r="AK432" i="1"/>
  <c r="AL432" i="1" s="1"/>
  <c r="AX274" i="1"/>
  <c r="BM274" i="1"/>
  <c r="BN274" i="1" s="1"/>
  <c r="AK274" i="1"/>
  <c r="AL274" i="1" s="1"/>
  <c r="AX503" i="1"/>
  <c r="AK503" i="1"/>
  <c r="AL503" i="1" s="1"/>
  <c r="BM505" i="1"/>
  <c r="BN505" i="1" s="1"/>
  <c r="AK505" i="1"/>
  <c r="AL505" i="1" s="1"/>
  <c r="AX191" i="1"/>
  <c r="AK191" i="1"/>
  <c r="AL191" i="1" s="1"/>
  <c r="AX104" i="1"/>
  <c r="AK104" i="1"/>
  <c r="AL104" i="1" s="1"/>
  <c r="BM104" i="1"/>
  <c r="BN104" i="1" s="1"/>
  <c r="AX493" i="1"/>
  <c r="AK493" i="1"/>
  <c r="AL493" i="1" s="1"/>
  <c r="AX341" i="1"/>
  <c r="BM341" i="1"/>
  <c r="BN341" i="1" s="1"/>
  <c r="AK341" i="1"/>
  <c r="AL341" i="1" s="1"/>
  <c r="AX72" i="1"/>
  <c r="AK72" i="1"/>
  <c r="AL72" i="1" s="1"/>
  <c r="BM72" i="1"/>
  <c r="BN72" i="1" s="1"/>
  <c r="AK332" i="1"/>
  <c r="AL332" i="1" s="1"/>
  <c r="BM332" i="1"/>
  <c r="BN332" i="1" s="1"/>
  <c r="AX413" i="1"/>
  <c r="AK413" i="1"/>
  <c r="AL413" i="1" s="1"/>
  <c r="AX497" i="1"/>
  <c r="BM497" i="1"/>
  <c r="BN497" i="1" s="1"/>
  <c r="AK497" i="1"/>
  <c r="AL497" i="1" s="1"/>
  <c r="AX295" i="1"/>
  <c r="BM295" i="1"/>
  <c r="BN295" i="1" s="1"/>
  <c r="AK295" i="1"/>
  <c r="AL295" i="1" s="1"/>
  <c r="AX223" i="1"/>
  <c r="BM223" i="1"/>
  <c r="BN223" i="1" s="1"/>
  <c r="AK223" i="1"/>
  <c r="AL223" i="1" s="1"/>
  <c r="AX296" i="1"/>
  <c r="AK296" i="1"/>
  <c r="AL296" i="1" s="1"/>
  <c r="BM296" i="1"/>
  <c r="BN296" i="1" s="1"/>
  <c r="AX165" i="1"/>
  <c r="AK165" i="1"/>
  <c r="AL165" i="1" s="1"/>
  <c r="BM165" i="1"/>
  <c r="BN165" i="1" s="1"/>
  <c r="AX170" i="1"/>
  <c r="AK170" i="1"/>
  <c r="AL170" i="1" s="1"/>
  <c r="AK140" i="1"/>
  <c r="AL140" i="1" s="1"/>
  <c r="BM140" i="1"/>
  <c r="BN140" i="1" s="1"/>
  <c r="AX228" i="1"/>
  <c r="BM228" i="1"/>
  <c r="BN228" i="1" s="1"/>
  <c r="AK228" i="1"/>
  <c r="AL228" i="1" s="1"/>
  <c r="AX110" i="1"/>
  <c r="BM110" i="1"/>
  <c r="BN110" i="1" s="1"/>
  <c r="AK110" i="1"/>
  <c r="AL110" i="1" s="1"/>
  <c r="AX388" i="1"/>
  <c r="BM388" i="1"/>
  <c r="BN388" i="1" s="1"/>
  <c r="AK388" i="1"/>
  <c r="AL388" i="1" s="1"/>
  <c r="AX137" i="1"/>
  <c r="AK137" i="1"/>
  <c r="AL137" i="1" s="1"/>
  <c r="BM137" i="1"/>
  <c r="BN137" i="1" s="1"/>
  <c r="AX119" i="1"/>
  <c r="AK119" i="1"/>
  <c r="AL119" i="1" s="1"/>
  <c r="AX301" i="1"/>
  <c r="AK301" i="1"/>
  <c r="AL301" i="1" s="1"/>
  <c r="BM301" i="1"/>
  <c r="BN301" i="1" s="1"/>
  <c r="AX308" i="1"/>
  <c r="AK308" i="1"/>
  <c r="AL308" i="1" s="1"/>
  <c r="AX352" i="1"/>
  <c r="BM352" i="1"/>
  <c r="BN352" i="1" s="1"/>
  <c r="AK352" i="1"/>
  <c r="AL352" i="1" s="1"/>
  <c r="AX396" i="1"/>
  <c r="AK396" i="1"/>
  <c r="AL396" i="1" s="1"/>
  <c r="BM396" i="1"/>
  <c r="BN396" i="1" s="1"/>
  <c r="AX447" i="1"/>
  <c r="AK447" i="1"/>
  <c r="AL447" i="1" s="1"/>
  <c r="BM447" i="1"/>
  <c r="BN447" i="1" s="1"/>
  <c r="AX214" i="1"/>
  <c r="AK214" i="1"/>
  <c r="AL214" i="1" s="1"/>
  <c r="BM214" i="1"/>
  <c r="BN214" i="1" s="1"/>
  <c r="AX337" i="1"/>
  <c r="AK337" i="1"/>
  <c r="AL337" i="1" s="1"/>
  <c r="BM337" i="1"/>
  <c r="BN337" i="1" s="1"/>
  <c r="AX394" i="1"/>
  <c r="BM394" i="1"/>
  <c r="BN394" i="1" s="1"/>
  <c r="AK394" i="1"/>
  <c r="AL394" i="1" s="1"/>
  <c r="AX98" i="1"/>
  <c r="AK98" i="1"/>
  <c r="AL98" i="1" s="1"/>
  <c r="BM98" i="1"/>
  <c r="BN98" i="1" s="1"/>
  <c r="AX303" i="1"/>
  <c r="AK303" i="1"/>
  <c r="AL303" i="1" s="1"/>
  <c r="BM303" i="1"/>
  <c r="BN303" i="1" s="1"/>
  <c r="AX159" i="1"/>
  <c r="AK159" i="1"/>
  <c r="AL159" i="1" s="1"/>
  <c r="BM159" i="1"/>
  <c r="BN159" i="1" s="1"/>
  <c r="AX243" i="1"/>
  <c r="AK243" i="1"/>
  <c r="AL243" i="1" s="1"/>
  <c r="BM243" i="1"/>
  <c r="BN243" i="1" s="1"/>
  <c r="AX197" i="1"/>
  <c r="AK197" i="1"/>
  <c r="AL197" i="1" s="1"/>
  <c r="BM197" i="1"/>
  <c r="BN197" i="1" s="1"/>
  <c r="AX398" i="1"/>
  <c r="AK398" i="1"/>
  <c r="AL398" i="1" s="1"/>
  <c r="AX408" i="1"/>
  <c r="AK408" i="1"/>
  <c r="AL408" i="1" s="1"/>
  <c r="AX461" i="1"/>
  <c r="BM461" i="1"/>
  <c r="BN461" i="1" s="1"/>
  <c r="AK461" i="1"/>
  <c r="AL461" i="1" s="1"/>
  <c r="BM294" i="1"/>
  <c r="BN294" i="1" s="1"/>
  <c r="AK294" i="1"/>
  <c r="AL294" i="1" s="1"/>
  <c r="AX395" i="1"/>
  <c r="BM395" i="1"/>
  <c r="BN395" i="1" s="1"/>
  <c r="AK395" i="1"/>
  <c r="AL395" i="1" s="1"/>
  <c r="AX230" i="1"/>
  <c r="AK230" i="1"/>
  <c r="AL230" i="1" s="1"/>
  <c r="AX198" i="1"/>
  <c r="AK198" i="1"/>
  <c r="AL198" i="1" s="1"/>
  <c r="AX188" i="1"/>
  <c r="AK188" i="1"/>
  <c r="AL188" i="1" s="1"/>
  <c r="AX312" i="1"/>
  <c r="AK312" i="1"/>
  <c r="AL312" i="1" s="1"/>
  <c r="AX65" i="1"/>
  <c r="AK65" i="1"/>
  <c r="AL65" i="1" s="1"/>
  <c r="BM65" i="1"/>
  <c r="BN65" i="1" s="1"/>
  <c r="AX433" i="1"/>
  <c r="BM433" i="1"/>
  <c r="BN433" i="1" s="1"/>
  <c r="AK433" i="1"/>
  <c r="AL433" i="1" s="1"/>
  <c r="AX425" i="1"/>
  <c r="BM425" i="1"/>
  <c r="BN425" i="1" s="1"/>
  <c r="AK425" i="1"/>
  <c r="AL425" i="1" s="1"/>
  <c r="AX171" i="1"/>
  <c r="BM171" i="1"/>
  <c r="BN171" i="1" s="1"/>
  <c r="AK171" i="1"/>
  <c r="AL171" i="1" s="1"/>
  <c r="AX117" i="1"/>
  <c r="AK117" i="1"/>
  <c r="AL117" i="1" s="1"/>
  <c r="BM117" i="1"/>
  <c r="BN117" i="1" s="1"/>
  <c r="AX500" i="1"/>
  <c r="BM500" i="1"/>
  <c r="BN500" i="1" s="1"/>
  <c r="AK500" i="1"/>
  <c r="AL500" i="1" s="1"/>
  <c r="AX446" i="1"/>
  <c r="AK446" i="1"/>
  <c r="AL446" i="1" s="1"/>
  <c r="AX410" i="1"/>
  <c r="AK410" i="1"/>
  <c r="AL410" i="1" s="1"/>
  <c r="BM410" i="1"/>
  <c r="BN410" i="1" s="1"/>
  <c r="AX73" i="1"/>
  <c r="AK73" i="1"/>
  <c r="AL73" i="1" s="1"/>
  <c r="BM73" i="1"/>
  <c r="BN73" i="1" s="1"/>
  <c r="AX68" i="1"/>
  <c r="BM68" i="1"/>
  <c r="BN68" i="1" s="1"/>
  <c r="AK68" i="1"/>
  <c r="AL68" i="1" s="1"/>
  <c r="AX152" i="1"/>
  <c r="BM152" i="1"/>
  <c r="BN152" i="1" s="1"/>
  <c r="AK152" i="1"/>
  <c r="AL152" i="1" s="1"/>
  <c r="AX190" i="1"/>
  <c r="BM190" i="1"/>
  <c r="BN190" i="1" s="1"/>
  <c r="AK190" i="1"/>
  <c r="AL190" i="1" s="1"/>
  <c r="AX266" i="1"/>
  <c r="AK266" i="1"/>
  <c r="AL266" i="1" s="1"/>
  <c r="AX502" i="1"/>
  <c r="BM502" i="1"/>
  <c r="BN502" i="1" s="1"/>
  <c r="AK502" i="1"/>
  <c r="AL502" i="1" s="1"/>
  <c r="AX335" i="1"/>
  <c r="AK335" i="1"/>
  <c r="AL335" i="1" s="1"/>
  <c r="BM335" i="1"/>
  <c r="BN335" i="1" s="1"/>
  <c r="AX498" i="1"/>
  <c r="BM498" i="1"/>
  <c r="BN498" i="1" s="1"/>
  <c r="AK498" i="1"/>
  <c r="AL498" i="1" s="1"/>
  <c r="AX422" i="1"/>
  <c r="AK422" i="1"/>
  <c r="AL422" i="1" s="1"/>
  <c r="AX89" i="1"/>
  <c r="AK89" i="1"/>
  <c r="AL89" i="1" s="1"/>
  <c r="BM89" i="1"/>
  <c r="BN89" i="1" s="1"/>
  <c r="AX144" i="1"/>
  <c r="BM144" i="1"/>
  <c r="BN144" i="1" s="1"/>
  <c r="AK144" i="1"/>
  <c r="AL144" i="1" s="1"/>
  <c r="AX472" i="1"/>
  <c r="AK472" i="1"/>
  <c r="AL472" i="1" s="1"/>
  <c r="AX161" i="1"/>
  <c r="AK161" i="1"/>
  <c r="AL161" i="1" s="1"/>
  <c r="AX195" i="1"/>
  <c r="AK195" i="1"/>
  <c r="AL195" i="1" s="1"/>
  <c r="AX133" i="1"/>
  <c r="AK133" i="1"/>
  <c r="AL133" i="1" s="1"/>
  <c r="AX122" i="1"/>
  <c r="AK122" i="1"/>
  <c r="AL122" i="1" s="1"/>
  <c r="AX265" i="1"/>
  <c r="AK265" i="1"/>
  <c r="AL265" i="1" s="1"/>
  <c r="AX212" i="1"/>
  <c r="AK212" i="1"/>
  <c r="AL212" i="1" s="1"/>
  <c r="AX469" i="1"/>
  <c r="AK469" i="1"/>
  <c r="AL469" i="1" s="1"/>
  <c r="AX196" i="1"/>
  <c r="AK196" i="1"/>
  <c r="AL196" i="1" s="1"/>
  <c r="AX217" i="1"/>
  <c r="AK217" i="1"/>
  <c r="AL217" i="1" s="1"/>
  <c r="AX128" i="1"/>
  <c r="AK128" i="1"/>
  <c r="AL128" i="1" s="1"/>
  <c r="AX412" i="1"/>
  <c r="AK412" i="1"/>
  <c r="AL412" i="1" s="1"/>
  <c r="AX150" i="1"/>
  <c r="AK150" i="1"/>
  <c r="AL150" i="1" s="1"/>
  <c r="AX115" i="1"/>
  <c r="AK115" i="1"/>
  <c r="AL115" i="1" s="1"/>
  <c r="AX193" i="1"/>
  <c r="AK193" i="1"/>
  <c r="AL193" i="1" s="1"/>
  <c r="AX186" i="1"/>
  <c r="AK186" i="1"/>
  <c r="AL186" i="1" s="1"/>
  <c r="AX82" i="1"/>
  <c r="AK82" i="1"/>
  <c r="AL82" i="1" s="1"/>
  <c r="AX248" i="1"/>
  <c r="AK248" i="1"/>
  <c r="AL248" i="1" s="1"/>
  <c r="AX480" i="1"/>
  <c r="AK480" i="1"/>
  <c r="AL480" i="1" s="1"/>
  <c r="AX142" i="1"/>
  <c r="AY142" i="1" s="1"/>
  <c r="BO142" i="1" s="1"/>
  <c r="AK142" i="1"/>
  <c r="AL142" i="1" s="1"/>
  <c r="AX333" i="1"/>
  <c r="AK333" i="1"/>
  <c r="AL333" i="1" s="1"/>
  <c r="AX355" i="1"/>
  <c r="AK355" i="1"/>
  <c r="AL355" i="1" s="1"/>
  <c r="AX283" i="1"/>
  <c r="AK283" i="1"/>
  <c r="AL283" i="1" s="1"/>
  <c r="AX329" i="1"/>
  <c r="AK329" i="1"/>
  <c r="AL329" i="1" s="1"/>
  <c r="AX360" i="1"/>
  <c r="AK360" i="1"/>
  <c r="AL360" i="1" s="1"/>
  <c r="AX354" i="1"/>
  <c r="AK354" i="1"/>
  <c r="AL354" i="1" s="1"/>
  <c r="AX420" i="1"/>
  <c r="AK420" i="1"/>
  <c r="AL420" i="1" s="1"/>
  <c r="AX488" i="1"/>
  <c r="AK488" i="1"/>
  <c r="AL488" i="1" s="1"/>
  <c r="AX442" i="1"/>
  <c r="AK442" i="1"/>
  <c r="AL442" i="1" s="1"/>
  <c r="AX458" i="1"/>
  <c r="AK458" i="1"/>
  <c r="AL458" i="1" s="1"/>
  <c r="AX246" i="1"/>
  <c r="AK246" i="1"/>
  <c r="AL246" i="1" s="1"/>
  <c r="AX436" i="1"/>
  <c r="AK436" i="1"/>
  <c r="AL436" i="1" s="1"/>
  <c r="AX414" i="1"/>
  <c r="AK414" i="1"/>
  <c r="AL414" i="1" s="1"/>
  <c r="AX178" i="1"/>
  <c r="AK178" i="1"/>
  <c r="AL178" i="1" s="1"/>
  <c r="AX121" i="1"/>
  <c r="AK121" i="1"/>
  <c r="AL121" i="1" s="1"/>
  <c r="AX124" i="1"/>
  <c r="AK124" i="1"/>
  <c r="AL124" i="1" s="1"/>
  <c r="AX375" i="1"/>
  <c r="AK375" i="1"/>
  <c r="AL375" i="1" s="1"/>
  <c r="AX381" i="1"/>
  <c r="AK381" i="1"/>
  <c r="AL381" i="1" s="1"/>
  <c r="AX363" i="1"/>
  <c r="AK363" i="1"/>
  <c r="AL363" i="1" s="1"/>
  <c r="AX366" i="1"/>
  <c r="AK366" i="1"/>
  <c r="AL366" i="1" s="1"/>
  <c r="AX371" i="1"/>
  <c r="AK371" i="1"/>
  <c r="AL371" i="1" s="1"/>
  <c r="AX380" i="1"/>
  <c r="AK380" i="1"/>
  <c r="AL380" i="1" s="1"/>
  <c r="AX361" i="1"/>
  <c r="AK361" i="1"/>
  <c r="AL361" i="1" s="1"/>
  <c r="AX318" i="1"/>
  <c r="AK318" i="1"/>
  <c r="AL318" i="1" s="1"/>
  <c r="AX378" i="1"/>
  <c r="AK378" i="1"/>
  <c r="AL378" i="1" s="1"/>
  <c r="AX370" i="1"/>
  <c r="AK370" i="1"/>
  <c r="AL370" i="1" s="1"/>
  <c r="AX365" i="1"/>
  <c r="AK365" i="1"/>
  <c r="AL365" i="1" s="1"/>
  <c r="AX227" i="1"/>
  <c r="AK227" i="1"/>
  <c r="AL227" i="1" s="1"/>
  <c r="BM227" i="1"/>
  <c r="BN227" i="1" s="1"/>
  <c r="AX216" i="1"/>
  <c r="AK216" i="1"/>
  <c r="AL216" i="1" s="1"/>
  <c r="AX220" i="1"/>
  <c r="AK220" i="1"/>
  <c r="AL220" i="1" s="1"/>
  <c r="BM220" i="1"/>
  <c r="BN220" i="1" s="1"/>
  <c r="AX386" i="1"/>
  <c r="AK386" i="1"/>
  <c r="AL386" i="1" s="1"/>
  <c r="AX362" i="1"/>
  <c r="AK362" i="1"/>
  <c r="AL362" i="1" s="1"/>
  <c r="AX356" i="1"/>
  <c r="AK356" i="1"/>
  <c r="AL356" i="1" s="1"/>
  <c r="AX328" i="1"/>
  <c r="AK328" i="1"/>
  <c r="AL328" i="1" s="1"/>
  <c r="AX249" i="1"/>
  <c r="AK249" i="1"/>
  <c r="AL249" i="1" s="1"/>
  <c r="AX252" i="1"/>
  <c r="AK252" i="1"/>
  <c r="AL252" i="1" s="1"/>
  <c r="AX199" i="1"/>
  <c r="AK199" i="1"/>
  <c r="AL199" i="1" s="1"/>
  <c r="AX241" i="1"/>
  <c r="AK241" i="1"/>
  <c r="AL241" i="1" s="1"/>
  <c r="BM241" i="1"/>
  <c r="BN241" i="1" s="1"/>
  <c r="AX358" i="1"/>
  <c r="AK358" i="1"/>
  <c r="AL358" i="1" s="1"/>
  <c r="BM358" i="1"/>
  <c r="BN358" i="1" s="1"/>
  <c r="AX160" i="1"/>
  <c r="AY160" i="1" s="1"/>
  <c r="BO160" i="1" s="1"/>
  <c r="AK160" i="1"/>
  <c r="AL160" i="1" s="1"/>
  <c r="BM160" i="1"/>
  <c r="BN160" i="1" s="1"/>
  <c r="AX62" i="1"/>
  <c r="AK62" i="1"/>
  <c r="AL62" i="1" s="1"/>
  <c r="AX286" i="1"/>
  <c r="BM286" i="1"/>
  <c r="BN286" i="1" s="1"/>
  <c r="AK286" i="1"/>
  <c r="AL286" i="1" s="1"/>
  <c r="AX261" i="1"/>
  <c r="AK261" i="1"/>
  <c r="AL261" i="1" s="1"/>
  <c r="AX231" i="1"/>
  <c r="AK231" i="1"/>
  <c r="AL231" i="1" s="1"/>
  <c r="BM231" i="1"/>
  <c r="BN231" i="1" s="1"/>
  <c r="AX452" i="1"/>
  <c r="BM452" i="1"/>
  <c r="BN452" i="1" s="1"/>
  <c r="AK452" i="1"/>
  <c r="AL452" i="1" s="1"/>
  <c r="AX25" i="1"/>
  <c r="AK25" i="1"/>
  <c r="AL25" i="1" s="1"/>
  <c r="AX20" i="1"/>
  <c r="BM20" i="1"/>
  <c r="BN20" i="1" s="1"/>
  <c r="AK20" i="1"/>
  <c r="AL20" i="1" s="1"/>
  <c r="AX14" i="1"/>
  <c r="AK14" i="1"/>
  <c r="AL14" i="1" s="1"/>
  <c r="AX48" i="1"/>
  <c r="AK48" i="1"/>
  <c r="AL48" i="1" s="1"/>
  <c r="AX50" i="1"/>
  <c r="AK50" i="1"/>
  <c r="AL50" i="1" s="1"/>
  <c r="BM50" i="1"/>
  <c r="BN50" i="1" s="1"/>
  <c r="AX37" i="1"/>
  <c r="BM37" i="1"/>
  <c r="BN37" i="1" s="1"/>
  <c r="AK37" i="1"/>
  <c r="AL37" i="1" s="1"/>
  <c r="AX35" i="1"/>
  <c r="AY35" i="1" s="1"/>
  <c r="AK35" i="1"/>
  <c r="AL35" i="1" s="1"/>
  <c r="AX441" i="1"/>
  <c r="BM441" i="1"/>
  <c r="BN441" i="1" s="1"/>
  <c r="AK441" i="1"/>
  <c r="AL441" i="1" s="1"/>
  <c r="AX26" i="1"/>
  <c r="BM26" i="1"/>
  <c r="BN26" i="1" s="1"/>
  <c r="AK26" i="1"/>
  <c r="AL26" i="1" s="1"/>
  <c r="AX24" i="1"/>
  <c r="BM24" i="1"/>
  <c r="BN24" i="1" s="1"/>
  <c r="AK24" i="1"/>
  <c r="AL24" i="1" s="1"/>
  <c r="AX424" i="1"/>
  <c r="BM424" i="1"/>
  <c r="BN424" i="1" s="1"/>
  <c r="AK424" i="1"/>
  <c r="AL424" i="1" s="1"/>
  <c r="AX53" i="1"/>
  <c r="BM53" i="1"/>
  <c r="BN53" i="1" s="1"/>
  <c r="AK53" i="1"/>
  <c r="AL53" i="1" s="1"/>
  <c r="AX445" i="1"/>
  <c r="AK445" i="1"/>
  <c r="AL445" i="1" s="1"/>
  <c r="BM445" i="1"/>
  <c r="BN445" i="1" s="1"/>
  <c r="AX61" i="1"/>
  <c r="AK61" i="1"/>
  <c r="AL61" i="1" s="1"/>
  <c r="AX18" i="1"/>
  <c r="AK18" i="1"/>
  <c r="AL18" i="1" s="1"/>
  <c r="AK49" i="1"/>
  <c r="AL49" i="1" s="1"/>
  <c r="BM49" i="1"/>
  <c r="BN49" i="1" s="1"/>
  <c r="AX54" i="1"/>
  <c r="BM54" i="1"/>
  <c r="BN54" i="1" s="1"/>
  <c r="AK54" i="1"/>
  <c r="AL54" i="1" s="1"/>
  <c r="AX382" i="1"/>
  <c r="BM382" i="1"/>
  <c r="BN382" i="1" s="1"/>
  <c r="AK382" i="1"/>
  <c r="AL382" i="1" s="1"/>
  <c r="AX45" i="1"/>
  <c r="AK45" i="1"/>
  <c r="AL45" i="1" s="1"/>
  <c r="AX331" i="1"/>
  <c r="BM331" i="1"/>
  <c r="BN331" i="1" s="1"/>
  <c r="AK331" i="1"/>
  <c r="AL331" i="1" s="1"/>
  <c r="AX325" i="1"/>
  <c r="AK325" i="1"/>
  <c r="AL325" i="1" s="1"/>
  <c r="AX313" i="1"/>
  <c r="AK313" i="1"/>
  <c r="AL313" i="1" s="1"/>
  <c r="AX32" i="1"/>
  <c r="AK32" i="1"/>
  <c r="AL32" i="1" s="1"/>
  <c r="AX349" i="1"/>
  <c r="BM349" i="1"/>
  <c r="BN349" i="1" s="1"/>
  <c r="AK349" i="1"/>
  <c r="AL349" i="1" s="1"/>
  <c r="AX27" i="1"/>
  <c r="AK27" i="1"/>
  <c r="AL27" i="1" s="1"/>
  <c r="BM27" i="1"/>
  <c r="BN27" i="1" s="1"/>
  <c r="AX279" i="1"/>
  <c r="AK279" i="1"/>
  <c r="AL279" i="1" s="1"/>
  <c r="BM279" i="1"/>
  <c r="BN279" i="1" s="1"/>
  <c r="AX19" i="1"/>
  <c r="AK19" i="1"/>
  <c r="AL19" i="1" s="1"/>
  <c r="AX13" i="1"/>
  <c r="AK13" i="1"/>
  <c r="AL13" i="1" s="1"/>
  <c r="BM13" i="1"/>
  <c r="BN13" i="1" s="1"/>
  <c r="AX2" i="1"/>
  <c r="AK2" i="1"/>
  <c r="AL2" i="1" s="1"/>
  <c r="AK299" i="1"/>
  <c r="AL299" i="1" s="1"/>
  <c r="BM299" i="1"/>
  <c r="BN299" i="1" s="1"/>
  <c r="AX247" i="1"/>
  <c r="AK247" i="1"/>
  <c r="AL247" i="1" s="1"/>
  <c r="BM247" i="1"/>
  <c r="BN247" i="1" s="1"/>
  <c r="AX47" i="1"/>
  <c r="BM47" i="1"/>
  <c r="BN47" i="1" s="1"/>
  <c r="AK47" i="1"/>
  <c r="AL47" i="1" s="1"/>
  <c r="AX28" i="1"/>
  <c r="BM28" i="1"/>
  <c r="BN28" i="1" s="1"/>
  <c r="AK28" i="1"/>
  <c r="AL28" i="1" s="1"/>
  <c r="AX22" i="1"/>
  <c r="AK22" i="1"/>
  <c r="AL22" i="1" s="1"/>
  <c r="AX285" i="1"/>
  <c r="BM285" i="1"/>
  <c r="BN285" i="1" s="1"/>
  <c r="AK285" i="1"/>
  <c r="AL285" i="1" s="1"/>
  <c r="AX5" i="1"/>
  <c r="BM5" i="1"/>
  <c r="BN5" i="1" s="1"/>
  <c r="AK5" i="1"/>
  <c r="AL5" i="1" s="1"/>
  <c r="AX113" i="1"/>
  <c r="AK113" i="1"/>
  <c r="AL113" i="1" s="1"/>
  <c r="AK385" i="1"/>
  <c r="AL385" i="1" s="1"/>
  <c r="BM385" i="1"/>
  <c r="BN385" i="1" s="1"/>
  <c r="AX21" i="1"/>
  <c r="BM21" i="1"/>
  <c r="BN21" i="1" s="1"/>
  <c r="AK21" i="1"/>
  <c r="AL21" i="1" s="1"/>
  <c r="AX40" i="1"/>
  <c r="AK40" i="1"/>
  <c r="AL40" i="1" s="1"/>
  <c r="BM40" i="1"/>
  <c r="BN40" i="1" s="1"/>
  <c r="AX389" i="1"/>
  <c r="BM389" i="1"/>
  <c r="BN389" i="1" s="1"/>
  <c r="AK389" i="1"/>
  <c r="AL389" i="1" s="1"/>
  <c r="AX368" i="1"/>
  <c r="BM368" i="1"/>
  <c r="BN368" i="1" s="1"/>
  <c r="AK368" i="1"/>
  <c r="AL368" i="1" s="1"/>
  <c r="AX340" i="1"/>
  <c r="BM340" i="1"/>
  <c r="BN340" i="1" s="1"/>
  <c r="AK340" i="1"/>
  <c r="AL340" i="1" s="1"/>
  <c r="AX46" i="1"/>
  <c r="AK46" i="1"/>
  <c r="AL46" i="1" s="1"/>
  <c r="BM46" i="1"/>
  <c r="BN46" i="1" s="1"/>
  <c r="AX302" i="1"/>
  <c r="BM302" i="1"/>
  <c r="BN302" i="1" s="1"/>
  <c r="AK302" i="1"/>
  <c r="AL302" i="1" s="1"/>
  <c r="BM473" i="1"/>
  <c r="BN473" i="1" s="1"/>
  <c r="AK473" i="1"/>
  <c r="AL473" i="1" s="1"/>
  <c r="AX250" i="1"/>
  <c r="AK250" i="1"/>
  <c r="AL250" i="1" s="1"/>
  <c r="BM250" i="1"/>
  <c r="BN250" i="1" s="1"/>
  <c r="AX235" i="1"/>
  <c r="BM235" i="1"/>
  <c r="BN235" i="1" s="1"/>
  <c r="AK235" i="1"/>
  <c r="AL235" i="1" s="1"/>
  <c r="AX95" i="1"/>
  <c r="AK95" i="1"/>
  <c r="AL95" i="1" s="1"/>
  <c r="AX91" i="1"/>
  <c r="AK91" i="1"/>
  <c r="AL91" i="1" s="1"/>
  <c r="AX138" i="1"/>
  <c r="AK138" i="1"/>
  <c r="AL138" i="1" s="1"/>
  <c r="BM138" i="1"/>
  <c r="BN138" i="1" s="1"/>
  <c r="AK262" i="1"/>
  <c r="AL262" i="1" s="1"/>
  <c r="BM262" i="1"/>
  <c r="BN262" i="1" s="1"/>
  <c r="AX189" i="1"/>
  <c r="BM189" i="1"/>
  <c r="BN189" i="1" s="1"/>
  <c r="AK189" i="1"/>
  <c r="AL189" i="1" s="1"/>
  <c r="AX377" i="1"/>
  <c r="AK377" i="1"/>
  <c r="AL377" i="1" s="1"/>
  <c r="AX258" i="1"/>
  <c r="AK258" i="1"/>
  <c r="AL258" i="1" s="1"/>
  <c r="BM258" i="1"/>
  <c r="BN258" i="1" s="1"/>
  <c r="AX330" i="1"/>
  <c r="BM330" i="1"/>
  <c r="BN330" i="1" s="1"/>
  <c r="AK330" i="1"/>
  <c r="AL330" i="1" s="1"/>
  <c r="AX316" i="1"/>
  <c r="BM316" i="1"/>
  <c r="BN316" i="1" s="1"/>
  <c r="AK316" i="1"/>
  <c r="AL316" i="1" s="1"/>
  <c r="AX210" i="1"/>
  <c r="AK210" i="1"/>
  <c r="AL210" i="1" s="1"/>
  <c r="BM210" i="1"/>
  <c r="BN210" i="1" s="1"/>
  <c r="AX93" i="1"/>
  <c r="AK93" i="1"/>
  <c r="AL93" i="1" s="1"/>
  <c r="BM93" i="1"/>
  <c r="BN93" i="1" s="1"/>
  <c r="AX391" i="1"/>
  <c r="AK391" i="1"/>
  <c r="AL391" i="1" s="1"/>
  <c r="AX94" i="1"/>
  <c r="AK94" i="1"/>
  <c r="AL94" i="1" s="1"/>
  <c r="AX327" i="1"/>
  <c r="BM327" i="1"/>
  <c r="BN327" i="1" s="1"/>
  <c r="AK327" i="1"/>
  <c r="AL327" i="1" s="1"/>
  <c r="AX390" i="1"/>
  <c r="BM390" i="1"/>
  <c r="BN390" i="1" s="1"/>
  <c r="AK390" i="1"/>
  <c r="AL390" i="1" s="1"/>
  <c r="AX339" i="1"/>
  <c r="AK339" i="1"/>
  <c r="AL339" i="1" s="1"/>
  <c r="BM339" i="1"/>
  <c r="BN339" i="1" s="1"/>
  <c r="AX63" i="1"/>
  <c r="AK63" i="1"/>
  <c r="AL63" i="1" s="1"/>
  <c r="BM63" i="1"/>
  <c r="BN63" i="1" s="1"/>
  <c r="AX351" i="1"/>
  <c r="BM351" i="1"/>
  <c r="BN351" i="1" s="1"/>
  <c r="AK351" i="1"/>
  <c r="AL351" i="1" s="1"/>
  <c r="AX326" i="1"/>
  <c r="BM326" i="1"/>
  <c r="BN326" i="1" s="1"/>
  <c r="AK326" i="1"/>
  <c r="AL326" i="1" s="1"/>
  <c r="AX304" i="1"/>
  <c r="BM304" i="1"/>
  <c r="BN304" i="1" s="1"/>
  <c r="AK304" i="1"/>
  <c r="AL304" i="1" s="1"/>
  <c r="AX311" i="1"/>
  <c r="AK311" i="1"/>
  <c r="AL311" i="1" s="1"/>
  <c r="AX310" i="1"/>
  <c r="AK310" i="1"/>
  <c r="AL310" i="1" s="1"/>
  <c r="BM310" i="1"/>
  <c r="BN310" i="1" s="1"/>
  <c r="AX268" i="1"/>
  <c r="BM268" i="1"/>
  <c r="BN268" i="1" s="1"/>
  <c r="AK268" i="1"/>
  <c r="AL268" i="1" s="1"/>
  <c r="AX92" i="1"/>
  <c r="BM92" i="1"/>
  <c r="BN92" i="1" s="1"/>
  <c r="AK92" i="1"/>
  <c r="AL92" i="1" s="1"/>
  <c r="AX107" i="1"/>
  <c r="AK107" i="1"/>
  <c r="AL107" i="1" s="1"/>
  <c r="BM107" i="1"/>
  <c r="BN107" i="1" s="1"/>
  <c r="AX305" i="1"/>
  <c r="BM305" i="1"/>
  <c r="BN305" i="1" s="1"/>
  <c r="AK305" i="1"/>
  <c r="AL305" i="1" s="1"/>
  <c r="AX112" i="1"/>
  <c r="AK112" i="1"/>
  <c r="AL112" i="1" s="1"/>
  <c r="BM112" i="1"/>
  <c r="BN112" i="1" s="1"/>
  <c r="AX307" i="1"/>
  <c r="BM307" i="1"/>
  <c r="BN307" i="1" s="1"/>
  <c r="AK307" i="1"/>
  <c r="AL307" i="1" s="1"/>
  <c r="AX276" i="1"/>
  <c r="AK276" i="1"/>
  <c r="AL276" i="1" s="1"/>
  <c r="BM276" i="1"/>
  <c r="BN276" i="1" s="1"/>
  <c r="AX245" i="1"/>
  <c r="AK245" i="1"/>
  <c r="AL245" i="1" s="1"/>
  <c r="BM245" i="1"/>
  <c r="BN245" i="1" s="1"/>
  <c r="AX244" i="1"/>
  <c r="BM244" i="1"/>
  <c r="BN244" i="1" s="1"/>
  <c r="AK244" i="1"/>
  <c r="AL244" i="1" s="1"/>
  <c r="AX130" i="1"/>
  <c r="AK130" i="1"/>
  <c r="AL130" i="1" s="1"/>
  <c r="BM130" i="1"/>
  <c r="BN130" i="1" s="1"/>
  <c r="AX324" i="1"/>
  <c r="AK324" i="1"/>
  <c r="AL324" i="1" s="1"/>
  <c r="BM324" i="1"/>
  <c r="BN324" i="1" s="1"/>
  <c r="AX293" i="1"/>
  <c r="AK293" i="1"/>
  <c r="AL293" i="1" s="1"/>
  <c r="AX135" i="1"/>
  <c r="BM135" i="1"/>
  <c r="BN135" i="1" s="1"/>
  <c r="AK135" i="1"/>
  <c r="AL135" i="1" s="1"/>
  <c r="AX288" i="1"/>
  <c r="AK288" i="1"/>
  <c r="AL288" i="1" s="1"/>
  <c r="AX162" i="1"/>
  <c r="AK162" i="1"/>
  <c r="AL162" i="1" s="1"/>
  <c r="BM387" i="1"/>
  <c r="BN387" i="1" s="1"/>
  <c r="AK387" i="1"/>
  <c r="AL387" i="1" s="1"/>
  <c r="AX409" i="1"/>
  <c r="AK409" i="1"/>
  <c r="AL409" i="1" s="1"/>
  <c r="AX85" i="1"/>
  <c r="AK85" i="1"/>
  <c r="AL85" i="1" s="1"/>
  <c r="AX237" i="1"/>
  <c r="AK237" i="1"/>
  <c r="AL237" i="1" s="1"/>
  <c r="AX57" i="1"/>
  <c r="AK57" i="1"/>
  <c r="AL57" i="1" s="1"/>
  <c r="AX148" i="1"/>
  <c r="BM148" i="1"/>
  <c r="BN148" i="1" s="1"/>
  <c r="AK148" i="1"/>
  <c r="AL148" i="1" s="1"/>
  <c r="AX233" i="1"/>
  <c r="AK233" i="1"/>
  <c r="AL233" i="1" s="1"/>
  <c r="AX383" i="1"/>
  <c r="AK383" i="1"/>
  <c r="AL383" i="1" s="1"/>
  <c r="BM383" i="1"/>
  <c r="BN383" i="1" s="1"/>
  <c r="AX490" i="1"/>
  <c r="BM490" i="1"/>
  <c r="BN490" i="1" s="1"/>
  <c r="AK490" i="1"/>
  <c r="AL490" i="1" s="1"/>
  <c r="AX323" i="1"/>
  <c r="AY323" i="1" s="1"/>
  <c r="BO323" i="1" s="1"/>
  <c r="BM323" i="1"/>
  <c r="BN323" i="1" s="1"/>
  <c r="AK323" i="1"/>
  <c r="AL323" i="1" s="1"/>
  <c r="AX438" i="1"/>
  <c r="AK438" i="1"/>
  <c r="AL438" i="1" s="1"/>
  <c r="BM438" i="1"/>
  <c r="BN438" i="1" s="1"/>
  <c r="AX376" i="1"/>
  <c r="BM376" i="1"/>
  <c r="BN376" i="1" s="1"/>
  <c r="AK376" i="1"/>
  <c r="AL376" i="1" s="1"/>
  <c r="AX149" i="1"/>
  <c r="AK149" i="1"/>
  <c r="AL149" i="1" s="1"/>
  <c r="BM149" i="1"/>
  <c r="BN149" i="1" s="1"/>
  <c r="AX99" i="1"/>
  <c r="AK99" i="1"/>
  <c r="AL99" i="1" s="1"/>
  <c r="BM99" i="1"/>
  <c r="BN99" i="1" s="1"/>
  <c r="AX407" i="1"/>
  <c r="AK407" i="1"/>
  <c r="AL407" i="1" s="1"/>
  <c r="AX321" i="1"/>
  <c r="AK321" i="1"/>
  <c r="AL321" i="1" s="1"/>
  <c r="BM321" i="1"/>
  <c r="BN321" i="1" s="1"/>
  <c r="AX404" i="1"/>
  <c r="AK404" i="1"/>
  <c r="AL404" i="1" s="1"/>
  <c r="AX401" i="1"/>
  <c r="AK401" i="1"/>
  <c r="AL401" i="1" s="1"/>
  <c r="AX400" i="1"/>
  <c r="BM400" i="1"/>
  <c r="BN400" i="1" s="1"/>
  <c r="AK400" i="1"/>
  <c r="AL400" i="1" s="1"/>
  <c r="AX402" i="1"/>
  <c r="AK402" i="1"/>
  <c r="AL402" i="1" s="1"/>
  <c r="BM402" i="1"/>
  <c r="BN402" i="1" s="1"/>
  <c r="AX397" i="1"/>
  <c r="AK397" i="1"/>
  <c r="AL397" i="1" s="1"/>
  <c r="AX260" i="1"/>
  <c r="AK260" i="1"/>
  <c r="AL260" i="1" s="1"/>
  <c r="BM260" i="1"/>
  <c r="BN260" i="1" s="1"/>
  <c r="AX471" i="1"/>
  <c r="BM471" i="1"/>
  <c r="BN471" i="1" s="1"/>
  <c r="AK471" i="1"/>
  <c r="AL471" i="1" s="1"/>
  <c r="AX163" i="1"/>
  <c r="AK163" i="1"/>
  <c r="AL163" i="1" s="1"/>
  <c r="BM163" i="1"/>
  <c r="BN163" i="1" s="1"/>
  <c r="AX205" i="1"/>
  <c r="BM205" i="1"/>
  <c r="BN205" i="1" s="1"/>
  <c r="AK205" i="1"/>
  <c r="AL205" i="1" s="1"/>
  <c r="AX399" i="1"/>
  <c r="AK399" i="1"/>
  <c r="AL399" i="1" s="1"/>
  <c r="AX364" i="1"/>
  <c r="AK364" i="1"/>
  <c r="AL364" i="1" s="1"/>
  <c r="BM364" i="1"/>
  <c r="BN364" i="1" s="1"/>
  <c r="AX234" i="1"/>
  <c r="AK234" i="1"/>
  <c r="AL234" i="1" s="1"/>
  <c r="BM234" i="1"/>
  <c r="BN234" i="1" s="1"/>
  <c r="AX222" i="1"/>
  <c r="AK222" i="1"/>
  <c r="AL222" i="1" s="1"/>
  <c r="AX187" i="1"/>
  <c r="AK187" i="1"/>
  <c r="AL187" i="1" s="1"/>
  <c r="BM187" i="1"/>
  <c r="BN187" i="1" s="1"/>
  <c r="AX384" i="1"/>
  <c r="BM384" i="1"/>
  <c r="BN384" i="1" s="1"/>
  <c r="AK384" i="1"/>
  <c r="AL384" i="1" s="1"/>
  <c r="AX273" i="1"/>
  <c r="AK273" i="1"/>
  <c r="AL273" i="1" s="1"/>
  <c r="AX139" i="1"/>
  <c r="AK139" i="1"/>
  <c r="AL139" i="1" s="1"/>
  <c r="AX343" i="1"/>
  <c r="BM343" i="1"/>
  <c r="BN343" i="1" s="1"/>
  <c r="AK343" i="1"/>
  <c r="AL343" i="1" s="1"/>
  <c r="AX443" i="1"/>
  <c r="AK443" i="1"/>
  <c r="AL443" i="1" s="1"/>
  <c r="AX423" i="1"/>
  <c r="AK423" i="1"/>
  <c r="AL423" i="1" s="1"/>
  <c r="AX406" i="1"/>
  <c r="BM406" i="1"/>
  <c r="BN406" i="1" s="1"/>
  <c r="AK406" i="1"/>
  <c r="AL406" i="1" s="1"/>
  <c r="AX322" i="1"/>
  <c r="AK322" i="1"/>
  <c r="AL322" i="1" s="1"/>
  <c r="BM322" i="1"/>
  <c r="BN322" i="1" s="1"/>
  <c r="AX290" i="1"/>
  <c r="AK290" i="1"/>
  <c r="AL290" i="1" s="1"/>
  <c r="AX291" i="1"/>
  <c r="BM291" i="1"/>
  <c r="BN291" i="1" s="1"/>
  <c r="AK291" i="1"/>
  <c r="AL291" i="1" s="1"/>
  <c r="AX342" i="1"/>
  <c r="AK342" i="1"/>
  <c r="AL342" i="1" s="1"/>
  <c r="BM287" i="1"/>
  <c r="BN287" i="1" s="1"/>
  <c r="AK287" i="1"/>
  <c r="AL287" i="1" s="1"/>
  <c r="AX259" i="1"/>
  <c r="BM259" i="1"/>
  <c r="BN259" i="1" s="1"/>
  <c r="AK259" i="1"/>
  <c r="AL259" i="1" s="1"/>
  <c r="AX255" i="1"/>
  <c r="BM255" i="1"/>
  <c r="BN255" i="1" s="1"/>
  <c r="AK255" i="1"/>
  <c r="AL255" i="1" s="1"/>
  <c r="AX194" i="1"/>
  <c r="BM194" i="1"/>
  <c r="BN194" i="1" s="1"/>
  <c r="AK194" i="1"/>
  <c r="AL194" i="1" s="1"/>
  <c r="AX201" i="1"/>
  <c r="BM201" i="1"/>
  <c r="BN201" i="1" s="1"/>
  <c r="AK201" i="1"/>
  <c r="AL201" i="1" s="1"/>
  <c r="AX102" i="1"/>
  <c r="AK102" i="1"/>
  <c r="AL102" i="1" s="1"/>
  <c r="BM102" i="1"/>
  <c r="BN102" i="1" s="1"/>
  <c r="AX421" i="1"/>
  <c r="AK421" i="1"/>
  <c r="AL421" i="1" s="1"/>
  <c r="BM421" i="1"/>
  <c r="BN421" i="1" s="1"/>
  <c r="AX403" i="1"/>
  <c r="AK403" i="1"/>
  <c r="AL403" i="1" s="1"/>
  <c r="AX479" i="1"/>
  <c r="AK479" i="1"/>
  <c r="AL479" i="1" s="1"/>
  <c r="BM479" i="1"/>
  <c r="BN479" i="1" s="1"/>
  <c r="AX88" i="1"/>
  <c r="AK88" i="1"/>
  <c r="AL88" i="1" s="1"/>
  <c r="BM88" i="1"/>
  <c r="BN88" i="1" s="1"/>
  <c r="AX86" i="1"/>
  <c r="BM86" i="1"/>
  <c r="BN86" i="1" s="1"/>
  <c r="AK86" i="1"/>
  <c r="AL86" i="1" s="1"/>
  <c r="AX81" i="1"/>
  <c r="AK81" i="1"/>
  <c r="AL81" i="1" s="1"/>
  <c r="AX489" i="1"/>
  <c r="BM489" i="1"/>
  <c r="BN489" i="1" s="1"/>
  <c r="AK489" i="1"/>
  <c r="AL489" i="1" s="1"/>
  <c r="AX79" i="1"/>
  <c r="BM79" i="1"/>
  <c r="BN79" i="1" s="1"/>
  <c r="AK79" i="1"/>
  <c r="AL79" i="1" s="1"/>
  <c r="AX491" i="1"/>
  <c r="AK491" i="1"/>
  <c r="AL491" i="1" s="1"/>
  <c r="AX83" i="1"/>
  <c r="AK83" i="1"/>
  <c r="AL83" i="1" s="1"/>
  <c r="AX84" i="1"/>
  <c r="BM84" i="1"/>
  <c r="BN84" i="1" s="1"/>
  <c r="AK84" i="1"/>
  <c r="AL84" i="1" s="1"/>
  <c r="AX80" i="1"/>
  <c r="AK80" i="1"/>
  <c r="AL80" i="1" s="1"/>
  <c r="AX440" i="1"/>
  <c r="BM440" i="1"/>
  <c r="BN440" i="1" s="1"/>
  <c r="AK440" i="1"/>
  <c r="AL440" i="1" s="1"/>
  <c r="AX78" i="1"/>
  <c r="AK78" i="1"/>
  <c r="AL78" i="1" s="1"/>
  <c r="AX77" i="1"/>
  <c r="BM77" i="1"/>
  <c r="BN77" i="1" s="1"/>
  <c r="AK77" i="1"/>
  <c r="AL77" i="1" s="1"/>
  <c r="AK76" i="1"/>
  <c r="AL76" i="1" s="1"/>
  <c r="BM76" i="1"/>
  <c r="BN76" i="1" s="1"/>
  <c r="AX59" i="1"/>
  <c r="AK59" i="1"/>
  <c r="AL59" i="1" s="1"/>
  <c r="AX487" i="1"/>
  <c r="AK487" i="1"/>
  <c r="AL487" i="1" s="1"/>
  <c r="AX484" i="1"/>
  <c r="AK484" i="1"/>
  <c r="AL484" i="1" s="1"/>
  <c r="BM484" i="1"/>
  <c r="BN484" i="1" s="1"/>
  <c r="AX74" i="1"/>
  <c r="AK74" i="1"/>
  <c r="AL74" i="1" s="1"/>
  <c r="AX69" i="1"/>
  <c r="AK69" i="1"/>
  <c r="AL69" i="1" s="1"/>
  <c r="BM69" i="1"/>
  <c r="BN69" i="1" s="1"/>
  <c r="AX71" i="1"/>
  <c r="AK71" i="1"/>
  <c r="AL71" i="1" s="1"/>
  <c r="BM71" i="1"/>
  <c r="BN71" i="1" s="1"/>
  <c r="AX143" i="1"/>
  <c r="AK143" i="1"/>
  <c r="AL143" i="1" s="1"/>
  <c r="BM143" i="1"/>
  <c r="BN143" i="1" s="1"/>
  <c r="AX66" i="1"/>
  <c r="AK66" i="1"/>
  <c r="AL66" i="1" s="1"/>
  <c r="AX270" i="1"/>
  <c r="AK270" i="1"/>
  <c r="AL270" i="1" s="1"/>
  <c r="BM270" i="1"/>
  <c r="BN270" i="1" s="1"/>
  <c r="AX444" i="1"/>
  <c r="BM444" i="1"/>
  <c r="BN444" i="1" s="1"/>
  <c r="AK444" i="1"/>
  <c r="AL444" i="1" s="1"/>
  <c r="AX257" i="1"/>
  <c r="AK257" i="1"/>
  <c r="AL257" i="1" s="1"/>
  <c r="AX434" i="1"/>
  <c r="BM434" i="1"/>
  <c r="BN434" i="1" s="1"/>
  <c r="AK434" i="1"/>
  <c r="AL434" i="1" s="1"/>
  <c r="AX254" i="1"/>
  <c r="AK254" i="1"/>
  <c r="AL254" i="1" s="1"/>
  <c r="AX263" i="1"/>
  <c r="BM263" i="1"/>
  <c r="BN263" i="1" s="1"/>
  <c r="AK263" i="1"/>
  <c r="AL263" i="1" s="1"/>
  <c r="AX174" i="1"/>
  <c r="BM174" i="1"/>
  <c r="BN174" i="1" s="1"/>
  <c r="AK174" i="1"/>
  <c r="AL174" i="1" s="1"/>
  <c r="AX147" i="1"/>
  <c r="AK147" i="1"/>
  <c r="AL147" i="1" s="1"/>
  <c r="BM147" i="1"/>
  <c r="BN147" i="1" s="1"/>
  <c r="AX236" i="1"/>
  <c r="AY236" i="1" s="1"/>
  <c r="BO236" i="1" s="1"/>
  <c r="AK236" i="1"/>
  <c r="AL236" i="1" s="1"/>
  <c r="BM236" i="1"/>
  <c r="BN236" i="1" s="1"/>
  <c r="AX437" i="1"/>
  <c r="BM437" i="1"/>
  <c r="BN437" i="1" s="1"/>
  <c r="AK437" i="1"/>
  <c r="AL437" i="1" s="1"/>
  <c r="AX215" i="1"/>
  <c r="BM215" i="1"/>
  <c r="BN215" i="1" s="1"/>
  <c r="AK215" i="1"/>
  <c r="AL215" i="1" s="1"/>
  <c r="AX177" i="1"/>
  <c r="BM177" i="1"/>
  <c r="BN177" i="1" s="1"/>
  <c r="AK177" i="1"/>
  <c r="AL177" i="1" s="1"/>
  <c r="AX348" i="1"/>
  <c r="AK348" i="1"/>
  <c r="AL348" i="1" s="1"/>
  <c r="BM348" i="1"/>
  <c r="BN348" i="1" s="1"/>
  <c r="AX238" i="1"/>
  <c r="AK238" i="1"/>
  <c r="AL238" i="1" s="1"/>
  <c r="AX466" i="1"/>
  <c r="BM466" i="1"/>
  <c r="BN466" i="1" s="1"/>
  <c r="AK466" i="1"/>
  <c r="AL466" i="1" s="1"/>
  <c r="AX116" i="1"/>
  <c r="AK116" i="1"/>
  <c r="AL116" i="1" s="1"/>
  <c r="AX467" i="1"/>
  <c r="AK467" i="1"/>
  <c r="AL467" i="1" s="1"/>
  <c r="AX44" i="1"/>
  <c r="AK44" i="1"/>
  <c r="AL44" i="1" s="1"/>
  <c r="AX271" i="1"/>
  <c r="AK271" i="1"/>
  <c r="AL271" i="1" s="1"/>
  <c r="BM271" i="1"/>
  <c r="BN271" i="1" s="1"/>
  <c r="AX256" i="1"/>
  <c r="BM256" i="1"/>
  <c r="BN256" i="1" s="1"/>
  <c r="AK256" i="1"/>
  <c r="AL256" i="1" s="1"/>
  <c r="AX134" i="1"/>
  <c r="BM134" i="1"/>
  <c r="BN134" i="1" s="1"/>
  <c r="AK134" i="1"/>
  <c r="AL134" i="1" s="1"/>
  <c r="AK173" i="1"/>
  <c r="AL173" i="1" s="1"/>
  <c r="BM173" i="1"/>
  <c r="BN173" i="1" s="1"/>
  <c r="AX168" i="1"/>
  <c r="BM168" i="1"/>
  <c r="BN168" i="1" s="1"/>
  <c r="AK168" i="1"/>
  <c r="AL168" i="1" s="1"/>
  <c r="AX155" i="1"/>
  <c r="BM155" i="1"/>
  <c r="BN155" i="1" s="1"/>
  <c r="AK155" i="1"/>
  <c r="AL155" i="1" s="1"/>
  <c r="AX125" i="1"/>
  <c r="BM125" i="1"/>
  <c r="BN125" i="1" s="1"/>
  <c r="AK125" i="1"/>
  <c r="AL125" i="1" s="1"/>
  <c r="AX164" i="1"/>
  <c r="BM164" i="1"/>
  <c r="BN164" i="1" s="1"/>
  <c r="AK164" i="1"/>
  <c r="AL164" i="1" s="1"/>
  <c r="AX131" i="1"/>
  <c r="AK131" i="1"/>
  <c r="AL131" i="1" s="1"/>
  <c r="BM131" i="1"/>
  <c r="BN131" i="1" s="1"/>
  <c r="AX114" i="1"/>
  <c r="BM114" i="1"/>
  <c r="BN114" i="1" s="1"/>
  <c r="AK114" i="1"/>
  <c r="AL114" i="1" s="1"/>
  <c r="AX281" i="1"/>
  <c r="AK281" i="1"/>
  <c r="AL281" i="1" s="1"/>
  <c r="AX204" i="1"/>
  <c r="BM204" i="1"/>
  <c r="BN204" i="1" s="1"/>
  <c r="AK204" i="1"/>
  <c r="AL204" i="1" s="1"/>
  <c r="AX478" i="1"/>
  <c r="AK478" i="1"/>
  <c r="AL478" i="1" s="1"/>
  <c r="AX454" i="1"/>
  <c r="AK454" i="1"/>
  <c r="AL454" i="1" s="1"/>
  <c r="AX453" i="1"/>
  <c r="BM453" i="1"/>
  <c r="BN453" i="1" s="1"/>
  <c r="AK453" i="1"/>
  <c r="AL453" i="1" s="1"/>
  <c r="AX449" i="1"/>
  <c r="AK449" i="1"/>
  <c r="AL449" i="1" s="1"/>
  <c r="AX33" i="1"/>
  <c r="BM33" i="1"/>
  <c r="BN33" i="1" s="1"/>
  <c r="AK33" i="1"/>
  <c r="AL33" i="1" s="1"/>
  <c r="AX15" i="1"/>
  <c r="AY15" i="1" s="1"/>
  <c r="BO15" i="1" s="1"/>
  <c r="BP15" i="1" s="1"/>
  <c r="AK15" i="1"/>
  <c r="AL15" i="1" s="1"/>
  <c r="AX439" i="1"/>
  <c r="BM439" i="1"/>
  <c r="BN439" i="1" s="1"/>
  <c r="AK439" i="1"/>
  <c r="AL439" i="1" s="1"/>
  <c r="AX496" i="1"/>
  <c r="AK496" i="1"/>
  <c r="AL496" i="1" s="1"/>
  <c r="AX435" i="1"/>
  <c r="BM435" i="1"/>
  <c r="BN435" i="1" s="1"/>
  <c r="AK435" i="1"/>
  <c r="AL435" i="1" s="1"/>
  <c r="AX9" i="1"/>
  <c r="BM9" i="1"/>
  <c r="BN9" i="1" s="1"/>
  <c r="AK9" i="1"/>
  <c r="AL9" i="1" s="1"/>
  <c r="AX468" i="1"/>
  <c r="AK468" i="1"/>
  <c r="AL468" i="1" s="1"/>
  <c r="BM468" i="1"/>
  <c r="BN468" i="1" s="1"/>
  <c r="AX430" i="1"/>
  <c r="AK430" i="1"/>
  <c r="AL430" i="1" s="1"/>
  <c r="AX429" i="1"/>
  <c r="AK429" i="1"/>
  <c r="AL429" i="1" s="1"/>
  <c r="BM429" i="1"/>
  <c r="BN429" i="1" s="1"/>
  <c r="CD135" i="1"/>
  <c r="CU135" i="1"/>
  <c r="CV135" i="1" s="1"/>
  <c r="CD142" i="1"/>
  <c r="CU142" i="1"/>
  <c r="CV142" i="1" s="1"/>
  <c r="CD98" i="1"/>
  <c r="CU98" i="1"/>
  <c r="CV98" i="1" s="1"/>
  <c r="CD148" i="1"/>
  <c r="CU148" i="1"/>
  <c r="CV148" i="1" s="1"/>
  <c r="CE427" i="1"/>
  <c r="CE160" i="1"/>
  <c r="CW160" i="1" s="1"/>
  <c r="CD465" i="1"/>
  <c r="CU465" i="1"/>
  <c r="CV465" i="1" s="1"/>
  <c r="CD163" i="1"/>
  <c r="CU163" i="1"/>
  <c r="CV163" i="1" s="1"/>
  <c r="CD125" i="1"/>
  <c r="CU125" i="1"/>
  <c r="CV125" i="1" s="1"/>
  <c r="CD99" i="1"/>
  <c r="CU99" i="1"/>
  <c r="CV99" i="1" s="1"/>
  <c r="CD150" i="1"/>
  <c r="CU150" i="1"/>
  <c r="CV150" i="1" s="1"/>
  <c r="CE484" i="1"/>
  <c r="CW484" i="1" s="1"/>
  <c r="CT160" i="1"/>
  <c r="CD426" i="1"/>
  <c r="CU426" i="1"/>
  <c r="CV426" i="1" s="1"/>
  <c r="CD123" i="1"/>
  <c r="CU123" i="1"/>
  <c r="CV123" i="1" s="1"/>
  <c r="CD424" i="1"/>
  <c r="CU424" i="1"/>
  <c r="CV424" i="1" s="1"/>
  <c r="CD75" i="1"/>
  <c r="CU75" i="1"/>
  <c r="CV75" i="1" s="1"/>
  <c r="CD102" i="1"/>
  <c r="CU102" i="1"/>
  <c r="CV102" i="1" s="1"/>
  <c r="CD97" i="1"/>
  <c r="CU97" i="1"/>
  <c r="CV97" i="1" s="1"/>
  <c r="CD93" i="1"/>
  <c r="CU93" i="1"/>
  <c r="CV93" i="1" s="1"/>
  <c r="CD55" i="1"/>
  <c r="CU55" i="1"/>
  <c r="CV55" i="1" s="1"/>
  <c r="CD131" i="1"/>
  <c r="CU131" i="1"/>
  <c r="CV131" i="1" s="1"/>
  <c r="CD480" i="1"/>
  <c r="CU480" i="1"/>
  <c r="CV480" i="1" s="1"/>
  <c r="CD427" i="1"/>
  <c r="CU427" i="1"/>
  <c r="CV427" i="1" s="1"/>
  <c r="CX195" i="1"/>
  <c r="CU195" i="1"/>
  <c r="CV195" i="1" s="1"/>
  <c r="CX191" i="1"/>
  <c r="CU191" i="1"/>
  <c r="CV191" i="1" s="1"/>
  <c r="CX461" i="1"/>
  <c r="CU461" i="1"/>
  <c r="CV461" i="1" s="1"/>
  <c r="CX74" i="1"/>
  <c r="CU74" i="1"/>
  <c r="CV74" i="1" s="1"/>
  <c r="CX67" i="1"/>
  <c r="CU67" i="1"/>
  <c r="CV67" i="1" s="1"/>
  <c r="CX253" i="1"/>
  <c r="CU253" i="1"/>
  <c r="CV253" i="1" s="1"/>
  <c r="CX179" i="1"/>
  <c r="CU179" i="1"/>
  <c r="CV179" i="1" s="1"/>
  <c r="CX481" i="1"/>
  <c r="CU481" i="1"/>
  <c r="CV481" i="1" s="1"/>
  <c r="CX115" i="1"/>
  <c r="CU115" i="1"/>
  <c r="CV115" i="1" s="1"/>
  <c r="CX104" i="1"/>
  <c r="CU104" i="1"/>
  <c r="CV104" i="1" s="1"/>
  <c r="CX92" i="1"/>
  <c r="CU92" i="1"/>
  <c r="CV92" i="1" s="1"/>
  <c r="CX432" i="1"/>
  <c r="CU432" i="1"/>
  <c r="CV432" i="1" s="1"/>
  <c r="CX160" i="1"/>
  <c r="CU160" i="1"/>
  <c r="CV160" i="1" s="1"/>
  <c r="CX484" i="1"/>
  <c r="CU484" i="1"/>
  <c r="CV484" i="1" s="1"/>
  <c r="CX117" i="1"/>
  <c r="CU117" i="1"/>
  <c r="CV117" i="1" s="1"/>
  <c r="CX66" i="1"/>
  <c r="CU66" i="1"/>
  <c r="CV66" i="1" s="1"/>
  <c r="CX111" i="1"/>
  <c r="CU111" i="1"/>
  <c r="CV111" i="1" s="1"/>
  <c r="CX190" i="1"/>
  <c r="CU190" i="1"/>
  <c r="CV190" i="1" s="1"/>
  <c r="CX130" i="1"/>
  <c r="CU130" i="1"/>
  <c r="CV130" i="1" s="1"/>
  <c r="CX483" i="1"/>
  <c r="CU483" i="1"/>
  <c r="CV483" i="1" s="1"/>
  <c r="CX175" i="1"/>
  <c r="CU175" i="1"/>
  <c r="CV175" i="1" s="1"/>
  <c r="CX101" i="1"/>
  <c r="CU101" i="1"/>
  <c r="CV101" i="1" s="1"/>
  <c r="CX184" i="1"/>
  <c r="CU184" i="1"/>
  <c r="CV184" i="1" s="1"/>
  <c r="CL480" i="1"/>
  <c r="DA480" i="1"/>
  <c r="CL142" i="1"/>
  <c r="DA142" i="1"/>
  <c r="CL149" i="1"/>
  <c r="DD149" i="1" s="1"/>
  <c r="DA149" i="1"/>
  <c r="CL131" i="1"/>
  <c r="DA131" i="1"/>
  <c r="CL99" i="1"/>
  <c r="DA99" i="1"/>
  <c r="CL426" i="1"/>
  <c r="DA426" i="1"/>
  <c r="CL196" i="1"/>
  <c r="DD196" i="1" s="1"/>
  <c r="DA196" i="1"/>
  <c r="CL97" i="1"/>
  <c r="DA97" i="1"/>
  <c r="CL148" i="1"/>
  <c r="DA148" i="1"/>
  <c r="CT75" i="1"/>
  <c r="CE102" i="1"/>
  <c r="CL427" i="1"/>
  <c r="DA427" i="1"/>
  <c r="CL123" i="1"/>
  <c r="DA123" i="1"/>
  <c r="CL163" i="1"/>
  <c r="DA163" i="1"/>
  <c r="CE196" i="1"/>
  <c r="CW196" i="1" s="1"/>
  <c r="CL165" i="1"/>
  <c r="DD165" i="1" s="1"/>
  <c r="DA165" i="1"/>
  <c r="CL75" i="1"/>
  <c r="DA75" i="1"/>
  <c r="CL465" i="1"/>
  <c r="DA465" i="1"/>
  <c r="CL55" i="1"/>
  <c r="DA55" i="1"/>
  <c r="CL298" i="1"/>
  <c r="DD298" i="1" s="1"/>
  <c r="DA298" i="1"/>
  <c r="CL107" i="1"/>
  <c r="DA107" i="1"/>
  <c r="CL125" i="1"/>
  <c r="DA125" i="1"/>
  <c r="CL98" i="1"/>
  <c r="DA98" i="1"/>
  <c r="CL102" i="1"/>
  <c r="DA102" i="1"/>
  <c r="CL195" i="1"/>
  <c r="DD195" i="1" s="1"/>
  <c r="DA195" i="1"/>
  <c r="CL160" i="1"/>
  <c r="DD160" i="1" s="1"/>
  <c r="DA160" i="1"/>
  <c r="CL135" i="1"/>
  <c r="DA135" i="1"/>
  <c r="CL484" i="1"/>
  <c r="DD484" i="1" s="1"/>
  <c r="DA484" i="1"/>
  <c r="CL150" i="1"/>
  <c r="DA150" i="1"/>
  <c r="CE149" i="1"/>
  <c r="CW149" i="1" s="1"/>
  <c r="CE187" i="1"/>
  <c r="CE13" i="1"/>
  <c r="CT149" i="1"/>
  <c r="CE55" i="1"/>
  <c r="CE163" i="1"/>
  <c r="CT163" i="1"/>
  <c r="CT55" i="1"/>
  <c r="CT187" i="1"/>
  <c r="CE98" i="1"/>
  <c r="CE197" i="1"/>
  <c r="CE239" i="1"/>
  <c r="CT424" i="1"/>
  <c r="CT239" i="1"/>
  <c r="CE424" i="1"/>
  <c r="CE76" i="1"/>
  <c r="CT197" i="1"/>
  <c r="CT76" i="1"/>
  <c r="CT98" i="1"/>
  <c r="CT125" i="1"/>
  <c r="CT13" i="1"/>
  <c r="CT234" i="1"/>
  <c r="CT135" i="1"/>
  <c r="CE465" i="1"/>
  <c r="CT298" i="1"/>
  <c r="CE125" i="1"/>
  <c r="CE262" i="1"/>
  <c r="CT102" i="1"/>
  <c r="CT264" i="1"/>
  <c r="CE225" i="1"/>
  <c r="CE123" i="1"/>
  <c r="CT262" i="1"/>
  <c r="CT214" i="1"/>
  <c r="CE492" i="1"/>
  <c r="CE442" i="1"/>
  <c r="CT225" i="1"/>
  <c r="CT123" i="1"/>
  <c r="CE135" i="1"/>
  <c r="CE488" i="1"/>
  <c r="CT492" i="1"/>
  <c r="CT442" i="1"/>
  <c r="CE243" i="1"/>
  <c r="CT216" i="1"/>
  <c r="CE298" i="1"/>
  <c r="CW298" i="1" s="1"/>
  <c r="CT221" i="1"/>
  <c r="CE234" i="1"/>
  <c r="CE202" i="1"/>
  <c r="CE142" i="1"/>
  <c r="CT243" i="1"/>
  <c r="CE426" i="1"/>
  <c r="CE165" i="1"/>
  <c r="CW165" i="1" s="1"/>
  <c r="CE150" i="1"/>
  <c r="CE252" i="1"/>
  <c r="CE16" i="1"/>
  <c r="CE148" i="1"/>
  <c r="CE97" i="1"/>
  <c r="CT202" i="1"/>
  <c r="CT142" i="1"/>
  <c r="CT426" i="1"/>
  <c r="CT165" i="1"/>
  <c r="CT150" i="1"/>
  <c r="CT252" i="1"/>
  <c r="CT16" i="1"/>
  <c r="CT148" i="1"/>
  <c r="CT97" i="1"/>
  <c r="CE212" i="1"/>
  <c r="CE131" i="1"/>
  <c r="CE214" i="1"/>
  <c r="CE264" i="1"/>
  <c r="CE20" i="1"/>
  <c r="CE93" i="1"/>
  <c r="CE221" i="1"/>
  <c r="CE216" i="1"/>
  <c r="AM96" i="1"/>
  <c r="AN96" i="1" s="1"/>
  <c r="AK96" i="1" s="1"/>
  <c r="AL96" i="1" s="1"/>
  <c r="AX208" i="1"/>
  <c r="AY208" i="1" s="1"/>
  <c r="BO208" i="1" s="1"/>
  <c r="BP208" i="1" s="1"/>
  <c r="BO116" i="1"/>
  <c r="BP116" i="1" s="1"/>
  <c r="BO254" i="1"/>
  <c r="BP254" i="1" s="1"/>
  <c r="BO487" i="1"/>
  <c r="BP487" i="1" s="1"/>
  <c r="BO78" i="1"/>
  <c r="BP78" i="1" s="1"/>
  <c r="BO83" i="1"/>
  <c r="BP83" i="1" s="1"/>
  <c r="BO81" i="1"/>
  <c r="BP81" i="1" s="1"/>
  <c r="BO403" i="1"/>
  <c r="BP403" i="1" s="1"/>
  <c r="BO342" i="1"/>
  <c r="BP342" i="1" s="1"/>
  <c r="BO290" i="1"/>
  <c r="BP290" i="1" s="1"/>
  <c r="BO443" i="1"/>
  <c r="BP443" i="1" s="1"/>
  <c r="BO273" i="1"/>
  <c r="BP273" i="1" s="1"/>
  <c r="BO409" i="1"/>
  <c r="BP409" i="1" s="1"/>
  <c r="BO377" i="1"/>
  <c r="BP377" i="1" s="1"/>
  <c r="BO113" i="1"/>
  <c r="BP113" i="1" s="1"/>
  <c r="BO313" i="1"/>
  <c r="BP313" i="1" s="1"/>
  <c r="BO14" i="1"/>
  <c r="BP14" i="1" s="1"/>
  <c r="BO380" i="1"/>
  <c r="BP380" i="1" s="1"/>
  <c r="BO375" i="1"/>
  <c r="BP375" i="1" s="1"/>
  <c r="BO414" i="1"/>
  <c r="BP414" i="1" s="1"/>
  <c r="BO458" i="1"/>
  <c r="BP458" i="1" s="1"/>
  <c r="BO412" i="1"/>
  <c r="BP412" i="1" s="1"/>
  <c r="BO308" i="1"/>
  <c r="BP308" i="1" s="1"/>
  <c r="BO119" i="1"/>
  <c r="BP119" i="1" s="1"/>
  <c r="BO170" i="1"/>
  <c r="BP170" i="1" s="1"/>
  <c r="BO413" i="1"/>
  <c r="BP413" i="1" s="1"/>
  <c r="BO191" i="1"/>
  <c r="BP191" i="1" s="1"/>
  <c r="BO278" i="1"/>
  <c r="BP278" i="1" s="1"/>
  <c r="BO183" i="1"/>
  <c r="BP183" i="1" s="1"/>
  <c r="BO240" i="1"/>
  <c r="BP240" i="1" s="1"/>
  <c r="BO272" i="1"/>
  <c r="BP272" i="1" s="1"/>
  <c r="BO207" i="1"/>
  <c r="BP207" i="1" s="1"/>
  <c r="BO218" i="1"/>
  <c r="BP218" i="1" s="1"/>
  <c r="BO338" i="1"/>
  <c r="BP338" i="1" s="1"/>
  <c r="BH478" i="1"/>
  <c r="BI478" i="1" s="1"/>
  <c r="BH237" i="1"/>
  <c r="BI237" i="1" s="1"/>
  <c r="BH288" i="1"/>
  <c r="BI288" i="1" s="1"/>
  <c r="BH377" i="1"/>
  <c r="BI377" i="1" s="1"/>
  <c r="BH25" i="1"/>
  <c r="BI25" i="1" s="1"/>
  <c r="BH248" i="1"/>
  <c r="BI248" i="1" s="1"/>
  <c r="BH217" i="1"/>
  <c r="BI217" i="1" s="1"/>
  <c r="BH493" i="1"/>
  <c r="BI493" i="1" s="1"/>
  <c r="BH141" i="1"/>
  <c r="BI141" i="1" s="1"/>
  <c r="BH218" i="1"/>
  <c r="BI218" i="1" s="1"/>
  <c r="BO454" i="1"/>
  <c r="BP454" i="1" s="1"/>
  <c r="BH449" i="1"/>
  <c r="BI449" i="1" s="1"/>
  <c r="BH467" i="1"/>
  <c r="BI467" i="1" s="1"/>
  <c r="BH251" i="1"/>
  <c r="BI251" i="1" s="1"/>
  <c r="BH254" i="1"/>
  <c r="BI254" i="1" s="1"/>
  <c r="BH487" i="1"/>
  <c r="BI487" i="1" s="1"/>
  <c r="BH491" i="1"/>
  <c r="BI491" i="1" s="1"/>
  <c r="BH34" i="1"/>
  <c r="BI34" i="1" s="1"/>
  <c r="BH399" i="1"/>
  <c r="BI399" i="1" s="1"/>
  <c r="BH401" i="1"/>
  <c r="BI401" i="1" s="1"/>
  <c r="BH108" i="1"/>
  <c r="BI108" i="1" s="1"/>
  <c r="BH233" i="1"/>
  <c r="BI233" i="1" s="1"/>
  <c r="BH85" i="1"/>
  <c r="BI85" i="1" s="1"/>
  <c r="BH311" i="1"/>
  <c r="BI311" i="1" s="1"/>
  <c r="BH94" i="1"/>
  <c r="BI94" i="1" s="1"/>
  <c r="BH415" i="1"/>
  <c r="BI415" i="1" s="1"/>
  <c r="BH48" i="1"/>
  <c r="BI48" i="1" s="1"/>
  <c r="BH62" i="1"/>
  <c r="BI62" i="1" s="1"/>
  <c r="BH199" i="1"/>
  <c r="BI199" i="1" s="1"/>
  <c r="BH458" i="1"/>
  <c r="BI458" i="1" s="1"/>
  <c r="BH193" i="1"/>
  <c r="BI193" i="1" s="1"/>
  <c r="BH198" i="1"/>
  <c r="BI198" i="1" s="1"/>
  <c r="BH503" i="1"/>
  <c r="BI503" i="1" s="1"/>
  <c r="BH278" i="1"/>
  <c r="BI278" i="1" s="1"/>
  <c r="BH405" i="1"/>
  <c r="BI405" i="1" s="1"/>
  <c r="BH207" i="1"/>
  <c r="BI207" i="1" s="1"/>
  <c r="AX387" i="1"/>
  <c r="AY387" i="1" s="1"/>
  <c r="BO387" i="1" s="1"/>
  <c r="AX473" i="1"/>
  <c r="AY473" i="1" s="1"/>
  <c r="BO473" i="1" s="1"/>
  <c r="AX17" i="1"/>
  <c r="AY17" i="1" s="1"/>
  <c r="AX232" i="1"/>
  <c r="AY232" i="1" s="1"/>
  <c r="AX299" i="1"/>
  <c r="AY299" i="1" s="1"/>
  <c r="BO299" i="1" s="1"/>
  <c r="AX49" i="1"/>
  <c r="AY49" i="1" s="1"/>
  <c r="BO49" i="1" s="1"/>
  <c r="AX319" i="1"/>
  <c r="AY319" i="1" s="1"/>
  <c r="BO319" i="1" s="1"/>
  <c r="AX374" i="1"/>
  <c r="AY374" i="1" s="1"/>
  <c r="AX367" i="1"/>
  <c r="AY367" i="1" s="1"/>
  <c r="AX153" i="1"/>
  <c r="AY153" i="1" s="1"/>
  <c r="BO153" i="1" s="1"/>
  <c r="AX505" i="1"/>
  <c r="AY505" i="1" s="1"/>
  <c r="BO505" i="1" s="1"/>
  <c r="AX120" i="1"/>
  <c r="AY120" i="1" s="1"/>
  <c r="BO430" i="1"/>
  <c r="BP430" i="1" s="1"/>
  <c r="BO478" i="1"/>
  <c r="BP478" i="1" s="1"/>
  <c r="BO66" i="1"/>
  <c r="BP66" i="1" s="1"/>
  <c r="BO70" i="1"/>
  <c r="BP70" i="1" s="1"/>
  <c r="BO59" i="1"/>
  <c r="BP59" i="1" s="1"/>
  <c r="BO491" i="1"/>
  <c r="BP491" i="1" s="1"/>
  <c r="BO34" i="1"/>
  <c r="BP34" i="1" s="1"/>
  <c r="BO57" i="1"/>
  <c r="BP57" i="1" s="1"/>
  <c r="BO293" i="1"/>
  <c r="BP293" i="1" s="1"/>
  <c r="BO311" i="1"/>
  <c r="BP311" i="1" s="1"/>
  <c r="BO94" i="1"/>
  <c r="BP94" i="1" s="1"/>
  <c r="BO91" i="1"/>
  <c r="BP91" i="1" s="1"/>
  <c r="BO3" i="1"/>
  <c r="BP3" i="1" s="1"/>
  <c r="BO19" i="1"/>
  <c r="BP19" i="1" s="1"/>
  <c r="BO325" i="1"/>
  <c r="BP325" i="1" s="1"/>
  <c r="BO52" i="1"/>
  <c r="BP52" i="1" s="1"/>
  <c r="BO178" i="1"/>
  <c r="BP178" i="1" s="1"/>
  <c r="BO128" i="1"/>
  <c r="BP128" i="1" s="1"/>
  <c r="BO422" i="1"/>
  <c r="BP422" i="1" s="1"/>
  <c r="BO266" i="1"/>
  <c r="BP266" i="1" s="1"/>
  <c r="BO312" i="1"/>
  <c r="BP312" i="1" s="1"/>
  <c r="BO408" i="1"/>
  <c r="BP408" i="1" s="1"/>
  <c r="BO493" i="1"/>
  <c r="BP493" i="1" s="1"/>
  <c r="AY282" i="1"/>
  <c r="BO282" i="1" s="1"/>
  <c r="BO141" i="1"/>
  <c r="BP141" i="1" s="1"/>
  <c r="BO460" i="1"/>
  <c r="BP460" i="1" s="1"/>
  <c r="BO64" i="1"/>
  <c r="BP64" i="1" s="1"/>
  <c r="BO486" i="1"/>
  <c r="BP486" i="1" s="1"/>
  <c r="BH44" i="1"/>
  <c r="BI44" i="1" s="1"/>
  <c r="BH238" i="1"/>
  <c r="BI238" i="1" s="1"/>
  <c r="BH78" i="1"/>
  <c r="BI78" i="1" s="1"/>
  <c r="BH83" i="1"/>
  <c r="BI83" i="1" s="1"/>
  <c r="BH81" i="1"/>
  <c r="BI81" i="1" s="1"/>
  <c r="BH403" i="1"/>
  <c r="BI403" i="1" s="1"/>
  <c r="BH342" i="1"/>
  <c r="BI342" i="1" s="1"/>
  <c r="BH290" i="1"/>
  <c r="BI290" i="1" s="1"/>
  <c r="BH443" i="1"/>
  <c r="BI443" i="1" s="1"/>
  <c r="BH95" i="1"/>
  <c r="BI95" i="1" s="1"/>
  <c r="BH325" i="1"/>
  <c r="BI325" i="1" s="1"/>
  <c r="BH52" i="1"/>
  <c r="BI52" i="1" s="1"/>
  <c r="BH178" i="1"/>
  <c r="BI178" i="1" s="1"/>
  <c r="BH188" i="1"/>
  <c r="BI188" i="1" s="1"/>
  <c r="BH170" i="1"/>
  <c r="BI170" i="1" s="1"/>
  <c r="BH413" i="1"/>
  <c r="BI413" i="1" s="1"/>
  <c r="BH67" i="1"/>
  <c r="BI67" i="1" s="1"/>
  <c r="BH430" i="1"/>
  <c r="BI430" i="1" s="1"/>
  <c r="CD430" i="1" s="1"/>
  <c r="BH496" i="1"/>
  <c r="BI496" i="1" s="1"/>
  <c r="BH281" i="1"/>
  <c r="BI281" i="1" s="1"/>
  <c r="BH116" i="1"/>
  <c r="BI116" i="1" s="1"/>
  <c r="BH66" i="1"/>
  <c r="BI66" i="1" s="1"/>
  <c r="BH70" i="1"/>
  <c r="BI70" i="1" s="1"/>
  <c r="BH59" i="1"/>
  <c r="BI59" i="1" s="1"/>
  <c r="BH80" i="1"/>
  <c r="BI80" i="1" s="1"/>
  <c r="BH139" i="1"/>
  <c r="BI139" i="1" s="1"/>
  <c r="BH222" i="1"/>
  <c r="BI222" i="1" s="1"/>
  <c r="BH397" i="1"/>
  <c r="BI397" i="1" s="1"/>
  <c r="BH404" i="1"/>
  <c r="BI404" i="1" s="1"/>
  <c r="BH407" i="1"/>
  <c r="BI407" i="1" s="1"/>
  <c r="BH409" i="1"/>
  <c r="BI409" i="1" s="1"/>
  <c r="BH293" i="1"/>
  <c r="BI293" i="1" s="1"/>
  <c r="BH391" i="1"/>
  <c r="BI391" i="1" s="1"/>
  <c r="BH113" i="1"/>
  <c r="BI113" i="1" s="1"/>
  <c r="BH19" i="1"/>
  <c r="BI19" i="1" s="1"/>
  <c r="BH32" i="1"/>
  <c r="BI32" i="1" s="1"/>
  <c r="BH45" i="1"/>
  <c r="BI45" i="1" s="1"/>
  <c r="BH18" i="1"/>
  <c r="BI18" i="1" s="1"/>
  <c r="BH14" i="1"/>
  <c r="BI14" i="1" s="1"/>
  <c r="BH118" i="1"/>
  <c r="BI118" i="1" s="1"/>
  <c r="BH378" i="1"/>
  <c r="BI378" i="1" s="1"/>
  <c r="BH380" i="1"/>
  <c r="BI380" i="1" s="1"/>
  <c r="BH381" i="1"/>
  <c r="BI381" i="1" s="1"/>
  <c r="BH412" i="1"/>
  <c r="BI412" i="1" s="1"/>
  <c r="BH266" i="1"/>
  <c r="BI266" i="1" s="1"/>
  <c r="BH446" i="1"/>
  <c r="BI446" i="1" s="1"/>
  <c r="BH408" i="1"/>
  <c r="BI408" i="1" s="1"/>
  <c r="BH136" i="1"/>
  <c r="BI136" i="1" s="1"/>
  <c r="BH485" i="1"/>
  <c r="BI485" i="1" s="1"/>
  <c r="BH448" i="1"/>
  <c r="BI448" i="1" s="1"/>
  <c r="BH64" i="1"/>
  <c r="BI64" i="1" s="1"/>
  <c r="BH486" i="1"/>
  <c r="BI486" i="1" s="1"/>
  <c r="AX173" i="1"/>
  <c r="AY173" i="1" s="1"/>
  <c r="BO173" i="1" s="1"/>
  <c r="AX76" i="1"/>
  <c r="AY76" i="1" s="1"/>
  <c r="BO76" i="1" s="1"/>
  <c r="AX393" i="1"/>
  <c r="AY393" i="1" s="1"/>
  <c r="AX262" i="1"/>
  <c r="AY262" i="1" s="1"/>
  <c r="BO262" i="1" s="1"/>
  <c r="AX11" i="1"/>
  <c r="AY11" i="1" s="1"/>
  <c r="AX455" i="1"/>
  <c r="AY455" i="1" s="1"/>
  <c r="AX314" i="1"/>
  <c r="AY314" i="1" s="1"/>
  <c r="BO314" i="1" s="1"/>
  <c r="AX373" i="1"/>
  <c r="AY373" i="1" s="1"/>
  <c r="BO373" i="1" s="1"/>
  <c r="AX184" i="1"/>
  <c r="AY184" i="1" s="1"/>
  <c r="BO184" i="1" s="1"/>
  <c r="AX294" i="1"/>
  <c r="AY294" i="1" s="1"/>
  <c r="BO294" i="1" s="1"/>
  <c r="AX332" i="1"/>
  <c r="AY332" i="1" s="1"/>
  <c r="BO332" i="1" s="1"/>
  <c r="AX499" i="1"/>
  <c r="AY499" i="1" s="1"/>
  <c r="BO499" i="1" s="1"/>
  <c r="BO496" i="1"/>
  <c r="BP496" i="1" s="1"/>
  <c r="BO449" i="1"/>
  <c r="BP449" i="1" s="1"/>
  <c r="BO44" i="1"/>
  <c r="BP44" i="1" s="1"/>
  <c r="BO238" i="1"/>
  <c r="BP238" i="1" s="1"/>
  <c r="BO257" i="1"/>
  <c r="BP257" i="1" s="1"/>
  <c r="BO74" i="1"/>
  <c r="BP74" i="1" s="1"/>
  <c r="BO80" i="1"/>
  <c r="BP80" i="1" s="1"/>
  <c r="BO399" i="1"/>
  <c r="BP399" i="1" s="1"/>
  <c r="BO401" i="1"/>
  <c r="BP401" i="1" s="1"/>
  <c r="BO108" i="1"/>
  <c r="BP108" i="1" s="1"/>
  <c r="BO237" i="1"/>
  <c r="BP237" i="1" s="1"/>
  <c r="BO162" i="1"/>
  <c r="BP162" i="1" s="1"/>
  <c r="BO391" i="1"/>
  <c r="BP391" i="1" s="1"/>
  <c r="BO95" i="1"/>
  <c r="BP95" i="1" s="1"/>
  <c r="BO2" i="1"/>
  <c r="BP2" i="1" s="1"/>
  <c r="BO18" i="1"/>
  <c r="BP18" i="1" s="1"/>
  <c r="BO61" i="1"/>
  <c r="BP61" i="1" s="1"/>
  <c r="BO62" i="1"/>
  <c r="BP62" i="1" s="1"/>
  <c r="BO249" i="1"/>
  <c r="BP249" i="1" s="1"/>
  <c r="BO378" i="1"/>
  <c r="BP378" i="1" s="1"/>
  <c r="BO371" i="1"/>
  <c r="BP371" i="1" s="1"/>
  <c r="BO283" i="1"/>
  <c r="BP283" i="1" s="1"/>
  <c r="BO248" i="1"/>
  <c r="BP248" i="1" s="1"/>
  <c r="BO193" i="1"/>
  <c r="BP193" i="1" s="1"/>
  <c r="BO217" i="1"/>
  <c r="BP217" i="1" s="1"/>
  <c r="BO446" i="1"/>
  <c r="BP446" i="1" s="1"/>
  <c r="BO188" i="1"/>
  <c r="BP188" i="1" s="1"/>
  <c r="BO230" i="1"/>
  <c r="BP230" i="1" s="1"/>
  <c r="BO398" i="1"/>
  <c r="BP398" i="1" s="1"/>
  <c r="BO459" i="1"/>
  <c r="BP459" i="1" s="1"/>
  <c r="BO405" i="1"/>
  <c r="BP405" i="1" s="1"/>
  <c r="BO67" i="1"/>
  <c r="BP67" i="1" s="1"/>
  <c r="BH454" i="1"/>
  <c r="BI454" i="1" s="1"/>
  <c r="BH257" i="1"/>
  <c r="BI257" i="1" s="1"/>
  <c r="BH74" i="1"/>
  <c r="BI74" i="1" s="1"/>
  <c r="BH423" i="1"/>
  <c r="BI423" i="1" s="1"/>
  <c r="BH273" i="1"/>
  <c r="BI273" i="1" s="1"/>
  <c r="BH57" i="1"/>
  <c r="BI57" i="1" s="1"/>
  <c r="BH162" i="1"/>
  <c r="BI162" i="1" s="1"/>
  <c r="BH91" i="1"/>
  <c r="BI91" i="1" s="1"/>
  <c r="BH3" i="1"/>
  <c r="BI3" i="1" s="1"/>
  <c r="BH2" i="1"/>
  <c r="BI2" i="1" s="1"/>
  <c r="BH313" i="1"/>
  <c r="BI313" i="1" s="1"/>
  <c r="BH261" i="1"/>
  <c r="BI261" i="1" s="1"/>
  <c r="BH249" i="1"/>
  <c r="BI249" i="1" s="1"/>
  <c r="BH371" i="1"/>
  <c r="BI371" i="1" s="1"/>
  <c r="BH375" i="1"/>
  <c r="BI375" i="1" s="1"/>
  <c r="BH414" i="1"/>
  <c r="BI414" i="1" s="1"/>
  <c r="BH283" i="1"/>
  <c r="BI283" i="1" s="1"/>
  <c r="BH128" i="1"/>
  <c r="BI128" i="1" s="1"/>
  <c r="BH422" i="1"/>
  <c r="BI422" i="1" s="1"/>
  <c r="BH312" i="1"/>
  <c r="BI312" i="1" s="1"/>
  <c r="BH230" i="1"/>
  <c r="BI230" i="1" s="1"/>
  <c r="BH398" i="1"/>
  <c r="BI398" i="1" s="1"/>
  <c r="BH308" i="1"/>
  <c r="BI308" i="1" s="1"/>
  <c r="BH119" i="1"/>
  <c r="BI119" i="1" s="1"/>
  <c r="BH191" i="1"/>
  <c r="BI191" i="1" s="1"/>
  <c r="BH459" i="1"/>
  <c r="BI459" i="1" s="1"/>
  <c r="BH411" i="1"/>
  <c r="BI411" i="1" s="1"/>
  <c r="BH183" i="1"/>
  <c r="BI183" i="1" s="1"/>
  <c r="BH240" i="1"/>
  <c r="BI240" i="1" s="1"/>
  <c r="BH272" i="1"/>
  <c r="BI272" i="1" s="1"/>
  <c r="BH460" i="1"/>
  <c r="BI460" i="1" s="1"/>
  <c r="AX419" i="1"/>
  <c r="AY419" i="1" s="1"/>
  <c r="AX109" i="1"/>
  <c r="AY109" i="1" s="1"/>
  <c r="AX481" i="1"/>
  <c r="AY481" i="1" s="1"/>
  <c r="AX287" i="1"/>
  <c r="AY287" i="1" s="1"/>
  <c r="BO287" i="1" s="1"/>
  <c r="AX4" i="1"/>
  <c r="AY4" i="1" s="1"/>
  <c r="AX385" i="1"/>
  <c r="AY385" i="1" s="1"/>
  <c r="BO385" i="1" s="1"/>
  <c r="AX7" i="1"/>
  <c r="AY7" i="1" s="1"/>
  <c r="AX38" i="1"/>
  <c r="AY38" i="1" s="1"/>
  <c r="AX457" i="1"/>
  <c r="AY457" i="1" s="1"/>
  <c r="AX350" i="1"/>
  <c r="AY350" i="1" s="1"/>
  <c r="BO350" i="1" s="1"/>
  <c r="AX372" i="1"/>
  <c r="AY372" i="1" s="1"/>
  <c r="AX151" i="1"/>
  <c r="AY151" i="1" s="1"/>
  <c r="AX140" i="1"/>
  <c r="AY140" i="1" s="1"/>
  <c r="BO140" i="1" s="1"/>
  <c r="BO281" i="1"/>
  <c r="BP281" i="1" s="1"/>
  <c r="BO467" i="1"/>
  <c r="BP467" i="1" s="1"/>
  <c r="BO251" i="1"/>
  <c r="BP251" i="1" s="1"/>
  <c r="BO423" i="1"/>
  <c r="BP423" i="1" s="1"/>
  <c r="BO139" i="1"/>
  <c r="BP139" i="1" s="1"/>
  <c r="BO222" i="1"/>
  <c r="BP222" i="1" s="1"/>
  <c r="BO397" i="1"/>
  <c r="BP397" i="1" s="1"/>
  <c r="BO404" i="1"/>
  <c r="BP404" i="1" s="1"/>
  <c r="BO407" i="1"/>
  <c r="BP407" i="1" s="1"/>
  <c r="BO233" i="1"/>
  <c r="BP233" i="1" s="1"/>
  <c r="BO85" i="1"/>
  <c r="BP85" i="1" s="1"/>
  <c r="BO288" i="1"/>
  <c r="BP288" i="1" s="1"/>
  <c r="BO22" i="1"/>
  <c r="BP22" i="1" s="1"/>
  <c r="BO415" i="1"/>
  <c r="BP415" i="1" s="1"/>
  <c r="BO32" i="1"/>
  <c r="BP32" i="1" s="1"/>
  <c r="BO45" i="1"/>
  <c r="BP45" i="1" s="1"/>
  <c r="BO48" i="1"/>
  <c r="BP48" i="1" s="1"/>
  <c r="BO25" i="1"/>
  <c r="BP25" i="1" s="1"/>
  <c r="BO261" i="1"/>
  <c r="BP261" i="1" s="1"/>
  <c r="BO118" i="1"/>
  <c r="BP118" i="1" s="1"/>
  <c r="BO199" i="1"/>
  <c r="BP199" i="1" s="1"/>
  <c r="BO381" i="1"/>
  <c r="BP381" i="1" s="1"/>
  <c r="BO198" i="1"/>
  <c r="BP198" i="1" s="1"/>
  <c r="BO503" i="1"/>
  <c r="BP503" i="1" s="1"/>
  <c r="BO411" i="1"/>
  <c r="BP411" i="1" s="1"/>
  <c r="BO136" i="1"/>
  <c r="BP136" i="1" s="1"/>
  <c r="BO485" i="1"/>
  <c r="BP485" i="1" s="1"/>
  <c r="BO448" i="1"/>
  <c r="BP448" i="1" s="1"/>
  <c r="AT140" i="1"/>
  <c r="AU140" i="1" s="1"/>
  <c r="BH140" i="1" s="1"/>
  <c r="AT350" i="1"/>
  <c r="AU350" i="1" s="1"/>
  <c r="BH350" i="1" s="1"/>
  <c r="AT372" i="1"/>
  <c r="AU372" i="1" s="1"/>
  <c r="AT151" i="1"/>
  <c r="AU151" i="1" s="1"/>
  <c r="AT419" i="1"/>
  <c r="AU419" i="1" s="1"/>
  <c r="AT7" i="1"/>
  <c r="AU7" i="1" s="1"/>
  <c r="AT15" i="1"/>
  <c r="AU15" i="1" s="1"/>
  <c r="AT236" i="1"/>
  <c r="AU236" i="1" s="1"/>
  <c r="BH236" i="1" s="1"/>
  <c r="AU393" i="1"/>
  <c r="AT38" i="1"/>
  <c r="AU38" i="1" s="1"/>
  <c r="AT229" i="1"/>
  <c r="AU229" i="1" s="1"/>
  <c r="BH229" i="1" s="1"/>
  <c r="AU173" i="1"/>
  <c r="BH173" i="1" s="1"/>
  <c r="AU109" i="1"/>
  <c r="AU481" i="1"/>
  <c r="AU287" i="1"/>
  <c r="BH287" i="1" s="1"/>
  <c r="S67" i="1"/>
  <c r="S226" i="1"/>
  <c r="S229" i="1"/>
  <c r="S105" i="1"/>
  <c r="S462" i="1"/>
  <c r="S218" i="1"/>
  <c r="S169" i="1"/>
  <c r="S75" i="1"/>
  <c r="S483" i="1"/>
  <c r="S465" i="1"/>
  <c r="S379" i="1"/>
  <c r="S64" i="1"/>
  <c r="S207" i="1"/>
  <c r="AA207" i="1" s="1"/>
  <c r="AB207" i="1" s="1"/>
  <c r="Y207" i="1" s="1"/>
  <c r="Z207" i="1" s="1"/>
  <c r="S482" i="1"/>
  <c r="S418" i="1"/>
  <c r="S460" i="1"/>
  <c r="S464" i="1"/>
  <c r="S428" i="1"/>
  <c r="S298" i="1"/>
  <c r="S353" i="1"/>
  <c r="S253" i="1"/>
  <c r="S221" i="1"/>
  <c r="S175" i="1"/>
  <c r="S60" i="1"/>
  <c r="AA60" i="1" s="1"/>
  <c r="AB60" i="1" s="1"/>
  <c r="Y60" i="1" s="1"/>
  <c r="Z60" i="1" s="1"/>
  <c r="S56" i="1"/>
  <c r="S448" i="1"/>
  <c r="S450" i="1"/>
  <c r="S272" i="1"/>
  <c r="S242" i="1"/>
  <c r="AA242" i="1" s="1"/>
  <c r="AB242" i="1" s="1"/>
  <c r="Y242" i="1" s="1"/>
  <c r="Z242" i="1" s="1"/>
  <c r="S334" i="1"/>
  <c r="S157" i="1"/>
  <c r="S240" i="1"/>
  <c r="AA240" i="1" s="1"/>
  <c r="AB240" i="1" s="1"/>
  <c r="Y240" i="1" s="1"/>
  <c r="Z240" i="1" s="1"/>
  <c r="S87" i="1"/>
  <c r="S280" i="1"/>
  <c r="S141" i="1"/>
  <c r="S315" i="1"/>
  <c r="S202" i="1"/>
  <c r="S405" i="1"/>
  <c r="S426" i="1"/>
  <c r="S485" i="1"/>
  <c r="S297" i="1"/>
  <c r="S58" i="1"/>
  <c r="S101" i="1"/>
  <c r="S495" i="1"/>
  <c r="S136" i="1"/>
  <c r="S264" i="1"/>
  <c r="S180" i="1"/>
  <c r="AA180" i="1" s="1"/>
  <c r="AB180" i="1" s="1"/>
  <c r="Y180" i="1" s="1"/>
  <c r="Z180" i="1" s="1"/>
  <c r="S411" i="1"/>
  <c r="S309" i="1"/>
  <c r="S345" i="1"/>
  <c r="S181" i="1"/>
  <c r="AA181" i="1" s="1"/>
  <c r="AB181" i="1" s="1"/>
  <c r="Y181" i="1" s="1"/>
  <c r="Z181" i="1" s="1"/>
  <c r="S97" i="1"/>
  <c r="S206" i="1"/>
  <c r="S282" i="1"/>
  <c r="S431" i="1"/>
  <c r="S459" i="1"/>
  <c r="S158" i="1"/>
  <c r="S179" i="1"/>
  <c r="S504" i="1"/>
  <c r="S347" i="1"/>
  <c r="S451" i="1"/>
  <c r="S501" i="1"/>
  <c r="S499" i="1"/>
  <c r="S432" i="1"/>
  <c r="S274" i="1"/>
  <c r="S503" i="1"/>
  <c r="S476" i="1"/>
  <c r="AA476" i="1" s="1"/>
  <c r="AB476" i="1" s="1"/>
  <c r="Y476" i="1" s="1"/>
  <c r="Z476" i="1" s="1"/>
  <c r="S505" i="1"/>
  <c r="S191" i="1"/>
  <c r="S494" i="1"/>
  <c r="AA494" i="1" s="1"/>
  <c r="AB494" i="1" s="1"/>
  <c r="Y494" i="1" s="1"/>
  <c r="Z494" i="1" s="1"/>
  <c r="S104" i="1"/>
  <c r="S493" i="1"/>
  <c r="S341" i="1"/>
  <c r="S72" i="1"/>
  <c r="S332" i="1"/>
  <c r="S123" i="1"/>
  <c r="AA123" i="1" s="1"/>
  <c r="AB123" i="1" s="1"/>
  <c r="Y123" i="1" s="1"/>
  <c r="Z123" i="1" s="1"/>
  <c r="S413" i="1"/>
  <c r="S497" i="1"/>
  <c r="S295" i="1"/>
  <c r="S223" i="1"/>
  <c r="S296" i="1"/>
  <c r="S165" i="1"/>
  <c r="S463" i="1"/>
  <c r="AA463" i="1" s="1"/>
  <c r="AB463" i="1" s="1"/>
  <c r="Y463" i="1" s="1"/>
  <c r="Z463" i="1" s="1"/>
  <c r="S170" i="1"/>
  <c r="S140" i="1"/>
  <c r="S228" i="1"/>
  <c r="S110" i="1"/>
  <c r="S388" i="1"/>
  <c r="S137" i="1"/>
  <c r="S119" i="1"/>
  <c r="S301" i="1"/>
  <c r="S308" i="1"/>
  <c r="S211" i="1"/>
  <c r="AA211" i="1" s="1"/>
  <c r="AB211" i="1" s="1"/>
  <c r="Y211" i="1" s="1"/>
  <c r="Z211" i="1" s="1"/>
  <c r="S396" i="1"/>
  <c r="S447" i="1"/>
  <c r="S214" i="1"/>
  <c r="S337" i="1"/>
  <c r="S394" i="1"/>
  <c r="S98" i="1"/>
  <c r="S167" i="1"/>
  <c r="AA167" i="1" s="1"/>
  <c r="AB167" i="1" s="1"/>
  <c r="Y167" i="1" s="1"/>
  <c r="Z167" i="1" s="1"/>
  <c r="S303" i="1"/>
  <c r="S159" i="1"/>
  <c r="S243" i="1"/>
  <c r="S197" i="1"/>
  <c r="S398" i="1"/>
  <c r="S461" i="1"/>
  <c r="S395" i="1"/>
  <c r="S230" i="1"/>
  <c r="S312" i="1"/>
  <c r="S65" i="1"/>
  <c r="S433" i="1"/>
  <c r="S425" i="1"/>
  <c r="S151" i="1"/>
  <c r="S117" i="1"/>
  <c r="S500" i="1"/>
  <c r="S446" i="1"/>
  <c r="S410" i="1"/>
  <c r="S73" i="1"/>
  <c r="S152" i="1"/>
  <c r="S492" i="1"/>
  <c r="AA492" i="1" s="1"/>
  <c r="AB492" i="1" s="1"/>
  <c r="S190" i="1"/>
  <c r="S266" i="1"/>
  <c r="S156" i="1"/>
  <c r="AA156" i="1" s="1"/>
  <c r="AB156" i="1" s="1"/>
  <c r="Y156" i="1" s="1"/>
  <c r="Z156" i="1" s="1"/>
  <c r="S502" i="1"/>
  <c r="S145" i="1"/>
  <c r="AA145" i="1" s="1"/>
  <c r="AB145" i="1" s="1"/>
  <c r="Y145" i="1" s="1"/>
  <c r="Z145" i="1" s="1"/>
  <c r="S335" i="1"/>
  <c r="S498" i="1"/>
  <c r="S422" i="1"/>
  <c r="S89" i="1"/>
  <c r="S103" i="1"/>
  <c r="AA103" i="1" s="1"/>
  <c r="AB103" i="1" s="1"/>
  <c r="Y103" i="1" s="1"/>
  <c r="Z103" i="1" s="1"/>
  <c r="S144" i="1"/>
  <c r="S472" i="1"/>
  <c r="S161" i="1"/>
  <c r="S195" i="1"/>
  <c r="S133" i="1"/>
  <c r="S122" i="1"/>
  <c r="S212" i="1"/>
  <c r="S469" i="1"/>
  <c r="S217" i="1"/>
  <c r="S128" i="1"/>
  <c r="S412" i="1"/>
  <c r="S150" i="1"/>
  <c r="S115" i="1"/>
  <c r="S193" i="1"/>
  <c r="S192" i="1"/>
  <c r="AA192" i="1" s="1"/>
  <c r="AB192" i="1" s="1"/>
  <c r="Y192" i="1" s="1"/>
  <c r="Z192" i="1" s="1"/>
  <c r="S480" i="1"/>
  <c r="S203" i="1"/>
  <c r="AA203" i="1" s="1"/>
  <c r="AB203" i="1" s="1"/>
  <c r="Y203" i="1" s="1"/>
  <c r="Z203" i="1" s="1"/>
  <c r="S142" i="1"/>
  <c r="S333" i="1"/>
  <c r="S355" i="1"/>
  <c r="S283" i="1"/>
  <c r="S153" i="1"/>
  <c r="S329" i="1"/>
  <c r="S360" i="1"/>
  <c r="S354" i="1"/>
  <c r="S420" i="1"/>
  <c r="S488" i="1"/>
  <c r="S442" i="1"/>
  <c r="S239" i="1"/>
  <c r="AA239" i="1" s="1"/>
  <c r="AB239" i="1" s="1"/>
  <c r="S336" i="1"/>
  <c r="AA336" i="1" s="1"/>
  <c r="AB336" i="1" s="1"/>
  <c r="S458" i="1"/>
  <c r="S246" i="1"/>
  <c r="S184" i="1"/>
  <c r="S436" i="1"/>
  <c r="S427" i="1"/>
  <c r="AA427" i="1" s="1"/>
  <c r="AB427" i="1" s="1"/>
  <c r="S414" i="1"/>
  <c r="S178" i="1"/>
  <c r="S121" i="1"/>
  <c r="S124" i="1"/>
  <c r="S375" i="1"/>
  <c r="S381" i="1"/>
  <c r="S367" i="1"/>
  <c r="S363" i="1"/>
  <c r="S366" i="1"/>
  <c r="S374" i="1"/>
  <c r="S361" i="1"/>
  <c r="S314" i="1"/>
  <c r="S319" i="1"/>
  <c r="S318" i="1"/>
  <c r="S372" i="1"/>
  <c r="S378" i="1"/>
  <c r="S370" i="1"/>
  <c r="S365" i="1"/>
  <c r="S350" i="1"/>
  <c r="S227" i="1"/>
  <c r="S216" i="1"/>
  <c r="S220" i="1"/>
  <c r="S386" i="1"/>
  <c r="S362" i="1"/>
  <c r="S356" i="1"/>
  <c r="S328" i="1"/>
  <c r="S249" i="1"/>
  <c r="S252" i="1"/>
  <c r="S306" i="1"/>
  <c r="AA306" i="1" s="1"/>
  <c r="AB306" i="1" s="1"/>
  <c r="S199" i="1"/>
  <c r="S241" i="1"/>
  <c r="S358" i="1"/>
  <c r="S160" i="1"/>
  <c r="S118" i="1"/>
  <c r="AA118" i="1" s="1"/>
  <c r="AB118" i="1" s="1"/>
  <c r="Y118" i="1" s="1"/>
  <c r="Z118" i="1" s="1"/>
  <c r="S62" i="1"/>
  <c r="S369" i="1"/>
  <c r="AA369" i="1" s="1"/>
  <c r="AB369" i="1" s="1"/>
  <c r="Y369" i="1" s="1"/>
  <c r="Z369" i="1" s="1"/>
  <c r="S286" i="1"/>
  <c r="S261" i="1"/>
  <c r="S231" i="1"/>
  <c r="S457" i="1"/>
  <c r="S455" i="1"/>
  <c r="S452" i="1"/>
  <c r="S25" i="1"/>
  <c r="S23" i="1"/>
  <c r="AA23" i="1" s="1"/>
  <c r="AB23" i="1" s="1"/>
  <c r="Y23" i="1" s="1"/>
  <c r="Z23" i="1" s="1"/>
  <c r="S48" i="1"/>
  <c r="S50" i="1"/>
  <c r="S37" i="1"/>
  <c r="S35" i="1"/>
  <c r="S441" i="1"/>
  <c r="S26" i="1"/>
  <c r="S424" i="1"/>
  <c r="S445" i="1"/>
  <c r="S38" i="1"/>
  <c r="S12" i="1"/>
  <c r="AA12" i="1" s="1"/>
  <c r="AB12" i="1" s="1"/>
  <c r="Y12" i="1" s="1"/>
  <c r="Z12" i="1" s="1"/>
  <c r="S18" i="1"/>
  <c r="S49" i="1"/>
  <c r="S36" i="1"/>
  <c r="AA36" i="1" s="1"/>
  <c r="AB36" i="1" s="1"/>
  <c r="S54" i="1"/>
  <c r="S52" i="1"/>
  <c r="AA52" i="1" s="1"/>
  <c r="AB52" i="1" s="1"/>
  <c r="Y52" i="1" s="1"/>
  <c r="Z52" i="1" s="1"/>
  <c r="S382" i="1"/>
  <c r="S45" i="1"/>
  <c r="S331" i="1"/>
  <c r="S325" i="1"/>
  <c r="S313" i="1"/>
  <c r="S32" i="1"/>
  <c r="S41" i="1"/>
  <c r="AA41" i="1" s="1"/>
  <c r="AB41" i="1" s="1"/>
  <c r="Y41" i="1" s="1"/>
  <c r="Z41" i="1" s="1"/>
  <c r="S349" i="1"/>
  <c r="S279" i="1"/>
  <c r="S16" i="1"/>
  <c r="AA16" i="1" s="1"/>
  <c r="AB16" i="1" s="1"/>
  <c r="Y16" i="1" s="1"/>
  <c r="Z16" i="1" s="1"/>
  <c r="S13" i="1"/>
  <c r="S2" i="1"/>
  <c r="S247" i="1"/>
  <c r="S415" i="1"/>
  <c r="AA415" i="1" s="1"/>
  <c r="AB415" i="1" s="1"/>
  <c r="Y415" i="1" s="1"/>
  <c r="Z415" i="1" s="1"/>
  <c r="S47" i="1"/>
  <c r="S28" i="1"/>
  <c r="S22" i="1"/>
  <c r="S11" i="1"/>
  <c r="S232" i="1"/>
  <c r="S285" i="1"/>
  <c r="S5" i="1"/>
  <c r="S3" i="1"/>
  <c r="AA3" i="1" s="1"/>
  <c r="AB3" i="1" s="1"/>
  <c r="Y3" i="1" s="1"/>
  <c r="Z3" i="1" s="1"/>
  <c r="S113" i="1"/>
  <c r="S385" i="1"/>
  <c r="S21" i="1"/>
  <c r="S17" i="1"/>
  <c r="S389" i="1"/>
  <c r="S368" i="1"/>
  <c r="S340" i="1"/>
  <c r="S46" i="1"/>
  <c r="S302" i="1"/>
  <c r="S473" i="1"/>
  <c r="S250" i="1"/>
  <c r="S235" i="1"/>
  <c r="S95" i="1"/>
  <c r="S91" i="1"/>
  <c r="S138" i="1"/>
  <c r="S262" i="1"/>
  <c r="S189" i="1"/>
  <c r="S377" i="1"/>
  <c r="S330" i="1"/>
  <c r="S316" i="1"/>
  <c r="S210" i="1"/>
  <c r="S391" i="1"/>
  <c r="S94" i="1"/>
  <c r="S327" i="1"/>
  <c r="S390" i="1"/>
  <c r="S339" i="1"/>
  <c r="S63" i="1"/>
  <c r="S351" i="1"/>
  <c r="S326" i="1"/>
  <c r="S304" i="1"/>
  <c r="S311" i="1"/>
  <c r="S346" i="1"/>
  <c r="AA346" i="1" s="1"/>
  <c r="AB346" i="1" s="1"/>
  <c r="Y346" i="1" s="1"/>
  <c r="Z346" i="1" s="1"/>
  <c r="S268" i="1"/>
  <c r="S92" i="1"/>
  <c r="S107" i="1"/>
  <c r="S305" i="1"/>
  <c r="S112" i="1"/>
  <c r="S307" i="1"/>
  <c r="S276" i="1"/>
  <c r="S245" i="1"/>
  <c r="S244" i="1"/>
  <c r="S130" i="1"/>
  <c r="S324" i="1"/>
  <c r="S135" i="1"/>
  <c r="S288" i="1"/>
  <c r="S162" i="1"/>
  <c r="S387" i="1"/>
  <c r="S409" i="1"/>
  <c r="S85" i="1"/>
  <c r="S237" i="1"/>
  <c r="S148" i="1"/>
  <c r="S233" i="1"/>
  <c r="S323" i="1"/>
  <c r="S438" i="1"/>
  <c r="S376" i="1"/>
  <c r="S149" i="1"/>
  <c r="S99" i="1"/>
  <c r="S407" i="1"/>
  <c r="S108" i="1"/>
  <c r="AA108" i="1" s="1"/>
  <c r="AB108" i="1" s="1"/>
  <c r="Y108" i="1" s="1"/>
  <c r="Z108" i="1" s="1"/>
  <c r="S321" i="1"/>
  <c r="S404" i="1"/>
  <c r="S401" i="1"/>
  <c r="S402" i="1"/>
  <c r="S397" i="1"/>
  <c r="S260" i="1"/>
  <c r="S471" i="1"/>
  <c r="S163" i="1"/>
  <c r="S205" i="1"/>
  <c r="S399" i="1"/>
  <c r="S364" i="1"/>
  <c r="S234" i="1"/>
  <c r="S222" i="1"/>
  <c r="S384" i="1"/>
  <c r="S139" i="1"/>
  <c r="S393" i="1"/>
  <c r="S343" i="1"/>
  <c r="S443" i="1"/>
  <c r="S423" i="1"/>
  <c r="S406" i="1"/>
  <c r="S322" i="1"/>
  <c r="S290" i="1"/>
  <c r="S291" i="1"/>
  <c r="S34" i="1"/>
  <c r="AA34" i="1" s="1"/>
  <c r="AB34" i="1" s="1"/>
  <c r="Y34" i="1" s="1"/>
  <c r="Z34" i="1" s="1"/>
  <c r="S342" i="1"/>
  <c r="S255" i="1"/>
  <c r="S481" i="1"/>
  <c r="S194" i="1"/>
  <c r="S201" i="1"/>
  <c r="S100" i="1"/>
  <c r="AA100" i="1" s="1"/>
  <c r="AB100" i="1" s="1"/>
  <c r="Y100" i="1" s="1"/>
  <c r="Z100" i="1" s="1"/>
  <c r="S109" i="1"/>
  <c r="S102" i="1"/>
  <c r="S421" i="1"/>
  <c r="S403" i="1"/>
  <c r="S479" i="1"/>
  <c r="S88" i="1"/>
  <c r="S86" i="1"/>
  <c r="S81" i="1"/>
  <c r="S489" i="1"/>
  <c r="S79" i="1"/>
  <c r="S491" i="1"/>
  <c r="S83" i="1"/>
  <c r="S84" i="1"/>
  <c r="S80" i="1"/>
  <c r="S440" i="1"/>
  <c r="S78" i="1"/>
  <c r="S77" i="1"/>
  <c r="S76" i="1"/>
  <c r="S487" i="1"/>
  <c r="S484" i="1"/>
  <c r="S74" i="1"/>
  <c r="S70" i="1"/>
  <c r="AA70" i="1" s="1"/>
  <c r="AB70" i="1" s="1"/>
  <c r="Y70" i="1" s="1"/>
  <c r="Z70" i="1" s="1"/>
  <c r="S69" i="1"/>
  <c r="S71" i="1"/>
  <c r="S143" i="1"/>
  <c r="S66" i="1"/>
  <c r="S270" i="1"/>
  <c r="S444" i="1"/>
  <c r="S257" i="1"/>
  <c r="S434" i="1"/>
  <c r="S254" i="1"/>
  <c r="S263" i="1"/>
  <c r="S147" i="1"/>
  <c r="S236" i="1"/>
  <c r="S437" i="1"/>
  <c r="S215" i="1"/>
  <c r="S177" i="1"/>
  <c r="S348" i="1"/>
  <c r="S251" i="1"/>
  <c r="AA251" i="1" s="1"/>
  <c r="AB251" i="1" s="1"/>
  <c r="Y251" i="1" s="1"/>
  <c r="Z251" i="1" s="1"/>
  <c r="S238" i="1"/>
  <c r="S466" i="1"/>
  <c r="S467" i="1"/>
  <c r="S44" i="1"/>
  <c r="S271" i="1"/>
  <c r="S256" i="1"/>
  <c r="S134" i="1"/>
  <c r="S173" i="1"/>
  <c r="S168" i="1"/>
  <c r="S155" i="1"/>
  <c r="S125" i="1"/>
  <c r="S164" i="1"/>
  <c r="S131" i="1"/>
  <c r="S114" i="1"/>
  <c r="S281" i="1"/>
  <c r="S204" i="1"/>
  <c r="S453" i="1"/>
  <c r="S449" i="1"/>
  <c r="S33" i="1"/>
  <c r="S15" i="1"/>
  <c r="S439" i="1"/>
  <c r="S496" i="1"/>
  <c r="S435" i="1"/>
  <c r="S9" i="1"/>
  <c r="S419" i="1"/>
  <c r="S468" i="1"/>
  <c r="S430" i="1"/>
  <c r="S429" i="1"/>
  <c r="R417" i="1"/>
  <c r="S417" i="1" s="1"/>
  <c r="R67" i="1"/>
  <c r="R226" i="1"/>
  <c r="R338" i="1"/>
  <c r="S338" i="1" s="1"/>
  <c r="R229" i="1"/>
  <c r="R105" i="1"/>
  <c r="R462" i="1"/>
  <c r="R218" i="1"/>
  <c r="R169" i="1"/>
  <c r="R75" i="1"/>
  <c r="R486" i="1"/>
  <c r="S486" i="1" s="1"/>
  <c r="R483" i="1"/>
  <c r="R465" i="1"/>
  <c r="R379" i="1"/>
  <c r="R64" i="1"/>
  <c r="R207" i="1"/>
  <c r="R482" i="1"/>
  <c r="R418" i="1"/>
  <c r="R460" i="1"/>
  <c r="R464" i="1"/>
  <c r="R428" i="1"/>
  <c r="R298" i="1"/>
  <c r="R353" i="1"/>
  <c r="R253" i="1"/>
  <c r="R221" i="1"/>
  <c r="R175" i="1"/>
  <c r="R60" i="1"/>
  <c r="R56" i="1"/>
  <c r="R448" i="1"/>
  <c r="R450" i="1"/>
  <c r="R120" i="1"/>
  <c r="S120" i="1" s="1"/>
  <c r="R272" i="1"/>
  <c r="R242" i="1"/>
  <c r="R334" i="1"/>
  <c r="R157" i="1"/>
  <c r="R240" i="1"/>
  <c r="R87" i="1"/>
  <c r="R280" i="1"/>
  <c r="R141" i="1"/>
  <c r="R315" i="1"/>
  <c r="R202" i="1"/>
  <c r="R405" i="1"/>
  <c r="R426" i="1"/>
  <c r="R183" i="1"/>
  <c r="S183" i="1" s="1"/>
  <c r="R485" i="1"/>
  <c r="R297" i="1"/>
  <c r="R225" i="1"/>
  <c r="S225" i="1" s="1"/>
  <c r="R58" i="1"/>
  <c r="R101" i="1"/>
  <c r="R495" i="1"/>
  <c r="R200" i="1"/>
  <c r="S200" i="1" s="1"/>
  <c r="R111" i="1"/>
  <c r="S111" i="1" s="1"/>
  <c r="R136" i="1"/>
  <c r="R264" i="1"/>
  <c r="R344" i="1"/>
  <c r="S344" i="1" s="1"/>
  <c r="AA344" i="1" s="1"/>
  <c r="AB344" i="1" s="1"/>
  <c r="Y344" i="1" s="1"/>
  <c r="Z344" i="1" s="1"/>
  <c r="R180" i="1"/>
  <c r="R411" i="1"/>
  <c r="R309" i="1"/>
  <c r="R345" i="1"/>
  <c r="R181" i="1"/>
  <c r="R97" i="1"/>
  <c r="R206" i="1"/>
  <c r="R282" i="1"/>
  <c r="R154" i="1"/>
  <c r="S154" i="1" s="1"/>
  <c r="R431" i="1"/>
  <c r="R459" i="1"/>
  <c r="R158" i="1"/>
  <c r="R278" i="1"/>
  <c r="S278" i="1" s="1"/>
  <c r="R179" i="1"/>
  <c r="R504" i="1"/>
  <c r="R347" i="1"/>
  <c r="R451" i="1"/>
  <c r="R501" i="1"/>
  <c r="R499" i="1"/>
  <c r="R432" i="1"/>
  <c r="R274" i="1"/>
  <c r="R503" i="1"/>
  <c r="R476" i="1"/>
  <c r="R505" i="1"/>
  <c r="R191" i="1"/>
  <c r="R494" i="1"/>
  <c r="R104" i="1"/>
  <c r="R493" i="1"/>
  <c r="R341" i="1"/>
  <c r="R72" i="1"/>
  <c r="R332" i="1"/>
  <c r="R123" i="1"/>
  <c r="R413" i="1"/>
  <c r="R497" i="1"/>
  <c r="R295" i="1"/>
  <c r="R127" i="1"/>
  <c r="S127" i="1" s="1"/>
  <c r="AA127" i="1" s="1"/>
  <c r="AB127" i="1" s="1"/>
  <c r="Y127" i="1" s="1"/>
  <c r="Z127" i="1" s="1"/>
  <c r="R223" i="1"/>
  <c r="R296" i="1"/>
  <c r="R165" i="1"/>
  <c r="R463" i="1"/>
  <c r="R170" i="1"/>
  <c r="R140" i="1"/>
  <c r="R228" i="1"/>
  <c r="R110" i="1"/>
  <c r="R388" i="1"/>
  <c r="R137" i="1"/>
  <c r="R119" i="1"/>
  <c r="R301" i="1"/>
  <c r="R308" i="1"/>
  <c r="R211" i="1"/>
  <c r="R352" i="1"/>
  <c r="S352" i="1" s="1"/>
  <c r="R396" i="1"/>
  <c r="R447" i="1"/>
  <c r="R214" i="1"/>
  <c r="R337" i="1"/>
  <c r="R394" i="1"/>
  <c r="R98" i="1"/>
  <c r="R167" i="1"/>
  <c r="R303" i="1"/>
  <c r="R159" i="1"/>
  <c r="R243" i="1"/>
  <c r="R456" i="1"/>
  <c r="S456" i="1" s="1"/>
  <c r="AA456" i="1" s="1"/>
  <c r="AB456" i="1" s="1"/>
  <c r="R197" i="1"/>
  <c r="R398" i="1"/>
  <c r="R408" i="1"/>
  <c r="S408" i="1" s="1"/>
  <c r="R461" i="1"/>
  <c r="R294" i="1"/>
  <c r="S294" i="1" s="1"/>
  <c r="R395" i="1"/>
  <c r="R230" i="1"/>
  <c r="R284" i="1"/>
  <c r="S284" i="1" s="1"/>
  <c r="AA284" i="1" s="1"/>
  <c r="AB284" i="1" s="1"/>
  <c r="Y284" i="1" s="1"/>
  <c r="Z284" i="1" s="1"/>
  <c r="R198" i="1"/>
  <c r="S198" i="1" s="1"/>
  <c r="R188" i="1"/>
  <c r="S188" i="1" s="1"/>
  <c r="R312" i="1"/>
  <c r="R55" i="1"/>
  <c r="S55" i="1" s="1"/>
  <c r="AA55" i="1" s="1"/>
  <c r="AB55" i="1" s="1"/>
  <c r="R65" i="1"/>
  <c r="R433" i="1"/>
  <c r="R425" i="1"/>
  <c r="R151" i="1"/>
  <c r="R171" i="1"/>
  <c r="S171" i="1" s="1"/>
  <c r="R117" i="1"/>
  <c r="R500" i="1"/>
  <c r="R446" i="1"/>
  <c r="R410" i="1"/>
  <c r="R73" i="1"/>
  <c r="R68" i="1"/>
  <c r="S68" i="1" s="1"/>
  <c r="R152" i="1"/>
  <c r="R492" i="1"/>
  <c r="R190" i="1"/>
  <c r="R266" i="1"/>
  <c r="R156" i="1"/>
  <c r="R502" i="1"/>
  <c r="R145" i="1"/>
  <c r="R335" i="1"/>
  <c r="R498" i="1"/>
  <c r="R422" i="1"/>
  <c r="R89" i="1"/>
  <c r="R103" i="1"/>
  <c r="R144" i="1"/>
  <c r="R472" i="1"/>
  <c r="R161" i="1"/>
  <c r="R195" i="1"/>
  <c r="R133" i="1"/>
  <c r="R122" i="1"/>
  <c r="R265" i="1"/>
  <c r="S265" i="1" s="1"/>
  <c r="R212" i="1"/>
  <c r="R469" i="1"/>
  <c r="R196" i="1"/>
  <c r="S196" i="1" s="1"/>
  <c r="R217" i="1"/>
  <c r="R128" i="1"/>
  <c r="R412" i="1"/>
  <c r="R150" i="1"/>
  <c r="R115" i="1"/>
  <c r="R193" i="1"/>
  <c r="R186" i="1"/>
  <c r="S186" i="1" s="1"/>
  <c r="R359" i="1"/>
  <c r="S359" i="1" s="1"/>
  <c r="AA359" i="1" s="1"/>
  <c r="AB359" i="1" s="1"/>
  <c r="Y359" i="1" s="1"/>
  <c r="Z359" i="1" s="1"/>
  <c r="R192" i="1"/>
  <c r="R82" i="1"/>
  <c r="S82" i="1" s="1"/>
  <c r="R248" i="1"/>
  <c r="S248" i="1" s="1"/>
  <c r="R480" i="1"/>
  <c r="R203" i="1"/>
  <c r="R142" i="1"/>
  <c r="R333" i="1"/>
  <c r="R355" i="1"/>
  <c r="R283" i="1"/>
  <c r="R153" i="1"/>
  <c r="R329" i="1"/>
  <c r="R360" i="1"/>
  <c r="R354" i="1"/>
  <c r="R420" i="1"/>
  <c r="R488" i="1"/>
  <c r="R442" i="1"/>
  <c r="R239" i="1"/>
  <c r="R336" i="1"/>
  <c r="R458" i="1"/>
  <c r="R246" i="1"/>
  <c r="R184" i="1"/>
  <c r="R436" i="1"/>
  <c r="R427" i="1"/>
  <c r="R414" i="1"/>
  <c r="R178" i="1"/>
  <c r="R121" i="1"/>
  <c r="R124" i="1"/>
  <c r="R375" i="1"/>
  <c r="R381" i="1"/>
  <c r="R373" i="1"/>
  <c r="S373" i="1" s="1"/>
  <c r="R367" i="1"/>
  <c r="R363" i="1"/>
  <c r="R366" i="1"/>
  <c r="R371" i="1"/>
  <c r="S371" i="1" s="1"/>
  <c r="R374" i="1"/>
  <c r="R380" i="1"/>
  <c r="S380" i="1" s="1"/>
  <c r="R361" i="1"/>
  <c r="R314" i="1"/>
  <c r="R319" i="1"/>
  <c r="R318" i="1"/>
  <c r="R372" i="1"/>
  <c r="R378" i="1"/>
  <c r="R370" i="1"/>
  <c r="R365" i="1"/>
  <c r="R350" i="1"/>
  <c r="R227" i="1"/>
  <c r="R216" i="1"/>
  <c r="R220" i="1"/>
  <c r="R386" i="1"/>
  <c r="R362" i="1"/>
  <c r="R356" i="1"/>
  <c r="R328" i="1"/>
  <c r="R249" i="1"/>
  <c r="R252" i="1"/>
  <c r="R306" i="1"/>
  <c r="R199" i="1"/>
  <c r="R241" i="1"/>
  <c r="R358" i="1"/>
  <c r="R160" i="1"/>
  <c r="R118" i="1"/>
  <c r="R62" i="1"/>
  <c r="R369" i="1"/>
  <c r="R286" i="1"/>
  <c r="R261" i="1"/>
  <c r="R231" i="1"/>
  <c r="R90" i="1"/>
  <c r="S90" i="1" s="1"/>
  <c r="AA90" i="1" s="1"/>
  <c r="AB90" i="1" s="1"/>
  <c r="Y90" i="1" s="1"/>
  <c r="Z90" i="1" s="1"/>
  <c r="R208" i="1"/>
  <c r="S208" i="1" s="1"/>
  <c r="R457" i="1"/>
  <c r="R455" i="1"/>
  <c r="R51" i="1"/>
  <c r="S51" i="1" s="1"/>
  <c r="AA51" i="1" s="1"/>
  <c r="AB51" i="1" s="1"/>
  <c r="Y51" i="1" s="1"/>
  <c r="Z51" i="1" s="1"/>
  <c r="R452" i="1"/>
  <c r="R25" i="1"/>
  <c r="R23" i="1"/>
  <c r="R20" i="1"/>
  <c r="S20" i="1" s="1"/>
  <c r="R14" i="1"/>
  <c r="S14" i="1" s="1"/>
  <c r="R48" i="1"/>
  <c r="R50" i="1"/>
  <c r="R37" i="1"/>
  <c r="R35" i="1"/>
  <c r="R30" i="1"/>
  <c r="S30" i="1" s="1"/>
  <c r="AA30" i="1" s="1"/>
  <c r="AB30" i="1" s="1"/>
  <c r="Y30" i="1" s="1"/>
  <c r="Z30" i="1" s="1"/>
  <c r="R441" i="1"/>
  <c r="R26" i="1"/>
  <c r="R24" i="1"/>
  <c r="S24" i="1" s="1"/>
  <c r="R424" i="1"/>
  <c r="R39" i="1"/>
  <c r="S39" i="1" s="1"/>
  <c r="AA39" i="1" s="1"/>
  <c r="AB39" i="1" s="1"/>
  <c r="R53" i="1"/>
  <c r="S53" i="1" s="1"/>
  <c r="R445" i="1"/>
  <c r="R38" i="1"/>
  <c r="R61" i="1"/>
  <c r="S61" i="1" s="1"/>
  <c r="R12" i="1"/>
  <c r="R43" i="1"/>
  <c r="S43" i="1" s="1"/>
  <c r="AA43" i="1" s="1"/>
  <c r="AB43" i="1" s="1"/>
  <c r="Y43" i="1" s="1"/>
  <c r="Z43" i="1" s="1"/>
  <c r="R7" i="1"/>
  <c r="S7" i="1" s="1"/>
  <c r="R18" i="1"/>
  <c r="R49" i="1"/>
  <c r="R36" i="1"/>
  <c r="R8" i="1"/>
  <c r="S8" i="1" s="1"/>
  <c r="AA8" i="1" s="1"/>
  <c r="AB8" i="1" s="1"/>
  <c r="Y8" i="1" s="1"/>
  <c r="Z8" i="1" s="1"/>
  <c r="R54" i="1"/>
  <c r="R52" i="1"/>
  <c r="R382" i="1"/>
  <c r="R45" i="1"/>
  <c r="R331" i="1"/>
  <c r="R325" i="1"/>
  <c r="R313" i="1"/>
  <c r="R32" i="1"/>
  <c r="R41" i="1"/>
  <c r="R349" i="1"/>
  <c r="R27" i="1"/>
  <c r="S27" i="1" s="1"/>
  <c r="R31" i="1"/>
  <c r="S31" i="1" s="1"/>
  <c r="AA31" i="1" s="1"/>
  <c r="AB31" i="1" s="1"/>
  <c r="Y31" i="1" s="1"/>
  <c r="Z31" i="1" s="1"/>
  <c r="R279" i="1"/>
  <c r="R19" i="1"/>
  <c r="S19" i="1" s="1"/>
  <c r="R16" i="1"/>
  <c r="R13" i="1"/>
  <c r="R2" i="1"/>
  <c r="R299" i="1"/>
  <c r="S299" i="1" s="1"/>
  <c r="R247" i="1"/>
  <c r="R415" i="1"/>
  <c r="R42" i="1"/>
  <c r="S42" i="1" s="1"/>
  <c r="AA42" i="1" s="1"/>
  <c r="AB42" i="1" s="1"/>
  <c r="R47" i="1"/>
  <c r="R28" i="1"/>
  <c r="R22" i="1"/>
  <c r="R11" i="1"/>
  <c r="R232" i="1"/>
  <c r="R285" i="1"/>
  <c r="R10" i="1"/>
  <c r="S10" i="1" s="1"/>
  <c r="AA10" i="1" s="1"/>
  <c r="AB10" i="1" s="1"/>
  <c r="Y10" i="1" s="1"/>
  <c r="Z10" i="1" s="1"/>
  <c r="R5" i="1"/>
  <c r="R3" i="1"/>
  <c r="R113" i="1"/>
  <c r="R385" i="1"/>
  <c r="R21" i="1"/>
  <c r="R17" i="1"/>
  <c r="R40" i="1"/>
  <c r="S40" i="1" s="1"/>
  <c r="R4" i="1"/>
  <c r="S4" i="1" s="1"/>
  <c r="R389" i="1"/>
  <c r="R368" i="1"/>
  <c r="R340" i="1"/>
  <c r="R46" i="1"/>
  <c r="R302" i="1"/>
  <c r="R473" i="1"/>
  <c r="R250" i="1"/>
  <c r="R235" i="1"/>
  <c r="R95" i="1"/>
  <c r="R91" i="1"/>
  <c r="R106" i="1"/>
  <c r="S106" i="1" s="1"/>
  <c r="AA106" i="1" s="1"/>
  <c r="AB106" i="1" s="1"/>
  <c r="Y106" i="1" s="1"/>
  <c r="Z106" i="1" s="1"/>
  <c r="R138" i="1"/>
  <c r="R262" i="1"/>
  <c r="R189" i="1"/>
  <c r="R377" i="1"/>
  <c r="R258" i="1"/>
  <c r="S258" i="1" s="1"/>
  <c r="R330" i="1"/>
  <c r="R316" i="1"/>
  <c r="R210" i="1"/>
  <c r="R93" i="1"/>
  <c r="S93" i="1" s="1"/>
  <c r="R391" i="1"/>
  <c r="R94" i="1"/>
  <c r="R327" i="1"/>
  <c r="R390" i="1"/>
  <c r="R339" i="1"/>
  <c r="R63" i="1"/>
  <c r="R351" i="1"/>
  <c r="R326" i="1"/>
  <c r="R304" i="1"/>
  <c r="R311" i="1"/>
  <c r="R346" i="1"/>
  <c r="R310" i="1"/>
  <c r="S310" i="1" s="1"/>
  <c r="R268" i="1"/>
  <c r="R92" i="1"/>
  <c r="R107" i="1"/>
  <c r="R305" i="1"/>
  <c r="R112" i="1"/>
  <c r="R126" i="1"/>
  <c r="S126" i="1" s="1"/>
  <c r="AA126" i="1" s="1"/>
  <c r="AB126" i="1" s="1"/>
  <c r="Y126" i="1" s="1"/>
  <c r="Z126" i="1" s="1"/>
  <c r="R307" i="1"/>
  <c r="R276" i="1"/>
  <c r="R245" i="1"/>
  <c r="R244" i="1"/>
  <c r="R130" i="1"/>
  <c r="R324" i="1"/>
  <c r="R293" i="1"/>
  <c r="S293" i="1" s="1"/>
  <c r="R135" i="1"/>
  <c r="R288" i="1"/>
  <c r="R162" i="1"/>
  <c r="R387" i="1"/>
  <c r="R409" i="1"/>
  <c r="R85" i="1"/>
  <c r="R237" i="1"/>
  <c r="R57" i="1"/>
  <c r="S57" i="1" s="1"/>
  <c r="R148" i="1"/>
  <c r="R233" i="1"/>
  <c r="R383" i="1"/>
  <c r="S383" i="1" s="1"/>
  <c r="R490" i="1"/>
  <c r="S490" i="1" s="1"/>
  <c r="R323" i="1"/>
  <c r="R438" i="1"/>
  <c r="R376" i="1"/>
  <c r="R149" i="1"/>
  <c r="R99" i="1"/>
  <c r="R407" i="1"/>
  <c r="R108" i="1"/>
  <c r="R321" i="1"/>
  <c r="R404" i="1"/>
  <c r="R401" i="1"/>
  <c r="R400" i="1"/>
  <c r="S400" i="1" s="1"/>
  <c r="R402" i="1"/>
  <c r="R397" i="1"/>
  <c r="R260" i="1"/>
  <c r="R471" i="1"/>
  <c r="R163" i="1"/>
  <c r="R205" i="1"/>
  <c r="R399" i="1"/>
  <c r="R364" i="1"/>
  <c r="R234" i="1"/>
  <c r="R222" i="1"/>
  <c r="R187" i="1"/>
  <c r="S187" i="1" s="1"/>
  <c r="R384" i="1"/>
  <c r="R273" i="1"/>
  <c r="S273" i="1" s="1"/>
  <c r="R139" i="1"/>
  <c r="R393" i="1"/>
  <c r="R343" i="1"/>
  <c r="R443" i="1"/>
  <c r="R423" i="1"/>
  <c r="R406" i="1"/>
  <c r="R322" i="1"/>
  <c r="R290" i="1"/>
  <c r="R291" i="1"/>
  <c r="R34" i="1"/>
  <c r="R342" i="1"/>
  <c r="R287" i="1"/>
  <c r="S287" i="1" s="1"/>
  <c r="R259" i="1"/>
  <c r="S259" i="1" s="1"/>
  <c r="R255" i="1"/>
  <c r="R481" i="1"/>
  <c r="R194" i="1"/>
  <c r="R201" i="1"/>
  <c r="R100" i="1"/>
  <c r="R109" i="1"/>
  <c r="R102" i="1"/>
  <c r="R421" i="1"/>
  <c r="R403" i="1"/>
  <c r="R479" i="1"/>
  <c r="R88" i="1"/>
  <c r="R86" i="1"/>
  <c r="R81" i="1"/>
  <c r="R489" i="1"/>
  <c r="R79" i="1"/>
  <c r="R491" i="1"/>
  <c r="R83" i="1"/>
  <c r="R84" i="1"/>
  <c r="R80" i="1"/>
  <c r="R440" i="1"/>
  <c r="R78" i="1"/>
  <c r="R77" i="1"/>
  <c r="R76" i="1"/>
  <c r="R59" i="1"/>
  <c r="S59" i="1" s="1"/>
  <c r="R487" i="1"/>
  <c r="R484" i="1"/>
  <c r="R74" i="1"/>
  <c r="R70" i="1"/>
  <c r="R69" i="1"/>
  <c r="R71" i="1"/>
  <c r="R143" i="1"/>
  <c r="R66" i="1"/>
  <c r="R270" i="1"/>
  <c r="R444" i="1"/>
  <c r="R257" i="1"/>
  <c r="R434" i="1"/>
  <c r="R254" i="1"/>
  <c r="R263" i="1"/>
  <c r="R174" i="1"/>
  <c r="S174" i="1" s="1"/>
  <c r="R147" i="1"/>
  <c r="R236" i="1"/>
  <c r="R437" i="1"/>
  <c r="R215" i="1"/>
  <c r="R177" i="1"/>
  <c r="R348" i="1"/>
  <c r="R251" i="1"/>
  <c r="R238" i="1"/>
  <c r="R466" i="1"/>
  <c r="R116" i="1"/>
  <c r="S116" i="1" s="1"/>
  <c r="R467" i="1"/>
  <c r="R44" i="1"/>
  <c r="R271" i="1"/>
  <c r="R256" i="1"/>
  <c r="R134" i="1"/>
  <c r="R173" i="1"/>
  <c r="R168" i="1"/>
  <c r="R155" i="1"/>
  <c r="R125" i="1"/>
  <c r="R164" i="1"/>
  <c r="R131" i="1"/>
  <c r="R114" i="1"/>
  <c r="R281" i="1"/>
  <c r="R204" i="1"/>
  <c r="R478" i="1"/>
  <c r="S478" i="1" s="1"/>
  <c r="R454" i="1"/>
  <c r="S454" i="1" s="1"/>
  <c r="R453" i="1"/>
  <c r="R449" i="1"/>
  <c r="R33" i="1"/>
  <c r="R15" i="1"/>
  <c r="R439" i="1"/>
  <c r="R496" i="1"/>
  <c r="R435" i="1"/>
  <c r="R9" i="1"/>
  <c r="R419" i="1"/>
  <c r="R468" i="1"/>
  <c r="R430" i="1"/>
  <c r="R429" i="1"/>
  <c r="AH96" i="1"/>
  <c r="AE96" i="1" s="1"/>
  <c r="AF96" i="1" s="1"/>
  <c r="W67" i="1"/>
  <c r="AM67" i="1" s="1"/>
  <c r="W226" i="1"/>
  <c r="AM226" i="1" s="1"/>
  <c r="W229" i="1"/>
  <c r="AM229" i="1" s="1"/>
  <c r="W105" i="1"/>
  <c r="AM105" i="1" s="1"/>
  <c r="W462" i="1"/>
  <c r="AM462" i="1" s="1"/>
  <c r="W218" i="1"/>
  <c r="AM218" i="1" s="1"/>
  <c r="W169" i="1"/>
  <c r="AM169" i="1" s="1"/>
  <c r="W75" i="1"/>
  <c r="AM75" i="1" s="1"/>
  <c r="W483" i="1"/>
  <c r="AM483" i="1" s="1"/>
  <c r="W465" i="1"/>
  <c r="AM465" i="1" s="1"/>
  <c r="W379" i="1"/>
  <c r="AM379" i="1" s="1"/>
  <c r="W64" i="1"/>
  <c r="AM64" i="1" s="1"/>
  <c r="W207" i="1"/>
  <c r="W482" i="1"/>
  <c r="AM482" i="1" s="1"/>
  <c r="W418" i="1"/>
  <c r="AM418" i="1" s="1"/>
  <c r="W460" i="1"/>
  <c r="AM460" i="1" s="1"/>
  <c r="W464" i="1"/>
  <c r="AM464" i="1" s="1"/>
  <c r="W428" i="1"/>
  <c r="AM428" i="1" s="1"/>
  <c r="W298" i="1"/>
  <c r="AM298" i="1" s="1"/>
  <c r="W353" i="1"/>
  <c r="AM353" i="1" s="1"/>
  <c r="W253" i="1"/>
  <c r="AM253" i="1" s="1"/>
  <c r="W221" i="1"/>
  <c r="AM221" i="1" s="1"/>
  <c r="W175" i="1"/>
  <c r="AM175" i="1" s="1"/>
  <c r="W60" i="1"/>
  <c r="W56" i="1"/>
  <c r="AM56" i="1" s="1"/>
  <c r="W448" i="1"/>
  <c r="AM448" i="1" s="1"/>
  <c r="W450" i="1"/>
  <c r="AM450" i="1" s="1"/>
  <c r="W272" i="1"/>
  <c r="AM272" i="1" s="1"/>
  <c r="W242" i="1"/>
  <c r="W334" i="1"/>
  <c r="AM334" i="1" s="1"/>
  <c r="W157" i="1"/>
  <c r="AM157" i="1" s="1"/>
  <c r="W240" i="1"/>
  <c r="W87" i="1"/>
  <c r="AM87" i="1" s="1"/>
  <c r="W280" i="1"/>
  <c r="AM280" i="1" s="1"/>
  <c r="W141" i="1"/>
  <c r="AM141" i="1" s="1"/>
  <c r="W315" i="1"/>
  <c r="AM315" i="1" s="1"/>
  <c r="W202" i="1"/>
  <c r="AM202" i="1" s="1"/>
  <c r="W405" i="1"/>
  <c r="AM405" i="1" s="1"/>
  <c r="W426" i="1"/>
  <c r="AM426" i="1" s="1"/>
  <c r="W485" i="1"/>
  <c r="AM485" i="1" s="1"/>
  <c r="W297" i="1"/>
  <c r="AM297" i="1" s="1"/>
  <c r="W58" i="1"/>
  <c r="AM58" i="1" s="1"/>
  <c r="W101" i="1"/>
  <c r="AM101" i="1" s="1"/>
  <c r="W495" i="1"/>
  <c r="AM495" i="1" s="1"/>
  <c r="W136" i="1"/>
  <c r="AM136" i="1" s="1"/>
  <c r="W264" i="1"/>
  <c r="AM264" i="1" s="1"/>
  <c r="W180" i="1"/>
  <c r="W411" i="1"/>
  <c r="AM411" i="1" s="1"/>
  <c r="W309" i="1"/>
  <c r="AM309" i="1" s="1"/>
  <c r="W345" i="1"/>
  <c r="AM345" i="1" s="1"/>
  <c r="W181" i="1"/>
  <c r="W97" i="1"/>
  <c r="AM97" i="1" s="1"/>
  <c r="W206" i="1"/>
  <c r="AM206" i="1" s="1"/>
  <c r="W282" i="1"/>
  <c r="AM282" i="1" s="1"/>
  <c r="W431" i="1"/>
  <c r="AM431" i="1" s="1"/>
  <c r="W459" i="1"/>
  <c r="AM459" i="1" s="1"/>
  <c r="W158" i="1"/>
  <c r="AM158" i="1" s="1"/>
  <c r="W179" i="1"/>
  <c r="AM179" i="1" s="1"/>
  <c r="W504" i="1"/>
  <c r="AM504" i="1" s="1"/>
  <c r="W347" i="1"/>
  <c r="AM347" i="1" s="1"/>
  <c r="W451" i="1"/>
  <c r="AM451" i="1" s="1"/>
  <c r="W501" i="1"/>
  <c r="AM501" i="1" s="1"/>
  <c r="W499" i="1"/>
  <c r="AM499" i="1" s="1"/>
  <c r="W432" i="1"/>
  <c r="AM432" i="1" s="1"/>
  <c r="W274" i="1"/>
  <c r="AM274" i="1" s="1"/>
  <c r="W503" i="1"/>
  <c r="AM503" i="1" s="1"/>
  <c r="W476" i="1"/>
  <c r="W505" i="1"/>
  <c r="AM505" i="1" s="1"/>
  <c r="W191" i="1"/>
  <c r="AM191" i="1" s="1"/>
  <c r="W494" i="1"/>
  <c r="W104" i="1"/>
  <c r="AM104" i="1" s="1"/>
  <c r="W493" i="1"/>
  <c r="AM493" i="1" s="1"/>
  <c r="W341" i="1"/>
  <c r="AM341" i="1" s="1"/>
  <c r="W72" i="1"/>
  <c r="AM72" i="1" s="1"/>
  <c r="W332" i="1"/>
  <c r="AM332" i="1" s="1"/>
  <c r="W123" i="1"/>
  <c r="W413" i="1"/>
  <c r="AM413" i="1" s="1"/>
  <c r="W497" i="1"/>
  <c r="AM497" i="1" s="1"/>
  <c r="W295" i="1"/>
  <c r="AM295" i="1" s="1"/>
  <c r="W127" i="1"/>
  <c r="W223" i="1"/>
  <c r="AM223" i="1" s="1"/>
  <c r="W296" i="1"/>
  <c r="AM296" i="1" s="1"/>
  <c r="W165" i="1"/>
  <c r="AM165" i="1" s="1"/>
  <c r="W463" i="1"/>
  <c r="W170" i="1"/>
  <c r="AM170" i="1" s="1"/>
  <c r="W140" i="1"/>
  <c r="AM140" i="1" s="1"/>
  <c r="W228" i="1"/>
  <c r="AM228" i="1" s="1"/>
  <c r="W110" i="1"/>
  <c r="AM110" i="1" s="1"/>
  <c r="W388" i="1"/>
  <c r="AM388" i="1" s="1"/>
  <c r="W137" i="1"/>
  <c r="AM137" i="1" s="1"/>
  <c r="W119" i="1"/>
  <c r="AM119" i="1" s="1"/>
  <c r="W301" i="1"/>
  <c r="AM301" i="1" s="1"/>
  <c r="W308" i="1"/>
  <c r="AM308" i="1" s="1"/>
  <c r="W211" i="1"/>
  <c r="W352" i="1"/>
  <c r="AM352" i="1" s="1"/>
  <c r="W396" i="1"/>
  <c r="AM396" i="1" s="1"/>
  <c r="W447" i="1"/>
  <c r="AM447" i="1" s="1"/>
  <c r="W214" i="1"/>
  <c r="AM214" i="1" s="1"/>
  <c r="W337" i="1"/>
  <c r="AM337" i="1" s="1"/>
  <c r="W394" i="1"/>
  <c r="AM394" i="1" s="1"/>
  <c r="W98" i="1"/>
  <c r="AM98" i="1" s="1"/>
  <c r="W167" i="1"/>
  <c r="W303" i="1"/>
  <c r="AM303" i="1" s="1"/>
  <c r="W159" i="1"/>
  <c r="AM159" i="1" s="1"/>
  <c r="W243" i="1"/>
  <c r="AM243" i="1" s="1"/>
  <c r="W197" i="1"/>
  <c r="AM197" i="1" s="1"/>
  <c r="W398" i="1"/>
  <c r="AM398" i="1" s="1"/>
  <c r="W395" i="1"/>
  <c r="AM395" i="1" s="1"/>
  <c r="W230" i="1"/>
  <c r="AM230" i="1" s="1"/>
  <c r="W312" i="1"/>
  <c r="AM312" i="1" s="1"/>
  <c r="W65" i="1"/>
  <c r="AM65" i="1" s="1"/>
  <c r="W433" i="1"/>
  <c r="AM433" i="1" s="1"/>
  <c r="W425" i="1"/>
  <c r="AM425" i="1" s="1"/>
  <c r="W151" i="1"/>
  <c r="AM151" i="1" s="1"/>
  <c r="W117" i="1"/>
  <c r="AM117" i="1" s="1"/>
  <c r="W500" i="1"/>
  <c r="AM500" i="1" s="1"/>
  <c r="W446" i="1"/>
  <c r="AM446" i="1" s="1"/>
  <c r="W410" i="1"/>
  <c r="AM410" i="1" s="1"/>
  <c r="W73" i="1"/>
  <c r="AM73" i="1" s="1"/>
  <c r="W152" i="1"/>
  <c r="AM152" i="1" s="1"/>
  <c r="W492" i="1"/>
  <c r="W190" i="1"/>
  <c r="AM190" i="1" s="1"/>
  <c r="W266" i="1"/>
  <c r="AM266" i="1" s="1"/>
  <c r="W156" i="1"/>
  <c r="W502" i="1"/>
  <c r="AM502" i="1" s="1"/>
  <c r="W145" i="1"/>
  <c r="W335" i="1"/>
  <c r="AM335" i="1" s="1"/>
  <c r="W498" i="1"/>
  <c r="AM498" i="1" s="1"/>
  <c r="W422" i="1"/>
  <c r="AM422" i="1" s="1"/>
  <c r="W89" i="1"/>
  <c r="AM89" i="1" s="1"/>
  <c r="W103" i="1"/>
  <c r="W144" i="1"/>
  <c r="AM144" i="1" s="1"/>
  <c r="W472" i="1"/>
  <c r="AM472" i="1" s="1"/>
  <c r="W161" i="1"/>
  <c r="AM161" i="1" s="1"/>
  <c r="W195" i="1"/>
  <c r="AM195" i="1" s="1"/>
  <c r="W133" i="1"/>
  <c r="AM133" i="1" s="1"/>
  <c r="W122" i="1"/>
  <c r="AM122" i="1" s="1"/>
  <c r="W212" i="1"/>
  <c r="AM212" i="1" s="1"/>
  <c r="W469" i="1"/>
  <c r="AM469" i="1" s="1"/>
  <c r="W217" i="1"/>
  <c r="AM217" i="1" s="1"/>
  <c r="W128" i="1"/>
  <c r="AM128" i="1" s="1"/>
  <c r="W412" i="1"/>
  <c r="AM412" i="1" s="1"/>
  <c r="W150" i="1"/>
  <c r="AM150" i="1" s="1"/>
  <c r="W115" i="1"/>
  <c r="AM115" i="1" s="1"/>
  <c r="W193" i="1"/>
  <c r="AM193" i="1" s="1"/>
  <c r="W192" i="1"/>
  <c r="W480" i="1"/>
  <c r="AM480" i="1" s="1"/>
  <c r="W203" i="1"/>
  <c r="W142" i="1"/>
  <c r="AM142" i="1" s="1"/>
  <c r="W333" i="1"/>
  <c r="AM333" i="1" s="1"/>
  <c r="W355" i="1"/>
  <c r="AM355" i="1" s="1"/>
  <c r="W283" i="1"/>
  <c r="AM283" i="1" s="1"/>
  <c r="W153" i="1"/>
  <c r="AM153" i="1" s="1"/>
  <c r="W329" i="1"/>
  <c r="AM329" i="1" s="1"/>
  <c r="W360" i="1"/>
  <c r="AM360" i="1" s="1"/>
  <c r="W354" i="1"/>
  <c r="AM354" i="1" s="1"/>
  <c r="W420" i="1"/>
  <c r="AM420" i="1" s="1"/>
  <c r="W488" i="1"/>
  <c r="AM488" i="1" s="1"/>
  <c r="W442" i="1"/>
  <c r="AM442" i="1" s="1"/>
  <c r="W239" i="1"/>
  <c r="W336" i="1"/>
  <c r="W458" i="1"/>
  <c r="AM458" i="1" s="1"/>
  <c r="W246" i="1"/>
  <c r="AM246" i="1" s="1"/>
  <c r="W184" i="1"/>
  <c r="AM184" i="1" s="1"/>
  <c r="W436" i="1"/>
  <c r="AM436" i="1" s="1"/>
  <c r="W427" i="1"/>
  <c r="W414" i="1"/>
  <c r="AM414" i="1" s="1"/>
  <c r="W178" i="1"/>
  <c r="AM178" i="1" s="1"/>
  <c r="W121" i="1"/>
  <c r="AM121" i="1" s="1"/>
  <c r="W124" i="1"/>
  <c r="AM124" i="1" s="1"/>
  <c r="W375" i="1"/>
  <c r="AM375" i="1" s="1"/>
  <c r="W381" i="1"/>
  <c r="AM381" i="1" s="1"/>
  <c r="W367" i="1"/>
  <c r="AM367" i="1" s="1"/>
  <c r="W363" i="1"/>
  <c r="AM363" i="1" s="1"/>
  <c r="W366" i="1"/>
  <c r="AM366" i="1" s="1"/>
  <c r="W374" i="1"/>
  <c r="AM374" i="1" s="1"/>
  <c r="W361" i="1"/>
  <c r="AM361" i="1" s="1"/>
  <c r="W314" i="1"/>
  <c r="AM314" i="1" s="1"/>
  <c r="W319" i="1"/>
  <c r="AM319" i="1" s="1"/>
  <c r="W318" i="1"/>
  <c r="AM318" i="1" s="1"/>
  <c r="W372" i="1"/>
  <c r="AM372" i="1" s="1"/>
  <c r="W378" i="1"/>
  <c r="AM378" i="1" s="1"/>
  <c r="W370" i="1"/>
  <c r="AM370" i="1" s="1"/>
  <c r="W365" i="1"/>
  <c r="AM365" i="1" s="1"/>
  <c r="W350" i="1"/>
  <c r="AM350" i="1" s="1"/>
  <c r="W227" i="1"/>
  <c r="AM227" i="1" s="1"/>
  <c r="W216" i="1"/>
  <c r="AM216" i="1" s="1"/>
  <c r="W220" i="1"/>
  <c r="AM220" i="1" s="1"/>
  <c r="W386" i="1"/>
  <c r="AM386" i="1" s="1"/>
  <c r="W362" i="1"/>
  <c r="AM362" i="1" s="1"/>
  <c r="W356" i="1"/>
  <c r="AM356" i="1" s="1"/>
  <c r="W328" i="1"/>
  <c r="AM328" i="1" s="1"/>
  <c r="W249" i="1"/>
  <c r="AM249" i="1" s="1"/>
  <c r="W252" i="1"/>
  <c r="AM252" i="1" s="1"/>
  <c r="W306" i="1"/>
  <c r="W199" i="1"/>
  <c r="AM199" i="1" s="1"/>
  <c r="W241" i="1"/>
  <c r="AM241" i="1" s="1"/>
  <c r="W358" i="1"/>
  <c r="AM358" i="1" s="1"/>
  <c r="W160" i="1"/>
  <c r="AM160" i="1" s="1"/>
  <c r="W118" i="1"/>
  <c r="W62" i="1"/>
  <c r="AM62" i="1" s="1"/>
  <c r="W369" i="1"/>
  <c r="W286" i="1"/>
  <c r="AM286" i="1" s="1"/>
  <c r="W261" i="1"/>
  <c r="AM261" i="1" s="1"/>
  <c r="W231" i="1"/>
  <c r="AM231" i="1" s="1"/>
  <c r="W457" i="1"/>
  <c r="AM457" i="1" s="1"/>
  <c r="W455" i="1"/>
  <c r="AM455" i="1" s="1"/>
  <c r="W452" i="1"/>
  <c r="AM452" i="1" s="1"/>
  <c r="W25" i="1"/>
  <c r="AM25" i="1" s="1"/>
  <c r="W23" i="1"/>
  <c r="W48" i="1"/>
  <c r="AM48" i="1" s="1"/>
  <c r="W50" i="1"/>
  <c r="AM50" i="1" s="1"/>
  <c r="W37" i="1"/>
  <c r="AM37" i="1" s="1"/>
  <c r="W35" i="1"/>
  <c r="AM35" i="1" s="1"/>
  <c r="W441" i="1"/>
  <c r="AM441" i="1" s="1"/>
  <c r="W26" i="1"/>
  <c r="AM26" i="1" s="1"/>
  <c r="W424" i="1"/>
  <c r="AM424" i="1" s="1"/>
  <c r="W445" i="1"/>
  <c r="AM445" i="1" s="1"/>
  <c r="W38" i="1"/>
  <c r="AM38" i="1" s="1"/>
  <c r="W12" i="1"/>
  <c r="W18" i="1"/>
  <c r="AM18" i="1" s="1"/>
  <c r="W49" i="1"/>
  <c r="AM49" i="1" s="1"/>
  <c r="W36" i="1"/>
  <c r="W54" i="1"/>
  <c r="AM54" i="1" s="1"/>
  <c r="W52" i="1"/>
  <c r="W382" i="1"/>
  <c r="AM382" i="1" s="1"/>
  <c r="W45" i="1"/>
  <c r="AM45" i="1" s="1"/>
  <c r="W331" i="1"/>
  <c r="AM331" i="1" s="1"/>
  <c r="W325" i="1"/>
  <c r="AM325" i="1" s="1"/>
  <c r="W313" i="1"/>
  <c r="AM313" i="1" s="1"/>
  <c r="W32" i="1"/>
  <c r="AM32" i="1" s="1"/>
  <c r="W41" i="1"/>
  <c r="W349" i="1"/>
  <c r="AM349" i="1" s="1"/>
  <c r="W279" i="1"/>
  <c r="AM279" i="1" s="1"/>
  <c r="W19" i="1"/>
  <c r="AM19" i="1" s="1"/>
  <c r="W16" i="1"/>
  <c r="W13" i="1"/>
  <c r="AM13" i="1" s="1"/>
  <c r="W2" i="1"/>
  <c r="AM2" i="1" s="1"/>
  <c r="W247" i="1"/>
  <c r="AM247" i="1" s="1"/>
  <c r="W415" i="1"/>
  <c r="W47" i="1"/>
  <c r="AM47" i="1" s="1"/>
  <c r="W28" i="1"/>
  <c r="AM28" i="1" s="1"/>
  <c r="W22" i="1"/>
  <c r="AM22" i="1" s="1"/>
  <c r="W11" i="1"/>
  <c r="AM11" i="1" s="1"/>
  <c r="W232" i="1"/>
  <c r="AM232" i="1" s="1"/>
  <c r="W285" i="1"/>
  <c r="AM285" i="1" s="1"/>
  <c r="W5" i="1"/>
  <c r="AM5" i="1" s="1"/>
  <c r="W3" i="1"/>
  <c r="W113" i="1"/>
  <c r="AM113" i="1" s="1"/>
  <c r="W385" i="1"/>
  <c r="AM385" i="1" s="1"/>
  <c r="W21" i="1"/>
  <c r="AM21" i="1" s="1"/>
  <c r="W17" i="1"/>
  <c r="AM17" i="1" s="1"/>
  <c r="W389" i="1"/>
  <c r="AM389" i="1" s="1"/>
  <c r="W368" i="1"/>
  <c r="AM368" i="1" s="1"/>
  <c r="W340" i="1"/>
  <c r="AM340" i="1" s="1"/>
  <c r="W46" i="1"/>
  <c r="AM46" i="1" s="1"/>
  <c r="W302" i="1"/>
  <c r="AM302" i="1" s="1"/>
  <c r="W473" i="1"/>
  <c r="AM473" i="1" s="1"/>
  <c r="W250" i="1"/>
  <c r="AM250" i="1" s="1"/>
  <c r="W235" i="1"/>
  <c r="AM235" i="1" s="1"/>
  <c r="W95" i="1"/>
  <c r="AM95" i="1" s="1"/>
  <c r="W91" i="1"/>
  <c r="AM91" i="1" s="1"/>
  <c r="W138" i="1"/>
  <c r="AM138" i="1" s="1"/>
  <c r="W262" i="1"/>
  <c r="AM262" i="1" s="1"/>
  <c r="W189" i="1"/>
  <c r="AM189" i="1" s="1"/>
  <c r="W377" i="1"/>
  <c r="AM377" i="1" s="1"/>
  <c r="W330" i="1"/>
  <c r="AM330" i="1" s="1"/>
  <c r="W316" i="1"/>
  <c r="AM316" i="1" s="1"/>
  <c r="W210" i="1"/>
  <c r="AM210" i="1" s="1"/>
  <c r="W391" i="1"/>
  <c r="AM391" i="1" s="1"/>
  <c r="W94" i="1"/>
  <c r="AM94" i="1" s="1"/>
  <c r="W327" i="1"/>
  <c r="AM327" i="1" s="1"/>
  <c r="W390" i="1"/>
  <c r="AM390" i="1" s="1"/>
  <c r="W339" i="1"/>
  <c r="AM339" i="1" s="1"/>
  <c r="W63" i="1"/>
  <c r="AM63" i="1" s="1"/>
  <c r="W351" i="1"/>
  <c r="AM351" i="1" s="1"/>
  <c r="W326" i="1"/>
  <c r="AM326" i="1" s="1"/>
  <c r="W304" i="1"/>
  <c r="AM304" i="1" s="1"/>
  <c r="W311" i="1"/>
  <c r="AM311" i="1" s="1"/>
  <c r="W346" i="1"/>
  <c r="W268" i="1"/>
  <c r="AM268" i="1" s="1"/>
  <c r="W92" i="1"/>
  <c r="AM92" i="1" s="1"/>
  <c r="W107" i="1"/>
  <c r="AM107" i="1" s="1"/>
  <c r="W305" i="1"/>
  <c r="AM305" i="1" s="1"/>
  <c r="W112" i="1"/>
  <c r="AM112" i="1" s="1"/>
  <c r="W307" i="1"/>
  <c r="AM307" i="1" s="1"/>
  <c r="W276" i="1"/>
  <c r="AM276" i="1" s="1"/>
  <c r="W245" i="1"/>
  <c r="AM245" i="1" s="1"/>
  <c r="W244" i="1"/>
  <c r="AM244" i="1" s="1"/>
  <c r="W130" i="1"/>
  <c r="AM130" i="1" s="1"/>
  <c r="W324" i="1"/>
  <c r="AM324" i="1" s="1"/>
  <c r="W135" i="1"/>
  <c r="AM135" i="1" s="1"/>
  <c r="W288" i="1"/>
  <c r="AM288" i="1" s="1"/>
  <c r="W162" i="1"/>
  <c r="AM162" i="1" s="1"/>
  <c r="W387" i="1"/>
  <c r="AM387" i="1" s="1"/>
  <c r="W409" i="1"/>
  <c r="AM409" i="1" s="1"/>
  <c r="W85" i="1"/>
  <c r="AM85" i="1" s="1"/>
  <c r="W237" i="1"/>
  <c r="AM237" i="1" s="1"/>
  <c r="W148" i="1"/>
  <c r="AM148" i="1" s="1"/>
  <c r="W233" i="1"/>
  <c r="AM233" i="1" s="1"/>
  <c r="W323" i="1"/>
  <c r="AM323" i="1" s="1"/>
  <c r="W438" i="1"/>
  <c r="AM438" i="1" s="1"/>
  <c r="W376" i="1"/>
  <c r="AM376" i="1" s="1"/>
  <c r="W149" i="1"/>
  <c r="AM149" i="1" s="1"/>
  <c r="W99" i="1"/>
  <c r="AM99" i="1" s="1"/>
  <c r="W407" i="1"/>
  <c r="AM407" i="1" s="1"/>
  <c r="W108" i="1"/>
  <c r="W321" i="1"/>
  <c r="AM321" i="1" s="1"/>
  <c r="W404" i="1"/>
  <c r="AM404" i="1" s="1"/>
  <c r="W401" i="1"/>
  <c r="AM401" i="1" s="1"/>
  <c r="W402" i="1"/>
  <c r="AM402" i="1" s="1"/>
  <c r="W397" i="1"/>
  <c r="AM397" i="1" s="1"/>
  <c r="W260" i="1"/>
  <c r="AM260" i="1" s="1"/>
  <c r="W471" i="1"/>
  <c r="AM471" i="1" s="1"/>
  <c r="W163" i="1"/>
  <c r="AM163" i="1" s="1"/>
  <c r="W205" i="1"/>
  <c r="AM205" i="1" s="1"/>
  <c r="W399" i="1"/>
  <c r="AM399" i="1" s="1"/>
  <c r="W364" i="1"/>
  <c r="AM364" i="1" s="1"/>
  <c r="W234" i="1"/>
  <c r="AM234" i="1" s="1"/>
  <c r="W222" i="1"/>
  <c r="AM222" i="1" s="1"/>
  <c r="W384" i="1"/>
  <c r="AM384" i="1" s="1"/>
  <c r="W139" i="1"/>
  <c r="AM139" i="1" s="1"/>
  <c r="W393" i="1"/>
  <c r="AM393" i="1" s="1"/>
  <c r="W343" i="1"/>
  <c r="AM343" i="1" s="1"/>
  <c r="W443" i="1"/>
  <c r="AM443" i="1" s="1"/>
  <c r="W423" i="1"/>
  <c r="AM423" i="1" s="1"/>
  <c r="W406" i="1"/>
  <c r="AM406" i="1" s="1"/>
  <c r="W322" i="1"/>
  <c r="AM322" i="1" s="1"/>
  <c r="W290" i="1"/>
  <c r="AM290" i="1" s="1"/>
  <c r="W291" i="1"/>
  <c r="AM291" i="1" s="1"/>
  <c r="W34" i="1"/>
  <c r="W342" i="1"/>
  <c r="AM342" i="1" s="1"/>
  <c r="W255" i="1"/>
  <c r="AM255" i="1" s="1"/>
  <c r="W481" i="1"/>
  <c r="AM481" i="1" s="1"/>
  <c r="W194" i="1"/>
  <c r="AM194" i="1" s="1"/>
  <c r="W201" i="1"/>
  <c r="AM201" i="1" s="1"/>
  <c r="W100" i="1"/>
  <c r="W109" i="1"/>
  <c r="AM109" i="1" s="1"/>
  <c r="W102" i="1"/>
  <c r="AM102" i="1" s="1"/>
  <c r="W421" i="1"/>
  <c r="AM421" i="1" s="1"/>
  <c r="W403" i="1"/>
  <c r="AM403" i="1" s="1"/>
  <c r="W479" i="1"/>
  <c r="AM479" i="1" s="1"/>
  <c r="W88" i="1"/>
  <c r="AM88" i="1" s="1"/>
  <c r="W86" i="1"/>
  <c r="AM86" i="1" s="1"/>
  <c r="W81" i="1"/>
  <c r="AM81" i="1" s="1"/>
  <c r="W489" i="1"/>
  <c r="AM489" i="1" s="1"/>
  <c r="W79" i="1"/>
  <c r="AM79" i="1" s="1"/>
  <c r="W491" i="1"/>
  <c r="AM491" i="1" s="1"/>
  <c r="W83" i="1"/>
  <c r="AM83" i="1" s="1"/>
  <c r="W84" i="1"/>
  <c r="AM84" i="1" s="1"/>
  <c r="W80" i="1"/>
  <c r="AM80" i="1" s="1"/>
  <c r="W440" i="1"/>
  <c r="AM440" i="1" s="1"/>
  <c r="W78" i="1"/>
  <c r="AM78" i="1" s="1"/>
  <c r="W77" i="1"/>
  <c r="AM77" i="1" s="1"/>
  <c r="W76" i="1"/>
  <c r="AM76" i="1" s="1"/>
  <c r="W487" i="1"/>
  <c r="AM487" i="1" s="1"/>
  <c r="W484" i="1"/>
  <c r="AM484" i="1" s="1"/>
  <c r="W74" i="1"/>
  <c r="AM74" i="1" s="1"/>
  <c r="W70" i="1"/>
  <c r="W69" i="1"/>
  <c r="AM69" i="1" s="1"/>
  <c r="W71" i="1"/>
  <c r="AM71" i="1" s="1"/>
  <c r="W143" i="1"/>
  <c r="AM143" i="1" s="1"/>
  <c r="W66" i="1"/>
  <c r="AM66" i="1" s="1"/>
  <c r="W270" i="1"/>
  <c r="AM270" i="1" s="1"/>
  <c r="W444" i="1"/>
  <c r="AM444" i="1" s="1"/>
  <c r="W257" i="1"/>
  <c r="AM257" i="1" s="1"/>
  <c r="W434" i="1"/>
  <c r="AM434" i="1" s="1"/>
  <c r="W254" i="1"/>
  <c r="AM254" i="1" s="1"/>
  <c r="W263" i="1"/>
  <c r="AM263" i="1" s="1"/>
  <c r="W147" i="1"/>
  <c r="AM147" i="1" s="1"/>
  <c r="W236" i="1"/>
  <c r="AM236" i="1" s="1"/>
  <c r="W437" i="1"/>
  <c r="AM437" i="1" s="1"/>
  <c r="W215" i="1"/>
  <c r="AM215" i="1" s="1"/>
  <c r="W177" i="1"/>
  <c r="AM177" i="1" s="1"/>
  <c r="W348" i="1"/>
  <c r="AM348" i="1" s="1"/>
  <c r="W251" i="1"/>
  <c r="W238" i="1"/>
  <c r="AM238" i="1" s="1"/>
  <c r="W466" i="1"/>
  <c r="AM466" i="1" s="1"/>
  <c r="W467" i="1"/>
  <c r="AM467" i="1" s="1"/>
  <c r="W44" i="1"/>
  <c r="AM44" i="1" s="1"/>
  <c r="W271" i="1"/>
  <c r="AM271" i="1" s="1"/>
  <c r="W256" i="1"/>
  <c r="AM256" i="1" s="1"/>
  <c r="W134" i="1"/>
  <c r="AM134" i="1" s="1"/>
  <c r="W173" i="1"/>
  <c r="AM173" i="1" s="1"/>
  <c r="W168" i="1"/>
  <c r="AM168" i="1" s="1"/>
  <c r="W155" i="1"/>
  <c r="AM155" i="1" s="1"/>
  <c r="W125" i="1"/>
  <c r="AM125" i="1" s="1"/>
  <c r="W164" i="1"/>
  <c r="AM164" i="1" s="1"/>
  <c r="W131" i="1"/>
  <c r="AM131" i="1" s="1"/>
  <c r="W114" i="1"/>
  <c r="AM114" i="1" s="1"/>
  <c r="W281" i="1"/>
  <c r="AM281" i="1" s="1"/>
  <c r="W204" i="1"/>
  <c r="AM204" i="1" s="1"/>
  <c r="W453" i="1"/>
  <c r="AM453" i="1" s="1"/>
  <c r="W449" i="1"/>
  <c r="AM449" i="1" s="1"/>
  <c r="W33" i="1"/>
  <c r="AM33" i="1" s="1"/>
  <c r="W15" i="1"/>
  <c r="AM15" i="1" s="1"/>
  <c r="W439" i="1"/>
  <c r="AM439" i="1" s="1"/>
  <c r="W496" i="1"/>
  <c r="AM496" i="1" s="1"/>
  <c r="W435" i="1"/>
  <c r="AM435" i="1" s="1"/>
  <c r="W9" i="1"/>
  <c r="AM9" i="1" s="1"/>
  <c r="W419" i="1"/>
  <c r="AM419" i="1" s="1"/>
  <c r="W468" i="1"/>
  <c r="AM468" i="1" s="1"/>
  <c r="W430" i="1"/>
  <c r="AM430" i="1" s="1"/>
  <c r="W429" i="1"/>
  <c r="AM429" i="1" s="1"/>
  <c r="V429" i="1"/>
  <c r="V253" i="1"/>
  <c r="V221" i="1"/>
  <c r="V175" i="1"/>
  <c r="V60" i="1"/>
  <c r="V56" i="1"/>
  <c r="V448" i="1"/>
  <c r="V450" i="1"/>
  <c r="V120" i="1"/>
  <c r="W120" i="1" s="1"/>
  <c r="AM120" i="1" s="1"/>
  <c r="V272" i="1"/>
  <c r="V242" i="1"/>
  <c r="V334" i="1"/>
  <c r="V157" i="1"/>
  <c r="V240" i="1"/>
  <c r="V87" i="1"/>
  <c r="V280" i="1"/>
  <c r="V141" i="1"/>
  <c r="V315" i="1"/>
  <c r="V202" i="1"/>
  <c r="V405" i="1"/>
  <c r="V426" i="1"/>
  <c r="V183" i="1"/>
  <c r="W183" i="1" s="1"/>
  <c r="AM183" i="1" s="1"/>
  <c r="V485" i="1"/>
  <c r="V297" i="1"/>
  <c r="V225" i="1"/>
  <c r="W225" i="1" s="1"/>
  <c r="AM225" i="1" s="1"/>
  <c r="V58" i="1"/>
  <c r="V101" i="1"/>
  <c r="V495" i="1"/>
  <c r="V200" i="1"/>
  <c r="W200" i="1" s="1"/>
  <c r="AM200" i="1" s="1"/>
  <c r="V111" i="1"/>
  <c r="W111" i="1" s="1"/>
  <c r="AM111" i="1" s="1"/>
  <c r="V136" i="1"/>
  <c r="V264" i="1"/>
  <c r="V344" i="1"/>
  <c r="W344" i="1" s="1"/>
  <c r="V180" i="1"/>
  <c r="V411" i="1"/>
  <c r="V309" i="1"/>
  <c r="V345" i="1"/>
  <c r="V181" i="1"/>
  <c r="V97" i="1"/>
  <c r="V206" i="1"/>
  <c r="V282" i="1"/>
  <c r="V154" i="1"/>
  <c r="W154" i="1" s="1"/>
  <c r="AM154" i="1" s="1"/>
  <c r="V431" i="1"/>
  <c r="V459" i="1"/>
  <c r="V158" i="1"/>
  <c r="V278" i="1"/>
  <c r="W278" i="1" s="1"/>
  <c r="AM278" i="1" s="1"/>
  <c r="V179" i="1"/>
  <c r="V504" i="1"/>
  <c r="V347" i="1"/>
  <c r="V451" i="1"/>
  <c r="V501" i="1"/>
  <c r="V499" i="1"/>
  <c r="V432" i="1"/>
  <c r="V274" i="1"/>
  <c r="V503" i="1"/>
  <c r="V476" i="1"/>
  <c r="V505" i="1"/>
  <c r="V191" i="1"/>
  <c r="V494" i="1"/>
  <c r="V104" i="1"/>
  <c r="V493" i="1"/>
  <c r="V341" i="1"/>
  <c r="V72" i="1"/>
  <c r="V332" i="1"/>
  <c r="V123" i="1"/>
  <c r="V413" i="1"/>
  <c r="V497" i="1"/>
  <c r="V295" i="1"/>
  <c r="V127" i="1"/>
  <c r="V223" i="1"/>
  <c r="V296" i="1"/>
  <c r="V165" i="1"/>
  <c r="V463" i="1"/>
  <c r="V170" i="1"/>
  <c r="V140" i="1"/>
  <c r="V228" i="1"/>
  <c r="V110" i="1"/>
  <c r="V388" i="1"/>
  <c r="V137" i="1"/>
  <c r="V119" i="1"/>
  <c r="V301" i="1"/>
  <c r="V308" i="1"/>
  <c r="V211" i="1"/>
  <c r="V352" i="1"/>
  <c r="V396" i="1"/>
  <c r="V447" i="1"/>
  <c r="V214" i="1"/>
  <c r="V337" i="1"/>
  <c r="V394" i="1"/>
  <c r="V98" i="1"/>
  <c r="V167" i="1"/>
  <c r="V303" i="1"/>
  <c r="V159" i="1"/>
  <c r="V243" i="1"/>
  <c r="V456" i="1"/>
  <c r="W456" i="1" s="1"/>
  <c r="V197" i="1"/>
  <c r="V398" i="1"/>
  <c r="V408" i="1"/>
  <c r="W408" i="1" s="1"/>
  <c r="AM408" i="1" s="1"/>
  <c r="V461" i="1"/>
  <c r="W461" i="1" s="1"/>
  <c r="AM461" i="1" s="1"/>
  <c r="V294" i="1"/>
  <c r="W294" i="1" s="1"/>
  <c r="AM294" i="1" s="1"/>
  <c r="V395" i="1"/>
  <c r="V230" i="1"/>
  <c r="V284" i="1"/>
  <c r="W284" i="1" s="1"/>
  <c r="V198" i="1"/>
  <c r="W198" i="1" s="1"/>
  <c r="AM198" i="1" s="1"/>
  <c r="V188" i="1"/>
  <c r="W188" i="1" s="1"/>
  <c r="AM188" i="1" s="1"/>
  <c r="V312" i="1"/>
  <c r="V55" i="1"/>
  <c r="W55" i="1" s="1"/>
  <c r="V65" i="1"/>
  <c r="V433" i="1"/>
  <c r="V425" i="1"/>
  <c r="V151" i="1"/>
  <c r="V171" i="1"/>
  <c r="W171" i="1" s="1"/>
  <c r="AM171" i="1" s="1"/>
  <c r="V117" i="1"/>
  <c r="V500" i="1"/>
  <c r="V446" i="1"/>
  <c r="V410" i="1"/>
  <c r="V73" i="1"/>
  <c r="V68" i="1"/>
  <c r="W68" i="1" s="1"/>
  <c r="AM68" i="1" s="1"/>
  <c r="V152" i="1"/>
  <c r="V492" i="1"/>
  <c r="V190" i="1"/>
  <c r="V266" i="1"/>
  <c r="V156" i="1"/>
  <c r="V502" i="1"/>
  <c r="V145" i="1"/>
  <c r="V335" i="1"/>
  <c r="V498" i="1"/>
  <c r="V422" i="1"/>
  <c r="V89" i="1"/>
  <c r="V103" i="1"/>
  <c r="V144" i="1"/>
  <c r="V472" i="1"/>
  <c r="V161" i="1"/>
  <c r="V195" i="1"/>
  <c r="V133" i="1"/>
  <c r="V122" i="1"/>
  <c r="V265" i="1"/>
  <c r="W265" i="1" s="1"/>
  <c r="AM265" i="1" s="1"/>
  <c r="V212" i="1"/>
  <c r="V469" i="1"/>
  <c r="V196" i="1"/>
  <c r="W196" i="1" s="1"/>
  <c r="AM196" i="1" s="1"/>
  <c r="V217" i="1"/>
  <c r="V128" i="1"/>
  <c r="V412" i="1"/>
  <c r="V150" i="1"/>
  <c r="V115" i="1"/>
  <c r="V193" i="1"/>
  <c r="V186" i="1"/>
  <c r="W186" i="1" s="1"/>
  <c r="AM186" i="1" s="1"/>
  <c r="V359" i="1"/>
  <c r="W359" i="1" s="1"/>
  <c r="V192" i="1"/>
  <c r="V82" i="1"/>
  <c r="W82" i="1" s="1"/>
  <c r="AM82" i="1" s="1"/>
  <c r="V248" i="1"/>
  <c r="W248" i="1" s="1"/>
  <c r="AM248" i="1" s="1"/>
  <c r="V480" i="1"/>
  <c r="V203" i="1"/>
  <c r="V142" i="1"/>
  <c r="V333" i="1"/>
  <c r="V355" i="1"/>
  <c r="V283" i="1"/>
  <c r="V153" i="1"/>
  <c r="V329" i="1"/>
  <c r="V360" i="1"/>
  <c r="V354" i="1"/>
  <c r="V420" i="1"/>
  <c r="V488" i="1"/>
  <c r="V442" i="1"/>
  <c r="V239" i="1"/>
  <c r="V336" i="1"/>
  <c r="V458" i="1"/>
  <c r="V246" i="1"/>
  <c r="V184" i="1"/>
  <c r="V436" i="1"/>
  <c r="V427" i="1"/>
  <c r="V414" i="1"/>
  <c r="V178" i="1"/>
  <c r="V121" i="1"/>
  <c r="V124" i="1"/>
  <c r="V375" i="1"/>
  <c r="V381" i="1"/>
  <c r="V373" i="1"/>
  <c r="W373" i="1" s="1"/>
  <c r="AM373" i="1" s="1"/>
  <c r="V367" i="1"/>
  <c r="V363" i="1"/>
  <c r="V366" i="1"/>
  <c r="V371" i="1"/>
  <c r="W371" i="1" s="1"/>
  <c r="AM371" i="1" s="1"/>
  <c r="V374" i="1"/>
  <c r="V380" i="1"/>
  <c r="W380" i="1" s="1"/>
  <c r="AM380" i="1" s="1"/>
  <c r="V361" i="1"/>
  <c r="V314" i="1"/>
  <c r="V319" i="1"/>
  <c r="V318" i="1"/>
  <c r="V372" i="1"/>
  <c r="V378" i="1"/>
  <c r="V370" i="1"/>
  <c r="V365" i="1"/>
  <c r="V350" i="1"/>
  <c r="V227" i="1"/>
  <c r="V216" i="1"/>
  <c r="V220" i="1"/>
  <c r="V386" i="1"/>
  <c r="V362" i="1"/>
  <c r="V356" i="1"/>
  <c r="V328" i="1"/>
  <c r="V249" i="1"/>
  <c r="V252" i="1"/>
  <c r="V306" i="1"/>
  <c r="V199" i="1"/>
  <c r="V241" i="1"/>
  <c r="V358" i="1"/>
  <c r="V160" i="1"/>
  <c r="V118" i="1"/>
  <c r="V62" i="1"/>
  <c r="V369" i="1"/>
  <c r="V286" i="1"/>
  <c r="V261" i="1"/>
  <c r="V231" i="1"/>
  <c r="V90" i="1"/>
  <c r="W90" i="1" s="1"/>
  <c r="V208" i="1"/>
  <c r="W208" i="1" s="1"/>
  <c r="AM208" i="1" s="1"/>
  <c r="V457" i="1"/>
  <c r="V455" i="1"/>
  <c r="V51" i="1"/>
  <c r="W51" i="1" s="1"/>
  <c r="V452" i="1"/>
  <c r="V25" i="1"/>
  <c r="V23" i="1"/>
  <c r="V20" i="1"/>
  <c r="W20" i="1" s="1"/>
  <c r="AM20" i="1" s="1"/>
  <c r="V14" i="1"/>
  <c r="W14" i="1" s="1"/>
  <c r="AM14" i="1" s="1"/>
  <c r="V48" i="1"/>
  <c r="V50" i="1"/>
  <c r="V37" i="1"/>
  <c r="V35" i="1"/>
  <c r="V30" i="1"/>
  <c r="W30" i="1" s="1"/>
  <c r="V441" i="1"/>
  <c r="V26" i="1"/>
  <c r="V24" i="1"/>
  <c r="W24" i="1" s="1"/>
  <c r="AM24" i="1" s="1"/>
  <c r="V424" i="1"/>
  <c r="V39" i="1"/>
  <c r="W39" i="1" s="1"/>
  <c r="V53" i="1"/>
  <c r="W53" i="1" s="1"/>
  <c r="AM53" i="1" s="1"/>
  <c r="V445" i="1"/>
  <c r="V38" i="1"/>
  <c r="V61" i="1"/>
  <c r="W61" i="1" s="1"/>
  <c r="AM61" i="1" s="1"/>
  <c r="V12" i="1"/>
  <c r="V43" i="1"/>
  <c r="W43" i="1" s="1"/>
  <c r="V7" i="1"/>
  <c r="W7" i="1" s="1"/>
  <c r="AM7" i="1" s="1"/>
  <c r="V18" i="1"/>
  <c r="V49" i="1"/>
  <c r="V36" i="1"/>
  <c r="V8" i="1"/>
  <c r="W8" i="1" s="1"/>
  <c r="V54" i="1"/>
  <c r="V52" i="1"/>
  <c r="V382" i="1"/>
  <c r="V45" i="1"/>
  <c r="V331" i="1"/>
  <c r="V325" i="1"/>
  <c r="V313" i="1"/>
  <c r="V32" i="1"/>
  <c r="V41" i="1"/>
  <c r="V349" i="1"/>
  <c r="V27" i="1"/>
  <c r="W27" i="1" s="1"/>
  <c r="AM27" i="1" s="1"/>
  <c r="V31" i="1"/>
  <c r="W31" i="1" s="1"/>
  <c r="V279" i="1"/>
  <c r="V19" i="1"/>
  <c r="V16" i="1"/>
  <c r="V13" i="1"/>
  <c r="V2" i="1"/>
  <c r="V299" i="1"/>
  <c r="W299" i="1" s="1"/>
  <c r="AM299" i="1" s="1"/>
  <c r="V247" i="1"/>
  <c r="V415" i="1"/>
  <c r="V42" i="1"/>
  <c r="W42" i="1" s="1"/>
  <c r="V47" i="1"/>
  <c r="V28" i="1"/>
  <c r="V22" i="1"/>
  <c r="V11" i="1"/>
  <c r="V232" i="1"/>
  <c r="V285" i="1"/>
  <c r="V10" i="1"/>
  <c r="W10" i="1" s="1"/>
  <c r="V5" i="1"/>
  <c r="V3" i="1"/>
  <c r="V113" i="1"/>
  <c r="V385" i="1"/>
  <c r="V21" i="1"/>
  <c r="V17" i="1"/>
  <c r="V40" i="1"/>
  <c r="W40" i="1" s="1"/>
  <c r="AM40" i="1" s="1"/>
  <c r="V4" i="1"/>
  <c r="W4" i="1" s="1"/>
  <c r="AM4" i="1" s="1"/>
  <c r="V389" i="1"/>
  <c r="V368" i="1"/>
  <c r="V340" i="1"/>
  <c r="V46" i="1"/>
  <c r="V302" i="1"/>
  <c r="V473" i="1"/>
  <c r="V250" i="1"/>
  <c r="V235" i="1"/>
  <c r="V95" i="1"/>
  <c r="V91" i="1"/>
  <c r="V106" i="1"/>
  <c r="W106" i="1" s="1"/>
  <c r="V138" i="1"/>
  <c r="V262" i="1"/>
  <c r="V189" i="1"/>
  <c r="V377" i="1"/>
  <c r="V258" i="1"/>
  <c r="W258" i="1" s="1"/>
  <c r="AM258" i="1" s="1"/>
  <c r="V330" i="1"/>
  <c r="V316" i="1"/>
  <c r="V210" i="1"/>
  <c r="V93" i="1"/>
  <c r="W93" i="1" s="1"/>
  <c r="AM93" i="1" s="1"/>
  <c r="V391" i="1"/>
  <c r="V94" i="1"/>
  <c r="V327" i="1"/>
  <c r="V390" i="1"/>
  <c r="V339" i="1"/>
  <c r="V63" i="1"/>
  <c r="V351" i="1"/>
  <c r="V326" i="1"/>
  <c r="V304" i="1"/>
  <c r="V311" i="1"/>
  <c r="V346" i="1"/>
  <c r="V310" i="1"/>
  <c r="W310" i="1" s="1"/>
  <c r="AM310" i="1" s="1"/>
  <c r="V268" i="1"/>
  <c r="V92" i="1"/>
  <c r="V107" i="1"/>
  <c r="V305" i="1"/>
  <c r="V112" i="1"/>
  <c r="V126" i="1"/>
  <c r="W126" i="1" s="1"/>
  <c r="V307" i="1"/>
  <c r="V276" i="1"/>
  <c r="V245" i="1"/>
  <c r="V244" i="1"/>
  <c r="V130" i="1"/>
  <c r="V324" i="1"/>
  <c r="V293" i="1"/>
  <c r="W293" i="1" s="1"/>
  <c r="AM293" i="1" s="1"/>
  <c r="V135" i="1"/>
  <c r="V288" i="1"/>
  <c r="V162" i="1"/>
  <c r="V387" i="1"/>
  <c r="V409" i="1"/>
  <c r="V85" i="1"/>
  <c r="V237" i="1"/>
  <c r="V57" i="1"/>
  <c r="W57" i="1" s="1"/>
  <c r="AM57" i="1" s="1"/>
  <c r="V148" i="1"/>
  <c r="V233" i="1"/>
  <c r="V383" i="1"/>
  <c r="W383" i="1" s="1"/>
  <c r="AM383" i="1" s="1"/>
  <c r="V490" i="1"/>
  <c r="W490" i="1" s="1"/>
  <c r="AM490" i="1" s="1"/>
  <c r="V323" i="1"/>
  <c r="V438" i="1"/>
  <c r="V376" i="1"/>
  <c r="V149" i="1"/>
  <c r="V99" i="1"/>
  <c r="V407" i="1"/>
  <c r="V108" i="1"/>
  <c r="V321" i="1"/>
  <c r="V404" i="1"/>
  <c r="V401" i="1"/>
  <c r="V400" i="1"/>
  <c r="W400" i="1" s="1"/>
  <c r="AM400" i="1" s="1"/>
  <c r="V402" i="1"/>
  <c r="V397" i="1"/>
  <c r="V260" i="1"/>
  <c r="V471" i="1"/>
  <c r="V163" i="1"/>
  <c r="V205" i="1"/>
  <c r="V399" i="1"/>
  <c r="V364" i="1"/>
  <c r="V234" i="1"/>
  <c r="V222" i="1"/>
  <c r="V187" i="1"/>
  <c r="W187" i="1" s="1"/>
  <c r="AM187" i="1" s="1"/>
  <c r="V384" i="1"/>
  <c r="V273" i="1"/>
  <c r="W273" i="1" s="1"/>
  <c r="AM273" i="1" s="1"/>
  <c r="V139" i="1"/>
  <c r="V393" i="1"/>
  <c r="V343" i="1"/>
  <c r="V443" i="1"/>
  <c r="V423" i="1"/>
  <c r="V406" i="1"/>
  <c r="V322" i="1"/>
  <c r="V290" i="1"/>
  <c r="V291" i="1"/>
  <c r="V34" i="1"/>
  <c r="V342" i="1"/>
  <c r="V287" i="1"/>
  <c r="W287" i="1" s="1"/>
  <c r="AM287" i="1" s="1"/>
  <c r="V259" i="1"/>
  <c r="W259" i="1" s="1"/>
  <c r="AM259" i="1" s="1"/>
  <c r="V255" i="1"/>
  <c r="V481" i="1"/>
  <c r="V194" i="1"/>
  <c r="V201" i="1"/>
  <c r="V100" i="1"/>
  <c r="V109" i="1"/>
  <c r="V102" i="1"/>
  <c r="V421" i="1"/>
  <c r="V403" i="1"/>
  <c r="V479" i="1"/>
  <c r="V88" i="1"/>
  <c r="V86" i="1"/>
  <c r="V81" i="1"/>
  <c r="V489" i="1"/>
  <c r="V79" i="1"/>
  <c r="V491" i="1"/>
  <c r="V83" i="1"/>
  <c r="V84" i="1"/>
  <c r="V80" i="1"/>
  <c r="V440" i="1"/>
  <c r="V78" i="1"/>
  <c r="V77" i="1"/>
  <c r="V76" i="1"/>
  <c r="V59" i="1"/>
  <c r="W59" i="1" s="1"/>
  <c r="AM59" i="1" s="1"/>
  <c r="V487" i="1"/>
  <c r="V484" i="1"/>
  <c r="V74" i="1"/>
  <c r="V70" i="1"/>
  <c r="V69" i="1"/>
  <c r="V71" i="1"/>
  <c r="V143" i="1"/>
  <c r="V66" i="1"/>
  <c r="V270" i="1"/>
  <c r="V444" i="1"/>
  <c r="V257" i="1"/>
  <c r="V434" i="1"/>
  <c r="V254" i="1"/>
  <c r="V263" i="1"/>
  <c r="V174" i="1"/>
  <c r="W174" i="1" s="1"/>
  <c r="AM174" i="1" s="1"/>
  <c r="V147" i="1"/>
  <c r="V236" i="1"/>
  <c r="V437" i="1"/>
  <c r="V215" i="1"/>
  <c r="V177" i="1"/>
  <c r="V348" i="1"/>
  <c r="V251" i="1"/>
  <c r="V238" i="1"/>
  <c r="V466" i="1"/>
  <c r="V116" i="1"/>
  <c r="W116" i="1" s="1"/>
  <c r="AM116" i="1" s="1"/>
  <c r="V467" i="1"/>
  <c r="V44" i="1"/>
  <c r="V271" i="1"/>
  <c r="V256" i="1"/>
  <c r="V134" i="1"/>
  <c r="V173" i="1"/>
  <c r="V168" i="1"/>
  <c r="V155" i="1"/>
  <c r="V125" i="1"/>
  <c r="V164" i="1"/>
  <c r="V131" i="1"/>
  <c r="V114" i="1"/>
  <c r="V281" i="1"/>
  <c r="V204" i="1"/>
  <c r="V478" i="1"/>
  <c r="W478" i="1" s="1"/>
  <c r="AM478" i="1" s="1"/>
  <c r="V454" i="1"/>
  <c r="W454" i="1" s="1"/>
  <c r="AM454" i="1" s="1"/>
  <c r="V453" i="1"/>
  <c r="V449" i="1"/>
  <c r="V33" i="1"/>
  <c r="V15" i="1"/>
  <c r="V439" i="1"/>
  <c r="V496" i="1"/>
  <c r="V435" i="1"/>
  <c r="V9" i="1"/>
  <c r="V419" i="1"/>
  <c r="V468" i="1"/>
  <c r="V430" i="1"/>
  <c r="V64" i="1"/>
  <c r="V207" i="1"/>
  <c r="V482" i="1"/>
  <c r="V418" i="1"/>
  <c r="V460" i="1"/>
  <c r="V464" i="1"/>
  <c r="V428" i="1"/>
  <c r="V298" i="1"/>
  <c r="V353" i="1"/>
  <c r="V417" i="1"/>
  <c r="W417" i="1" s="1"/>
  <c r="V67" i="1"/>
  <c r="V226" i="1"/>
  <c r="V338" i="1"/>
  <c r="W338" i="1" s="1"/>
  <c r="AM338" i="1" s="1"/>
  <c r="V229" i="1"/>
  <c r="V105" i="1"/>
  <c r="V462" i="1"/>
  <c r="V218" i="1"/>
  <c r="V169" i="1"/>
  <c r="V75" i="1"/>
  <c r="V486" i="1"/>
  <c r="W486" i="1" s="1"/>
  <c r="AM486" i="1" s="1"/>
  <c r="V483" i="1"/>
  <c r="V465" i="1"/>
  <c r="V379" i="1"/>
  <c r="BQ208" i="1" l="1"/>
  <c r="BM208" i="1"/>
  <c r="BN208" i="1" s="1"/>
  <c r="BZ15" i="1"/>
  <c r="CA15" i="1" s="1"/>
  <c r="BM15" i="1"/>
  <c r="BN15" i="1" s="1"/>
  <c r="CH15" i="1"/>
  <c r="CI15" i="1" s="1"/>
  <c r="CH116" i="1"/>
  <c r="CI116" i="1" s="1"/>
  <c r="BZ116" i="1"/>
  <c r="CA116" i="1" s="1"/>
  <c r="BM116" i="1"/>
  <c r="BN116" i="1" s="1"/>
  <c r="BQ254" i="1"/>
  <c r="BM254" i="1"/>
  <c r="BN254" i="1" s="1"/>
  <c r="BM487" i="1"/>
  <c r="BN487" i="1" s="1"/>
  <c r="BZ487" i="1"/>
  <c r="CA487" i="1" s="1"/>
  <c r="CH487" i="1"/>
  <c r="CI487" i="1" s="1"/>
  <c r="BM78" i="1"/>
  <c r="BN78" i="1" s="1"/>
  <c r="BZ78" i="1"/>
  <c r="CA78" i="1" s="1"/>
  <c r="CH78" i="1"/>
  <c r="CI78" i="1" s="1"/>
  <c r="BM83" i="1"/>
  <c r="BN83" i="1" s="1"/>
  <c r="BZ83" i="1"/>
  <c r="CA83" i="1" s="1"/>
  <c r="CH83" i="1"/>
  <c r="CI83" i="1" s="1"/>
  <c r="BM81" i="1"/>
  <c r="BN81" i="1" s="1"/>
  <c r="BZ81" i="1"/>
  <c r="CA81" i="1" s="1"/>
  <c r="CH81" i="1"/>
  <c r="CI81" i="1" s="1"/>
  <c r="BQ403" i="1"/>
  <c r="BM403" i="1"/>
  <c r="BN403" i="1" s="1"/>
  <c r="BQ342" i="1"/>
  <c r="BM342" i="1"/>
  <c r="BN342" i="1" s="1"/>
  <c r="BQ290" i="1"/>
  <c r="BM290" i="1"/>
  <c r="BN290" i="1" s="1"/>
  <c r="BQ443" i="1"/>
  <c r="BM443" i="1"/>
  <c r="BN443" i="1" s="1"/>
  <c r="BQ273" i="1"/>
  <c r="BM273" i="1"/>
  <c r="BN273" i="1" s="1"/>
  <c r="BQ409" i="1"/>
  <c r="BM409" i="1"/>
  <c r="BN409" i="1" s="1"/>
  <c r="BQ377" i="1"/>
  <c r="BM377" i="1"/>
  <c r="BN377" i="1" s="1"/>
  <c r="BQ113" i="1"/>
  <c r="BM113" i="1"/>
  <c r="BN113" i="1" s="1"/>
  <c r="BQ313" i="1"/>
  <c r="BM313" i="1"/>
  <c r="BN313" i="1" s="1"/>
  <c r="BQ14" i="1"/>
  <c r="BM14" i="1"/>
  <c r="BN14" i="1" s="1"/>
  <c r="BQ380" i="1"/>
  <c r="BM380" i="1"/>
  <c r="BN380" i="1" s="1"/>
  <c r="BQ375" i="1"/>
  <c r="BM375" i="1"/>
  <c r="BN375" i="1" s="1"/>
  <c r="BQ414" i="1"/>
  <c r="BM414" i="1"/>
  <c r="BN414" i="1" s="1"/>
  <c r="BQ458" i="1"/>
  <c r="BM458" i="1"/>
  <c r="BN458" i="1" s="1"/>
  <c r="BQ412" i="1"/>
  <c r="BM412" i="1"/>
  <c r="BN412" i="1" s="1"/>
  <c r="BQ308" i="1"/>
  <c r="BM308" i="1"/>
  <c r="BN308" i="1" s="1"/>
  <c r="BQ119" i="1"/>
  <c r="BM119" i="1"/>
  <c r="BN119" i="1" s="1"/>
  <c r="BQ170" i="1"/>
  <c r="BM170" i="1"/>
  <c r="BN170" i="1" s="1"/>
  <c r="BQ413" i="1"/>
  <c r="BM413" i="1"/>
  <c r="BN413" i="1" s="1"/>
  <c r="CH191" i="1"/>
  <c r="CI191" i="1" s="1"/>
  <c r="BZ191" i="1"/>
  <c r="CA191" i="1" s="1"/>
  <c r="BM191" i="1"/>
  <c r="BN191" i="1" s="1"/>
  <c r="BQ278" i="1"/>
  <c r="BM278" i="1"/>
  <c r="BN278" i="1" s="1"/>
  <c r="BQ183" i="1"/>
  <c r="BM183" i="1"/>
  <c r="BN183" i="1" s="1"/>
  <c r="BQ240" i="1"/>
  <c r="BQ272" i="1"/>
  <c r="BM272" i="1"/>
  <c r="BN272" i="1" s="1"/>
  <c r="BQ207" i="1"/>
  <c r="CH218" i="1"/>
  <c r="CI218" i="1" s="1"/>
  <c r="BZ218" i="1"/>
  <c r="CA218" i="1" s="1"/>
  <c r="BM218" i="1"/>
  <c r="BN218" i="1" s="1"/>
  <c r="BQ338" i="1"/>
  <c r="BM338" i="1"/>
  <c r="BN338" i="1" s="1"/>
  <c r="BQ454" i="1"/>
  <c r="BM454" i="1"/>
  <c r="BN454" i="1" s="1"/>
  <c r="BM430" i="1"/>
  <c r="BN430" i="1" s="1"/>
  <c r="BZ430" i="1"/>
  <c r="CA430" i="1" s="1"/>
  <c r="CH430" i="1"/>
  <c r="CI430" i="1" s="1"/>
  <c r="BQ478" i="1"/>
  <c r="BM478" i="1"/>
  <c r="BN478" i="1" s="1"/>
  <c r="BZ66" i="1"/>
  <c r="CA66" i="1" s="1"/>
  <c r="BM66" i="1"/>
  <c r="BN66" i="1" s="1"/>
  <c r="CH66" i="1"/>
  <c r="CI66" i="1" s="1"/>
  <c r="BQ70" i="1"/>
  <c r="BQ59" i="1"/>
  <c r="BM59" i="1"/>
  <c r="BN59" i="1" s="1"/>
  <c r="BQ491" i="1"/>
  <c r="BM491" i="1"/>
  <c r="BN491" i="1" s="1"/>
  <c r="BQ34" i="1"/>
  <c r="BQ57" i="1"/>
  <c r="BM57" i="1"/>
  <c r="BN57" i="1" s="1"/>
  <c r="BQ293" i="1"/>
  <c r="BM293" i="1"/>
  <c r="BN293" i="1" s="1"/>
  <c r="BQ311" i="1"/>
  <c r="BM311" i="1"/>
  <c r="BN311" i="1" s="1"/>
  <c r="BQ94" i="1"/>
  <c r="BM94" i="1"/>
  <c r="BN94" i="1" s="1"/>
  <c r="BM91" i="1"/>
  <c r="BN91" i="1" s="1"/>
  <c r="BZ91" i="1"/>
  <c r="CA91" i="1" s="1"/>
  <c r="CH91" i="1"/>
  <c r="CI91" i="1" s="1"/>
  <c r="CH3" i="1"/>
  <c r="CI3" i="1" s="1"/>
  <c r="BZ3" i="1"/>
  <c r="CA3" i="1" s="1"/>
  <c r="BQ19" i="1"/>
  <c r="BM19" i="1"/>
  <c r="BN19" i="1" s="1"/>
  <c r="BQ325" i="1"/>
  <c r="BM325" i="1"/>
  <c r="BN325" i="1" s="1"/>
  <c r="BQ52" i="1"/>
  <c r="BQ178" i="1"/>
  <c r="BM178" i="1"/>
  <c r="BN178" i="1" s="1"/>
  <c r="BZ128" i="1"/>
  <c r="CA128" i="1" s="1"/>
  <c r="CH128" i="1"/>
  <c r="CI128" i="1" s="1"/>
  <c r="BM128" i="1"/>
  <c r="BN128" i="1" s="1"/>
  <c r="BQ422" i="1"/>
  <c r="BM422" i="1"/>
  <c r="BN422" i="1" s="1"/>
  <c r="BQ266" i="1"/>
  <c r="BM266" i="1"/>
  <c r="BN266" i="1" s="1"/>
  <c r="BQ312" i="1"/>
  <c r="BM312" i="1"/>
  <c r="BN312" i="1" s="1"/>
  <c r="BQ408" i="1"/>
  <c r="BM408" i="1"/>
  <c r="BN408" i="1" s="1"/>
  <c r="CH493" i="1"/>
  <c r="CI493" i="1" s="1"/>
  <c r="BM493" i="1"/>
  <c r="BN493" i="1" s="1"/>
  <c r="BZ493" i="1"/>
  <c r="CA493" i="1" s="1"/>
  <c r="BQ141" i="1"/>
  <c r="BM141" i="1"/>
  <c r="BN141" i="1" s="1"/>
  <c r="BQ460" i="1"/>
  <c r="BM460" i="1"/>
  <c r="BN460" i="1" s="1"/>
  <c r="BQ64" i="1"/>
  <c r="BM64" i="1"/>
  <c r="BN64" i="1" s="1"/>
  <c r="CH486" i="1"/>
  <c r="CI486" i="1" s="1"/>
  <c r="BM486" i="1"/>
  <c r="BN486" i="1" s="1"/>
  <c r="BZ486" i="1"/>
  <c r="CA486" i="1" s="1"/>
  <c r="BM496" i="1"/>
  <c r="BN496" i="1" s="1"/>
  <c r="CH496" i="1"/>
  <c r="CI496" i="1" s="1"/>
  <c r="BZ496" i="1"/>
  <c r="CA496" i="1" s="1"/>
  <c r="BQ449" i="1"/>
  <c r="BM449" i="1"/>
  <c r="BN449" i="1" s="1"/>
  <c r="BQ44" i="1"/>
  <c r="BM44" i="1"/>
  <c r="BN44" i="1" s="1"/>
  <c r="BQ238" i="1"/>
  <c r="BM238" i="1"/>
  <c r="BN238" i="1" s="1"/>
  <c r="BM257" i="1"/>
  <c r="BN257" i="1" s="1"/>
  <c r="BZ257" i="1"/>
  <c r="CA257" i="1" s="1"/>
  <c r="CH257" i="1"/>
  <c r="CI257" i="1" s="1"/>
  <c r="CH74" i="1"/>
  <c r="CI74" i="1" s="1"/>
  <c r="BM74" i="1"/>
  <c r="BN74" i="1" s="1"/>
  <c r="BZ74" i="1"/>
  <c r="CA74" i="1" s="1"/>
  <c r="CH80" i="1"/>
  <c r="CI80" i="1" s="1"/>
  <c r="BZ80" i="1"/>
  <c r="CA80" i="1" s="1"/>
  <c r="BM80" i="1"/>
  <c r="BN80" i="1" s="1"/>
  <c r="BQ399" i="1"/>
  <c r="BM399" i="1"/>
  <c r="BN399" i="1" s="1"/>
  <c r="BQ401" i="1"/>
  <c r="BM401" i="1"/>
  <c r="BN401" i="1" s="1"/>
  <c r="BQ108" i="1"/>
  <c r="BQ237" i="1"/>
  <c r="BM237" i="1"/>
  <c r="BN237" i="1" s="1"/>
  <c r="BQ162" i="1"/>
  <c r="BM162" i="1"/>
  <c r="BN162" i="1" s="1"/>
  <c r="BQ391" i="1"/>
  <c r="BM391" i="1"/>
  <c r="BN391" i="1" s="1"/>
  <c r="BQ95" i="1"/>
  <c r="BM95" i="1"/>
  <c r="BN95" i="1" s="1"/>
  <c r="CH2" i="1"/>
  <c r="CI2" i="1" s="1"/>
  <c r="BM2" i="1"/>
  <c r="BN2" i="1" s="1"/>
  <c r="BQ18" i="1"/>
  <c r="BM18" i="1"/>
  <c r="BN18" i="1" s="1"/>
  <c r="BQ61" i="1"/>
  <c r="BM61" i="1"/>
  <c r="BN61" i="1" s="1"/>
  <c r="BQ62" i="1"/>
  <c r="BM62" i="1"/>
  <c r="BN62" i="1" s="1"/>
  <c r="CH249" i="1"/>
  <c r="CI249" i="1" s="1"/>
  <c r="BZ249" i="1"/>
  <c r="CA249" i="1" s="1"/>
  <c r="BM249" i="1"/>
  <c r="BN249" i="1" s="1"/>
  <c r="BQ378" i="1"/>
  <c r="BM378" i="1"/>
  <c r="BN378" i="1" s="1"/>
  <c r="BQ371" i="1"/>
  <c r="BM371" i="1"/>
  <c r="BN371" i="1" s="1"/>
  <c r="CH283" i="1"/>
  <c r="CI283" i="1" s="1"/>
  <c r="BM283" i="1"/>
  <c r="BN283" i="1" s="1"/>
  <c r="BZ283" i="1"/>
  <c r="CA283" i="1" s="1"/>
  <c r="BQ248" i="1"/>
  <c r="BM248" i="1"/>
  <c r="BN248" i="1" s="1"/>
  <c r="BQ193" i="1"/>
  <c r="BM193" i="1"/>
  <c r="BN193" i="1" s="1"/>
  <c r="CH217" i="1"/>
  <c r="CI217" i="1" s="1"/>
  <c r="BM217" i="1"/>
  <c r="BN217" i="1" s="1"/>
  <c r="BZ217" i="1"/>
  <c r="CA217" i="1" s="1"/>
  <c r="BQ446" i="1"/>
  <c r="BM446" i="1"/>
  <c r="BN446" i="1" s="1"/>
  <c r="BQ188" i="1"/>
  <c r="BM188" i="1"/>
  <c r="BN188" i="1" s="1"/>
  <c r="CH230" i="1"/>
  <c r="CI230" i="1" s="1"/>
  <c r="BM230" i="1"/>
  <c r="BN230" i="1" s="1"/>
  <c r="BZ230" i="1"/>
  <c r="CA230" i="1" s="1"/>
  <c r="BQ398" i="1"/>
  <c r="BM398" i="1"/>
  <c r="BN398" i="1" s="1"/>
  <c r="BQ459" i="1"/>
  <c r="BM459" i="1"/>
  <c r="BN459" i="1" s="1"/>
  <c r="BQ405" i="1"/>
  <c r="BM405" i="1"/>
  <c r="BN405" i="1" s="1"/>
  <c r="BZ67" i="1"/>
  <c r="CA67" i="1" s="1"/>
  <c r="BM67" i="1"/>
  <c r="BN67" i="1" s="1"/>
  <c r="CH67" i="1"/>
  <c r="CI67" i="1" s="1"/>
  <c r="CH281" i="1"/>
  <c r="CI281" i="1" s="1"/>
  <c r="BM281" i="1"/>
  <c r="BN281" i="1" s="1"/>
  <c r="BZ281" i="1"/>
  <c r="CA281" i="1" s="1"/>
  <c r="BM467" i="1"/>
  <c r="BN467" i="1" s="1"/>
  <c r="CH467" i="1"/>
  <c r="CI467" i="1" s="1"/>
  <c r="BZ467" i="1"/>
  <c r="CA467" i="1" s="1"/>
  <c r="CH251" i="1"/>
  <c r="CI251" i="1" s="1"/>
  <c r="BZ251" i="1"/>
  <c r="CA251" i="1" s="1"/>
  <c r="BQ423" i="1"/>
  <c r="BM423" i="1"/>
  <c r="BN423" i="1" s="1"/>
  <c r="BQ139" i="1"/>
  <c r="BM139" i="1"/>
  <c r="BN139" i="1" s="1"/>
  <c r="CH222" i="1"/>
  <c r="CI222" i="1" s="1"/>
  <c r="BM222" i="1"/>
  <c r="BN222" i="1" s="1"/>
  <c r="BZ222" i="1"/>
  <c r="CA222" i="1" s="1"/>
  <c r="BQ397" i="1"/>
  <c r="BM397" i="1"/>
  <c r="BN397" i="1" s="1"/>
  <c r="BQ404" i="1"/>
  <c r="BM404" i="1"/>
  <c r="BN404" i="1" s="1"/>
  <c r="BQ407" i="1"/>
  <c r="BM407" i="1"/>
  <c r="BN407" i="1" s="1"/>
  <c r="BM233" i="1"/>
  <c r="BN233" i="1" s="1"/>
  <c r="CH233" i="1"/>
  <c r="CI233" i="1" s="1"/>
  <c r="BZ233" i="1"/>
  <c r="CA233" i="1" s="1"/>
  <c r="BQ85" i="1"/>
  <c r="BM85" i="1"/>
  <c r="BN85" i="1" s="1"/>
  <c r="BQ288" i="1"/>
  <c r="BM288" i="1"/>
  <c r="BN288" i="1" s="1"/>
  <c r="BQ22" i="1"/>
  <c r="BM22" i="1"/>
  <c r="BN22" i="1" s="1"/>
  <c r="BQ415" i="1"/>
  <c r="BQ32" i="1"/>
  <c r="BM32" i="1"/>
  <c r="BN32" i="1" s="1"/>
  <c r="BQ45" i="1"/>
  <c r="BM45" i="1"/>
  <c r="BN45" i="1" s="1"/>
  <c r="BQ48" i="1"/>
  <c r="BM48" i="1"/>
  <c r="BN48" i="1" s="1"/>
  <c r="BQ25" i="1"/>
  <c r="BM25" i="1"/>
  <c r="BN25" i="1" s="1"/>
  <c r="BQ261" i="1"/>
  <c r="BM261" i="1"/>
  <c r="BN261" i="1" s="1"/>
  <c r="BQ118" i="1"/>
  <c r="CH199" i="1"/>
  <c r="CI199" i="1" s="1"/>
  <c r="BZ199" i="1"/>
  <c r="CA199" i="1" s="1"/>
  <c r="BM199" i="1"/>
  <c r="BN199" i="1" s="1"/>
  <c r="BQ381" i="1"/>
  <c r="BM381" i="1"/>
  <c r="BN381" i="1" s="1"/>
  <c r="CH198" i="1"/>
  <c r="CI198" i="1" s="1"/>
  <c r="BZ198" i="1"/>
  <c r="CA198" i="1" s="1"/>
  <c r="BM198" i="1"/>
  <c r="BN198" i="1" s="1"/>
  <c r="CH503" i="1"/>
  <c r="CI503" i="1" s="1"/>
  <c r="BZ503" i="1"/>
  <c r="CA503" i="1" s="1"/>
  <c r="BM503" i="1"/>
  <c r="BN503" i="1" s="1"/>
  <c r="BQ411" i="1"/>
  <c r="BM411" i="1"/>
  <c r="BN411" i="1" s="1"/>
  <c r="BQ136" i="1"/>
  <c r="BM136" i="1"/>
  <c r="BN136" i="1" s="1"/>
  <c r="BZ485" i="1"/>
  <c r="CA485" i="1" s="1"/>
  <c r="BM485" i="1"/>
  <c r="BN485" i="1" s="1"/>
  <c r="CH485" i="1"/>
  <c r="CI485" i="1" s="1"/>
  <c r="BQ448" i="1"/>
  <c r="BM448" i="1"/>
  <c r="BN448" i="1" s="1"/>
  <c r="BA492" i="1"/>
  <c r="BB492" i="1" s="1"/>
  <c r="Y492" i="1"/>
  <c r="Z492" i="1" s="1"/>
  <c r="BA239" i="1"/>
  <c r="BB239" i="1" s="1"/>
  <c r="Y239" i="1"/>
  <c r="Z239" i="1" s="1"/>
  <c r="BA336" i="1"/>
  <c r="BB336" i="1" s="1"/>
  <c r="Y336" i="1"/>
  <c r="Z336" i="1" s="1"/>
  <c r="BA427" i="1"/>
  <c r="BB427" i="1" s="1"/>
  <c r="Y427" i="1"/>
  <c r="Z427" i="1" s="1"/>
  <c r="BA306" i="1"/>
  <c r="BB306" i="1" s="1"/>
  <c r="Y306" i="1"/>
  <c r="Z306" i="1" s="1"/>
  <c r="BA36" i="1"/>
  <c r="BB36" i="1" s="1"/>
  <c r="Y36" i="1"/>
  <c r="Z36" i="1" s="1"/>
  <c r="BA456" i="1"/>
  <c r="BB456" i="1" s="1"/>
  <c r="Y456" i="1"/>
  <c r="Z456" i="1" s="1"/>
  <c r="BA55" i="1"/>
  <c r="BB55" i="1" s="1"/>
  <c r="Y55" i="1"/>
  <c r="Z55" i="1" s="1"/>
  <c r="BA39" i="1"/>
  <c r="BB39" i="1" s="1"/>
  <c r="Y39" i="1"/>
  <c r="Z39" i="1" s="1"/>
  <c r="BA42" i="1"/>
  <c r="BB42" i="1" s="1"/>
  <c r="Y42" i="1"/>
  <c r="Z42" i="1" s="1"/>
  <c r="AP251" i="1"/>
  <c r="BA251" i="1"/>
  <c r="BB251" i="1" s="1"/>
  <c r="AP346" i="1"/>
  <c r="BA346" i="1"/>
  <c r="BB346" i="1" s="1"/>
  <c r="AP3" i="1"/>
  <c r="BA3" i="1"/>
  <c r="BB3" i="1" s="1"/>
  <c r="AP415" i="1"/>
  <c r="BA415" i="1"/>
  <c r="BB415" i="1" s="1"/>
  <c r="AP16" i="1"/>
  <c r="BA16" i="1"/>
  <c r="BB16" i="1" s="1"/>
  <c r="AP103" i="1"/>
  <c r="BA103" i="1"/>
  <c r="BB103" i="1" s="1"/>
  <c r="AP494" i="1"/>
  <c r="BA494" i="1"/>
  <c r="BB494" i="1" s="1"/>
  <c r="AP127" i="1"/>
  <c r="BA127" i="1"/>
  <c r="BB127" i="1" s="1"/>
  <c r="AP344" i="1"/>
  <c r="BA344" i="1"/>
  <c r="BB344" i="1" s="1"/>
  <c r="AP70" i="1"/>
  <c r="BA70" i="1"/>
  <c r="BB70" i="1" s="1"/>
  <c r="AP34" i="1"/>
  <c r="BA34" i="1"/>
  <c r="BB34" i="1" s="1"/>
  <c r="AP108" i="1"/>
  <c r="BA108" i="1"/>
  <c r="BB108" i="1" s="1"/>
  <c r="AP145" i="1"/>
  <c r="BA145" i="1"/>
  <c r="BB145" i="1" s="1"/>
  <c r="AP211" i="1"/>
  <c r="BA211" i="1"/>
  <c r="BB211" i="1" s="1"/>
  <c r="AP242" i="1"/>
  <c r="BA242" i="1"/>
  <c r="BB242" i="1" s="1"/>
  <c r="AP207" i="1"/>
  <c r="BA207" i="1"/>
  <c r="BB207" i="1" s="1"/>
  <c r="AP52" i="1"/>
  <c r="BA52" i="1"/>
  <c r="BB52" i="1" s="1"/>
  <c r="AP167" i="1"/>
  <c r="BA167" i="1"/>
  <c r="BB167" i="1" s="1"/>
  <c r="AP123" i="1"/>
  <c r="BA123" i="1"/>
  <c r="BB123" i="1" s="1"/>
  <c r="AP240" i="1"/>
  <c r="BA240" i="1"/>
  <c r="BB240" i="1" s="1"/>
  <c r="AP12" i="1"/>
  <c r="BA12" i="1"/>
  <c r="BB12" i="1" s="1"/>
  <c r="AP118" i="1"/>
  <c r="BA118" i="1"/>
  <c r="BB118" i="1" s="1"/>
  <c r="AP203" i="1"/>
  <c r="BA203" i="1"/>
  <c r="BB203" i="1" s="1"/>
  <c r="AP156" i="1"/>
  <c r="BA156" i="1"/>
  <c r="BB156" i="1" s="1"/>
  <c r="AP463" i="1"/>
  <c r="BA463" i="1"/>
  <c r="BB463" i="1" s="1"/>
  <c r="AP476" i="1"/>
  <c r="BA476" i="1"/>
  <c r="BB476" i="1" s="1"/>
  <c r="AP181" i="1"/>
  <c r="BA181" i="1"/>
  <c r="BB181" i="1" s="1"/>
  <c r="BZ2" i="1"/>
  <c r="CA2" i="1" s="1"/>
  <c r="CJ2" i="1"/>
  <c r="CX165" i="1"/>
  <c r="CU165" i="1"/>
  <c r="CV165" i="1" s="1"/>
  <c r="CX149" i="1"/>
  <c r="CU149" i="1"/>
  <c r="CV149" i="1" s="1"/>
  <c r="CX298" i="1"/>
  <c r="CU298" i="1"/>
  <c r="CV298" i="1" s="1"/>
  <c r="CX196" i="1"/>
  <c r="CU196" i="1"/>
  <c r="CV196" i="1" s="1"/>
  <c r="DE160" i="1"/>
  <c r="DB160" i="1"/>
  <c r="DC160" i="1" s="1"/>
  <c r="DE165" i="1"/>
  <c r="DB165" i="1"/>
  <c r="DC165" i="1" s="1"/>
  <c r="DE484" i="1"/>
  <c r="DB484" i="1"/>
  <c r="DC484" i="1" s="1"/>
  <c r="DE298" i="1"/>
  <c r="DB298" i="1"/>
  <c r="DC298" i="1" s="1"/>
  <c r="DE195" i="1"/>
  <c r="DB195" i="1"/>
  <c r="DC195" i="1" s="1"/>
  <c r="DE196" i="1"/>
  <c r="DB196" i="1"/>
  <c r="DC196" i="1" s="1"/>
  <c r="DE149" i="1"/>
  <c r="DB149" i="1"/>
  <c r="DC149" i="1" s="1"/>
  <c r="CJ199" i="1"/>
  <c r="BQ199" i="1"/>
  <c r="CJ281" i="1"/>
  <c r="BQ281" i="1"/>
  <c r="CJ217" i="1"/>
  <c r="BQ217" i="1"/>
  <c r="CJ257" i="1"/>
  <c r="BQ257" i="1"/>
  <c r="CJ496" i="1"/>
  <c r="BQ496" i="1"/>
  <c r="CJ493" i="1"/>
  <c r="BQ493" i="1"/>
  <c r="CJ66" i="1"/>
  <c r="BQ66" i="1"/>
  <c r="CJ487" i="1"/>
  <c r="BQ487" i="1"/>
  <c r="CJ15" i="1"/>
  <c r="BQ15" i="1"/>
  <c r="CJ503" i="1"/>
  <c r="BQ503" i="1"/>
  <c r="CJ67" i="1"/>
  <c r="BQ67" i="1"/>
  <c r="CJ230" i="1"/>
  <c r="BQ230" i="1"/>
  <c r="CJ128" i="1"/>
  <c r="BQ128" i="1"/>
  <c r="CJ218" i="1"/>
  <c r="BQ218" i="1"/>
  <c r="CJ81" i="1"/>
  <c r="BQ81" i="1"/>
  <c r="CJ485" i="1"/>
  <c r="BQ485" i="1"/>
  <c r="CJ198" i="1"/>
  <c r="BQ198" i="1"/>
  <c r="CJ251" i="1"/>
  <c r="BQ251" i="1"/>
  <c r="CJ249" i="1"/>
  <c r="BQ249" i="1"/>
  <c r="CJ80" i="1"/>
  <c r="BQ80" i="1"/>
  <c r="CJ486" i="1"/>
  <c r="BQ486" i="1"/>
  <c r="CJ3" i="1"/>
  <c r="BQ3" i="1"/>
  <c r="CJ430" i="1"/>
  <c r="BQ430" i="1"/>
  <c r="CJ83" i="1"/>
  <c r="BQ83" i="1"/>
  <c r="CJ233" i="1"/>
  <c r="BQ233" i="1"/>
  <c r="CJ222" i="1"/>
  <c r="BQ222" i="1"/>
  <c r="CJ467" i="1"/>
  <c r="BQ467" i="1"/>
  <c r="CJ283" i="1"/>
  <c r="BQ283" i="1"/>
  <c r="CJ74" i="1"/>
  <c r="BQ74" i="1"/>
  <c r="CJ91" i="1"/>
  <c r="BQ91" i="1"/>
  <c r="CJ191" i="1"/>
  <c r="BQ191" i="1"/>
  <c r="CJ78" i="1"/>
  <c r="BQ78" i="1"/>
  <c r="CJ116" i="1"/>
  <c r="BQ116" i="1"/>
  <c r="BQ2" i="1"/>
  <c r="CB183" i="1"/>
  <c r="CC183" i="1" s="1"/>
  <c r="BJ183" i="1"/>
  <c r="CB119" i="1"/>
  <c r="CC119" i="1" s="1"/>
  <c r="BJ119" i="1"/>
  <c r="CB230" i="1"/>
  <c r="CD230" i="1"/>
  <c r="BJ230" i="1"/>
  <c r="CB283" i="1"/>
  <c r="CD283" i="1"/>
  <c r="BJ283" i="1"/>
  <c r="CD371" i="1"/>
  <c r="BJ371" i="1"/>
  <c r="CB2" i="1"/>
  <c r="CD2" i="1"/>
  <c r="BJ2" i="1"/>
  <c r="G5" i="2" s="1"/>
  <c r="CB57" i="1"/>
  <c r="CC57" i="1" s="1"/>
  <c r="BJ57" i="1"/>
  <c r="CB257" i="1"/>
  <c r="BJ257" i="1"/>
  <c r="CD257" i="1"/>
  <c r="CB485" i="1"/>
  <c r="CD485" i="1"/>
  <c r="BJ485" i="1"/>
  <c r="CD378" i="1"/>
  <c r="BJ378" i="1"/>
  <c r="CD45" i="1"/>
  <c r="BJ45" i="1"/>
  <c r="BJ391" i="1"/>
  <c r="CD391" i="1"/>
  <c r="CD404" i="1"/>
  <c r="BJ404" i="1"/>
  <c r="CB80" i="1"/>
  <c r="CD80" i="1"/>
  <c r="BJ80" i="1"/>
  <c r="CB116" i="1"/>
  <c r="CD116" i="1"/>
  <c r="BJ116" i="1"/>
  <c r="CB67" i="1"/>
  <c r="CD67" i="1"/>
  <c r="BJ67" i="1"/>
  <c r="CB178" i="1"/>
  <c r="CC178" i="1" s="1"/>
  <c r="BJ178" i="1"/>
  <c r="CD443" i="1"/>
  <c r="BJ443" i="1"/>
  <c r="CB81" i="1"/>
  <c r="CD81" i="1"/>
  <c r="BJ81" i="1"/>
  <c r="BJ44" i="1"/>
  <c r="CD44" i="1"/>
  <c r="CD405" i="1"/>
  <c r="BJ405" i="1"/>
  <c r="CD48" i="1"/>
  <c r="BJ48" i="1"/>
  <c r="CD85" i="1"/>
  <c r="BJ85" i="1"/>
  <c r="CD399" i="1"/>
  <c r="BJ399" i="1"/>
  <c r="CB254" i="1"/>
  <c r="CC254" i="1" s="1"/>
  <c r="BJ254" i="1"/>
  <c r="CB493" i="1"/>
  <c r="CD493" i="1"/>
  <c r="BJ493" i="1"/>
  <c r="CB248" i="1"/>
  <c r="CC248" i="1" s="1"/>
  <c r="BJ248" i="1"/>
  <c r="CD288" i="1"/>
  <c r="BJ288" i="1"/>
  <c r="CB460" i="1"/>
  <c r="CC460" i="1" s="1"/>
  <c r="BJ460" i="1"/>
  <c r="CD411" i="1"/>
  <c r="BJ411" i="1"/>
  <c r="CD308" i="1"/>
  <c r="BJ308" i="1"/>
  <c r="CD312" i="1"/>
  <c r="BJ312" i="1"/>
  <c r="CB249" i="1"/>
  <c r="CD249" i="1"/>
  <c r="BJ249" i="1"/>
  <c r="CB3" i="1"/>
  <c r="CD3" i="1"/>
  <c r="BJ3" i="1"/>
  <c r="CD273" i="1"/>
  <c r="BJ273" i="1"/>
  <c r="CD454" i="1"/>
  <c r="BJ454" i="1"/>
  <c r="CB486" i="1"/>
  <c r="CD486" i="1"/>
  <c r="BJ486" i="1"/>
  <c r="CB136" i="1"/>
  <c r="CC136" i="1" s="1"/>
  <c r="BZ136" i="1" s="1"/>
  <c r="CA136" i="1" s="1"/>
  <c r="BJ136" i="1"/>
  <c r="CD446" i="1"/>
  <c r="BJ446" i="1"/>
  <c r="CB118" i="1"/>
  <c r="CC118" i="1" s="1"/>
  <c r="BJ118" i="1"/>
  <c r="CD32" i="1"/>
  <c r="BJ32" i="1"/>
  <c r="CD293" i="1"/>
  <c r="BJ293" i="1"/>
  <c r="CD397" i="1"/>
  <c r="BJ397" i="1"/>
  <c r="CB59" i="1"/>
  <c r="CC59" i="1" s="1"/>
  <c r="BJ59" i="1"/>
  <c r="CB281" i="1"/>
  <c r="CD281" i="1"/>
  <c r="BJ281" i="1"/>
  <c r="CB413" i="1"/>
  <c r="CC413" i="1" s="1"/>
  <c r="BJ413" i="1"/>
  <c r="CD52" i="1"/>
  <c r="BJ52" i="1"/>
  <c r="CD290" i="1"/>
  <c r="BJ290" i="1"/>
  <c r="CB83" i="1"/>
  <c r="CD83" i="1"/>
  <c r="BJ83" i="1"/>
  <c r="CB278" i="1"/>
  <c r="CC278" i="1" s="1"/>
  <c r="BJ278" i="1"/>
  <c r="CB458" i="1"/>
  <c r="CC458" i="1" s="1"/>
  <c r="BJ458" i="1"/>
  <c r="CB415" i="1"/>
  <c r="CC415" i="1" s="1"/>
  <c r="BZ415" i="1" s="1"/>
  <c r="CA415" i="1" s="1"/>
  <c r="BJ415" i="1"/>
  <c r="CB233" i="1"/>
  <c r="CD233" i="1"/>
  <c r="BJ233" i="1"/>
  <c r="CD34" i="1"/>
  <c r="BJ34" i="1"/>
  <c r="CB251" i="1"/>
  <c r="CD251" i="1"/>
  <c r="BJ251" i="1"/>
  <c r="CB218" i="1"/>
  <c r="CD218" i="1"/>
  <c r="BJ218" i="1"/>
  <c r="CB237" i="1"/>
  <c r="CC237" i="1" s="1"/>
  <c r="BJ237" i="1"/>
  <c r="CB272" i="1"/>
  <c r="CC272" i="1" s="1"/>
  <c r="BJ272" i="1"/>
  <c r="CD459" i="1"/>
  <c r="BJ459" i="1"/>
  <c r="CD422" i="1"/>
  <c r="BJ422" i="1"/>
  <c r="CD414" i="1"/>
  <c r="BJ414" i="1"/>
  <c r="CD261" i="1"/>
  <c r="BJ261" i="1"/>
  <c r="CB91" i="1"/>
  <c r="CD91" i="1"/>
  <c r="BJ91" i="1"/>
  <c r="CD423" i="1"/>
  <c r="BJ423" i="1"/>
  <c r="CD64" i="1"/>
  <c r="BJ64" i="1"/>
  <c r="CB266" i="1"/>
  <c r="CC266" i="1" s="1"/>
  <c r="BJ266" i="1"/>
  <c r="CD381" i="1"/>
  <c r="BJ381" i="1"/>
  <c r="CB14" i="1"/>
  <c r="CC14" i="1" s="1"/>
  <c r="BJ14" i="1"/>
  <c r="CD19" i="1"/>
  <c r="BJ19" i="1"/>
  <c r="CD409" i="1"/>
  <c r="BJ409" i="1"/>
  <c r="CB222" i="1"/>
  <c r="CD222" i="1"/>
  <c r="BJ222" i="1"/>
  <c r="CB70" i="1"/>
  <c r="CC70" i="1" s="1"/>
  <c r="BJ70" i="1"/>
  <c r="CB496" i="1"/>
  <c r="CD496" i="1"/>
  <c r="BJ496" i="1"/>
  <c r="CB170" i="1"/>
  <c r="CC170" i="1" s="1"/>
  <c r="BZ170" i="1" s="1"/>
  <c r="CA170" i="1" s="1"/>
  <c r="BJ170" i="1"/>
  <c r="CD325" i="1"/>
  <c r="BJ325" i="1"/>
  <c r="CD342" i="1"/>
  <c r="BJ342" i="1"/>
  <c r="CB78" i="1"/>
  <c r="CD78" i="1"/>
  <c r="BJ78" i="1"/>
  <c r="CB503" i="1"/>
  <c r="CD503" i="1"/>
  <c r="BJ503" i="1"/>
  <c r="CB193" i="1"/>
  <c r="CC193" i="1" s="1"/>
  <c r="BJ193" i="1"/>
  <c r="CB199" i="1"/>
  <c r="CD199" i="1"/>
  <c r="BJ199" i="1"/>
  <c r="CB94" i="1"/>
  <c r="CC94" i="1" s="1"/>
  <c r="BJ94" i="1"/>
  <c r="CB108" i="1"/>
  <c r="CC108" i="1" s="1"/>
  <c r="BJ108" i="1"/>
  <c r="CB491" i="1"/>
  <c r="CC491" i="1" s="1"/>
  <c r="BJ491" i="1"/>
  <c r="CB467" i="1"/>
  <c r="CD467" i="1"/>
  <c r="BJ467" i="1"/>
  <c r="CD25" i="1"/>
  <c r="BJ25" i="1"/>
  <c r="CD478" i="1"/>
  <c r="BJ478" i="1"/>
  <c r="CB240" i="1"/>
  <c r="CC240" i="1" s="1"/>
  <c r="BJ240" i="1"/>
  <c r="CB191" i="1"/>
  <c r="CD191" i="1"/>
  <c r="BJ191" i="1"/>
  <c r="CD398" i="1"/>
  <c r="BJ398" i="1"/>
  <c r="CB128" i="1"/>
  <c r="CD128" i="1"/>
  <c r="BJ128" i="1"/>
  <c r="CD375" i="1"/>
  <c r="BJ375" i="1"/>
  <c r="CD313" i="1"/>
  <c r="BJ313" i="1"/>
  <c r="CB162" i="1"/>
  <c r="CC162" i="1" s="1"/>
  <c r="BJ162" i="1"/>
  <c r="CB74" i="1"/>
  <c r="CD74" i="1"/>
  <c r="BJ74" i="1"/>
  <c r="CD448" i="1"/>
  <c r="BJ448" i="1"/>
  <c r="CD408" i="1"/>
  <c r="BJ408" i="1"/>
  <c r="CD412" i="1"/>
  <c r="BJ412" i="1"/>
  <c r="CD380" i="1"/>
  <c r="BJ380" i="1"/>
  <c r="CB18" i="1"/>
  <c r="CC18" i="1" s="1"/>
  <c r="BJ18" i="1"/>
  <c r="CB113" i="1"/>
  <c r="CC113" i="1" s="1"/>
  <c r="BJ113" i="1"/>
  <c r="CD407" i="1"/>
  <c r="BJ407" i="1"/>
  <c r="CB139" i="1"/>
  <c r="CC139" i="1" s="1"/>
  <c r="BZ139" i="1" s="1"/>
  <c r="CA139" i="1" s="1"/>
  <c r="BJ139" i="1"/>
  <c r="CB66" i="1"/>
  <c r="CD66" i="1"/>
  <c r="BJ66" i="1"/>
  <c r="CB430" i="1"/>
  <c r="BJ430" i="1"/>
  <c r="CB188" i="1"/>
  <c r="CC188" i="1" s="1"/>
  <c r="BJ188" i="1"/>
  <c r="CB95" i="1"/>
  <c r="CC95" i="1" s="1"/>
  <c r="BZ95" i="1" s="1"/>
  <c r="CA95" i="1" s="1"/>
  <c r="BJ95" i="1"/>
  <c r="CD403" i="1"/>
  <c r="BJ403" i="1"/>
  <c r="CB238" i="1"/>
  <c r="CC238" i="1" s="1"/>
  <c r="BJ238" i="1"/>
  <c r="CB207" i="1"/>
  <c r="CC207" i="1" s="1"/>
  <c r="BJ207" i="1"/>
  <c r="CB198" i="1"/>
  <c r="CD198" i="1"/>
  <c r="BJ198" i="1"/>
  <c r="BJ62" i="1"/>
  <c r="CD62" i="1"/>
  <c r="CD311" i="1"/>
  <c r="BJ311" i="1"/>
  <c r="BJ401" i="1"/>
  <c r="CD401" i="1"/>
  <c r="CB487" i="1"/>
  <c r="CD487" i="1"/>
  <c r="BJ487" i="1"/>
  <c r="BJ449" i="1"/>
  <c r="CD449" i="1"/>
  <c r="CB141" i="1"/>
  <c r="CC141" i="1" s="1"/>
  <c r="BZ141" i="1" s="1"/>
  <c r="CA141" i="1" s="1"/>
  <c r="BJ141" i="1"/>
  <c r="CB217" i="1"/>
  <c r="CD217" i="1"/>
  <c r="BJ217" i="1"/>
  <c r="CD377" i="1"/>
  <c r="BJ377" i="1"/>
  <c r="AT96" i="1"/>
  <c r="AU96" i="1" s="1"/>
  <c r="AA417" i="1"/>
  <c r="AB417" i="1" s="1"/>
  <c r="Y417" i="1" s="1"/>
  <c r="Z417" i="1" s="1"/>
  <c r="C22" i="2"/>
  <c r="AX96" i="1"/>
  <c r="AY96" i="1" s="1"/>
  <c r="D22" i="2"/>
  <c r="AP42" i="1"/>
  <c r="AQ42" i="1" s="1"/>
  <c r="BC42" i="1" s="1"/>
  <c r="AP39" i="1"/>
  <c r="AQ39" i="1" s="1"/>
  <c r="BC39" i="1" s="1"/>
  <c r="AP456" i="1"/>
  <c r="AQ456" i="1" s="1"/>
  <c r="BC456" i="1" s="1"/>
  <c r="AP306" i="1"/>
  <c r="AQ306" i="1" s="1"/>
  <c r="BC306" i="1" s="1"/>
  <c r="AP427" i="1"/>
  <c r="AQ427" i="1" s="1"/>
  <c r="BC427" i="1" s="1"/>
  <c r="AP492" i="1"/>
  <c r="AQ492" i="1" s="1"/>
  <c r="BC492" i="1" s="1"/>
  <c r="AP10" i="1"/>
  <c r="AQ10" i="1" s="1"/>
  <c r="BC10" i="1" s="1"/>
  <c r="BD10" i="1" s="1"/>
  <c r="BA10" i="1" s="1"/>
  <c r="BB10" i="1" s="1"/>
  <c r="AP31" i="1"/>
  <c r="AQ31" i="1" s="1"/>
  <c r="BC31" i="1" s="1"/>
  <c r="BD31" i="1" s="1"/>
  <c r="AP8" i="1"/>
  <c r="AQ8" i="1" s="1"/>
  <c r="BC8" i="1" s="1"/>
  <c r="BD8" i="1" s="1"/>
  <c r="AP30" i="1"/>
  <c r="AQ30" i="1" s="1"/>
  <c r="BC30" i="1" s="1"/>
  <c r="BD30" i="1" s="1"/>
  <c r="AP359" i="1"/>
  <c r="AQ359" i="1" s="1"/>
  <c r="BC359" i="1" s="1"/>
  <c r="BD359" i="1" s="1"/>
  <c r="BA359" i="1" s="1"/>
  <c r="BB359" i="1" s="1"/>
  <c r="AP23" i="1"/>
  <c r="AQ23" i="1" s="1"/>
  <c r="BC23" i="1" s="1"/>
  <c r="BD23" i="1" s="1"/>
  <c r="AP369" i="1"/>
  <c r="AQ369" i="1" s="1"/>
  <c r="BC369" i="1" s="1"/>
  <c r="BD369" i="1" s="1"/>
  <c r="AP239" i="1"/>
  <c r="AQ239" i="1" s="1"/>
  <c r="BC239" i="1" s="1"/>
  <c r="AP180" i="1"/>
  <c r="AQ180" i="1" s="1"/>
  <c r="BC180" i="1" s="1"/>
  <c r="BD180" i="1" s="1"/>
  <c r="AP106" i="1"/>
  <c r="AQ106" i="1" s="1"/>
  <c r="BC106" i="1" s="1"/>
  <c r="BD106" i="1" s="1"/>
  <c r="AP43" i="1"/>
  <c r="AQ43" i="1" s="1"/>
  <c r="BC43" i="1" s="1"/>
  <c r="BD43" i="1" s="1"/>
  <c r="AP55" i="1"/>
  <c r="AQ55" i="1" s="1"/>
  <c r="BC55" i="1" s="1"/>
  <c r="AP284" i="1"/>
  <c r="AQ284" i="1" s="1"/>
  <c r="BC284" i="1" s="1"/>
  <c r="BD284" i="1" s="1"/>
  <c r="BA284" i="1" s="1"/>
  <c r="BB284" i="1" s="1"/>
  <c r="AP192" i="1"/>
  <c r="AQ192" i="1" s="1"/>
  <c r="BC192" i="1" s="1"/>
  <c r="BD192" i="1" s="1"/>
  <c r="AP36" i="1"/>
  <c r="AQ36" i="1" s="1"/>
  <c r="BC36" i="1" s="1"/>
  <c r="AP60" i="1"/>
  <c r="AQ60" i="1" s="1"/>
  <c r="BC60" i="1" s="1"/>
  <c r="BD60" i="1" s="1"/>
  <c r="AP126" i="1"/>
  <c r="AQ126" i="1" s="1"/>
  <c r="BC126" i="1" s="1"/>
  <c r="BD126" i="1" s="1"/>
  <c r="AP51" i="1"/>
  <c r="AQ51" i="1" s="1"/>
  <c r="BC51" i="1" s="1"/>
  <c r="BD51" i="1" s="1"/>
  <c r="BA51" i="1" s="1"/>
  <c r="BB51" i="1" s="1"/>
  <c r="AP90" i="1"/>
  <c r="AQ90" i="1" s="1"/>
  <c r="BC90" i="1" s="1"/>
  <c r="BD90" i="1" s="1"/>
  <c r="AP100" i="1"/>
  <c r="AQ100" i="1" s="1"/>
  <c r="BC100" i="1" s="1"/>
  <c r="BD100" i="1" s="1"/>
  <c r="AP41" i="1"/>
  <c r="AQ41" i="1" s="1"/>
  <c r="BC41" i="1" s="1"/>
  <c r="BD41" i="1" s="1"/>
  <c r="AP336" i="1"/>
  <c r="AQ336" i="1" s="1"/>
  <c r="BC336" i="1" s="1"/>
  <c r="AG478" i="1"/>
  <c r="AA478" i="1"/>
  <c r="AG59" i="1"/>
  <c r="AA59" i="1"/>
  <c r="AG259" i="1"/>
  <c r="AA259" i="1"/>
  <c r="AG400" i="1"/>
  <c r="AA400" i="1"/>
  <c r="AG490" i="1"/>
  <c r="AA490" i="1"/>
  <c r="AG57" i="1"/>
  <c r="AA57" i="1"/>
  <c r="AG293" i="1"/>
  <c r="AA293" i="1"/>
  <c r="AG299" i="1"/>
  <c r="AA299" i="1"/>
  <c r="AG19" i="1"/>
  <c r="AA19" i="1"/>
  <c r="AG53" i="1"/>
  <c r="AA53" i="1"/>
  <c r="AG20" i="1"/>
  <c r="AA20" i="1"/>
  <c r="AG408" i="1"/>
  <c r="AA408" i="1"/>
  <c r="AG200" i="1"/>
  <c r="AA200" i="1"/>
  <c r="AG225" i="1"/>
  <c r="AA225" i="1"/>
  <c r="AG120" i="1"/>
  <c r="AA120" i="1"/>
  <c r="AG486" i="1"/>
  <c r="AA486" i="1"/>
  <c r="AG419" i="1"/>
  <c r="AA419" i="1"/>
  <c r="AG439" i="1"/>
  <c r="AA439" i="1"/>
  <c r="AG453" i="1"/>
  <c r="AA453" i="1"/>
  <c r="AG131" i="1"/>
  <c r="AA131" i="1"/>
  <c r="AG168" i="1"/>
  <c r="AA168" i="1"/>
  <c r="AG271" i="1"/>
  <c r="AA271" i="1"/>
  <c r="AG238" i="1"/>
  <c r="AA238" i="1"/>
  <c r="AG215" i="1"/>
  <c r="AA215" i="1"/>
  <c r="AG263" i="1"/>
  <c r="AA263" i="1"/>
  <c r="AG444" i="1"/>
  <c r="AA444" i="1"/>
  <c r="AG71" i="1"/>
  <c r="AA71" i="1"/>
  <c r="AG484" i="1"/>
  <c r="AA484" i="1"/>
  <c r="AG78" i="1"/>
  <c r="AA78" i="1"/>
  <c r="AG83" i="1"/>
  <c r="AA83" i="1"/>
  <c r="AG81" i="1"/>
  <c r="AA81" i="1"/>
  <c r="AG403" i="1"/>
  <c r="AA403" i="1"/>
  <c r="AG255" i="1"/>
  <c r="AA255" i="1"/>
  <c r="AG406" i="1"/>
  <c r="AA406" i="1"/>
  <c r="AG393" i="1"/>
  <c r="AA393" i="1"/>
  <c r="AG234" i="1"/>
  <c r="AA234" i="1"/>
  <c r="AG163" i="1"/>
  <c r="AA163" i="1"/>
  <c r="AG402" i="1"/>
  <c r="AA402" i="1"/>
  <c r="AG149" i="1"/>
  <c r="AA149" i="1"/>
  <c r="AG233" i="1"/>
  <c r="AA233" i="1"/>
  <c r="AG409" i="1"/>
  <c r="AA409" i="1"/>
  <c r="AG135" i="1"/>
  <c r="AA135" i="1"/>
  <c r="AG245" i="1"/>
  <c r="AA245" i="1"/>
  <c r="AG112" i="1"/>
  <c r="AA112" i="1"/>
  <c r="AG268" i="1"/>
  <c r="AA268" i="1"/>
  <c r="AG326" i="1"/>
  <c r="AA326" i="1"/>
  <c r="AG390" i="1"/>
  <c r="AA390" i="1"/>
  <c r="AG210" i="1"/>
  <c r="AA210" i="1"/>
  <c r="AG189" i="1"/>
  <c r="AA189" i="1"/>
  <c r="AG95" i="1"/>
  <c r="AA95" i="1"/>
  <c r="AG302" i="1"/>
  <c r="AA302" i="1"/>
  <c r="AG389" i="1"/>
  <c r="AA389" i="1"/>
  <c r="AG113" i="1"/>
  <c r="AA113" i="1"/>
  <c r="AG232" i="1"/>
  <c r="AA232" i="1"/>
  <c r="AG47" i="1"/>
  <c r="AA47" i="1"/>
  <c r="AG13" i="1"/>
  <c r="AA13" i="1"/>
  <c r="AG331" i="1"/>
  <c r="AA331" i="1"/>
  <c r="AG54" i="1"/>
  <c r="AA54" i="1"/>
  <c r="AG26" i="1"/>
  <c r="AA26" i="1"/>
  <c r="AG50" i="1"/>
  <c r="AA50" i="1"/>
  <c r="AG452" i="1"/>
  <c r="AA452" i="1"/>
  <c r="AG261" i="1"/>
  <c r="AA261" i="1"/>
  <c r="AG199" i="1"/>
  <c r="AA199" i="1"/>
  <c r="AG328" i="1"/>
  <c r="AA328" i="1"/>
  <c r="AG386" i="1"/>
  <c r="AA386" i="1"/>
  <c r="AG350" i="1"/>
  <c r="AA350" i="1"/>
  <c r="AG372" i="1"/>
  <c r="AA372" i="1"/>
  <c r="AG361" i="1"/>
  <c r="AA361" i="1"/>
  <c r="AG367" i="1"/>
  <c r="AA367" i="1"/>
  <c r="AG124" i="1"/>
  <c r="AA124" i="1"/>
  <c r="AG436" i="1"/>
  <c r="AA436" i="1"/>
  <c r="AG246" i="1"/>
  <c r="AA246" i="1"/>
  <c r="AG442" i="1"/>
  <c r="AA442" i="1"/>
  <c r="AG354" i="1"/>
  <c r="AA354" i="1"/>
  <c r="AG142" i="1"/>
  <c r="AA142" i="1"/>
  <c r="AG150" i="1"/>
  <c r="AA150" i="1"/>
  <c r="AG412" i="1"/>
  <c r="AA412" i="1"/>
  <c r="AG212" i="1"/>
  <c r="AA212" i="1"/>
  <c r="AG472" i="1"/>
  <c r="AA472" i="1"/>
  <c r="AG498" i="1"/>
  <c r="AA498" i="1"/>
  <c r="AG502" i="1"/>
  <c r="AA502" i="1"/>
  <c r="AG117" i="1"/>
  <c r="AA117" i="1"/>
  <c r="AG433" i="1"/>
  <c r="AA433" i="1"/>
  <c r="AG395" i="1"/>
  <c r="AA395" i="1"/>
  <c r="AG214" i="1"/>
  <c r="AA214" i="1"/>
  <c r="AG301" i="1"/>
  <c r="AA301" i="1"/>
  <c r="AG140" i="1"/>
  <c r="AA140" i="1"/>
  <c r="AG296" i="1"/>
  <c r="AA296" i="1"/>
  <c r="AG413" i="1"/>
  <c r="AA413" i="1"/>
  <c r="AG341" i="1"/>
  <c r="AA341" i="1"/>
  <c r="AG191" i="1"/>
  <c r="AA191" i="1"/>
  <c r="AG274" i="1"/>
  <c r="AA274" i="1"/>
  <c r="AG451" i="1"/>
  <c r="AA451" i="1"/>
  <c r="AG158" i="1"/>
  <c r="AA158" i="1"/>
  <c r="AG206" i="1"/>
  <c r="AA206" i="1"/>
  <c r="AG309" i="1"/>
  <c r="AA309" i="1"/>
  <c r="AG136" i="1"/>
  <c r="AA136" i="1"/>
  <c r="AG297" i="1"/>
  <c r="AA297" i="1"/>
  <c r="AG202" i="1"/>
  <c r="AA202" i="1"/>
  <c r="AG87" i="1"/>
  <c r="AA87" i="1"/>
  <c r="AG56" i="1"/>
  <c r="AA56" i="1"/>
  <c r="AG253" i="1"/>
  <c r="AA253" i="1"/>
  <c r="AG464" i="1"/>
  <c r="AA464" i="1"/>
  <c r="AG483" i="1"/>
  <c r="AA483" i="1"/>
  <c r="AG462" i="1"/>
  <c r="AA462" i="1"/>
  <c r="AG67" i="1"/>
  <c r="AA67" i="1"/>
  <c r="AG174" i="1"/>
  <c r="AA174" i="1"/>
  <c r="AG187" i="1"/>
  <c r="AA187" i="1"/>
  <c r="AG383" i="1"/>
  <c r="AA383" i="1"/>
  <c r="AG61" i="1"/>
  <c r="AA61" i="1"/>
  <c r="AG371" i="1"/>
  <c r="AA371" i="1"/>
  <c r="AG373" i="1"/>
  <c r="AA373" i="1"/>
  <c r="AG248" i="1"/>
  <c r="AA248" i="1"/>
  <c r="AG186" i="1"/>
  <c r="AA186" i="1"/>
  <c r="AG68" i="1"/>
  <c r="AA68" i="1"/>
  <c r="AG171" i="1"/>
  <c r="AA171" i="1"/>
  <c r="AG188" i="1"/>
  <c r="AA188" i="1"/>
  <c r="AG294" i="1"/>
  <c r="AA294" i="1"/>
  <c r="AG352" i="1"/>
  <c r="AA352" i="1"/>
  <c r="AG429" i="1"/>
  <c r="AA429" i="1"/>
  <c r="AG9" i="1"/>
  <c r="AA9" i="1"/>
  <c r="AG15" i="1"/>
  <c r="AA15" i="1"/>
  <c r="AG204" i="1"/>
  <c r="AA204" i="1"/>
  <c r="AG164" i="1"/>
  <c r="AA164" i="1"/>
  <c r="AG173" i="1"/>
  <c r="AA173" i="1"/>
  <c r="AG44" i="1"/>
  <c r="AA44" i="1"/>
  <c r="AG437" i="1"/>
  <c r="AA437" i="1"/>
  <c r="AG254" i="1"/>
  <c r="AA254" i="1"/>
  <c r="AG270" i="1"/>
  <c r="AA270" i="1"/>
  <c r="AG69" i="1"/>
  <c r="AA69" i="1"/>
  <c r="AG487" i="1"/>
  <c r="AA487" i="1"/>
  <c r="AG440" i="1"/>
  <c r="AA440" i="1"/>
  <c r="AG491" i="1"/>
  <c r="AA491" i="1"/>
  <c r="AG86" i="1"/>
  <c r="AA86" i="1"/>
  <c r="AG421" i="1"/>
  <c r="AA421" i="1"/>
  <c r="AG201" i="1"/>
  <c r="AA201" i="1"/>
  <c r="AG291" i="1"/>
  <c r="AA291" i="1"/>
  <c r="AG423" i="1"/>
  <c r="AA423" i="1"/>
  <c r="AG139" i="1"/>
  <c r="AA139" i="1"/>
  <c r="AG364" i="1"/>
  <c r="AA364" i="1"/>
  <c r="AG471" i="1"/>
  <c r="AA471" i="1"/>
  <c r="AG401" i="1"/>
  <c r="AA401" i="1"/>
  <c r="AG376" i="1"/>
  <c r="AA376" i="1"/>
  <c r="AG148" i="1"/>
  <c r="AA148" i="1"/>
  <c r="AG387" i="1"/>
  <c r="AA387" i="1"/>
  <c r="AG324" i="1"/>
  <c r="AA324" i="1"/>
  <c r="AG276" i="1"/>
  <c r="AA276" i="1"/>
  <c r="AG305" i="1"/>
  <c r="AA305" i="1"/>
  <c r="AG351" i="1"/>
  <c r="AA351" i="1"/>
  <c r="AG327" i="1"/>
  <c r="AA327" i="1"/>
  <c r="AG316" i="1"/>
  <c r="AA316" i="1"/>
  <c r="AG262" i="1"/>
  <c r="AA262" i="1"/>
  <c r="AG235" i="1"/>
  <c r="AA235" i="1"/>
  <c r="AG46" i="1"/>
  <c r="AA46" i="1"/>
  <c r="AG17" i="1"/>
  <c r="AA17" i="1"/>
  <c r="AG11" i="1"/>
  <c r="AA11" i="1"/>
  <c r="AG32" i="1"/>
  <c r="AA32" i="1"/>
  <c r="AG45" i="1"/>
  <c r="AA45" i="1"/>
  <c r="AG38" i="1"/>
  <c r="AA38" i="1"/>
  <c r="AG441" i="1"/>
  <c r="AA441" i="1"/>
  <c r="AG48" i="1"/>
  <c r="AA48" i="1"/>
  <c r="AG455" i="1"/>
  <c r="AA455" i="1"/>
  <c r="AG286" i="1"/>
  <c r="AA286" i="1"/>
  <c r="AG160" i="1"/>
  <c r="AA160" i="1"/>
  <c r="AG356" i="1"/>
  <c r="AA356" i="1"/>
  <c r="AG220" i="1"/>
  <c r="AA220" i="1"/>
  <c r="AG365" i="1"/>
  <c r="AA365" i="1"/>
  <c r="AG318" i="1"/>
  <c r="AA318" i="1"/>
  <c r="AG374" i="1"/>
  <c r="AA374" i="1"/>
  <c r="AG381" i="1"/>
  <c r="AA381" i="1"/>
  <c r="AG121" i="1"/>
  <c r="AA121" i="1"/>
  <c r="AG458" i="1"/>
  <c r="AA458" i="1"/>
  <c r="AG488" i="1"/>
  <c r="AA488" i="1"/>
  <c r="AG360" i="1"/>
  <c r="AA360" i="1"/>
  <c r="AG128" i="1"/>
  <c r="AA128" i="1"/>
  <c r="AG133" i="1"/>
  <c r="AA133" i="1"/>
  <c r="AG144" i="1"/>
  <c r="AA144" i="1"/>
  <c r="AG190" i="1"/>
  <c r="AA190" i="1"/>
  <c r="AG410" i="1"/>
  <c r="AA410" i="1"/>
  <c r="AG65" i="1"/>
  <c r="AA65" i="1"/>
  <c r="AG230" i="1"/>
  <c r="AA230" i="1"/>
  <c r="AG461" i="1"/>
  <c r="AA461" i="1"/>
  <c r="AG197" i="1"/>
  <c r="AA197" i="1"/>
  <c r="AG243" i="1"/>
  <c r="AA243" i="1"/>
  <c r="AG303" i="1"/>
  <c r="AA303" i="1"/>
  <c r="AG394" i="1"/>
  <c r="AA394" i="1"/>
  <c r="AG447" i="1"/>
  <c r="AA447" i="1"/>
  <c r="AG308" i="1"/>
  <c r="AA308" i="1"/>
  <c r="AG119" i="1"/>
  <c r="AA119" i="1"/>
  <c r="AG170" i="1"/>
  <c r="AA170" i="1"/>
  <c r="AG223" i="1"/>
  <c r="AA223" i="1"/>
  <c r="AG493" i="1"/>
  <c r="AA493" i="1"/>
  <c r="AG505" i="1"/>
  <c r="AA505" i="1"/>
  <c r="AG432" i="1"/>
  <c r="AA432" i="1"/>
  <c r="AG347" i="1"/>
  <c r="AA347" i="1"/>
  <c r="AG459" i="1"/>
  <c r="AA459" i="1"/>
  <c r="AG97" i="1"/>
  <c r="AA97" i="1"/>
  <c r="AG411" i="1"/>
  <c r="AA411" i="1"/>
  <c r="AG495" i="1"/>
  <c r="AA495" i="1"/>
  <c r="AG485" i="1"/>
  <c r="AA485" i="1"/>
  <c r="AG315" i="1"/>
  <c r="AA315" i="1"/>
  <c r="AG272" i="1"/>
  <c r="AA272" i="1"/>
  <c r="AG353" i="1"/>
  <c r="AA353" i="1"/>
  <c r="AG460" i="1"/>
  <c r="AA460" i="1"/>
  <c r="AG64" i="1"/>
  <c r="AA64" i="1"/>
  <c r="AG75" i="1"/>
  <c r="AA75" i="1"/>
  <c r="AG105" i="1"/>
  <c r="AA105" i="1"/>
  <c r="AG287" i="1"/>
  <c r="AA287" i="1"/>
  <c r="AG310" i="1"/>
  <c r="AA310" i="1"/>
  <c r="AG93" i="1"/>
  <c r="AA93" i="1"/>
  <c r="AG258" i="1"/>
  <c r="AA258" i="1"/>
  <c r="AG4" i="1"/>
  <c r="AA4" i="1"/>
  <c r="AG7" i="1"/>
  <c r="AA7" i="1"/>
  <c r="AG82" i="1"/>
  <c r="AA82" i="1"/>
  <c r="AG196" i="1"/>
  <c r="AA196" i="1"/>
  <c r="AG265" i="1"/>
  <c r="AA265" i="1"/>
  <c r="AG198" i="1"/>
  <c r="AA198" i="1"/>
  <c r="AG430" i="1"/>
  <c r="AA430" i="1"/>
  <c r="AG435" i="1"/>
  <c r="AA435" i="1"/>
  <c r="AG33" i="1"/>
  <c r="AA33" i="1"/>
  <c r="AG281" i="1"/>
  <c r="AA281" i="1"/>
  <c r="AG125" i="1"/>
  <c r="AA125" i="1"/>
  <c r="AG134" i="1"/>
  <c r="AA134" i="1"/>
  <c r="AG467" i="1"/>
  <c r="AA467" i="1"/>
  <c r="AG348" i="1"/>
  <c r="AA348" i="1"/>
  <c r="AG236" i="1"/>
  <c r="AA236" i="1"/>
  <c r="AG434" i="1"/>
  <c r="AA434" i="1"/>
  <c r="AG66" i="1"/>
  <c r="AA66" i="1"/>
  <c r="AG76" i="1"/>
  <c r="AA76" i="1"/>
  <c r="AG80" i="1"/>
  <c r="AA80" i="1"/>
  <c r="AG79" i="1"/>
  <c r="AA79" i="1"/>
  <c r="AG88" i="1"/>
  <c r="AA88" i="1"/>
  <c r="AG102" i="1"/>
  <c r="AA102" i="1"/>
  <c r="AG194" i="1"/>
  <c r="AA194" i="1"/>
  <c r="AG342" i="1"/>
  <c r="AA342" i="1"/>
  <c r="AG290" i="1"/>
  <c r="AA290" i="1"/>
  <c r="AG443" i="1"/>
  <c r="AA443" i="1"/>
  <c r="AG384" i="1"/>
  <c r="AA384" i="1"/>
  <c r="AG399" i="1"/>
  <c r="AA399" i="1"/>
  <c r="AG260" i="1"/>
  <c r="AA260" i="1"/>
  <c r="AG404" i="1"/>
  <c r="AA404" i="1"/>
  <c r="AG407" i="1"/>
  <c r="AA407" i="1"/>
  <c r="AG438" i="1"/>
  <c r="AA438" i="1"/>
  <c r="AG237" i="1"/>
  <c r="AA237" i="1"/>
  <c r="AG162" i="1"/>
  <c r="AA162" i="1"/>
  <c r="AG130" i="1"/>
  <c r="AA130" i="1"/>
  <c r="AG307" i="1"/>
  <c r="AA307" i="1"/>
  <c r="AG107" i="1"/>
  <c r="AA107" i="1"/>
  <c r="AG311" i="1"/>
  <c r="AA311" i="1"/>
  <c r="AG63" i="1"/>
  <c r="AA63" i="1"/>
  <c r="AG94" i="1"/>
  <c r="AA94" i="1"/>
  <c r="AG330" i="1"/>
  <c r="AA330" i="1"/>
  <c r="AG138" i="1"/>
  <c r="AA138" i="1"/>
  <c r="AG250" i="1"/>
  <c r="AA250" i="1"/>
  <c r="AG340" i="1"/>
  <c r="AA340" i="1"/>
  <c r="AG21" i="1"/>
  <c r="AA21" i="1"/>
  <c r="AG5" i="1"/>
  <c r="AA5" i="1"/>
  <c r="AG22" i="1"/>
  <c r="AA22" i="1"/>
  <c r="AG247" i="1"/>
  <c r="AA247" i="1"/>
  <c r="AG279" i="1"/>
  <c r="AA279" i="1"/>
  <c r="AG313" i="1"/>
  <c r="AA313" i="1"/>
  <c r="AG382" i="1"/>
  <c r="AA382" i="1"/>
  <c r="AG49" i="1"/>
  <c r="AA49" i="1"/>
  <c r="AG445" i="1"/>
  <c r="AA445" i="1"/>
  <c r="AG35" i="1"/>
  <c r="AA35" i="1"/>
  <c r="AG457" i="1"/>
  <c r="AA457" i="1"/>
  <c r="AG358" i="1"/>
  <c r="AA358" i="1"/>
  <c r="AG252" i="1"/>
  <c r="AA252" i="1"/>
  <c r="AG362" i="1"/>
  <c r="AA362" i="1"/>
  <c r="AG216" i="1"/>
  <c r="AA216" i="1"/>
  <c r="AG370" i="1"/>
  <c r="AA370" i="1"/>
  <c r="AG319" i="1"/>
  <c r="AA319" i="1"/>
  <c r="AG366" i="1"/>
  <c r="AA366" i="1"/>
  <c r="AG375" i="1"/>
  <c r="AA375" i="1"/>
  <c r="AG414" i="1"/>
  <c r="AA414" i="1"/>
  <c r="AG329" i="1"/>
  <c r="AA329" i="1"/>
  <c r="AG153" i="1"/>
  <c r="AA153" i="1"/>
  <c r="AG193" i="1"/>
  <c r="AA193" i="1"/>
  <c r="AG217" i="1"/>
  <c r="AA217" i="1"/>
  <c r="AG195" i="1"/>
  <c r="AA195" i="1"/>
  <c r="AG89" i="1"/>
  <c r="AA89" i="1"/>
  <c r="AG335" i="1"/>
  <c r="AA335" i="1"/>
  <c r="AG152" i="1"/>
  <c r="AA152" i="1"/>
  <c r="AG73" i="1"/>
  <c r="AA73" i="1"/>
  <c r="AG446" i="1"/>
  <c r="AA446" i="1"/>
  <c r="AG151" i="1"/>
  <c r="AA151" i="1"/>
  <c r="AG398" i="1"/>
  <c r="AA398" i="1"/>
  <c r="AG159" i="1"/>
  <c r="AA159" i="1"/>
  <c r="AG137" i="1"/>
  <c r="AA137" i="1"/>
  <c r="AG110" i="1"/>
  <c r="AA110" i="1"/>
  <c r="AG295" i="1"/>
  <c r="AA295" i="1"/>
  <c r="AG332" i="1"/>
  <c r="AA332" i="1"/>
  <c r="AG104" i="1"/>
  <c r="AA104" i="1"/>
  <c r="AG499" i="1"/>
  <c r="AA499" i="1"/>
  <c r="AG504" i="1"/>
  <c r="AA504" i="1"/>
  <c r="AG431" i="1"/>
  <c r="AA431" i="1"/>
  <c r="AG101" i="1"/>
  <c r="AA101" i="1"/>
  <c r="AG426" i="1"/>
  <c r="AA426" i="1"/>
  <c r="AG141" i="1"/>
  <c r="AA141" i="1"/>
  <c r="AG157" i="1"/>
  <c r="AA157" i="1"/>
  <c r="AG450" i="1"/>
  <c r="AA450" i="1"/>
  <c r="AG175" i="1"/>
  <c r="AA175" i="1"/>
  <c r="AG298" i="1"/>
  <c r="AA298" i="1"/>
  <c r="AG418" i="1"/>
  <c r="AA418" i="1"/>
  <c r="AG379" i="1"/>
  <c r="AA379" i="1"/>
  <c r="AG169" i="1"/>
  <c r="AA169" i="1"/>
  <c r="AG229" i="1"/>
  <c r="AA229" i="1"/>
  <c r="AG454" i="1"/>
  <c r="AA454" i="1"/>
  <c r="AG116" i="1"/>
  <c r="AA116" i="1"/>
  <c r="AG273" i="1"/>
  <c r="AA273" i="1"/>
  <c r="AG40" i="1"/>
  <c r="AA40" i="1"/>
  <c r="AG27" i="1"/>
  <c r="AA27" i="1"/>
  <c r="AG24" i="1"/>
  <c r="AA24" i="1"/>
  <c r="AG14" i="1"/>
  <c r="AA14" i="1"/>
  <c r="AG208" i="1"/>
  <c r="AA208" i="1"/>
  <c r="AG380" i="1"/>
  <c r="AA380" i="1"/>
  <c r="AG278" i="1"/>
  <c r="AA278" i="1"/>
  <c r="AG154" i="1"/>
  <c r="AA154" i="1"/>
  <c r="AG111" i="1"/>
  <c r="AA111" i="1"/>
  <c r="AG183" i="1"/>
  <c r="AA183" i="1"/>
  <c r="AG338" i="1"/>
  <c r="AA338" i="1"/>
  <c r="AG468" i="1"/>
  <c r="AA468" i="1"/>
  <c r="AG496" i="1"/>
  <c r="AA496" i="1"/>
  <c r="AG449" i="1"/>
  <c r="AA449" i="1"/>
  <c r="AG114" i="1"/>
  <c r="AA114" i="1"/>
  <c r="AG155" i="1"/>
  <c r="AA155" i="1"/>
  <c r="AG256" i="1"/>
  <c r="AA256" i="1"/>
  <c r="AG466" i="1"/>
  <c r="AA466" i="1"/>
  <c r="AG177" i="1"/>
  <c r="AA177" i="1"/>
  <c r="AG147" i="1"/>
  <c r="AA147" i="1"/>
  <c r="AG257" i="1"/>
  <c r="AA257" i="1"/>
  <c r="AG143" i="1"/>
  <c r="AA143" i="1"/>
  <c r="AG74" i="1"/>
  <c r="AA74" i="1"/>
  <c r="AG77" i="1"/>
  <c r="AA77" i="1"/>
  <c r="AG84" i="1"/>
  <c r="AA84" i="1"/>
  <c r="AG489" i="1"/>
  <c r="AA489" i="1"/>
  <c r="AG479" i="1"/>
  <c r="AA479" i="1"/>
  <c r="AG109" i="1"/>
  <c r="AA109" i="1"/>
  <c r="AG481" i="1"/>
  <c r="AA481" i="1"/>
  <c r="AG322" i="1"/>
  <c r="AA322" i="1"/>
  <c r="AG343" i="1"/>
  <c r="AA343" i="1"/>
  <c r="AG222" i="1"/>
  <c r="AA222" i="1"/>
  <c r="AG205" i="1"/>
  <c r="AA205" i="1"/>
  <c r="AG397" i="1"/>
  <c r="AA397" i="1"/>
  <c r="AG321" i="1"/>
  <c r="AA321" i="1"/>
  <c r="AG99" i="1"/>
  <c r="AA99" i="1"/>
  <c r="AG323" i="1"/>
  <c r="AA323" i="1"/>
  <c r="AG85" i="1"/>
  <c r="AA85" i="1"/>
  <c r="AG288" i="1"/>
  <c r="AA288" i="1"/>
  <c r="AG244" i="1"/>
  <c r="AA244" i="1"/>
  <c r="AG92" i="1"/>
  <c r="AA92" i="1"/>
  <c r="AG304" i="1"/>
  <c r="AA304" i="1"/>
  <c r="AG339" i="1"/>
  <c r="AA339" i="1"/>
  <c r="AG391" i="1"/>
  <c r="AA391" i="1"/>
  <c r="AG377" i="1"/>
  <c r="AA377" i="1"/>
  <c r="AG91" i="1"/>
  <c r="AA91" i="1"/>
  <c r="AG473" i="1"/>
  <c r="AA473" i="1"/>
  <c r="AG368" i="1"/>
  <c r="AA368" i="1"/>
  <c r="AG385" i="1"/>
  <c r="AA385" i="1"/>
  <c r="AG285" i="1"/>
  <c r="AA285" i="1"/>
  <c r="AG28" i="1"/>
  <c r="AA28" i="1"/>
  <c r="AG2" i="1"/>
  <c r="AA2" i="1"/>
  <c r="AG349" i="1"/>
  <c r="AA349" i="1"/>
  <c r="AG325" i="1"/>
  <c r="AA325" i="1"/>
  <c r="AG18" i="1"/>
  <c r="AA18" i="1"/>
  <c r="AG424" i="1"/>
  <c r="AA424" i="1"/>
  <c r="AG37" i="1"/>
  <c r="AA37" i="1"/>
  <c r="AG25" i="1"/>
  <c r="AA25" i="1"/>
  <c r="AG231" i="1"/>
  <c r="AA231" i="1"/>
  <c r="AG62" i="1"/>
  <c r="AA62" i="1"/>
  <c r="AG241" i="1"/>
  <c r="AA241" i="1"/>
  <c r="AG249" i="1"/>
  <c r="AA249" i="1"/>
  <c r="AG227" i="1"/>
  <c r="AA227" i="1"/>
  <c r="AG378" i="1"/>
  <c r="AA378" i="1"/>
  <c r="AG314" i="1"/>
  <c r="AA314" i="1"/>
  <c r="AG363" i="1"/>
  <c r="AA363" i="1"/>
  <c r="AG178" i="1"/>
  <c r="AA178" i="1"/>
  <c r="AG184" i="1"/>
  <c r="AA184" i="1"/>
  <c r="AG420" i="1"/>
  <c r="AA420" i="1"/>
  <c r="AG283" i="1"/>
  <c r="AA283" i="1"/>
  <c r="AG355" i="1"/>
  <c r="AA355" i="1"/>
  <c r="AG333" i="1"/>
  <c r="AA333" i="1"/>
  <c r="AG480" i="1"/>
  <c r="AA480" i="1"/>
  <c r="AG115" i="1"/>
  <c r="AA115" i="1"/>
  <c r="AG469" i="1"/>
  <c r="AA469" i="1"/>
  <c r="AG122" i="1"/>
  <c r="AA122" i="1"/>
  <c r="AG161" i="1"/>
  <c r="AA161" i="1"/>
  <c r="AG422" i="1"/>
  <c r="AA422" i="1"/>
  <c r="AG266" i="1"/>
  <c r="AA266" i="1"/>
  <c r="AG500" i="1"/>
  <c r="AA500" i="1"/>
  <c r="AG425" i="1"/>
  <c r="AA425" i="1"/>
  <c r="AG312" i="1"/>
  <c r="AA312" i="1"/>
  <c r="AG98" i="1"/>
  <c r="AA98" i="1"/>
  <c r="AG337" i="1"/>
  <c r="AA337" i="1"/>
  <c r="AG396" i="1"/>
  <c r="AA396" i="1"/>
  <c r="AG388" i="1"/>
  <c r="AA388" i="1"/>
  <c r="AG228" i="1"/>
  <c r="AA228" i="1"/>
  <c r="AG165" i="1"/>
  <c r="AA165" i="1"/>
  <c r="AG497" i="1"/>
  <c r="AA497" i="1"/>
  <c r="AG72" i="1"/>
  <c r="AA72" i="1"/>
  <c r="AG503" i="1"/>
  <c r="AA503" i="1"/>
  <c r="AG501" i="1"/>
  <c r="AA501" i="1"/>
  <c r="AG179" i="1"/>
  <c r="AA179" i="1"/>
  <c r="AG282" i="1"/>
  <c r="AA282" i="1"/>
  <c r="AG345" i="1"/>
  <c r="AA345" i="1"/>
  <c r="AG264" i="1"/>
  <c r="AA264" i="1"/>
  <c r="AG58" i="1"/>
  <c r="AA58" i="1"/>
  <c r="AG405" i="1"/>
  <c r="AA405" i="1"/>
  <c r="AG280" i="1"/>
  <c r="AA280" i="1"/>
  <c r="AG334" i="1"/>
  <c r="AA334" i="1"/>
  <c r="AG448" i="1"/>
  <c r="AA448" i="1"/>
  <c r="AG221" i="1"/>
  <c r="AA221" i="1"/>
  <c r="AG428" i="1"/>
  <c r="AA428" i="1"/>
  <c r="AG482" i="1"/>
  <c r="AA482" i="1"/>
  <c r="AG465" i="1"/>
  <c r="AA465" i="1"/>
  <c r="AG218" i="1"/>
  <c r="AA218" i="1"/>
  <c r="AG226" i="1"/>
  <c r="AA226" i="1"/>
  <c r="CJ139" i="1"/>
  <c r="CK139" i="1" s="1"/>
  <c r="CJ94" i="1"/>
  <c r="CK94" i="1" s="1"/>
  <c r="CJ208" i="1"/>
  <c r="CK208" i="1" s="1"/>
  <c r="CJ136" i="1"/>
  <c r="CK136" i="1" s="1"/>
  <c r="CJ193" i="1"/>
  <c r="CK193" i="1" s="1"/>
  <c r="CJ18" i="1"/>
  <c r="CK18" i="1" s="1"/>
  <c r="CJ95" i="1"/>
  <c r="CK95" i="1" s="1"/>
  <c r="CJ237" i="1"/>
  <c r="CK237" i="1" s="1"/>
  <c r="CJ266" i="1"/>
  <c r="CK266" i="1" s="1"/>
  <c r="CJ178" i="1"/>
  <c r="CK178" i="1" s="1"/>
  <c r="CH178" i="1" s="1"/>
  <c r="CI178" i="1" s="1"/>
  <c r="CJ491" i="1"/>
  <c r="CK491" i="1" s="1"/>
  <c r="CJ240" i="1"/>
  <c r="CK240" i="1" s="1"/>
  <c r="CJ413" i="1"/>
  <c r="CK413" i="1" s="1"/>
  <c r="CH413" i="1" s="1"/>
  <c r="CI413" i="1" s="1"/>
  <c r="CJ254" i="1"/>
  <c r="CK254" i="1" s="1"/>
  <c r="CJ415" i="1"/>
  <c r="CK415" i="1" s="1"/>
  <c r="CJ248" i="1"/>
  <c r="CK248" i="1" s="1"/>
  <c r="CJ108" i="1"/>
  <c r="CK108" i="1" s="1"/>
  <c r="CH108" i="1" s="1"/>
  <c r="CI108" i="1" s="1"/>
  <c r="CJ238" i="1"/>
  <c r="CK238" i="1" s="1"/>
  <c r="CJ460" i="1"/>
  <c r="CK460" i="1" s="1"/>
  <c r="CJ57" i="1"/>
  <c r="CK57" i="1" s="1"/>
  <c r="CJ59" i="1"/>
  <c r="CK59" i="1" s="1"/>
  <c r="CJ183" i="1"/>
  <c r="CK183" i="1" s="1"/>
  <c r="CJ170" i="1"/>
  <c r="CK170" i="1" s="1"/>
  <c r="CJ458" i="1"/>
  <c r="CK458" i="1" s="1"/>
  <c r="CH458" i="1" s="1"/>
  <c r="CI458" i="1" s="1"/>
  <c r="CJ141" i="1"/>
  <c r="CK141" i="1" s="1"/>
  <c r="CJ207" i="1"/>
  <c r="CK207" i="1" s="1"/>
  <c r="CJ278" i="1"/>
  <c r="CK278" i="1" s="1"/>
  <c r="CJ14" i="1"/>
  <c r="CK14" i="1" s="1"/>
  <c r="CJ113" i="1"/>
  <c r="CK113" i="1" s="1"/>
  <c r="CH113" i="1" s="1"/>
  <c r="CI113" i="1" s="1"/>
  <c r="CJ118" i="1"/>
  <c r="CK118" i="1" s="1"/>
  <c r="CH118" i="1" s="1"/>
  <c r="CI118" i="1" s="1"/>
  <c r="CJ188" i="1"/>
  <c r="CK188" i="1" s="1"/>
  <c r="CJ162" i="1"/>
  <c r="CK162" i="1" s="1"/>
  <c r="CH162" i="1" s="1"/>
  <c r="CI162" i="1" s="1"/>
  <c r="CJ70" i="1"/>
  <c r="CK70" i="1" s="1"/>
  <c r="CH70" i="1" s="1"/>
  <c r="CI70" i="1" s="1"/>
  <c r="CJ272" i="1"/>
  <c r="CK272" i="1" s="1"/>
  <c r="CH272" i="1" s="1"/>
  <c r="CI272" i="1" s="1"/>
  <c r="CJ119" i="1"/>
  <c r="CK119" i="1" s="1"/>
  <c r="BH372" i="1"/>
  <c r="BI372" i="1" s="1"/>
  <c r="BH338" i="1"/>
  <c r="BI338" i="1" s="1"/>
  <c r="BH35" i="1"/>
  <c r="BI35" i="1" s="1"/>
  <c r="BH481" i="1"/>
  <c r="BI481" i="1" s="1"/>
  <c r="BH38" i="1"/>
  <c r="BI38" i="1" s="1"/>
  <c r="BH15" i="1"/>
  <c r="BI15" i="1" s="1"/>
  <c r="BH232" i="1"/>
  <c r="BI232" i="1" s="1"/>
  <c r="BH11" i="1"/>
  <c r="BI11" i="1" s="1"/>
  <c r="BH17" i="1"/>
  <c r="BI17" i="1" s="1"/>
  <c r="BO372" i="1"/>
  <c r="BP372" i="1" s="1"/>
  <c r="BO7" i="1"/>
  <c r="BP7" i="1" s="1"/>
  <c r="BO481" i="1"/>
  <c r="BP481" i="1" s="1"/>
  <c r="BH109" i="1"/>
  <c r="BI109" i="1" s="1"/>
  <c r="BH7" i="1"/>
  <c r="BI7" i="1" s="1"/>
  <c r="BO109" i="1"/>
  <c r="BP109" i="1" s="1"/>
  <c r="BO393" i="1"/>
  <c r="BP393" i="1" s="1"/>
  <c r="BO120" i="1"/>
  <c r="BP120" i="1" s="1"/>
  <c r="BO367" i="1"/>
  <c r="BP367" i="1" s="1"/>
  <c r="BH482" i="1"/>
  <c r="BI482" i="1" s="1"/>
  <c r="BH457" i="1"/>
  <c r="BI457" i="1" s="1"/>
  <c r="BH4" i="1"/>
  <c r="BI4" i="1" s="1"/>
  <c r="BH393" i="1"/>
  <c r="BI393" i="1" s="1"/>
  <c r="BH419" i="1"/>
  <c r="BI419" i="1" s="1"/>
  <c r="BO151" i="1"/>
  <c r="BP151" i="1" s="1"/>
  <c r="BO457" i="1"/>
  <c r="BP457" i="1" s="1"/>
  <c r="BO4" i="1"/>
  <c r="BP4" i="1" s="1"/>
  <c r="BO419" i="1"/>
  <c r="BP419" i="1" s="1"/>
  <c r="BO455" i="1"/>
  <c r="BP455" i="1" s="1"/>
  <c r="BO374" i="1"/>
  <c r="BP374" i="1" s="1"/>
  <c r="BO232" i="1"/>
  <c r="BP232" i="1" s="1"/>
  <c r="BH208" i="1"/>
  <c r="BI208" i="1" s="1"/>
  <c r="BH455" i="1"/>
  <c r="BI455" i="1" s="1"/>
  <c r="BH151" i="1"/>
  <c r="BI151" i="1" s="1"/>
  <c r="BH374" i="1"/>
  <c r="BI374" i="1" s="1"/>
  <c r="BO482" i="1"/>
  <c r="BP482" i="1" s="1"/>
  <c r="BO38" i="1"/>
  <c r="BP38" i="1" s="1"/>
  <c r="BO11" i="1"/>
  <c r="BP11" i="1" s="1"/>
  <c r="BO17" i="1"/>
  <c r="BP17" i="1" s="1"/>
  <c r="BH120" i="1"/>
  <c r="BI120" i="1" s="1"/>
  <c r="BO35" i="1"/>
  <c r="BP35" i="1" s="1"/>
  <c r="AM10" i="1"/>
  <c r="AN10" i="1" s="1"/>
  <c r="AK10" i="1" s="1"/>
  <c r="AL10" i="1" s="1"/>
  <c r="AM8" i="1"/>
  <c r="AN8" i="1" s="1"/>
  <c r="AK8" i="1" s="1"/>
  <c r="AL8" i="1" s="1"/>
  <c r="AM106" i="1"/>
  <c r="AN106" i="1" s="1"/>
  <c r="AK106" i="1" s="1"/>
  <c r="AL106" i="1" s="1"/>
  <c r="AM43" i="1"/>
  <c r="AN43" i="1" s="1"/>
  <c r="AK43" i="1" s="1"/>
  <c r="AL43" i="1" s="1"/>
  <c r="AM55" i="1"/>
  <c r="AN55" i="1" s="1"/>
  <c r="AM284" i="1"/>
  <c r="AN284" i="1" s="1"/>
  <c r="AK284" i="1" s="1"/>
  <c r="AL284" i="1" s="1"/>
  <c r="AG126" i="1"/>
  <c r="AH126" i="1" s="1"/>
  <c r="AE126" i="1" s="1"/>
  <c r="AF126" i="1" s="1"/>
  <c r="AG51" i="1"/>
  <c r="AH51" i="1" s="1"/>
  <c r="AE51" i="1" s="1"/>
  <c r="AF51" i="1" s="1"/>
  <c r="AG90" i="1"/>
  <c r="AH90" i="1" s="1"/>
  <c r="AE90" i="1" s="1"/>
  <c r="AF90" i="1" s="1"/>
  <c r="AG127" i="1"/>
  <c r="AH127" i="1" s="1"/>
  <c r="AG344" i="1"/>
  <c r="AH344" i="1" s="1"/>
  <c r="AG106" i="1"/>
  <c r="AH106" i="1" s="1"/>
  <c r="AE106" i="1" s="1"/>
  <c r="AF106" i="1" s="1"/>
  <c r="AG43" i="1"/>
  <c r="AH43" i="1" s="1"/>
  <c r="AE43" i="1" s="1"/>
  <c r="AF43" i="1" s="1"/>
  <c r="AG284" i="1"/>
  <c r="AH284" i="1" s="1"/>
  <c r="AE284" i="1" s="1"/>
  <c r="AF284" i="1" s="1"/>
  <c r="AM31" i="1"/>
  <c r="AN31" i="1" s="1"/>
  <c r="AK31" i="1" s="1"/>
  <c r="AL31" i="1" s="1"/>
  <c r="AM30" i="1"/>
  <c r="AN30" i="1" s="1"/>
  <c r="AK30" i="1" s="1"/>
  <c r="AL30" i="1" s="1"/>
  <c r="AM359" i="1"/>
  <c r="AN359" i="1" s="1"/>
  <c r="AK359" i="1" s="1"/>
  <c r="AL359" i="1" s="1"/>
  <c r="AG55" i="1"/>
  <c r="AH55" i="1" s="1"/>
  <c r="AE55" i="1" s="1"/>
  <c r="AF55" i="1" s="1"/>
  <c r="AM126" i="1"/>
  <c r="AN126" i="1" s="1"/>
  <c r="AK126" i="1" s="1"/>
  <c r="AL126" i="1" s="1"/>
  <c r="AM51" i="1"/>
  <c r="AN51" i="1" s="1"/>
  <c r="AK51" i="1" s="1"/>
  <c r="AL51" i="1" s="1"/>
  <c r="AM90" i="1"/>
  <c r="AN90" i="1" s="1"/>
  <c r="AK90" i="1" s="1"/>
  <c r="AL90" i="1" s="1"/>
  <c r="AM42" i="1"/>
  <c r="AN42" i="1" s="1"/>
  <c r="AM39" i="1"/>
  <c r="AN39" i="1" s="1"/>
  <c r="AM456" i="1"/>
  <c r="AN456" i="1" s="1"/>
  <c r="AG10" i="1"/>
  <c r="AH10" i="1" s="1"/>
  <c r="AE10" i="1" s="1"/>
  <c r="AF10" i="1" s="1"/>
  <c r="AG31" i="1"/>
  <c r="AH31" i="1" s="1"/>
  <c r="AE31" i="1" s="1"/>
  <c r="AF31" i="1" s="1"/>
  <c r="AG8" i="1"/>
  <c r="AH8" i="1" s="1"/>
  <c r="AE8" i="1" s="1"/>
  <c r="AF8" i="1" s="1"/>
  <c r="AG30" i="1"/>
  <c r="AH30" i="1" s="1"/>
  <c r="AE30" i="1" s="1"/>
  <c r="AF30" i="1" s="1"/>
  <c r="AG359" i="1"/>
  <c r="AH359" i="1" s="1"/>
  <c r="AE359" i="1" s="1"/>
  <c r="AF359" i="1" s="1"/>
  <c r="AG417" i="1"/>
  <c r="AH417" i="1" s="1"/>
  <c r="AM3" i="1"/>
  <c r="AN3" i="1" s="1"/>
  <c r="AM239" i="1"/>
  <c r="AN239" i="1" s="1"/>
  <c r="AM463" i="1"/>
  <c r="AN463" i="1" s="1"/>
  <c r="AM123" i="1"/>
  <c r="AN123" i="1" s="1"/>
  <c r="AG108" i="1"/>
  <c r="AH108" i="1" s="1"/>
  <c r="AG41" i="1"/>
  <c r="AH41" i="1" s="1"/>
  <c r="AE41" i="1" s="1"/>
  <c r="AF41" i="1" s="1"/>
  <c r="AG23" i="1"/>
  <c r="AH23" i="1" s="1"/>
  <c r="AE23" i="1" s="1"/>
  <c r="AF23" i="1" s="1"/>
  <c r="AG456" i="1"/>
  <c r="AH456" i="1" s="1"/>
  <c r="AE456" i="1" s="1"/>
  <c r="AF456" i="1" s="1"/>
  <c r="AG476" i="1"/>
  <c r="AH476" i="1" s="1"/>
  <c r="AM108" i="1"/>
  <c r="AN108" i="1" s="1"/>
  <c r="AM41" i="1"/>
  <c r="AN41" i="1" s="1"/>
  <c r="AK41" i="1" s="1"/>
  <c r="AL41" i="1" s="1"/>
  <c r="AM23" i="1"/>
  <c r="AN23" i="1" s="1"/>
  <c r="AK23" i="1" s="1"/>
  <c r="AL23" i="1" s="1"/>
  <c r="AM476" i="1"/>
  <c r="AN476" i="1" s="1"/>
  <c r="AT6" i="1"/>
  <c r="AG251" i="1"/>
  <c r="AH251" i="1" s="1"/>
  <c r="AG415" i="1"/>
  <c r="AH415" i="1" s="1"/>
  <c r="AG118" i="1"/>
  <c r="AH118" i="1" s="1"/>
  <c r="AG427" i="1"/>
  <c r="AH427" i="1" s="1"/>
  <c r="AE427" i="1" s="1"/>
  <c r="AF427" i="1" s="1"/>
  <c r="AG336" i="1"/>
  <c r="AH336" i="1" s="1"/>
  <c r="AE336" i="1" s="1"/>
  <c r="AF336" i="1" s="1"/>
  <c r="AG103" i="1"/>
  <c r="AH103" i="1" s="1"/>
  <c r="AG211" i="1"/>
  <c r="AH211" i="1" s="1"/>
  <c r="AG494" i="1"/>
  <c r="AH494" i="1" s="1"/>
  <c r="AG242" i="1"/>
  <c r="AH242" i="1" s="1"/>
  <c r="AM70" i="1"/>
  <c r="AN70" i="1" s="1"/>
  <c r="AM52" i="1"/>
  <c r="AN52" i="1" s="1"/>
  <c r="AM12" i="1"/>
  <c r="AN12" i="1" s="1"/>
  <c r="AM369" i="1"/>
  <c r="AN369" i="1" s="1"/>
  <c r="AK369" i="1" s="1"/>
  <c r="AL369" i="1" s="1"/>
  <c r="AM145" i="1"/>
  <c r="AN145" i="1" s="1"/>
  <c r="AM251" i="1"/>
  <c r="AN251" i="1" s="1"/>
  <c r="AM415" i="1"/>
  <c r="AN415" i="1" s="1"/>
  <c r="AM118" i="1"/>
  <c r="AN118" i="1" s="1"/>
  <c r="AM427" i="1"/>
  <c r="AN427" i="1" s="1"/>
  <c r="AM336" i="1"/>
  <c r="AN336" i="1" s="1"/>
  <c r="AM103" i="1"/>
  <c r="AN103" i="1" s="1"/>
  <c r="AM211" i="1"/>
  <c r="AN211" i="1" s="1"/>
  <c r="AM494" i="1"/>
  <c r="AN494" i="1" s="1"/>
  <c r="AG100" i="1"/>
  <c r="AH100" i="1" s="1"/>
  <c r="AE100" i="1" s="1"/>
  <c r="AF100" i="1" s="1"/>
  <c r="AG346" i="1"/>
  <c r="AH346" i="1" s="1"/>
  <c r="AG16" i="1"/>
  <c r="AH16" i="1" s="1"/>
  <c r="AG36" i="1"/>
  <c r="AH36" i="1" s="1"/>
  <c r="AE36" i="1" s="1"/>
  <c r="AF36" i="1" s="1"/>
  <c r="AG306" i="1"/>
  <c r="AH306" i="1" s="1"/>
  <c r="AE306" i="1" s="1"/>
  <c r="AF306" i="1" s="1"/>
  <c r="AG203" i="1"/>
  <c r="AH203" i="1" s="1"/>
  <c r="AG192" i="1"/>
  <c r="AH192" i="1" s="1"/>
  <c r="AE192" i="1" s="1"/>
  <c r="AF192" i="1" s="1"/>
  <c r="AG156" i="1"/>
  <c r="AH156" i="1" s="1"/>
  <c r="AG492" i="1"/>
  <c r="AH492" i="1" s="1"/>
  <c r="AE492" i="1" s="1"/>
  <c r="AF492" i="1" s="1"/>
  <c r="AG167" i="1"/>
  <c r="AH167" i="1" s="1"/>
  <c r="AG181" i="1"/>
  <c r="AH181" i="1" s="1"/>
  <c r="AG180" i="1"/>
  <c r="AH180" i="1" s="1"/>
  <c r="AE180" i="1" s="1"/>
  <c r="AF180" i="1" s="1"/>
  <c r="AG240" i="1"/>
  <c r="AH240" i="1" s="1"/>
  <c r="AG207" i="1"/>
  <c r="AH207" i="1" s="1"/>
  <c r="AM34" i="1"/>
  <c r="AN34" i="1" s="1"/>
  <c r="AM127" i="1"/>
  <c r="AN127" i="1" s="1"/>
  <c r="AG42" i="1"/>
  <c r="AH42" i="1" s="1"/>
  <c r="AE42" i="1" s="1"/>
  <c r="AF42" i="1" s="1"/>
  <c r="AG39" i="1"/>
  <c r="AH39" i="1" s="1"/>
  <c r="AE39" i="1" s="1"/>
  <c r="AF39" i="1" s="1"/>
  <c r="AM100" i="1"/>
  <c r="AN100" i="1" s="1"/>
  <c r="AK100" i="1" s="1"/>
  <c r="AL100" i="1" s="1"/>
  <c r="AM346" i="1"/>
  <c r="AN346" i="1" s="1"/>
  <c r="AM16" i="1"/>
  <c r="AN16" i="1" s="1"/>
  <c r="AM36" i="1"/>
  <c r="AN36" i="1" s="1"/>
  <c r="AM306" i="1"/>
  <c r="AN306" i="1" s="1"/>
  <c r="AM203" i="1"/>
  <c r="AN203" i="1" s="1"/>
  <c r="AM192" i="1"/>
  <c r="AN192" i="1" s="1"/>
  <c r="AK192" i="1" s="1"/>
  <c r="AL192" i="1" s="1"/>
  <c r="AM156" i="1"/>
  <c r="AN156" i="1" s="1"/>
  <c r="AM492" i="1"/>
  <c r="AN492" i="1" s="1"/>
  <c r="AM167" i="1"/>
  <c r="AN167" i="1" s="1"/>
  <c r="AG70" i="1"/>
  <c r="AH70" i="1" s="1"/>
  <c r="AG34" i="1"/>
  <c r="AH34" i="1" s="1"/>
  <c r="AG3" i="1"/>
  <c r="AH3" i="1" s="1"/>
  <c r="AG52" i="1"/>
  <c r="AH52" i="1" s="1"/>
  <c r="AG12" i="1"/>
  <c r="AH12" i="1" s="1"/>
  <c r="AG369" i="1"/>
  <c r="AH369" i="1" s="1"/>
  <c r="AE369" i="1" s="1"/>
  <c r="AF369" i="1" s="1"/>
  <c r="AG239" i="1"/>
  <c r="AH239" i="1" s="1"/>
  <c r="AE239" i="1" s="1"/>
  <c r="AF239" i="1" s="1"/>
  <c r="AG145" i="1"/>
  <c r="AH145" i="1" s="1"/>
  <c r="AG463" i="1"/>
  <c r="AH463" i="1" s="1"/>
  <c r="AG123" i="1"/>
  <c r="AH123" i="1" s="1"/>
  <c r="AG60" i="1"/>
  <c r="AH60" i="1" s="1"/>
  <c r="AE60" i="1" s="1"/>
  <c r="AF60" i="1" s="1"/>
  <c r="AM181" i="1"/>
  <c r="AN181" i="1" s="1"/>
  <c r="AM180" i="1"/>
  <c r="AN180" i="1" s="1"/>
  <c r="AK180" i="1" s="1"/>
  <c r="AL180" i="1" s="1"/>
  <c r="AM417" i="1"/>
  <c r="AN417" i="1" s="1"/>
  <c r="AM60" i="1"/>
  <c r="AN60" i="1" s="1"/>
  <c r="AK60" i="1" s="1"/>
  <c r="AL60" i="1" s="1"/>
  <c r="AM344" i="1"/>
  <c r="AN344" i="1" s="1"/>
  <c r="AM240" i="1"/>
  <c r="AN240" i="1" s="1"/>
  <c r="AM242" i="1"/>
  <c r="AN242" i="1" s="1"/>
  <c r="AM207" i="1"/>
  <c r="AN207" i="1" s="1"/>
  <c r="BZ460" i="1" l="1"/>
  <c r="CA460" i="1" s="1"/>
  <c r="CT460" i="1"/>
  <c r="CD183" i="1"/>
  <c r="BZ183" i="1"/>
  <c r="CA183" i="1" s="1"/>
  <c r="CT119" i="1"/>
  <c r="BZ119" i="1"/>
  <c r="CA119" i="1" s="1"/>
  <c r="CE119" i="1"/>
  <c r="CD57" i="1"/>
  <c r="BZ57" i="1"/>
  <c r="CA57" i="1" s="1"/>
  <c r="CD178" i="1"/>
  <c r="BZ178" i="1"/>
  <c r="CA178" i="1" s="1"/>
  <c r="CD254" i="1"/>
  <c r="BZ254" i="1"/>
  <c r="CA254" i="1" s="1"/>
  <c r="CD248" i="1"/>
  <c r="BZ248" i="1"/>
  <c r="CA248" i="1" s="1"/>
  <c r="CD118" i="1"/>
  <c r="BZ118" i="1"/>
  <c r="CA118" i="1" s="1"/>
  <c r="CD59" i="1"/>
  <c r="BZ59" i="1"/>
  <c r="CA59" i="1" s="1"/>
  <c r="CD413" i="1"/>
  <c r="BZ413" i="1"/>
  <c r="CA413" i="1" s="1"/>
  <c r="CE413" i="1"/>
  <c r="CW413" i="1" s="1"/>
  <c r="CD278" i="1"/>
  <c r="BZ278" i="1"/>
  <c r="CA278" i="1" s="1"/>
  <c r="CD458" i="1"/>
  <c r="BZ458" i="1"/>
  <c r="CA458" i="1" s="1"/>
  <c r="CD237" i="1"/>
  <c r="BZ237" i="1"/>
  <c r="CA237" i="1" s="1"/>
  <c r="CD272" i="1"/>
  <c r="BZ272" i="1"/>
  <c r="CA272" i="1" s="1"/>
  <c r="CT272" i="1"/>
  <c r="CD266" i="1"/>
  <c r="BZ266" i="1"/>
  <c r="CA266" i="1" s="1"/>
  <c r="CD14" i="1"/>
  <c r="CE14" i="1"/>
  <c r="BZ14" i="1"/>
  <c r="CA14" i="1" s="1"/>
  <c r="CD70" i="1"/>
  <c r="BZ70" i="1"/>
  <c r="CA70" i="1" s="1"/>
  <c r="CD193" i="1"/>
  <c r="BZ193" i="1"/>
  <c r="CA193" i="1" s="1"/>
  <c r="CT94" i="1"/>
  <c r="CE94" i="1"/>
  <c r="BZ94" i="1"/>
  <c r="CA94" i="1" s="1"/>
  <c r="CD108" i="1"/>
  <c r="BZ108" i="1"/>
  <c r="CA108" i="1" s="1"/>
  <c r="CD491" i="1"/>
  <c r="CT491" i="1"/>
  <c r="BZ491" i="1"/>
  <c r="CA491" i="1" s="1"/>
  <c r="CD240" i="1"/>
  <c r="BZ240" i="1"/>
  <c r="CA240" i="1" s="1"/>
  <c r="CD162" i="1"/>
  <c r="BZ162" i="1"/>
  <c r="CA162" i="1" s="1"/>
  <c r="CD18" i="1"/>
  <c r="BZ18" i="1"/>
  <c r="CA18" i="1" s="1"/>
  <c r="CE18" i="1"/>
  <c r="CD113" i="1"/>
  <c r="BZ113" i="1"/>
  <c r="CA113" i="1" s="1"/>
  <c r="CD188" i="1"/>
  <c r="BZ188" i="1"/>
  <c r="CA188" i="1" s="1"/>
  <c r="CD238" i="1"/>
  <c r="BZ238" i="1"/>
  <c r="CA238" i="1" s="1"/>
  <c r="CD207" i="1"/>
  <c r="BZ207" i="1"/>
  <c r="CA207" i="1" s="1"/>
  <c r="DB139" i="1"/>
  <c r="DC139" i="1" s="1"/>
  <c r="CH139" i="1"/>
  <c r="CI139" i="1" s="1"/>
  <c r="DB94" i="1"/>
  <c r="DC94" i="1" s="1"/>
  <c r="CH94" i="1"/>
  <c r="CI94" i="1" s="1"/>
  <c r="CL208" i="1"/>
  <c r="CH208" i="1"/>
  <c r="CI208" i="1" s="1"/>
  <c r="DB136" i="1"/>
  <c r="DC136" i="1" s="1"/>
  <c r="CH136" i="1"/>
  <c r="CI136" i="1" s="1"/>
  <c r="CL193" i="1"/>
  <c r="CH193" i="1"/>
  <c r="CI193" i="1" s="1"/>
  <c r="CL18" i="1"/>
  <c r="CH18" i="1"/>
  <c r="CI18" i="1" s="1"/>
  <c r="DB95" i="1"/>
  <c r="DC95" i="1" s="1"/>
  <c r="CH95" i="1"/>
  <c r="CI95" i="1" s="1"/>
  <c r="CL237" i="1"/>
  <c r="CH237" i="1"/>
  <c r="CI237" i="1" s="1"/>
  <c r="CL266" i="1"/>
  <c r="CH266" i="1"/>
  <c r="CI266" i="1" s="1"/>
  <c r="CL491" i="1"/>
  <c r="CH491" i="1"/>
  <c r="CI491" i="1" s="1"/>
  <c r="CL240" i="1"/>
  <c r="CH240" i="1"/>
  <c r="CI240" i="1" s="1"/>
  <c r="CL254" i="1"/>
  <c r="CH254" i="1"/>
  <c r="CI254" i="1" s="1"/>
  <c r="DB415" i="1"/>
  <c r="DC415" i="1" s="1"/>
  <c r="CH415" i="1"/>
  <c r="CI415" i="1" s="1"/>
  <c r="CL248" i="1"/>
  <c r="CH248" i="1"/>
  <c r="CI248" i="1" s="1"/>
  <c r="CL238" i="1"/>
  <c r="CH238" i="1"/>
  <c r="CI238" i="1" s="1"/>
  <c r="DB460" i="1"/>
  <c r="DC460" i="1" s="1"/>
  <c r="CH460" i="1"/>
  <c r="CI460" i="1" s="1"/>
  <c r="CL57" i="1"/>
  <c r="CH57" i="1"/>
  <c r="CI57" i="1" s="1"/>
  <c r="CL59" i="1"/>
  <c r="CH59" i="1"/>
  <c r="CI59" i="1" s="1"/>
  <c r="CL183" i="1"/>
  <c r="CH183" i="1"/>
  <c r="CI183" i="1" s="1"/>
  <c r="DB170" i="1"/>
  <c r="DC170" i="1" s="1"/>
  <c r="CH170" i="1"/>
  <c r="CI170" i="1" s="1"/>
  <c r="DB141" i="1"/>
  <c r="DC141" i="1" s="1"/>
  <c r="CH141" i="1"/>
  <c r="CI141" i="1" s="1"/>
  <c r="CL207" i="1"/>
  <c r="CH207" i="1"/>
  <c r="CI207" i="1" s="1"/>
  <c r="CL278" i="1"/>
  <c r="CH278" i="1"/>
  <c r="CI278" i="1" s="1"/>
  <c r="CL14" i="1"/>
  <c r="CH14" i="1"/>
  <c r="CI14" i="1" s="1"/>
  <c r="CL188" i="1"/>
  <c r="CH188" i="1"/>
  <c r="CI188" i="1" s="1"/>
  <c r="DB119" i="1"/>
  <c r="DC119" i="1" s="1"/>
  <c r="CH119" i="1"/>
  <c r="CI119" i="1" s="1"/>
  <c r="BQ372" i="1"/>
  <c r="BM372" i="1"/>
  <c r="BN372" i="1" s="1"/>
  <c r="BQ7" i="1"/>
  <c r="BM7" i="1"/>
  <c r="BN7" i="1" s="1"/>
  <c r="CH481" i="1"/>
  <c r="CI481" i="1" s="1"/>
  <c r="BZ481" i="1"/>
  <c r="CA481" i="1" s="1"/>
  <c r="BM481" i="1"/>
  <c r="BN481" i="1" s="1"/>
  <c r="BQ109" i="1"/>
  <c r="BM109" i="1"/>
  <c r="BN109" i="1" s="1"/>
  <c r="BQ393" i="1"/>
  <c r="BM393" i="1"/>
  <c r="BN393" i="1" s="1"/>
  <c r="BZ120" i="1"/>
  <c r="CA120" i="1" s="1"/>
  <c r="CH120" i="1"/>
  <c r="CI120" i="1" s="1"/>
  <c r="BM120" i="1"/>
  <c r="BN120" i="1" s="1"/>
  <c r="BQ367" i="1"/>
  <c r="BM367" i="1"/>
  <c r="BN367" i="1" s="1"/>
  <c r="BQ151" i="1"/>
  <c r="BM151" i="1"/>
  <c r="BN151" i="1" s="1"/>
  <c r="BQ457" i="1"/>
  <c r="BM457" i="1"/>
  <c r="BN457" i="1" s="1"/>
  <c r="BQ4" i="1"/>
  <c r="BM4" i="1"/>
  <c r="BN4" i="1" s="1"/>
  <c r="BZ419" i="1"/>
  <c r="CA419" i="1" s="1"/>
  <c r="CH419" i="1"/>
  <c r="CI419" i="1" s="1"/>
  <c r="BM419" i="1"/>
  <c r="BN419" i="1" s="1"/>
  <c r="BQ455" i="1"/>
  <c r="BM455" i="1"/>
  <c r="BN455" i="1" s="1"/>
  <c r="BQ374" i="1"/>
  <c r="BM374" i="1"/>
  <c r="BN374" i="1" s="1"/>
  <c r="BQ232" i="1"/>
  <c r="BM232" i="1"/>
  <c r="BN232" i="1" s="1"/>
  <c r="BQ482" i="1"/>
  <c r="BM482" i="1"/>
  <c r="BN482" i="1" s="1"/>
  <c r="BQ38" i="1"/>
  <c r="BM38" i="1"/>
  <c r="BN38" i="1" s="1"/>
  <c r="BQ11" i="1"/>
  <c r="BM11" i="1"/>
  <c r="BN11" i="1" s="1"/>
  <c r="BQ17" i="1"/>
  <c r="BM17" i="1"/>
  <c r="BN17" i="1" s="1"/>
  <c r="BQ35" i="1"/>
  <c r="BM35" i="1"/>
  <c r="BN35" i="1" s="1"/>
  <c r="AK55" i="1"/>
  <c r="AL55" i="1" s="1"/>
  <c r="BM55" i="1"/>
  <c r="BN55" i="1" s="1"/>
  <c r="AT127" i="1"/>
  <c r="AE127" i="1"/>
  <c r="AF127" i="1" s="1"/>
  <c r="AT344" i="1"/>
  <c r="AE344" i="1"/>
  <c r="AF344" i="1" s="1"/>
  <c r="AK42" i="1"/>
  <c r="AL42" i="1" s="1"/>
  <c r="BM42" i="1"/>
  <c r="BN42" i="1" s="1"/>
  <c r="AK39" i="1"/>
  <c r="AL39" i="1" s="1"/>
  <c r="BM39" i="1"/>
  <c r="BN39" i="1" s="1"/>
  <c r="BM456" i="1"/>
  <c r="BN456" i="1" s="1"/>
  <c r="AK456" i="1"/>
  <c r="AL456" i="1" s="1"/>
  <c r="AT417" i="1"/>
  <c r="AE417" i="1"/>
  <c r="AF417" i="1" s="1"/>
  <c r="AX3" i="1"/>
  <c r="AK3" i="1"/>
  <c r="AL3" i="1" s="1"/>
  <c r="BM3" i="1"/>
  <c r="BN3" i="1" s="1"/>
  <c r="AK239" i="1"/>
  <c r="AL239" i="1" s="1"/>
  <c r="BM239" i="1"/>
  <c r="BN239" i="1" s="1"/>
  <c r="AX463" i="1"/>
  <c r="BM463" i="1"/>
  <c r="BN463" i="1" s="1"/>
  <c r="AK463" i="1"/>
  <c r="AL463" i="1" s="1"/>
  <c r="AX123" i="1"/>
  <c r="BM123" i="1"/>
  <c r="BN123" i="1" s="1"/>
  <c r="AK123" i="1"/>
  <c r="AL123" i="1" s="1"/>
  <c r="AT108" i="1"/>
  <c r="AE108" i="1"/>
  <c r="AF108" i="1" s="1"/>
  <c r="AT476" i="1"/>
  <c r="AE476" i="1"/>
  <c r="AF476" i="1" s="1"/>
  <c r="AX108" i="1"/>
  <c r="AK108" i="1"/>
  <c r="AL108" i="1" s="1"/>
  <c r="BM108" i="1"/>
  <c r="BN108" i="1" s="1"/>
  <c r="AX476" i="1"/>
  <c r="AK476" i="1"/>
  <c r="AL476" i="1" s="1"/>
  <c r="BM476" i="1"/>
  <c r="BN476" i="1" s="1"/>
  <c r="AT251" i="1"/>
  <c r="AE251" i="1"/>
  <c r="AF251" i="1" s="1"/>
  <c r="AT415" i="1"/>
  <c r="AE415" i="1"/>
  <c r="AF415" i="1" s="1"/>
  <c r="AT118" i="1"/>
  <c r="AE118" i="1"/>
  <c r="AF118" i="1" s="1"/>
  <c r="AT103" i="1"/>
  <c r="AE103" i="1"/>
  <c r="AF103" i="1" s="1"/>
  <c r="AT211" i="1"/>
  <c r="AE211" i="1"/>
  <c r="AF211" i="1" s="1"/>
  <c r="AT494" i="1"/>
  <c r="AE494" i="1"/>
  <c r="AF494" i="1" s="1"/>
  <c r="AT242" i="1"/>
  <c r="AE242" i="1"/>
  <c r="AF242" i="1" s="1"/>
  <c r="AX70" i="1"/>
  <c r="BM70" i="1"/>
  <c r="BN70" i="1" s="1"/>
  <c r="AK70" i="1"/>
  <c r="AL70" i="1" s="1"/>
  <c r="AX52" i="1"/>
  <c r="AK52" i="1"/>
  <c r="AL52" i="1" s="1"/>
  <c r="BM52" i="1"/>
  <c r="BN52" i="1" s="1"/>
  <c r="AX12" i="1"/>
  <c r="AK12" i="1"/>
  <c r="AL12" i="1" s="1"/>
  <c r="BM12" i="1"/>
  <c r="BN12" i="1" s="1"/>
  <c r="AX145" i="1"/>
  <c r="AK145" i="1"/>
  <c r="AL145" i="1" s="1"/>
  <c r="BM145" i="1"/>
  <c r="BN145" i="1" s="1"/>
  <c r="AX251" i="1"/>
  <c r="AK251" i="1"/>
  <c r="AL251" i="1" s="1"/>
  <c r="BM251" i="1"/>
  <c r="BN251" i="1" s="1"/>
  <c r="AX415" i="1"/>
  <c r="AK415" i="1"/>
  <c r="AL415" i="1" s="1"/>
  <c r="BM415" i="1"/>
  <c r="BN415" i="1" s="1"/>
  <c r="AX118" i="1"/>
  <c r="BM118" i="1"/>
  <c r="BN118" i="1" s="1"/>
  <c r="AK118" i="1"/>
  <c r="AL118" i="1" s="1"/>
  <c r="AK427" i="1"/>
  <c r="AL427" i="1" s="1"/>
  <c r="BM427" i="1"/>
  <c r="BN427" i="1" s="1"/>
  <c r="AK336" i="1"/>
  <c r="AL336" i="1" s="1"/>
  <c r="BM336" i="1"/>
  <c r="BN336" i="1" s="1"/>
  <c r="AX103" i="1"/>
  <c r="AK103" i="1"/>
  <c r="AL103" i="1" s="1"/>
  <c r="BM103" i="1"/>
  <c r="BN103" i="1" s="1"/>
  <c r="AX211" i="1"/>
  <c r="BM211" i="1"/>
  <c r="BN211" i="1" s="1"/>
  <c r="AK211" i="1"/>
  <c r="AL211" i="1" s="1"/>
  <c r="AX494" i="1"/>
  <c r="AK494" i="1"/>
  <c r="AL494" i="1" s="1"/>
  <c r="BM494" i="1"/>
  <c r="BN494" i="1" s="1"/>
  <c r="AT346" i="1"/>
  <c r="AE346" i="1"/>
  <c r="AF346" i="1" s="1"/>
  <c r="AT16" i="1"/>
  <c r="AE16" i="1"/>
  <c r="AF16" i="1" s="1"/>
  <c r="AT203" i="1"/>
  <c r="AE203" i="1"/>
  <c r="AF203" i="1" s="1"/>
  <c r="AT156" i="1"/>
  <c r="AE156" i="1"/>
  <c r="AF156" i="1" s="1"/>
  <c r="AT167" i="1"/>
  <c r="AE167" i="1"/>
  <c r="AF167" i="1" s="1"/>
  <c r="AT181" i="1"/>
  <c r="AE181" i="1"/>
  <c r="AF181" i="1" s="1"/>
  <c r="AT240" i="1"/>
  <c r="AE240" i="1"/>
  <c r="AF240" i="1" s="1"/>
  <c r="AT207" i="1"/>
  <c r="AE207" i="1"/>
  <c r="AF207" i="1" s="1"/>
  <c r="AX34" i="1"/>
  <c r="AK34" i="1"/>
  <c r="AL34" i="1" s="1"/>
  <c r="BM34" i="1"/>
  <c r="BN34" i="1" s="1"/>
  <c r="AX127" i="1"/>
  <c r="BM127" i="1"/>
  <c r="BN127" i="1" s="1"/>
  <c r="AK127" i="1"/>
  <c r="AL127" i="1" s="1"/>
  <c r="AX346" i="1"/>
  <c r="AK346" i="1"/>
  <c r="AL346" i="1" s="1"/>
  <c r="BM346" i="1"/>
  <c r="BN346" i="1" s="1"/>
  <c r="AX16" i="1"/>
  <c r="AK16" i="1"/>
  <c r="AL16" i="1" s="1"/>
  <c r="BM16" i="1"/>
  <c r="BN16" i="1" s="1"/>
  <c r="AK36" i="1"/>
  <c r="AL36" i="1" s="1"/>
  <c r="BM36" i="1"/>
  <c r="BN36" i="1" s="1"/>
  <c r="AK306" i="1"/>
  <c r="AL306" i="1" s="1"/>
  <c r="BM306" i="1"/>
  <c r="BN306" i="1" s="1"/>
  <c r="AX203" i="1"/>
  <c r="AK203" i="1"/>
  <c r="AL203" i="1" s="1"/>
  <c r="BM203" i="1"/>
  <c r="BN203" i="1" s="1"/>
  <c r="AX156" i="1"/>
  <c r="BM156" i="1"/>
  <c r="BN156" i="1" s="1"/>
  <c r="AK156" i="1"/>
  <c r="AL156" i="1" s="1"/>
  <c r="AK492" i="1"/>
  <c r="AL492" i="1" s="1"/>
  <c r="BM492" i="1"/>
  <c r="BN492" i="1" s="1"/>
  <c r="AX167" i="1"/>
  <c r="BM167" i="1"/>
  <c r="BN167" i="1" s="1"/>
  <c r="AK167" i="1"/>
  <c r="AL167" i="1" s="1"/>
  <c r="AT70" i="1"/>
  <c r="AE70" i="1"/>
  <c r="AF70" i="1" s="1"/>
  <c r="AT34" i="1"/>
  <c r="AE34" i="1"/>
  <c r="AF34" i="1" s="1"/>
  <c r="AT3" i="1"/>
  <c r="AE3" i="1"/>
  <c r="AF3" i="1" s="1"/>
  <c r="AT52" i="1"/>
  <c r="AE52" i="1"/>
  <c r="AF52" i="1" s="1"/>
  <c r="AT12" i="1"/>
  <c r="AE12" i="1"/>
  <c r="AF12" i="1" s="1"/>
  <c r="AT145" i="1"/>
  <c r="AE145" i="1"/>
  <c r="AF145" i="1" s="1"/>
  <c r="AT463" i="1"/>
  <c r="AE463" i="1"/>
  <c r="AF463" i="1" s="1"/>
  <c r="AT123" i="1"/>
  <c r="AE123" i="1"/>
  <c r="AF123" i="1" s="1"/>
  <c r="AX181" i="1"/>
  <c r="AK181" i="1"/>
  <c r="AL181" i="1" s="1"/>
  <c r="BM181" i="1"/>
  <c r="BN181" i="1" s="1"/>
  <c r="AX417" i="1"/>
  <c r="BM417" i="1"/>
  <c r="BN417" i="1" s="1"/>
  <c r="AK417" i="1"/>
  <c r="AL417" i="1" s="1"/>
  <c r="AX344" i="1"/>
  <c r="AK344" i="1"/>
  <c r="AL344" i="1" s="1"/>
  <c r="BM344" i="1"/>
  <c r="BN344" i="1" s="1"/>
  <c r="AX240" i="1"/>
  <c r="AK240" i="1"/>
  <c r="AL240" i="1" s="1"/>
  <c r="BM240" i="1"/>
  <c r="BN240" i="1" s="1"/>
  <c r="AX242" i="1"/>
  <c r="BM242" i="1"/>
  <c r="BN242" i="1" s="1"/>
  <c r="AK242" i="1"/>
  <c r="AL242" i="1" s="1"/>
  <c r="AX207" i="1"/>
  <c r="AK207" i="1"/>
  <c r="AL207" i="1" s="1"/>
  <c r="BM207" i="1"/>
  <c r="BN207" i="1" s="1"/>
  <c r="BE90" i="1"/>
  <c r="BA90" i="1"/>
  <c r="BB90" i="1" s="1"/>
  <c r="BE43" i="1"/>
  <c r="BA43" i="1"/>
  <c r="BB43" i="1" s="1"/>
  <c r="BE369" i="1"/>
  <c r="BA369" i="1"/>
  <c r="BB369" i="1" s="1"/>
  <c r="BE8" i="1"/>
  <c r="BA8" i="1"/>
  <c r="BB8" i="1" s="1"/>
  <c r="AP417" i="1"/>
  <c r="BA417" i="1"/>
  <c r="BB417" i="1" s="1"/>
  <c r="BE192" i="1"/>
  <c r="BA192" i="1"/>
  <c r="BB192" i="1" s="1"/>
  <c r="BE106" i="1"/>
  <c r="BA106" i="1"/>
  <c r="BB106" i="1" s="1"/>
  <c r="BE23" i="1"/>
  <c r="BA23" i="1"/>
  <c r="BB23" i="1" s="1"/>
  <c r="BE31" i="1"/>
  <c r="BA31" i="1"/>
  <c r="BB31" i="1" s="1"/>
  <c r="BE41" i="1"/>
  <c r="BA41" i="1"/>
  <c r="BB41" i="1" s="1"/>
  <c r="BE126" i="1"/>
  <c r="BA126" i="1"/>
  <c r="BB126" i="1" s="1"/>
  <c r="BS180" i="1"/>
  <c r="BT180" i="1" s="1"/>
  <c r="BA180" i="1"/>
  <c r="BB180" i="1" s="1"/>
  <c r="BS100" i="1"/>
  <c r="BT100" i="1" s="1"/>
  <c r="BA100" i="1"/>
  <c r="BB100" i="1" s="1"/>
  <c r="BS60" i="1"/>
  <c r="BT60" i="1" s="1"/>
  <c r="BA60" i="1"/>
  <c r="BB60" i="1" s="1"/>
  <c r="BE30" i="1"/>
  <c r="BA30" i="1"/>
  <c r="BB30" i="1" s="1"/>
  <c r="CD139" i="1"/>
  <c r="CU139" i="1"/>
  <c r="CV139" i="1" s="1"/>
  <c r="CD460" i="1"/>
  <c r="CU460" i="1"/>
  <c r="CV460" i="1" s="1"/>
  <c r="CD119" i="1"/>
  <c r="CU119" i="1"/>
  <c r="CV119" i="1" s="1"/>
  <c r="CD141" i="1"/>
  <c r="CU141" i="1"/>
  <c r="CV141" i="1" s="1"/>
  <c r="CD415" i="1"/>
  <c r="CU415" i="1"/>
  <c r="CV415" i="1" s="1"/>
  <c r="CD94" i="1"/>
  <c r="CU94" i="1"/>
  <c r="CV94" i="1" s="1"/>
  <c r="CD95" i="1"/>
  <c r="CU95" i="1"/>
  <c r="CV95" i="1" s="1"/>
  <c r="CD170" i="1"/>
  <c r="CU170" i="1"/>
  <c r="CV170" i="1" s="1"/>
  <c r="CD136" i="1"/>
  <c r="CU136" i="1"/>
  <c r="CV136" i="1" s="1"/>
  <c r="CX413" i="1"/>
  <c r="CU413" i="1"/>
  <c r="CV413" i="1" s="1"/>
  <c r="CL272" i="1"/>
  <c r="DD272" i="1" s="1"/>
  <c r="DA272" i="1"/>
  <c r="CL136" i="1"/>
  <c r="DA136" i="1"/>
  <c r="CL70" i="1"/>
  <c r="DD70" i="1" s="1"/>
  <c r="DA70" i="1"/>
  <c r="CL118" i="1"/>
  <c r="DD118" i="1" s="1"/>
  <c r="DA118" i="1"/>
  <c r="CL415" i="1"/>
  <c r="DA415" i="1"/>
  <c r="CL460" i="1"/>
  <c r="DA460" i="1"/>
  <c r="CL95" i="1"/>
  <c r="DA95" i="1"/>
  <c r="CE118" i="1"/>
  <c r="CW118" i="1" s="1"/>
  <c r="CL113" i="1"/>
  <c r="DD113" i="1" s="1"/>
  <c r="DA113" i="1"/>
  <c r="CL141" i="1"/>
  <c r="DA141" i="1"/>
  <c r="CL458" i="1"/>
  <c r="DD458" i="1" s="1"/>
  <c r="DA458" i="1"/>
  <c r="CL94" i="1"/>
  <c r="DA94" i="1"/>
  <c r="CL178" i="1"/>
  <c r="DD178" i="1" s="1"/>
  <c r="DA178" i="1"/>
  <c r="CL119" i="1"/>
  <c r="DA119" i="1"/>
  <c r="CL162" i="1"/>
  <c r="DD162" i="1" s="1"/>
  <c r="DA162" i="1"/>
  <c r="CL170" i="1"/>
  <c r="DA170" i="1"/>
  <c r="CL108" i="1"/>
  <c r="DD108" i="1" s="1"/>
  <c r="DA108" i="1"/>
  <c r="CL413" i="1"/>
  <c r="DD413" i="1" s="1"/>
  <c r="DA413" i="1"/>
  <c r="CL139" i="1"/>
  <c r="DA139" i="1"/>
  <c r="BU180" i="1"/>
  <c r="BE180" i="1"/>
  <c r="BV10" i="1"/>
  <c r="BE10" i="1"/>
  <c r="BU100" i="1"/>
  <c r="BE100" i="1"/>
  <c r="BU60" i="1"/>
  <c r="BE60" i="1"/>
  <c r="BU359" i="1"/>
  <c r="BE359" i="1"/>
  <c r="CT57" i="1"/>
  <c r="BU284" i="1"/>
  <c r="BE284" i="1"/>
  <c r="CT59" i="1"/>
  <c r="BU51" i="1"/>
  <c r="BE51" i="1"/>
  <c r="CJ481" i="1"/>
  <c r="BQ481" i="1"/>
  <c r="CJ419" i="1"/>
  <c r="BQ419" i="1"/>
  <c r="CJ120" i="1"/>
  <c r="BQ120" i="1"/>
  <c r="CT207" i="1"/>
  <c r="CE57" i="1"/>
  <c r="CT14" i="1"/>
  <c r="CE415" i="1"/>
  <c r="CT415" i="1"/>
  <c r="CE188" i="1"/>
  <c r="CT188" i="1"/>
  <c r="CE207" i="1"/>
  <c r="CE183" i="1"/>
  <c r="CT183" i="1"/>
  <c r="CE178" i="1"/>
  <c r="CW178" i="1" s="1"/>
  <c r="CT178" i="1"/>
  <c r="CE254" i="1"/>
  <c r="CT139" i="1"/>
  <c r="CE113" i="1"/>
  <c r="CW113" i="1" s="1"/>
  <c r="CT254" i="1"/>
  <c r="CT413" i="1"/>
  <c r="CE193" i="1"/>
  <c r="CE458" i="1"/>
  <c r="CW458" i="1" s="1"/>
  <c r="CT458" i="1"/>
  <c r="CT118" i="1"/>
  <c r="CT136" i="1"/>
  <c r="CE237" i="1"/>
  <c r="CE248" i="1"/>
  <c r="CT70" i="1"/>
  <c r="CT237" i="1"/>
  <c r="CT248" i="1"/>
  <c r="CE108" i="1"/>
  <c r="CW108" i="1" s="1"/>
  <c r="CE59" i="1"/>
  <c r="CT108" i="1"/>
  <c r="CE460" i="1"/>
  <c r="CT18" i="1"/>
  <c r="CT193" i="1"/>
  <c r="CT113" i="1"/>
  <c r="CE141" i="1"/>
  <c r="CE240" i="1"/>
  <c r="CT141" i="1"/>
  <c r="CE139" i="1"/>
  <c r="CE491" i="1"/>
  <c r="CT240" i="1"/>
  <c r="CE70" i="1"/>
  <c r="CW70" i="1" s="1"/>
  <c r="CE162" i="1"/>
  <c r="CW162" i="1" s="1"/>
  <c r="CE170" i="1"/>
  <c r="CE238" i="1"/>
  <c r="CT170" i="1"/>
  <c r="CT162" i="1"/>
  <c r="CT238" i="1"/>
  <c r="CE266" i="1"/>
  <c r="CE95" i="1"/>
  <c r="CE278" i="1"/>
  <c r="CT266" i="1"/>
  <c r="CT95" i="1"/>
  <c r="CE136" i="1"/>
  <c r="CE272" i="1"/>
  <c r="CW272" i="1" s="1"/>
  <c r="CT278" i="1"/>
  <c r="BU8" i="1"/>
  <c r="BV8" i="1" s="1"/>
  <c r="BS8" i="1" s="1"/>
  <c r="BT8" i="1" s="1"/>
  <c r="CD374" i="1"/>
  <c r="BJ374" i="1"/>
  <c r="BJ393" i="1"/>
  <c r="CD393" i="1"/>
  <c r="CB17" i="1"/>
  <c r="CC17" i="1" s="1"/>
  <c r="BJ17" i="1"/>
  <c r="CD38" i="1"/>
  <c r="BJ38" i="1"/>
  <c r="CB151" i="1"/>
  <c r="CC151" i="1" s="1"/>
  <c r="BZ151" i="1" s="1"/>
  <c r="CA151" i="1" s="1"/>
  <c r="BJ151" i="1"/>
  <c r="CB4" i="1"/>
  <c r="CC4" i="1" s="1"/>
  <c r="BJ4" i="1"/>
  <c r="CB7" i="1"/>
  <c r="CC7" i="1" s="1"/>
  <c r="BJ7" i="1"/>
  <c r="CB11" i="1"/>
  <c r="CC11" i="1" s="1"/>
  <c r="BJ11" i="1"/>
  <c r="CB481" i="1"/>
  <c r="CD481" i="1"/>
  <c r="BJ481" i="1"/>
  <c r="CD372" i="1"/>
  <c r="BJ372" i="1"/>
  <c r="CD455" i="1"/>
  <c r="BJ455" i="1"/>
  <c r="CD457" i="1"/>
  <c r="BJ457" i="1"/>
  <c r="CB232" i="1"/>
  <c r="CC232" i="1" s="1"/>
  <c r="BJ232" i="1"/>
  <c r="CD35" i="1"/>
  <c r="BJ35" i="1"/>
  <c r="CB120" i="1"/>
  <c r="CD120" i="1"/>
  <c r="BJ120" i="1"/>
  <c r="CB208" i="1"/>
  <c r="CC208" i="1" s="1"/>
  <c r="BJ208" i="1"/>
  <c r="CB419" i="1"/>
  <c r="BJ419" i="1"/>
  <c r="CD419" i="1"/>
  <c r="CB482" i="1"/>
  <c r="CC482" i="1" s="1"/>
  <c r="BJ482" i="1"/>
  <c r="CB109" i="1"/>
  <c r="CC109" i="1" s="1"/>
  <c r="BJ109" i="1"/>
  <c r="CB15" i="1"/>
  <c r="CD15" i="1"/>
  <c r="BJ15" i="1"/>
  <c r="CD338" i="1"/>
  <c r="BJ338" i="1"/>
  <c r="D23" i="2"/>
  <c r="C23" i="2"/>
  <c r="BU126" i="1"/>
  <c r="BV126" i="1" s="1"/>
  <c r="BU106" i="1"/>
  <c r="BV106" i="1" s="1"/>
  <c r="BU192" i="1"/>
  <c r="BV192" i="1" s="1"/>
  <c r="BS192" i="1" s="1"/>
  <c r="BT192" i="1" s="1"/>
  <c r="BU90" i="1"/>
  <c r="BV90" i="1" s="1"/>
  <c r="BS90" i="1" s="1"/>
  <c r="BT90" i="1" s="1"/>
  <c r="CJ4" i="1"/>
  <c r="CK4" i="1" s="1"/>
  <c r="CH4" i="1" s="1"/>
  <c r="CI4" i="1" s="1"/>
  <c r="CJ7" i="1"/>
  <c r="CK7" i="1" s="1"/>
  <c r="CH7" i="1" s="1"/>
  <c r="CI7" i="1" s="1"/>
  <c r="CJ17" i="1"/>
  <c r="CK17" i="1" s="1"/>
  <c r="CJ11" i="1"/>
  <c r="CK11" i="1" s="1"/>
  <c r="CJ232" i="1"/>
  <c r="CK232" i="1" s="1"/>
  <c r="CJ482" i="1"/>
  <c r="CK482" i="1" s="1"/>
  <c r="CH482" i="1" s="1"/>
  <c r="CI482" i="1" s="1"/>
  <c r="CJ151" i="1"/>
  <c r="CK151" i="1" s="1"/>
  <c r="CJ109" i="1"/>
  <c r="CK109" i="1" s="1"/>
  <c r="CH109" i="1" s="1"/>
  <c r="CI109" i="1" s="1"/>
  <c r="BO96" i="1"/>
  <c r="BP96" i="1" s="1"/>
  <c r="AX192" i="1"/>
  <c r="AY192" i="1" s="1"/>
  <c r="AX427" i="1"/>
  <c r="AY427" i="1" s="1"/>
  <c r="BO427" i="1" s="1"/>
  <c r="AX369" i="1"/>
  <c r="AY369" i="1" s="1"/>
  <c r="AX23" i="1"/>
  <c r="AY23" i="1" s="1"/>
  <c r="AX239" i="1"/>
  <c r="AY239" i="1" s="1"/>
  <c r="BO239" i="1" s="1"/>
  <c r="AX51" i="1"/>
  <c r="AY51" i="1" s="1"/>
  <c r="AX284" i="1"/>
  <c r="AY284" i="1" s="1"/>
  <c r="AX60" i="1"/>
  <c r="AY60" i="1" s="1"/>
  <c r="AX36" i="1"/>
  <c r="AY36" i="1" s="1"/>
  <c r="BO36" i="1" s="1"/>
  <c r="AX456" i="1"/>
  <c r="AY456" i="1" s="1"/>
  <c r="BO456" i="1" s="1"/>
  <c r="BH96" i="1"/>
  <c r="BI96" i="1" s="1"/>
  <c r="AX180" i="1"/>
  <c r="AY180" i="1" s="1"/>
  <c r="AX492" i="1"/>
  <c r="AY492" i="1" s="1"/>
  <c r="BO492" i="1" s="1"/>
  <c r="AX41" i="1"/>
  <c r="AY41" i="1" s="1"/>
  <c r="AX39" i="1"/>
  <c r="AY39" i="1" s="1"/>
  <c r="BO39" i="1" s="1"/>
  <c r="AX126" i="1"/>
  <c r="AY126" i="1" s="1"/>
  <c r="AX30" i="1"/>
  <c r="AY30" i="1" s="1"/>
  <c r="AX55" i="1"/>
  <c r="AY55" i="1" s="1"/>
  <c r="BO55" i="1" s="1"/>
  <c r="AX8" i="1"/>
  <c r="AY8" i="1" s="1"/>
  <c r="AX336" i="1"/>
  <c r="AY336" i="1" s="1"/>
  <c r="BO336" i="1" s="1"/>
  <c r="AX90" i="1"/>
  <c r="AY90" i="1" s="1"/>
  <c r="AX359" i="1"/>
  <c r="AY359" i="1" s="1"/>
  <c r="AX106" i="1"/>
  <c r="AY106" i="1" s="1"/>
  <c r="AX306" i="1"/>
  <c r="AY306" i="1" s="1"/>
  <c r="BO306" i="1" s="1"/>
  <c r="AX100" i="1"/>
  <c r="AY100" i="1" s="1"/>
  <c r="AX42" i="1"/>
  <c r="AY42" i="1" s="1"/>
  <c r="BO42" i="1" s="1"/>
  <c r="AX31" i="1"/>
  <c r="AY31" i="1" s="1"/>
  <c r="AX43" i="1"/>
  <c r="AY43" i="1" s="1"/>
  <c r="AX10" i="1"/>
  <c r="AY10" i="1" s="1"/>
  <c r="AT60" i="1"/>
  <c r="AU60" i="1" s="1"/>
  <c r="AT369" i="1"/>
  <c r="AU369" i="1" s="1"/>
  <c r="AT39" i="1"/>
  <c r="AU39" i="1" s="1"/>
  <c r="BH39" i="1" s="1"/>
  <c r="AT492" i="1"/>
  <c r="AU492" i="1" s="1"/>
  <c r="BH492" i="1" s="1"/>
  <c r="AT336" i="1"/>
  <c r="AU336" i="1" s="1"/>
  <c r="BH336" i="1" s="1"/>
  <c r="AT41" i="1"/>
  <c r="AU41" i="1" s="1"/>
  <c r="AT8" i="1"/>
  <c r="AU8" i="1" s="1"/>
  <c r="AT106" i="1"/>
  <c r="AU106" i="1" s="1"/>
  <c r="AT126" i="1"/>
  <c r="AU126" i="1" s="1"/>
  <c r="AT42" i="1"/>
  <c r="AU42" i="1" s="1"/>
  <c r="BH42" i="1" s="1"/>
  <c r="AT306" i="1"/>
  <c r="AU306" i="1" s="1"/>
  <c r="BH306" i="1" s="1"/>
  <c r="AT100" i="1"/>
  <c r="AU100" i="1" s="1"/>
  <c r="AT427" i="1"/>
  <c r="AU427" i="1" s="1"/>
  <c r="BH427" i="1" s="1"/>
  <c r="AT456" i="1"/>
  <c r="AU456" i="1" s="1"/>
  <c r="BH456" i="1" s="1"/>
  <c r="AT31" i="1"/>
  <c r="AU31" i="1" s="1"/>
  <c r="AT239" i="1"/>
  <c r="AU239" i="1" s="1"/>
  <c r="BH239" i="1" s="1"/>
  <c r="AT180" i="1"/>
  <c r="AU180" i="1" s="1"/>
  <c r="AT36" i="1"/>
  <c r="AU36" i="1" s="1"/>
  <c r="BH36" i="1" s="1"/>
  <c r="AT359" i="1"/>
  <c r="AU359" i="1" s="1"/>
  <c r="AT10" i="1"/>
  <c r="AU10" i="1" s="1"/>
  <c r="AT284" i="1"/>
  <c r="AU284" i="1" s="1"/>
  <c r="AT90" i="1"/>
  <c r="AU90" i="1" s="1"/>
  <c r="AT192" i="1"/>
  <c r="AU192" i="1" s="1"/>
  <c r="AT23" i="1"/>
  <c r="AU23" i="1" s="1"/>
  <c r="AT30" i="1"/>
  <c r="AU30" i="1" s="1"/>
  <c r="AT55" i="1"/>
  <c r="AU55" i="1" s="1"/>
  <c r="BH55" i="1" s="1"/>
  <c r="AT43" i="1"/>
  <c r="AU43" i="1" s="1"/>
  <c r="AT51" i="1"/>
  <c r="AU51" i="1" s="1"/>
  <c r="BS10" i="1" l="1"/>
  <c r="BT10" i="1" s="1"/>
  <c r="BW10" i="1"/>
  <c r="CP10" i="1" s="1"/>
  <c r="CD17" i="1"/>
  <c r="BZ17" i="1"/>
  <c r="CA17" i="1" s="1"/>
  <c r="CD4" i="1"/>
  <c r="BZ4" i="1"/>
  <c r="CA4" i="1" s="1"/>
  <c r="CD7" i="1"/>
  <c r="BZ7" i="1"/>
  <c r="CA7" i="1" s="1"/>
  <c r="CD11" i="1"/>
  <c r="BZ11" i="1"/>
  <c r="CA11" i="1" s="1"/>
  <c r="CD232" i="1"/>
  <c r="BZ232" i="1"/>
  <c r="CA232" i="1" s="1"/>
  <c r="CD208" i="1"/>
  <c r="BZ208" i="1"/>
  <c r="CA208" i="1" s="1"/>
  <c r="CD482" i="1"/>
  <c r="BZ482" i="1"/>
  <c r="CA482" i="1" s="1"/>
  <c r="CD109" i="1"/>
  <c r="BZ109" i="1"/>
  <c r="CA109" i="1" s="1"/>
  <c r="CL17" i="1"/>
  <c r="CH17" i="1"/>
  <c r="CI17" i="1" s="1"/>
  <c r="CL11" i="1"/>
  <c r="CH11" i="1"/>
  <c r="CI11" i="1" s="1"/>
  <c r="CL232" i="1"/>
  <c r="CH232" i="1"/>
  <c r="CI232" i="1" s="1"/>
  <c r="DB151" i="1"/>
  <c r="DC151" i="1" s="1"/>
  <c r="CH151" i="1"/>
  <c r="CI151" i="1" s="1"/>
  <c r="BQ96" i="1"/>
  <c r="BM96" i="1"/>
  <c r="BN96" i="1" s="1"/>
  <c r="CO106" i="1"/>
  <c r="BS106" i="1"/>
  <c r="BT106" i="1" s="1"/>
  <c r="CO126" i="1"/>
  <c r="BS126" i="1"/>
  <c r="BT126" i="1" s="1"/>
  <c r="CD151" i="1"/>
  <c r="CU151" i="1"/>
  <c r="CV151" i="1" s="1"/>
  <c r="CN10" i="1"/>
  <c r="CX458" i="1"/>
  <c r="CU458" i="1"/>
  <c r="CV458" i="1" s="1"/>
  <c r="CX113" i="1"/>
  <c r="CU113" i="1"/>
  <c r="CV113" i="1" s="1"/>
  <c r="CX178" i="1"/>
  <c r="CU178" i="1"/>
  <c r="CV178" i="1" s="1"/>
  <c r="CX272" i="1"/>
  <c r="CU272" i="1"/>
  <c r="CV272" i="1" s="1"/>
  <c r="CX162" i="1"/>
  <c r="CU162" i="1"/>
  <c r="CV162" i="1" s="1"/>
  <c r="CX70" i="1"/>
  <c r="CU70" i="1"/>
  <c r="CV70" i="1" s="1"/>
  <c r="CX108" i="1"/>
  <c r="CU108" i="1"/>
  <c r="CV108" i="1" s="1"/>
  <c r="CX118" i="1"/>
  <c r="CU118" i="1"/>
  <c r="CV118" i="1" s="1"/>
  <c r="DE108" i="1"/>
  <c r="DB108" i="1"/>
  <c r="DC108" i="1" s="1"/>
  <c r="DE458" i="1"/>
  <c r="DB458" i="1"/>
  <c r="DC458" i="1" s="1"/>
  <c r="DE118" i="1"/>
  <c r="DB118" i="1"/>
  <c r="DC118" i="1" s="1"/>
  <c r="DE178" i="1"/>
  <c r="DB178" i="1"/>
  <c r="DC178" i="1" s="1"/>
  <c r="DE413" i="1"/>
  <c r="DB413" i="1"/>
  <c r="DC413" i="1" s="1"/>
  <c r="DE162" i="1"/>
  <c r="DB162" i="1"/>
  <c r="DC162" i="1" s="1"/>
  <c r="DE113" i="1"/>
  <c r="DB113" i="1"/>
  <c r="DC113" i="1" s="1"/>
  <c r="DE70" i="1"/>
  <c r="DB70" i="1"/>
  <c r="DC70" i="1" s="1"/>
  <c r="DE272" i="1"/>
  <c r="DB272" i="1"/>
  <c r="DC272" i="1" s="1"/>
  <c r="CL482" i="1"/>
  <c r="DD482" i="1" s="1"/>
  <c r="DA482" i="1"/>
  <c r="CL7" i="1"/>
  <c r="DD7" i="1" s="1"/>
  <c r="DA7" i="1"/>
  <c r="CL4" i="1"/>
  <c r="DD4" i="1" s="1"/>
  <c r="DA4" i="1"/>
  <c r="CL151" i="1"/>
  <c r="DA151" i="1"/>
  <c r="CL109" i="1"/>
  <c r="DD109" i="1" s="1"/>
  <c r="DA109" i="1"/>
  <c r="CE232" i="1"/>
  <c r="CT232" i="1"/>
  <c r="CT482" i="1"/>
  <c r="CE482" i="1"/>
  <c r="CW482" i="1" s="1"/>
  <c r="CE109" i="1"/>
  <c r="CW109" i="1" s="1"/>
  <c r="CT151" i="1"/>
  <c r="CE17" i="1"/>
  <c r="CE11" i="1"/>
  <c r="CE4" i="1"/>
  <c r="CW4" i="1" s="1"/>
  <c r="CT11" i="1"/>
  <c r="CT4" i="1"/>
  <c r="CE208" i="1"/>
  <c r="CE7" i="1"/>
  <c r="CW7" i="1" s="1"/>
  <c r="CT208" i="1"/>
  <c r="CE151" i="1"/>
  <c r="CT17" i="1"/>
  <c r="BW8" i="1"/>
  <c r="CP8" i="1" s="1"/>
  <c r="CQ8" i="1" s="1"/>
  <c r="CN8" i="1"/>
  <c r="CT7" i="1"/>
  <c r="CT109" i="1"/>
  <c r="D24" i="2"/>
  <c r="C24" i="2"/>
  <c r="BJ96" i="1"/>
  <c r="CB96" i="1"/>
  <c r="CC96" i="1" s="1"/>
  <c r="CJ96" i="1"/>
  <c r="CK96" i="1" s="1"/>
  <c r="BW192" i="1"/>
  <c r="CN192" i="1"/>
  <c r="CN106" i="1"/>
  <c r="BW106" i="1"/>
  <c r="BW90" i="1"/>
  <c r="CP90" i="1" s="1"/>
  <c r="CQ90" i="1" s="1"/>
  <c r="CN90" i="1"/>
  <c r="BW126" i="1"/>
  <c r="CN126" i="1"/>
  <c r="BO10" i="1"/>
  <c r="BP10" i="1" s="1"/>
  <c r="BO8" i="1"/>
  <c r="BP8" i="1" s="1"/>
  <c r="BO126" i="1"/>
  <c r="BP126" i="1" s="1"/>
  <c r="BO31" i="1"/>
  <c r="BP31" i="1" s="1"/>
  <c r="BO359" i="1"/>
  <c r="BP359" i="1" s="1"/>
  <c r="BH8" i="1"/>
  <c r="BI8" i="1" s="1"/>
  <c r="BO90" i="1"/>
  <c r="BP90" i="1" s="1"/>
  <c r="BO41" i="1"/>
  <c r="BP41" i="1" s="1"/>
  <c r="BO23" i="1"/>
  <c r="BP23" i="1" s="1"/>
  <c r="BH192" i="1"/>
  <c r="BI192" i="1" s="1"/>
  <c r="BO30" i="1"/>
  <c r="BP30" i="1" s="1"/>
  <c r="BO51" i="1"/>
  <c r="BP51" i="1" s="1"/>
  <c r="BO369" i="1"/>
  <c r="BP369" i="1" s="1"/>
  <c r="BH43" i="1"/>
  <c r="BI43" i="1" s="1"/>
  <c r="BH23" i="1"/>
  <c r="BI23" i="1" s="1"/>
  <c r="BH284" i="1"/>
  <c r="BI284" i="1" s="1"/>
  <c r="BH100" i="1"/>
  <c r="BI100" i="1" s="1"/>
  <c r="BH126" i="1"/>
  <c r="BI126" i="1" s="1"/>
  <c r="BO100" i="1"/>
  <c r="BP100" i="1" s="1"/>
  <c r="BO106" i="1"/>
  <c r="BP106" i="1" s="1"/>
  <c r="BO192" i="1"/>
  <c r="BP192" i="1" s="1"/>
  <c r="BH10" i="1"/>
  <c r="BI10" i="1" s="1"/>
  <c r="BH180" i="1"/>
  <c r="BI180" i="1" s="1"/>
  <c r="BH31" i="1"/>
  <c r="BI31" i="1" s="1"/>
  <c r="BH30" i="1"/>
  <c r="BI30" i="1" s="1"/>
  <c r="BH359" i="1"/>
  <c r="BI359" i="1" s="1"/>
  <c r="BH106" i="1"/>
  <c r="BI106" i="1" s="1"/>
  <c r="BH41" i="1"/>
  <c r="BI41" i="1" s="1"/>
  <c r="BJ41" i="1" s="1"/>
  <c r="BH369" i="1"/>
  <c r="BI369" i="1" s="1"/>
  <c r="BO43" i="1"/>
  <c r="BP43" i="1" s="1"/>
  <c r="BO180" i="1"/>
  <c r="BP180" i="1" s="1"/>
  <c r="BO60" i="1"/>
  <c r="BP60" i="1" s="1"/>
  <c r="BO284" i="1"/>
  <c r="BP284" i="1" s="1"/>
  <c r="BH51" i="1"/>
  <c r="BI51" i="1" s="1"/>
  <c r="BH90" i="1"/>
  <c r="BI90" i="1" s="1"/>
  <c r="BH60" i="1"/>
  <c r="BI60" i="1" s="1"/>
  <c r="CQ10" i="1" l="1"/>
  <c r="CO10" i="1"/>
  <c r="CT96" i="1"/>
  <c r="BZ96" i="1"/>
  <c r="CA96" i="1" s="1"/>
  <c r="DA96" i="1"/>
  <c r="CH96" i="1"/>
  <c r="CI96" i="1" s="1"/>
  <c r="BQ10" i="1"/>
  <c r="BM10" i="1"/>
  <c r="BN10" i="1" s="1"/>
  <c r="BQ8" i="1"/>
  <c r="BM8" i="1"/>
  <c r="BN8" i="1" s="1"/>
  <c r="BQ126" i="1"/>
  <c r="BM126" i="1"/>
  <c r="BN126" i="1" s="1"/>
  <c r="BQ31" i="1"/>
  <c r="BM31" i="1"/>
  <c r="BN31" i="1" s="1"/>
  <c r="BQ359" i="1"/>
  <c r="BM359" i="1"/>
  <c r="BN359" i="1" s="1"/>
  <c r="BQ90" i="1"/>
  <c r="BM90" i="1"/>
  <c r="BN90" i="1" s="1"/>
  <c r="BQ41" i="1"/>
  <c r="BM41" i="1"/>
  <c r="BN41" i="1" s="1"/>
  <c r="BQ23" i="1"/>
  <c r="BM23" i="1"/>
  <c r="BN23" i="1" s="1"/>
  <c r="BQ30" i="1"/>
  <c r="BM30" i="1"/>
  <c r="BN30" i="1" s="1"/>
  <c r="BQ51" i="1"/>
  <c r="BM51" i="1"/>
  <c r="BN51" i="1" s="1"/>
  <c r="BQ369" i="1"/>
  <c r="BM369" i="1"/>
  <c r="BN369" i="1" s="1"/>
  <c r="BM100" i="1"/>
  <c r="BN100" i="1" s="1"/>
  <c r="CH100" i="1"/>
  <c r="CI100" i="1" s="1"/>
  <c r="BZ100" i="1"/>
  <c r="CA100" i="1" s="1"/>
  <c r="BQ106" i="1"/>
  <c r="BM106" i="1"/>
  <c r="BN106" i="1" s="1"/>
  <c r="BQ192" i="1"/>
  <c r="BM192" i="1"/>
  <c r="BN192" i="1" s="1"/>
  <c r="BQ43" i="1"/>
  <c r="BM43" i="1"/>
  <c r="BN43" i="1" s="1"/>
  <c r="BM180" i="1"/>
  <c r="BN180" i="1" s="1"/>
  <c r="CH180" i="1"/>
  <c r="CI180" i="1" s="1"/>
  <c r="BZ180" i="1"/>
  <c r="CA180" i="1" s="1"/>
  <c r="BM60" i="1"/>
  <c r="BN60" i="1" s="1"/>
  <c r="CH60" i="1"/>
  <c r="CI60" i="1" s="1"/>
  <c r="BZ60" i="1"/>
  <c r="CA60" i="1" s="1"/>
  <c r="BQ284" i="1"/>
  <c r="BM284" i="1"/>
  <c r="BN284" i="1" s="1"/>
  <c r="CO8" i="1"/>
  <c r="CO90" i="1"/>
  <c r="CX482" i="1"/>
  <c r="CU482" i="1"/>
  <c r="CV482" i="1" s="1"/>
  <c r="CX7" i="1"/>
  <c r="CU7" i="1"/>
  <c r="CV7" i="1" s="1"/>
  <c r="CX4" i="1"/>
  <c r="CU4" i="1"/>
  <c r="CV4" i="1" s="1"/>
  <c r="CX109" i="1"/>
  <c r="CU109" i="1"/>
  <c r="CV109" i="1" s="1"/>
  <c r="DE109" i="1"/>
  <c r="DB109" i="1"/>
  <c r="DC109" i="1" s="1"/>
  <c r="DE4" i="1"/>
  <c r="DB4" i="1"/>
  <c r="DC4" i="1" s="1"/>
  <c r="DE482" i="1"/>
  <c r="DB482" i="1"/>
  <c r="DC482" i="1" s="1"/>
  <c r="DE7" i="1"/>
  <c r="DB7" i="1"/>
  <c r="DC7" i="1" s="1"/>
  <c r="CJ180" i="1"/>
  <c r="BQ180" i="1"/>
  <c r="CJ100" i="1"/>
  <c r="BQ100" i="1"/>
  <c r="CJ60" i="1"/>
  <c r="BQ60" i="1"/>
  <c r="CD41" i="1"/>
  <c r="CD31" i="1"/>
  <c r="BJ31" i="1"/>
  <c r="CB192" i="1"/>
  <c r="CC192" i="1" s="1"/>
  <c r="BJ192" i="1"/>
  <c r="CB90" i="1"/>
  <c r="CC90" i="1" s="1"/>
  <c r="BJ90" i="1"/>
  <c r="CB106" i="1"/>
  <c r="CC106" i="1" s="1"/>
  <c r="BJ106" i="1"/>
  <c r="CB180" i="1"/>
  <c r="CD180" i="1"/>
  <c r="BJ180" i="1"/>
  <c r="CD284" i="1"/>
  <c r="BJ284" i="1"/>
  <c r="CD51" i="1"/>
  <c r="BJ51" i="1"/>
  <c r="CD359" i="1"/>
  <c r="BJ359" i="1"/>
  <c r="CB10" i="1"/>
  <c r="CC10" i="1" s="1"/>
  <c r="BJ10" i="1"/>
  <c r="CB126" i="1"/>
  <c r="CC126" i="1" s="1"/>
  <c r="BZ126" i="1" s="1"/>
  <c r="CA126" i="1" s="1"/>
  <c r="BJ126" i="1"/>
  <c r="BJ23" i="1"/>
  <c r="CD23" i="1"/>
  <c r="CB8" i="1"/>
  <c r="CC8" i="1" s="1"/>
  <c r="BJ8" i="1"/>
  <c r="CB60" i="1"/>
  <c r="CD60" i="1"/>
  <c r="BJ60" i="1"/>
  <c r="CD369" i="1"/>
  <c r="BJ369" i="1"/>
  <c r="CD30" i="1"/>
  <c r="BJ30" i="1"/>
  <c r="CB100" i="1"/>
  <c r="CD100" i="1"/>
  <c r="BJ100" i="1"/>
  <c r="CD43" i="1"/>
  <c r="BJ43" i="1"/>
  <c r="CD96" i="1"/>
  <c r="CE96" i="1"/>
  <c r="CW96" i="1" s="1"/>
  <c r="D25" i="2"/>
  <c r="C25" i="2"/>
  <c r="CL96" i="1"/>
  <c r="DD96" i="1" s="1"/>
  <c r="B17" i="2"/>
  <c r="CP417" i="1" s="1"/>
  <c r="B16" i="2"/>
  <c r="B18" i="2"/>
  <c r="CJ192" i="1"/>
  <c r="CK192" i="1" s="1"/>
  <c r="CJ10" i="1"/>
  <c r="CK10" i="1" s="1"/>
  <c r="CH10" i="1" s="1"/>
  <c r="CI10" i="1" s="1"/>
  <c r="CE90" i="1"/>
  <c r="CW90" i="1" s="1"/>
  <c r="CJ106" i="1"/>
  <c r="CK106" i="1" s="1"/>
  <c r="CJ126" i="1"/>
  <c r="CK126" i="1" s="1"/>
  <c r="CJ90" i="1"/>
  <c r="CK90" i="1" s="1"/>
  <c r="CH90" i="1" s="1"/>
  <c r="CI90" i="1" s="1"/>
  <c r="CJ8" i="1"/>
  <c r="CK8" i="1" s="1"/>
  <c r="CH8" i="1" s="1"/>
  <c r="CI8" i="1" s="1"/>
  <c r="BZ106" i="1" l="1"/>
  <c r="CA106" i="1" s="1"/>
  <c r="CT106" i="1"/>
  <c r="CD192" i="1"/>
  <c r="BZ192" i="1"/>
  <c r="CA192" i="1" s="1"/>
  <c r="CD90" i="1"/>
  <c r="BZ90" i="1"/>
  <c r="CA90" i="1" s="1"/>
  <c r="CD10" i="1"/>
  <c r="BZ10" i="1"/>
  <c r="CA10" i="1" s="1"/>
  <c r="CD8" i="1"/>
  <c r="BZ8" i="1"/>
  <c r="CA8" i="1" s="1"/>
  <c r="CL192" i="1"/>
  <c r="CH192" i="1"/>
  <c r="CI192" i="1" s="1"/>
  <c r="DB106" i="1"/>
  <c r="DC106" i="1" s="1"/>
  <c r="CH106" i="1"/>
  <c r="CI106" i="1" s="1"/>
  <c r="DB126" i="1"/>
  <c r="DC126" i="1" s="1"/>
  <c r="CH126" i="1"/>
  <c r="CI126" i="1" s="1"/>
  <c r="CD106" i="1"/>
  <c r="CU106" i="1"/>
  <c r="CV106" i="1" s="1"/>
  <c r="CD126" i="1"/>
  <c r="CU126" i="1"/>
  <c r="CV126" i="1" s="1"/>
  <c r="CQ417" i="1"/>
  <c r="CO417" i="1"/>
  <c r="CX90" i="1"/>
  <c r="CU90" i="1"/>
  <c r="CV90" i="1" s="1"/>
  <c r="CX96" i="1"/>
  <c r="CU96" i="1"/>
  <c r="CV96" i="1" s="1"/>
  <c r="DE96" i="1"/>
  <c r="DB96" i="1"/>
  <c r="DC96" i="1" s="1"/>
  <c r="CL90" i="1"/>
  <c r="DD90" i="1" s="1"/>
  <c r="DA90" i="1"/>
  <c r="CT90" i="1"/>
  <c r="CL126" i="1"/>
  <c r="DA126" i="1"/>
  <c r="CL10" i="1"/>
  <c r="DD10" i="1" s="1"/>
  <c r="DA10" i="1"/>
  <c r="CL8" i="1"/>
  <c r="DD8" i="1" s="1"/>
  <c r="DA8" i="1"/>
  <c r="CL106" i="1"/>
  <c r="DA106" i="1"/>
  <c r="CE8" i="1"/>
  <c r="CW8" i="1" s="1"/>
  <c r="CT8" i="1"/>
  <c r="CE192" i="1"/>
  <c r="CE106" i="1"/>
  <c r="CT192" i="1"/>
  <c r="C26" i="2"/>
  <c r="CE10" i="1"/>
  <c r="CW10" i="1" s="1"/>
  <c r="CT10" i="1"/>
  <c r="CE126" i="1"/>
  <c r="CT126" i="1"/>
  <c r="D26" i="2"/>
  <c r="B11" i="2"/>
  <c r="DD417" i="1" s="1"/>
  <c r="B12" i="2"/>
  <c r="DD67" i="1" s="1"/>
  <c r="B10" i="2"/>
  <c r="CP67" i="1"/>
  <c r="CW486" i="1"/>
  <c r="CQ67" i="1" l="1"/>
  <c r="CO67" i="1"/>
  <c r="CX10" i="1"/>
  <c r="CU10" i="1"/>
  <c r="CV10" i="1" s="1"/>
  <c r="CX8" i="1"/>
  <c r="CU8" i="1"/>
  <c r="CV8" i="1" s="1"/>
  <c r="CX486" i="1"/>
  <c r="CU486" i="1"/>
  <c r="CV486" i="1" s="1"/>
  <c r="DE67" i="1"/>
  <c r="DB67" i="1"/>
  <c r="DC67" i="1" s="1"/>
  <c r="DE8" i="1"/>
  <c r="DB8" i="1"/>
  <c r="DC8" i="1" s="1"/>
  <c r="DE10" i="1"/>
  <c r="DB10" i="1"/>
  <c r="DC10" i="1" s="1"/>
  <c r="DE90" i="1"/>
  <c r="DB90" i="1"/>
  <c r="DC90" i="1" s="1"/>
  <c r="DE417" i="1"/>
  <c r="DB417" i="1"/>
  <c r="DC417" i="1" s="1"/>
  <c r="B6" i="2"/>
  <c r="D27" i="2"/>
  <c r="B7" i="2"/>
  <c r="CW417" i="1" s="1"/>
  <c r="B5" i="2"/>
  <c r="CX417" i="1" l="1"/>
  <c r="CU417" i="1"/>
  <c r="CV417" i="1" s="1"/>
  <c r="C27" i="2"/>
</calcChain>
</file>

<file path=xl/sharedStrings.xml><?xml version="1.0" encoding="utf-8"?>
<sst xmlns="http://schemas.openxmlformats.org/spreadsheetml/2006/main" count="4293" uniqueCount="575">
  <si>
    <t>کد ملی</t>
  </si>
  <si>
    <t>جنس</t>
  </si>
  <si>
    <t>سن کودک(ماه)</t>
  </si>
  <si>
    <t>قد زمان تولد(cm)</t>
  </si>
  <si>
    <t>قد 6ماهگی(cm)</t>
  </si>
  <si>
    <t>قد4سالگی(cm)</t>
  </si>
  <si>
    <t>قد3سالگی(cm)</t>
  </si>
  <si>
    <t>قد2سالگی(cm)</t>
  </si>
  <si>
    <t>قد18ماهگی(cm)</t>
  </si>
  <si>
    <t>قد12ماهگی(cm)</t>
  </si>
  <si>
    <t>تاریخ تولد</t>
  </si>
  <si>
    <t>نوع سوتغذیه</t>
  </si>
  <si>
    <t>NA</t>
  </si>
  <si>
    <t>1400/08/12</t>
  </si>
  <si>
    <t>1399/01/16</t>
  </si>
  <si>
    <t>1402/01/09</t>
  </si>
  <si>
    <t>دوقلو</t>
  </si>
  <si>
    <t>1399/01/11</t>
  </si>
  <si>
    <t>1399/03/16</t>
  </si>
  <si>
    <t>1399/09/21</t>
  </si>
  <si>
    <t xml:space="preserve"> 1400/12/07</t>
  </si>
  <si>
    <t>1399/08/01</t>
  </si>
  <si>
    <t>1399/07/09</t>
  </si>
  <si>
    <t>1401/07/16</t>
  </si>
  <si>
    <t>1401/08/22</t>
  </si>
  <si>
    <t>1399/05/10</t>
  </si>
  <si>
    <t>1401/01/19</t>
  </si>
  <si>
    <t>1400/10/10</t>
  </si>
  <si>
    <t>1401/08/28</t>
  </si>
  <si>
    <t>1401/08/11</t>
  </si>
  <si>
    <t>1399/02/01</t>
  </si>
  <si>
    <t>1399/12/05</t>
  </si>
  <si>
    <t>1399/10/22</t>
  </si>
  <si>
    <t>1401/03/02</t>
  </si>
  <si>
    <t>1399/07/14</t>
  </si>
  <si>
    <t>1401/06/29</t>
  </si>
  <si>
    <t>1400/04/13</t>
  </si>
  <si>
    <t>1402/01/23</t>
  </si>
  <si>
    <t>1399/04/03</t>
  </si>
  <si>
    <t>1400/02/10</t>
  </si>
  <si>
    <t>1400/03/30</t>
  </si>
  <si>
    <t>1399/05/23</t>
  </si>
  <si>
    <t>1401/05/08</t>
  </si>
  <si>
    <t>1400/08/04</t>
  </si>
  <si>
    <t>1399/03/13</t>
  </si>
  <si>
    <t>1399/07/07</t>
  </si>
  <si>
    <t>1400/12/29</t>
  </si>
  <si>
    <t>1401/09/10</t>
  </si>
  <si>
    <t>1400/01/29</t>
  </si>
  <si>
    <t>1400/08/27</t>
  </si>
  <si>
    <t>1402/02/20</t>
  </si>
  <si>
    <t>1401/06/18</t>
  </si>
  <si>
    <t>1401/09/15</t>
  </si>
  <si>
    <t>1400/01/30</t>
  </si>
  <si>
    <t>1401/03/25</t>
  </si>
  <si>
    <t>1399/01/27</t>
  </si>
  <si>
    <t>1399/07/18</t>
  </si>
  <si>
    <t>1401/03/08</t>
  </si>
  <si>
    <t>1399/10/12</t>
  </si>
  <si>
    <t>1399/10/05</t>
  </si>
  <si>
    <t>1400/04/30</t>
  </si>
  <si>
    <t>1399/0216</t>
  </si>
  <si>
    <t>1399/10/04</t>
  </si>
  <si>
    <t>1401/02/20</t>
  </si>
  <si>
    <t>1400/01/25</t>
  </si>
  <si>
    <t>1401/09/18</t>
  </si>
  <si>
    <t>میکاییل فرد</t>
  </si>
  <si>
    <t>1399/01/22</t>
  </si>
  <si>
    <t>اسماعیل فروزان</t>
  </si>
  <si>
    <t>2501025131</t>
  </si>
  <si>
    <t>کیان فولادچنگ</t>
  </si>
  <si>
    <t>2500999580</t>
  </si>
  <si>
    <t>اسرا قیاسی</t>
  </si>
  <si>
    <t>1401/02/02</t>
  </si>
  <si>
    <t>2501040872</t>
  </si>
  <si>
    <t>بنیامین کاملی</t>
  </si>
  <si>
    <t>1401/01/31</t>
  </si>
  <si>
    <t>ایسا کریمی نزاد</t>
  </si>
  <si>
    <t>1401/01/02</t>
  </si>
  <si>
    <t>2501038924</t>
  </si>
  <si>
    <t>فاطمه کهنسال</t>
  </si>
  <si>
    <t>1399/01/13</t>
  </si>
  <si>
    <t>سبحان لطفیی</t>
  </si>
  <si>
    <t>1401/09/20</t>
  </si>
  <si>
    <t>2501053011</t>
  </si>
  <si>
    <t>وزن تولد(g)</t>
  </si>
  <si>
    <t>وزن4سالگی(g)</t>
  </si>
  <si>
    <t>وزن3سالگی(g)</t>
  </si>
  <si>
    <t>وزن2سالگی(g)</t>
  </si>
  <si>
    <t>وزن18ماهگی(g)</t>
  </si>
  <si>
    <t>وزن12ماهگی(g)</t>
  </si>
  <si>
    <t>وزن6ماهگی(g)</t>
  </si>
  <si>
    <t>1400/06/17</t>
  </si>
  <si>
    <t>1399/02/25</t>
  </si>
  <si>
    <t>1399/04/19</t>
  </si>
  <si>
    <t>1401/09/06</t>
  </si>
  <si>
    <t>1399/08/16</t>
  </si>
  <si>
    <t>1400/01/23</t>
  </si>
  <si>
    <t>1399/12/19</t>
  </si>
  <si>
    <t>1401/08/08</t>
  </si>
  <si>
    <t>1399/05/14</t>
  </si>
  <si>
    <t>1401/10/01</t>
  </si>
  <si>
    <t>1401/08/19</t>
  </si>
  <si>
    <t>1402/02/16</t>
  </si>
  <si>
    <t>1399/11/08</t>
  </si>
  <si>
    <t>1400/04/27</t>
  </si>
  <si>
    <t>1401/11/09</t>
  </si>
  <si>
    <t>1399/12/14</t>
  </si>
  <si>
    <t xml:space="preserve"> 1401/05/16</t>
  </si>
  <si>
    <t>1401/06/15</t>
  </si>
  <si>
    <t>1400/05/18</t>
  </si>
  <si>
    <t>1401/10/05</t>
  </si>
  <si>
    <t>1401/12/25</t>
  </si>
  <si>
    <t>1401/06/16</t>
  </si>
  <si>
    <t>1401/08/27</t>
  </si>
  <si>
    <t>1401/05/19</t>
  </si>
  <si>
    <t>۱۳۹۹/۱۰/۱۹</t>
  </si>
  <si>
    <t>1400/10/04</t>
  </si>
  <si>
    <t>1401/11/23</t>
  </si>
  <si>
    <t>1402/02/01</t>
  </si>
  <si>
    <t>1402/01/26</t>
  </si>
  <si>
    <t>1399/03/11</t>
  </si>
  <si>
    <t>1401/05/04</t>
  </si>
  <si>
    <t>1401/12/27</t>
  </si>
  <si>
    <t>1400/09/03</t>
  </si>
  <si>
    <t>1400/03/23</t>
  </si>
  <si>
    <t>1400/02/28</t>
  </si>
  <si>
    <t>1401/06/30</t>
  </si>
  <si>
    <t>1399/06/22</t>
  </si>
  <si>
    <t>1399/03/26</t>
  </si>
  <si>
    <t>1400/03/04</t>
  </si>
  <si>
    <t>1399/03/03</t>
  </si>
  <si>
    <t>1399/09/11</t>
  </si>
  <si>
    <t>1399/12/17</t>
  </si>
  <si>
    <t>1399/11/19</t>
  </si>
  <si>
    <t>1399/06/20</t>
  </si>
  <si>
    <t>1401/03/10</t>
  </si>
  <si>
    <t>1400/03/02</t>
  </si>
  <si>
    <t>1400/12/27</t>
  </si>
  <si>
    <t>2501034244</t>
  </si>
  <si>
    <t>1399/08/09</t>
  </si>
  <si>
    <t>1401/08/17</t>
  </si>
  <si>
    <t>1400/05/15</t>
  </si>
  <si>
    <t>2461082601</t>
  </si>
  <si>
    <t>1401/09/22</t>
  </si>
  <si>
    <t>1401/10/11</t>
  </si>
  <si>
    <t>1400/103/19</t>
  </si>
  <si>
    <t>1400/02/23</t>
  </si>
  <si>
    <t>1400/03/24</t>
  </si>
  <si>
    <t>1400/12/02</t>
  </si>
  <si>
    <t>1400/10/14</t>
  </si>
  <si>
    <t>1399/09/04</t>
  </si>
  <si>
    <t>1399/07/25</t>
  </si>
  <si>
    <t>1401/10/19</t>
  </si>
  <si>
    <t>1401/10/07</t>
  </si>
  <si>
    <t>1400/12/22</t>
  </si>
  <si>
    <t>1400/04/15</t>
  </si>
  <si>
    <t>1400/11/25</t>
  </si>
  <si>
    <t>1400/10/05</t>
  </si>
  <si>
    <t>1401/08/23</t>
  </si>
  <si>
    <t>1401/12/14</t>
  </si>
  <si>
    <t>1400/10/25</t>
  </si>
  <si>
    <t>1400/06/24</t>
  </si>
  <si>
    <t>1399/06/08</t>
  </si>
  <si>
    <t>1402/04/11</t>
  </si>
  <si>
    <t>1400/01/17</t>
  </si>
  <si>
    <t>1401/11/18</t>
  </si>
  <si>
    <t>1401/11/21</t>
  </si>
  <si>
    <t>1401/11/12</t>
  </si>
  <si>
    <t>1401/10/27</t>
  </si>
  <si>
    <t>1401/10/28</t>
  </si>
  <si>
    <t>1401/11/05</t>
  </si>
  <si>
    <t>1401/11/11</t>
  </si>
  <si>
    <t>1401/11/10</t>
  </si>
  <si>
    <t>1401/10/23</t>
  </si>
  <si>
    <t>1401/07/03</t>
  </si>
  <si>
    <t>1401/07/08</t>
  </si>
  <si>
    <t>1401/07/07</t>
  </si>
  <si>
    <t>1401/11/16</t>
  </si>
  <si>
    <t>1401/11/03</t>
  </si>
  <si>
    <t>1401/09/25</t>
  </si>
  <si>
    <t>1400/08/14</t>
  </si>
  <si>
    <t>1400/06/12</t>
  </si>
  <si>
    <t>1401/12/01</t>
  </si>
  <si>
    <t>1401/10/08</t>
  </si>
  <si>
    <t>1401/07/25</t>
  </si>
  <si>
    <t>1400/11/08</t>
  </si>
  <si>
    <t>1400/11/13</t>
  </si>
  <si>
    <t>1401/06/07</t>
  </si>
  <si>
    <t>1400/04/03</t>
  </si>
  <si>
    <t>1401/10/04</t>
  </si>
  <si>
    <t>1399/10/21</t>
  </si>
  <si>
    <t>1399/05/01</t>
  </si>
  <si>
    <t>1401/10/26</t>
  </si>
  <si>
    <t>1401/03/28</t>
  </si>
  <si>
    <t>1400/12/16</t>
  </si>
  <si>
    <t>1400/09/01</t>
  </si>
  <si>
    <t>1398/12/12</t>
  </si>
  <si>
    <t>1400/05/11</t>
  </si>
  <si>
    <t>1401/12/02</t>
  </si>
  <si>
    <t>1401/11/20</t>
  </si>
  <si>
    <t>1401/09/11</t>
  </si>
  <si>
    <t>1401/04/09</t>
  </si>
  <si>
    <t>1401/03/16</t>
  </si>
  <si>
    <t>1400/12/13</t>
  </si>
  <si>
    <t>1400/10/30</t>
  </si>
  <si>
    <t>1401/07/09</t>
  </si>
  <si>
    <t>1400/10/16</t>
  </si>
  <si>
    <t>1401/04/12</t>
  </si>
  <si>
    <t>1401/03/22</t>
  </si>
  <si>
    <t>1399/01/18</t>
  </si>
  <si>
    <t>1401/12/06</t>
  </si>
  <si>
    <t>1401/08/15</t>
  </si>
  <si>
    <t>1401/06/05</t>
  </si>
  <si>
    <t>1400/10/07</t>
  </si>
  <si>
    <t>1401/09/04</t>
  </si>
  <si>
    <t>1398/12/26</t>
  </si>
  <si>
    <t>1400/12/17</t>
  </si>
  <si>
    <t>1401/10/29</t>
  </si>
  <si>
    <t>1401/07/06</t>
  </si>
  <si>
    <t>1399/12/15</t>
  </si>
  <si>
    <t>1401/12/18</t>
  </si>
  <si>
    <t>1401/12/05</t>
  </si>
  <si>
    <t>1401/11/22</t>
  </si>
  <si>
    <t>1401/10/18</t>
  </si>
  <si>
    <t>1401/08/12</t>
  </si>
  <si>
    <t>1401/07/18</t>
  </si>
  <si>
    <t>1401/06/31</t>
  </si>
  <si>
    <t>1401/05/29</t>
  </si>
  <si>
    <t>1401/05/17</t>
  </si>
  <si>
    <t>1401/03/03</t>
  </si>
  <si>
    <t>1401/02/23</t>
  </si>
  <si>
    <t>1400/12/07</t>
  </si>
  <si>
    <t>1400/11/05</t>
  </si>
  <si>
    <t>1398/12/22</t>
  </si>
  <si>
    <t>1401/05/11</t>
  </si>
  <si>
    <t>1400/10/22</t>
  </si>
  <si>
    <t>1401/04/14</t>
  </si>
  <si>
    <t>1401/03/18</t>
  </si>
  <si>
    <t>1400/05/01</t>
  </si>
  <si>
    <t>1400/09/09</t>
  </si>
  <si>
    <t>1399/10/01</t>
  </si>
  <si>
    <t>1399/01/23</t>
  </si>
  <si>
    <t>1399/04/12</t>
  </si>
  <si>
    <t>1400/12/12</t>
  </si>
  <si>
    <t>1399/02/03</t>
  </si>
  <si>
    <t>1401/12/12</t>
  </si>
  <si>
    <t>1401/08/26</t>
  </si>
  <si>
    <t>1401/10/21</t>
  </si>
  <si>
    <t>1401/05/16</t>
  </si>
  <si>
    <t>1401/05/25</t>
  </si>
  <si>
    <t>1400/09/21</t>
  </si>
  <si>
    <t>1399/01/04</t>
  </si>
  <si>
    <t>1399/02/21</t>
  </si>
  <si>
    <t>1399/07/21</t>
  </si>
  <si>
    <t>1400/12/21</t>
  </si>
  <si>
    <t>1400/02/30</t>
  </si>
  <si>
    <t>1400/12/01</t>
  </si>
  <si>
    <t>1401/08/04</t>
  </si>
  <si>
    <t>1400/05/22</t>
  </si>
  <si>
    <t>1398/12/28</t>
  </si>
  <si>
    <t>1401/12/11</t>
  </si>
  <si>
    <t>1399/01/01</t>
  </si>
  <si>
    <t>1401/07/27</t>
  </si>
  <si>
    <t>1401/09/03</t>
  </si>
  <si>
    <t>1401/12/07</t>
  </si>
  <si>
    <t>1401/09/17</t>
  </si>
  <si>
    <t>1401/01/08</t>
  </si>
  <si>
    <t>1399/02/30</t>
  </si>
  <si>
    <t>1401/05/30</t>
  </si>
  <si>
    <t>1399/03/18</t>
  </si>
  <si>
    <t>1399/06/10</t>
  </si>
  <si>
    <t>1401/06/08</t>
  </si>
  <si>
    <t>1401/02/22</t>
  </si>
  <si>
    <t>1400/10/20</t>
  </si>
  <si>
    <t>1400/10/17</t>
  </si>
  <si>
    <t>1399/06/13</t>
  </si>
  <si>
    <t>1401/07/19</t>
  </si>
  <si>
    <t>1401/05/01</t>
  </si>
  <si>
    <t>1399/07/05</t>
  </si>
  <si>
    <t>1401/04/05</t>
  </si>
  <si>
    <t>1399/11/02</t>
  </si>
  <si>
    <t>1401/11/28</t>
  </si>
  <si>
    <t>1402/01/20</t>
  </si>
  <si>
    <t>1401/02/03</t>
  </si>
  <si>
    <t>1400/10/02</t>
  </si>
  <si>
    <t>1400/04/20</t>
  </si>
  <si>
    <t>1399/08/25</t>
  </si>
  <si>
    <t>1400/09/16</t>
  </si>
  <si>
    <t>1400/11/20</t>
  </si>
  <si>
    <t>1401/07/10</t>
  </si>
  <si>
    <t>1400/09/15</t>
  </si>
  <si>
    <t>1399/09/09</t>
  </si>
  <si>
    <t>1399/02/06</t>
  </si>
  <si>
    <t>1402/01/21</t>
  </si>
  <si>
    <t>1399/02/31</t>
  </si>
  <si>
    <t>1402/01/01</t>
  </si>
  <si>
    <t>1401/12/24</t>
  </si>
  <si>
    <t>1400/12/05</t>
  </si>
  <si>
    <t>1400/06/16</t>
  </si>
  <si>
    <t>1399/11/06</t>
  </si>
  <si>
    <t>1402/01/05</t>
  </si>
  <si>
    <t>1401/10/24</t>
  </si>
  <si>
    <t>1400/09/20</t>
  </si>
  <si>
    <t>1400/07/01</t>
  </si>
  <si>
    <t>1401/01/27</t>
  </si>
  <si>
    <t>1399/07/23</t>
  </si>
  <si>
    <t>1401/12/17</t>
  </si>
  <si>
    <t>1401/09/02</t>
  </si>
  <si>
    <t>1402/01/12</t>
  </si>
  <si>
    <t>1402/01/22</t>
  </si>
  <si>
    <t>1401/04/13</t>
  </si>
  <si>
    <t>1401/04/16</t>
  </si>
  <si>
    <t>1401/06/17</t>
  </si>
  <si>
    <t>1401/03/21</t>
  </si>
  <si>
    <t>1399/10/17</t>
  </si>
  <si>
    <t>1400/04/06</t>
  </si>
  <si>
    <t>1399/02/09</t>
  </si>
  <si>
    <t>1399/03/01</t>
  </si>
  <si>
    <t>1399/02/18</t>
  </si>
  <si>
    <t>1401/02/19</t>
  </si>
  <si>
    <t>1402/01/17</t>
  </si>
  <si>
    <t>1402/02/25</t>
  </si>
  <si>
    <t>1401/09/30</t>
  </si>
  <si>
    <t>1400/11/28</t>
  </si>
  <si>
    <t>1400/11/19</t>
  </si>
  <si>
    <t>1401/01/12</t>
  </si>
  <si>
    <t>1401/01/09</t>
  </si>
  <si>
    <t>1400/10/08</t>
  </si>
  <si>
    <t>1400/08/05</t>
  </si>
  <si>
    <t>1400/06/27</t>
  </si>
  <si>
    <t>1400/02/26</t>
  </si>
  <si>
    <t>1399/12/09</t>
  </si>
  <si>
    <t>1399/12/08</t>
  </si>
  <si>
    <t>1399/07/30</t>
  </si>
  <si>
    <t>1399/06/19</t>
  </si>
  <si>
    <t>1399/08/14</t>
  </si>
  <si>
    <t>1399/08/06</t>
  </si>
  <si>
    <t>1399/04/01</t>
  </si>
  <si>
    <t>1401/04/21</t>
  </si>
  <si>
    <t>1400/05/26</t>
  </si>
  <si>
    <t>1400/11/24</t>
  </si>
  <si>
    <t>1400/12/26</t>
  </si>
  <si>
    <t>1400/01/03</t>
  </si>
  <si>
    <t>1400/09/28</t>
  </si>
  <si>
    <t>1400/08/20</t>
  </si>
  <si>
    <t>1400/06/08</t>
  </si>
  <si>
    <t>1400/01/15</t>
  </si>
  <si>
    <t>1401/09/26</t>
  </si>
  <si>
    <t>1400/11/07</t>
  </si>
  <si>
    <t>1399/11/22</t>
  </si>
  <si>
    <t>1399/04/10</t>
  </si>
  <si>
    <t>1399/06/25</t>
  </si>
  <si>
    <t>1399/12/26</t>
  </si>
  <si>
    <t>1399/12/10</t>
  </si>
  <si>
    <t>1399/10/16</t>
  </si>
  <si>
    <t>1399/11/12</t>
  </si>
  <si>
    <t>1399/04/09</t>
  </si>
  <si>
    <t xml:space="preserve"> 1401/03/03</t>
  </si>
  <si>
    <t>1399/06/23</t>
  </si>
  <si>
    <t>1401/01/01</t>
  </si>
  <si>
    <t>1400/01/11</t>
  </si>
  <si>
    <t>1400/05/23</t>
  </si>
  <si>
    <t>1399/12/29</t>
  </si>
  <si>
    <t>1400/06/11</t>
  </si>
  <si>
    <t>1399/06/03</t>
  </si>
  <si>
    <t>1402/02/24</t>
  </si>
  <si>
    <t>1399/08/21</t>
  </si>
  <si>
    <t>1401/12/04</t>
  </si>
  <si>
    <t xml:space="preserve"> 1399/09/16</t>
  </si>
  <si>
    <t>1400/02/09</t>
  </si>
  <si>
    <t>1399/11/23</t>
  </si>
  <si>
    <t>1401/05/09</t>
  </si>
  <si>
    <t>1401/0810</t>
  </si>
  <si>
    <t>1400/08/18</t>
  </si>
  <si>
    <t>1399/11/04</t>
  </si>
  <si>
    <t>1401/03/17</t>
  </si>
  <si>
    <t>1400/11/15</t>
  </si>
  <si>
    <t>1401/05/10</t>
  </si>
  <si>
    <t>1401/10/02</t>
  </si>
  <si>
    <t>1399/04/16</t>
  </si>
  <si>
    <t>2501024028</t>
  </si>
  <si>
    <t>1401/06/10</t>
  </si>
  <si>
    <t>1402/02/05</t>
  </si>
  <si>
    <t>1399/09/15</t>
  </si>
  <si>
    <t>1401/10/20</t>
  </si>
  <si>
    <t>1401/07/14</t>
  </si>
  <si>
    <t>1401/06/11</t>
  </si>
  <si>
    <t>1400/11/21</t>
  </si>
  <si>
    <t>1400/09/27</t>
  </si>
  <si>
    <t>1400/08/06</t>
  </si>
  <si>
    <t>1400/06/19</t>
  </si>
  <si>
    <t>1400/04/26</t>
  </si>
  <si>
    <t>1400/02/13</t>
  </si>
  <si>
    <t>1399/08/23</t>
  </si>
  <si>
    <t>1399/05/17</t>
  </si>
  <si>
    <t>تعداد پسر سالم</t>
  </si>
  <si>
    <t>تعداد دختر سالم</t>
  </si>
  <si>
    <t>تعداد پسرسوتغذیه</t>
  </si>
  <si>
    <t>تعداد دختر سو تغذیه</t>
  </si>
  <si>
    <t>wt_3y_zscore</t>
  </si>
  <si>
    <t>wt_4y_zscore</t>
  </si>
  <si>
    <t>BMI_4y_zscore</t>
  </si>
  <si>
    <t>ht_1y_zscore</t>
  </si>
  <si>
    <t>wt_6m_zscore</t>
  </si>
  <si>
    <t>ht_6m_zscore</t>
  </si>
  <si>
    <t>BMI_6m_zscore</t>
  </si>
  <si>
    <t>1401/07/17</t>
  </si>
  <si>
    <t>1399/12/24</t>
  </si>
  <si>
    <t>1401/12/15</t>
  </si>
  <si>
    <t>1401/04/02</t>
  </si>
  <si>
    <t>1400/07/22</t>
  </si>
  <si>
    <t>1400/02/01</t>
  </si>
  <si>
    <t>1400/05/14</t>
  </si>
  <si>
    <t>1401/04/18</t>
  </si>
  <si>
    <t>روستایی چاه نهر خانه بهداشت شاه غیب</t>
  </si>
  <si>
    <t>1401/02/06</t>
  </si>
  <si>
    <t>1400/05/21</t>
  </si>
  <si>
    <t>1399/06/16</t>
  </si>
  <si>
    <t>1402/01/03</t>
  </si>
  <si>
    <t>1401/10/09</t>
  </si>
  <si>
    <t>1401/05/06</t>
  </si>
  <si>
    <t>1401/01/05</t>
  </si>
  <si>
    <t>1400/06/20</t>
  </si>
  <si>
    <t>1400/05/24</t>
  </si>
  <si>
    <t>1400/02/22</t>
  </si>
  <si>
    <t>1400/01/12</t>
  </si>
  <si>
    <t>1399/12/01</t>
  </si>
  <si>
    <t>1399/08/17</t>
  </si>
  <si>
    <t>1399/06/24</t>
  </si>
  <si>
    <t>وو</t>
  </si>
  <si>
    <t>ht_DeltaZ = Z12 − Zbirth</t>
  </si>
  <si>
    <t>ht_6m_zscore_Imputation</t>
  </si>
  <si>
    <t>wt_DeltaZ = Z12 − Zbirth</t>
  </si>
  <si>
    <t>wt_6m_zscore_Imputation</t>
  </si>
  <si>
    <t>ht_DeltaZ = Z18 − Z6</t>
  </si>
  <si>
    <t>wt_12m_zscore_Imputation</t>
  </si>
  <si>
    <t>ht_12m_zscore_Imputation</t>
  </si>
  <si>
    <t>wt_DeltaZ = Z18 − Z6</t>
  </si>
  <si>
    <t>wt_12m_zscore</t>
  </si>
  <si>
    <t>ht_DeltaZ = Z24 − Z12</t>
  </si>
  <si>
    <t>wt_18m_zscore_Imputation</t>
  </si>
  <si>
    <t>ht_18m_zscore</t>
  </si>
  <si>
    <t>wt_DeltaZ = Z24 − Z12</t>
  </si>
  <si>
    <t>ht_18m_zscore_Imputation</t>
  </si>
  <si>
    <t>wt_18m_zscore</t>
  </si>
  <si>
    <t>wt_DeltaZ = Z36 − Z18</t>
  </si>
  <si>
    <t>ht_24m_zscore_Imputation</t>
  </si>
  <si>
    <t>ht_24m_zscore</t>
  </si>
  <si>
    <t>ht_DeltaZ = Z36 − Z18</t>
  </si>
  <si>
    <t>wt_24m_zscore</t>
  </si>
  <si>
    <t>wt_24m_zscore_Imputation</t>
  </si>
  <si>
    <t>wt_DeltaZ = Z48 − Z24</t>
  </si>
  <si>
    <t>wt_36m_zscore_Imputation</t>
  </si>
  <si>
    <t>ht_DeltaZ = Z48 − Z24</t>
  </si>
  <si>
    <t>ht_36m_zscore_Imputation</t>
  </si>
  <si>
    <t>ht_36m_zscore</t>
  </si>
  <si>
    <t>ht_DeltaZ = Z48 − Z36</t>
  </si>
  <si>
    <t>ht_48m_zscore_Imputation</t>
  </si>
  <si>
    <t>ht_48m_zscore</t>
  </si>
  <si>
    <t>BMI_12m_zscore</t>
  </si>
  <si>
    <t>3 دوقلو</t>
  </si>
  <si>
    <t>2/دوقلو</t>
  </si>
  <si>
    <t>4/دوقلو</t>
  </si>
  <si>
    <t>3-3قلو</t>
  </si>
  <si>
    <t>چهارقلو</t>
  </si>
  <si>
    <t>رزیابی از نظر دور سر(یک سالگی)</t>
  </si>
  <si>
    <t>ارزیابی از نظر دور سر(14-15روزگی)</t>
  </si>
  <si>
    <t>دور سر در یک سالگی(cm)</t>
  </si>
  <si>
    <t>اندازه دور سر (14-15 روزگی)</t>
  </si>
  <si>
    <t>اندازه دور سر در بدو تولد(cm)</t>
  </si>
  <si>
    <t>مشکل تغذیه با شیر مادر در 3-5 روزگی</t>
  </si>
  <si>
    <t>مشکلات تکاملی18ماهگی</t>
  </si>
  <si>
    <t>مشکلاتت تکاملی 9ماهگی</t>
  </si>
  <si>
    <t>مشکلات تکاملی در2ماهگی</t>
  </si>
  <si>
    <t>هفته24تا30 دیابت</t>
  </si>
  <si>
    <t>هفته6تا10 دیابت</t>
  </si>
  <si>
    <t>دیابت بارداری</t>
  </si>
  <si>
    <t>هفته بارداری</t>
  </si>
  <si>
    <t>سابقه سقط</t>
  </si>
  <si>
    <t xml:space="preserve"> هفته 36تا37  </t>
  </si>
  <si>
    <t xml:space="preserve"> هفته 31تا34</t>
  </si>
  <si>
    <t xml:space="preserve"> هفته 24تا30</t>
  </si>
  <si>
    <t>وجود یا عدم وجود فشار خون</t>
  </si>
  <si>
    <t>آیا مادر سوء تغذیه کم وزنی دارد؟ (شاخص توده بدنی کمتر از 18.5)</t>
  </si>
  <si>
    <t>نوع زایمان مادر</t>
  </si>
  <si>
    <t>سن مادر در زمان بارداری(سال)</t>
  </si>
  <si>
    <t>فرزند چندم</t>
  </si>
  <si>
    <t>BMI_18m_zscore</t>
  </si>
  <si>
    <t>wt_DeltaZ = Z48 − Z36</t>
  </si>
  <si>
    <t>wt_48m_zscore_Imputation</t>
  </si>
  <si>
    <t>BMI_DeltaZ = Z12 − Zbirth</t>
  </si>
  <si>
    <t>BMI_6m_zscore_Imputation</t>
  </si>
  <si>
    <t>BMI_DeltaZ = Z18− Z6</t>
  </si>
  <si>
    <t>BMI_12m_zscore_Imputation</t>
  </si>
  <si>
    <t>BMI_DeltaZ = Z24− Z12</t>
  </si>
  <si>
    <t>BMI_18m_zscore_Imputation</t>
  </si>
  <si>
    <t>BMI_DeltaZ = Z36− Z18</t>
  </si>
  <si>
    <t>BMI_24m_zscore</t>
  </si>
  <si>
    <t>BMI_DeltaZ = Z48− Z24</t>
  </si>
  <si>
    <t>BMIt_24m_zscore_Imputation</t>
  </si>
  <si>
    <t>BMI_36m_zscore</t>
  </si>
  <si>
    <t>BMI_36m_zscore_Imputation</t>
  </si>
  <si>
    <t>BMI 4سالگی</t>
  </si>
  <si>
    <t>wt_Category</t>
  </si>
  <si>
    <t>ht_Category</t>
  </si>
  <si>
    <t>BMI_Category</t>
  </si>
  <si>
    <t>BMI_DeltaZ = Z48 − Z36</t>
  </si>
  <si>
    <t>BMI_48m_zscore_Imputation</t>
  </si>
  <si>
    <t>wt_birth_zscore</t>
  </si>
  <si>
    <t>ht_birth_zscore</t>
  </si>
  <si>
    <t>BMI_birth_zscore</t>
  </si>
  <si>
    <t>سن</t>
  </si>
  <si>
    <t>قد</t>
  </si>
  <si>
    <t>وزن</t>
  </si>
  <si>
    <t>تولد</t>
  </si>
  <si>
    <t>6 ماهگی</t>
  </si>
  <si>
    <t>12 ماهگی</t>
  </si>
  <si>
    <t>18 ماهگی</t>
  </si>
  <si>
    <t>24 ماهگی</t>
  </si>
  <si>
    <t>BMI</t>
  </si>
  <si>
    <t>36ماهگی</t>
  </si>
  <si>
    <t>48ماهگی</t>
  </si>
  <si>
    <t>وزن/3سالگی</t>
  </si>
  <si>
    <t>ht_DeltaZ = Z36− Z24</t>
  </si>
  <si>
    <t>قد2به3سالگی</t>
  </si>
  <si>
    <t>قد3ب4سالگی</t>
  </si>
  <si>
    <t>4,6</t>
  </si>
  <si>
    <t>2,4</t>
  </si>
  <si>
    <t>2,4,6</t>
  </si>
  <si>
    <t>1,3</t>
  </si>
  <si>
    <t>4,5</t>
  </si>
  <si>
    <t>1,3,6</t>
  </si>
  <si>
    <t>3,5,7</t>
  </si>
  <si>
    <t>2,3,6</t>
  </si>
  <si>
    <t>1,4</t>
  </si>
  <si>
    <t>2,3</t>
  </si>
  <si>
    <t>1,6</t>
  </si>
  <si>
    <t>4,7</t>
  </si>
  <si>
    <t>2,7</t>
  </si>
  <si>
    <t>6,7</t>
  </si>
  <si>
    <t>3,5</t>
  </si>
  <si>
    <t>2,3,5</t>
  </si>
  <si>
    <t>wt_DeltaZ_Category</t>
  </si>
  <si>
    <t>ht_DeltaZ_Category</t>
  </si>
  <si>
    <t>wt_DeltaZ = Z36 − Z24</t>
  </si>
  <si>
    <t>BMI_DeltaZ = Z36− Z24</t>
  </si>
  <si>
    <t>BMI_DeltaZ_Category</t>
  </si>
  <si>
    <t>wt_DeltaZ = Z12 − Z0</t>
  </si>
  <si>
    <t>ht_DeltaZ = Z12 − Z0</t>
  </si>
  <si>
    <t>BMI_DeltaZ = Z12 − Z0</t>
  </si>
  <si>
    <t>Column1</t>
  </si>
  <si>
    <t>Column2</t>
  </si>
  <si>
    <t>BMI_DeltaZ = Z24− Z123</t>
  </si>
  <si>
    <t>BMI_DeltaZ_Category4</t>
  </si>
  <si>
    <t>wt_DeltaZ_Category5</t>
  </si>
  <si>
    <t>wt_DeltaZ = Z36 − Z186</t>
  </si>
  <si>
    <t>BMI_DeltaZ_Category7</t>
  </si>
  <si>
    <t>BMI_Category8</t>
  </si>
  <si>
    <t>ht_DeltaZ_Category9</t>
  </si>
  <si>
    <t>ht_DeltaZ = Z36− Z2410</t>
  </si>
  <si>
    <t>ht_Category11</t>
  </si>
  <si>
    <t>wt_DeltaZ_Category12</t>
  </si>
  <si>
    <t>wt_Category13</t>
  </si>
  <si>
    <t>BMI_DeltaZ = Z48 − Z3614</t>
  </si>
  <si>
    <t>BMI_Category15</t>
  </si>
  <si>
    <t>ht_DeltaZ = Z48 − Z3616</t>
  </si>
  <si>
    <t>ht_DeltaZ_Category17</t>
  </si>
  <si>
    <t>ht_Category18</t>
  </si>
  <si>
    <t>wt_DeltaZ = Z48 − Z3619</t>
  </si>
  <si>
    <t>wt_DeltaZ_Category20</t>
  </si>
  <si>
    <t>wt_Category21</t>
  </si>
  <si>
    <t>Column22</t>
  </si>
  <si>
    <t>Column23</t>
  </si>
  <si>
    <t>Column24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</si>
</sst>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#&quot;/&quot;##&quot;/&quot;##"/>
  </numFmts>
  <fonts count="8" x14ac:knownFonts="1">
    <font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10"/>
      <color rgb="FF222222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EFEFEF"/>
      </left>
      <right style="medium">
        <color rgb="FFEFEFEF"/>
      </right>
      <top style="medium">
        <color rgb="FFEFEFEF"/>
      </top>
      <bottom style="medium">
        <color rgb="FFEFEFEF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5" fillId="3" borderId="0" applyNumberFormat="0" applyBorder="0" applyAlignment="0" applyProtection="0"/>
  </cellStyleXfs>
  <cellXfs count="81">
    <xf numFmtId="0" fontId="0" fillId="0" borderId="0" xfId="0"/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 vertical="center" readingOrder="1"/>
    </xf>
    <xf numFmtId="49" fontId="4" fillId="0" borderId="0" xfId="0" applyNumberFormat="1" applyFont="1" applyAlignment="1" applyProtection="1">
      <alignment horizontal="center"/>
      <protection locked="0"/>
    </xf>
    <xf numFmtId="0" fontId="2" fillId="2" borderId="4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readingOrder="1"/>
    </xf>
    <xf numFmtId="0" fontId="1" fillId="0" borderId="0" xfId="0" applyFont="1"/>
    <xf numFmtId="0" fontId="6" fillId="0" borderId="0" xfId="0" applyFont="1"/>
    <xf numFmtId="0" fontId="0" fillId="5" borderId="0" xfId="0" applyFill="1" applyAlignment="1">
      <alignment horizontal="center" vertical="center"/>
    </xf>
    <xf numFmtId="2" fontId="5" fillId="6" borderId="0" xfId="1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5" fillId="11" borderId="0" xfId="1" applyNumberFormat="1" applyFill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2" fontId="5" fillId="15" borderId="0" xfId="1" applyNumberFormat="1" applyFill="1" applyAlignment="1">
      <alignment horizontal="center" vertical="center"/>
    </xf>
    <xf numFmtId="2" fontId="5" fillId="14" borderId="0" xfId="1" applyNumberFormat="1" applyFill="1" applyAlignment="1">
      <alignment horizontal="center" vertical="center"/>
    </xf>
    <xf numFmtId="2" fontId="5" fillId="5" borderId="0" xfId="1" applyNumberFormat="1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2" fontId="5" fillId="4" borderId="0" xfId="1" applyNumberFormat="1" applyFill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2" fontId="5" fillId="7" borderId="0" xfId="1" applyNumberFormat="1" applyFill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2" fontId="5" fillId="8" borderId="0" xfId="1" applyNumberFormat="1" applyFill="1" applyAlignment="1">
      <alignment horizontal="center" vertical="center"/>
    </xf>
    <xf numFmtId="2" fontId="5" fillId="9" borderId="0" xfId="1" applyNumberFormat="1" applyFill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2" fontId="5" fillId="10" borderId="0" xfId="1" applyNumberFormat="1" applyFill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2" fontId="5" fillId="12" borderId="0" xfId="1" applyNumberFormat="1" applyFill="1" applyAlignment="1">
      <alignment horizontal="center" vertical="center"/>
    </xf>
    <xf numFmtId="2" fontId="5" fillId="13" borderId="0" xfId="1" applyNumberFormat="1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12" borderId="0" xfId="0" applyFill="1"/>
    <xf numFmtId="2" fontId="5" fillId="16" borderId="0" xfId="1" applyNumberFormat="1" applyFill="1" applyAlignment="1">
      <alignment horizontal="center" vertical="center"/>
    </xf>
    <xf numFmtId="2" fontId="5" fillId="17" borderId="0" xfId="1" applyNumberFormat="1" applyFill="1" applyAlignment="1">
      <alignment horizontal="center" vertical="center"/>
    </xf>
    <xf numFmtId="0" fontId="7" fillId="0" borderId="0" xfId="0" applyFont="1" applyAlignment="1">
      <alignment horizontal="left" vertical="center" wrapText="1" readingOrder="2"/>
    </xf>
    <xf numFmtId="0" fontId="0" fillId="0" borderId="0" xfId="0" applyAlignment="1">
      <alignment horizontal="left" vertical="center" wrapText="1" readingOrder="2"/>
    </xf>
    <xf numFmtId="0" fontId="0" fillId="0" borderId="7" xfId="0" applyBorder="1" applyAlignment="1">
      <alignment horizontal="center" vertical="center"/>
    </xf>
    <xf numFmtId="0" fontId="2" fillId="2" borderId="0" xfId="0" applyFont="1" applyFill="1" applyAlignment="1">
      <alignment horizontal="center" vertical="top" wrapText="1"/>
    </xf>
    <xf numFmtId="0" fontId="2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2" fillId="0" borderId="0" xfId="0" applyFont="1" applyAlignment="1">
      <alignment horizontal="center" vertical="top" wrapText="1"/>
    </xf>
    <xf numFmtId="0" fontId="1" fillId="0" borderId="4" xfId="0" applyFont="1" applyBorder="1" applyAlignment="1">
      <alignment horizontal="center"/>
    </xf>
    <xf numFmtId="0" fontId="0" fillId="18" borderId="0" xfId="0" applyFill="1"/>
    <xf numFmtId="0" fontId="0" fillId="18" borderId="0" xfId="0" applyFill="1" applyAlignment="1">
      <alignment horizontal="center"/>
    </xf>
    <xf numFmtId="0" fontId="3" fillId="18" borderId="0" xfId="0" applyFont="1" applyFill="1" applyAlignment="1">
      <alignment horizontal="center"/>
    </xf>
    <xf numFmtId="0" fontId="1" fillId="18" borderId="0" xfId="0" applyFont="1" applyFill="1" applyAlignment="1">
      <alignment horizontal="center"/>
    </xf>
    <xf numFmtId="0" fontId="0" fillId="18" borderId="0" xfId="0" applyFill="1" applyAlignment="1">
      <alignment horizontal="center" vertical="center"/>
    </xf>
    <xf numFmtId="0" fontId="0" fillId="18" borderId="0" xfId="0" applyFill="1" applyAlignment="1">
      <alignment horizontal="center" vertical="top"/>
    </xf>
    <xf numFmtId="0" fontId="0" fillId="18" borderId="0" xfId="0" applyFill="1" applyAlignment="1">
      <alignment horizontal="center" vertical="center" wrapText="1"/>
    </xf>
    <xf numFmtId="2" fontId="5" fillId="19" borderId="0" xfId="1" applyNumberFormat="1" applyFill="1" applyAlignment="1">
      <alignment horizontal="center" vertical="center"/>
    </xf>
    <xf numFmtId="0" fontId="0" fillId="19" borderId="0" xfId="0" applyFill="1" applyAlignment="1">
      <alignment horizontal="center"/>
    </xf>
    <xf numFmtId="0" fontId="0" fillId="19" borderId="0" xfId="0" applyFill="1" applyAlignment="1">
      <alignment horizontal="center" vertical="center" wrapText="1"/>
    </xf>
    <xf numFmtId="0" fontId="0" fillId="19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2" fontId="5" fillId="0" borderId="0" xfId="1" applyNumberFormat="1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2" borderId="0" xfId="0" applyFill="1" applyAlignment="1">
      <alignment horizontal="center" vertical="center"/>
    </xf>
  </cellXfs>
  <cellStyles count="2">
    <cellStyle name="Bad" xfId="1" builtinId="27"/>
    <cellStyle name="Normal" xfId="0" builtinId="0"/>
  </cellStyles>
  <dxfs count="319"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CCCC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146C2E-E252-4C38-BE28-6CD0CD0C05DE}" name="Table2" displayName="Table2" ref="A1:ED511" totalsRowShown="0" headerRowDxfId="0" dataDxfId="1">
  <autoFilter ref="A1:ED511" xr:uid="{C2146C2E-E252-4C38-BE28-6CD0CD0C05DE}"/>
  <tableColumns count="134">
    <tableColumn id="1" xr3:uid="{E7C018E9-2244-4E1E-93BB-61FB4618CA69}" name="Column1"/>
    <tableColumn id="2" xr3:uid="{FAEDBE7F-75CC-4B34-80B4-DC71E5A469A5}" name="Column2"/>
    <tableColumn id="3" xr3:uid="{99CD0DF1-A1E8-4BC8-B9D1-B7B0528B6535}" name="تاریخ تولد" dataDxfId="133"/>
    <tableColumn id="4" xr3:uid="{041B53A5-A25B-4648-AE02-204B2428264D}" name="کد ملی" dataDxfId="132"/>
    <tableColumn id="5" xr3:uid="{380FAC42-E315-4921-8B5C-83D0957CFA59}" name="نوع سوتغذیه" dataDxfId="131"/>
    <tableColumn id="6" xr3:uid="{173CA495-D119-4DD2-B721-FED61B97068D}" name="جنس" dataDxfId="130"/>
    <tableColumn id="7" xr3:uid="{D50BC670-DCEE-40D5-941D-E374CC4190AD}" name="سن کودک(ماه)" dataDxfId="129"/>
    <tableColumn id="8" xr3:uid="{7F1A210B-1C15-44AD-90A1-0A5306461ABA}" name="BMI_birth_zscore" dataDxfId="128"/>
    <tableColumn id="9" xr3:uid="{D4FBD537-9103-4A07-A693-A262794ACAC2}" name="قد زمان تولد(cm)" dataDxfId="127"/>
    <tableColumn id="10" xr3:uid="{5E5DAEED-96BE-446B-9252-3F95563405A6}" name="ht_birth_zscore" dataDxfId="126"/>
    <tableColumn id="11" xr3:uid="{40634051-9F8B-464D-AB6C-E2C56D71DFFF}" name="وزن تولد(g)" dataDxfId="125"/>
    <tableColumn id="12" xr3:uid="{E5E371B7-EC28-4D52-9C6D-2370418E7DEB}" name="wt_birth_zscore" dataDxfId="124"/>
    <tableColumn id="13" xr3:uid="{1B59DE11-8D0F-4661-8044-95345436A747}" name="BMI_6m_zscore" dataDxfId="123"/>
    <tableColumn id="14" xr3:uid="{6621EFD3-4E68-41AD-A9C0-9BB9EAB88F6E}" name="BMI_DeltaZ = Z12 − Zbirth" dataDxfId="122"/>
    <tableColumn id="15" xr3:uid="{6276AC2D-C770-46D1-B6DE-20E7099BD8E5}" name="BMI_6m_zscore_Imputation" dataDxfId="121"/>
    <tableColumn id="16" xr3:uid="{51834D82-D9C0-43D3-B25A-200BD4B16E05}" name="قد 6ماهگی(cm)" dataDxfId="120"/>
    <tableColumn id="17" xr3:uid="{198945F1-851D-4B09-B10F-697E2E1AF60D}" name="ht_6m_zscore" dataDxfId="119"/>
    <tableColumn id="18" xr3:uid="{A7BFDD19-CFA4-4EF7-AD66-8D05E0C9B4D6}" name="ht_DeltaZ = Z12 − Zbirth" dataDxfId="118"/>
    <tableColumn id="19" xr3:uid="{1A164F42-8C10-4248-BBDA-A866FC9885BB}" name="ht_6m_zscore_Imputation" dataDxfId="117"/>
    <tableColumn id="20" xr3:uid="{C4992B86-5CA8-4C8F-9C16-07B635BA6C6F}" name="وزن6ماهگی(g)" dataDxfId="116"/>
    <tableColumn id="21" xr3:uid="{D86B7995-F85A-4E8B-AE82-8CA78DFB822C}" name="wt_6m_zscore" dataDxfId="115"/>
    <tableColumn id="22" xr3:uid="{E5A32A9F-B359-48B9-9AA2-CB9C43EC6574}" name="wt_DeltaZ = Z12 − Zbirth" dataDxfId="114"/>
    <tableColumn id="23" xr3:uid="{9EEEF036-3CAD-471E-8C3A-D2AD934038A8}" name="wt_6m_zscore_Imputation" dataDxfId="113"/>
    <tableColumn id="24" xr3:uid="{888D8618-5365-4B18-8185-2DF9DC6A7EF4}" name="BMI_12m_zscore" dataDxfId="112"/>
    <tableColumn id="25" xr3:uid="{E5DA9B31-69A4-4C05-8F5F-585C1B05C20A}" name="BMI_DeltaZ = Z12 − Z0" dataDxfId="111"/>
    <tableColumn id="26" xr3:uid="{E5450C9C-686E-44E4-8F1F-E5D47B7E1190}" name="BMI_DeltaZ_Category" dataDxfId="110"/>
    <tableColumn id="27" xr3:uid="{55440434-25E8-483C-8698-D3D7CEC983A6}" name="BMI_DeltaZ = Z18− Z6" dataDxfId="109"/>
    <tableColumn id="28" xr3:uid="{1C5BD419-9E2C-4660-A88A-4EEA00239717}" name="BMI_12m_zscore_Imputation" dataDxfId="108"/>
    <tableColumn id="29" xr3:uid="{C14DCA51-4969-425F-82FD-62822B9A7DE0}" name="قد12ماهگی(cm)" dataDxfId="107"/>
    <tableColumn id="30" xr3:uid="{39F4F31F-F8AB-4A40-AE17-D7EC5E1CC03B}" name="ht_1y_zscore" dataDxfId="106"/>
    <tableColumn id="31" xr3:uid="{4FAEC5B2-7B12-423D-843A-15FD3841B753}" name="ht_DeltaZ = Z12 − Z0" dataDxfId="105"/>
    <tableColumn id="32" xr3:uid="{D9E1D0C5-0C7B-472A-A7E6-FCC8E4AE2C57}" name="ht_DeltaZ_Category" dataDxfId="104"/>
    <tableColumn id="33" xr3:uid="{2BE15B9E-FF51-4F66-BE6B-59D715F0657C}" name="ht_DeltaZ = Z18 − Z6" dataDxfId="103"/>
    <tableColumn id="34" xr3:uid="{968E3FB3-20C9-41F1-93BC-84D41AB61B33}" name="ht_12m_zscore_Imputation" dataDxfId="102"/>
    <tableColumn id="35" xr3:uid="{7946F6E8-3895-4EF9-AA87-B4C17C3B3ACF}" name="وزن12ماهگی(g)" dataDxfId="101"/>
    <tableColumn id="36" xr3:uid="{E94D3E1C-399C-401A-89E0-FFC55FC0A4C7}" name="wt_12m_zscore" dataDxfId="100"/>
    <tableColumn id="37" xr3:uid="{4B496831-B286-42AF-9766-406AEAEFE4B7}" name="wt_DeltaZ = Z12 − Z0" dataDxfId="99"/>
    <tableColumn id="38" xr3:uid="{90CF9BEC-F883-4700-A1AB-E599DAF3088E}" name="wt_DeltaZ_Category" dataDxfId="98"/>
    <tableColumn id="39" xr3:uid="{ED115E5E-A7CB-4FB7-88CA-F976C5BE639E}" name="wt_DeltaZ = Z18 − Z6" dataDxfId="97"/>
    <tableColumn id="40" xr3:uid="{D223E5CB-3A76-4FF1-9206-1202BAACF37B}" name="wt_12m_zscore_Imputation" dataDxfId="96"/>
    <tableColumn id="41" xr3:uid="{291F96F4-0C49-4E86-A0BF-7202B01133B6}" name="BMI_18m_zscore" dataDxfId="95"/>
    <tableColumn id="42" xr3:uid="{3802430E-812B-4493-A042-B516338ED6BB}" name="BMI_DeltaZ = Z24− Z12" dataDxfId="94"/>
    <tableColumn id="43" xr3:uid="{73957063-600A-44D8-A8FD-F65DF67DB3F2}" name="BMI_18m_zscore_Imputation" dataDxfId="93"/>
    <tableColumn id="44" xr3:uid="{5ADF5B3B-72C4-4ED7-96AF-D28728EE2D3E}" name="قد18ماهگی(cm)" dataDxfId="92"/>
    <tableColumn id="45" xr3:uid="{5DE7EE23-676C-413E-837A-235B0BEA0767}" name="ht_18m_zscore" dataDxfId="91"/>
    <tableColumn id="46" xr3:uid="{68B4AF39-2611-4A31-9C76-108FC6816A4F}" name="ht_DeltaZ = Z24 − Z12" dataDxfId="90"/>
    <tableColumn id="47" xr3:uid="{7E594E68-7057-4E69-B5DF-A13FD8B32110}" name="ht_18m_zscore_Imputation" dataDxfId="89"/>
    <tableColumn id="48" xr3:uid="{503BAD21-70A3-457A-8B7F-4BFD195385E7}" name="وزن18ماهگی(g)" dataDxfId="88"/>
    <tableColumn id="49" xr3:uid="{A77B10FA-8969-41E8-97F7-A98770D416D1}" name="wt_18m_zscore" dataDxfId="87"/>
    <tableColumn id="50" xr3:uid="{8F582B89-E3BF-4B21-8214-CBBE60A66CE2}" name="wt_DeltaZ = Z24 − Z12" dataDxfId="86"/>
    <tableColumn id="51" xr3:uid="{3B9D411B-982F-4CB4-91FE-5AF1E1AEA463}" name="wt_18m_zscore_Imputation" dataDxfId="85"/>
    <tableColumn id="52" xr3:uid="{AC57D39E-6E5D-4058-9760-BB846FA07E61}" name="BMI_24m_zscore" dataDxfId="84"/>
    <tableColumn id="53" xr3:uid="{3F36D111-361B-40B4-A820-CE6E04C27046}" name="BMI_DeltaZ = Z24− Z123" dataDxfId="83"/>
    <tableColumn id="54" xr3:uid="{D5899482-677A-4847-87D4-A253BD7B04A2}" name="BMI_DeltaZ_Category4" dataDxfId="82"/>
    <tableColumn id="55" xr3:uid="{6869BE5B-1D77-4D36-959B-2749ECEDAE39}" name="BMI_DeltaZ = Z36− Z18" dataDxfId="81"/>
    <tableColumn id="56" xr3:uid="{A0DACD05-C782-4D55-8A78-E5F7EF9EFE8B}" name="BMIt_24m_zscore_Imputation" dataDxfId="80">
      <calculatedColumnFormula>IF(NOT(ISBLANK(AZ:AZ)),AZ:AZ,IF(AND(NOT(ISBLANK(BC:BC)),NOT(ISBLANK(AQ:AQ))),AQ:AQ+BC:BC,""))</calculatedColumnFormula>
    </tableColumn>
    <tableColumn id="57" xr3:uid="{273663D6-9EDB-43AC-9EC7-08A19FB4D1DF}" name="BMI_Category" dataDxfId="79"/>
    <tableColumn id="58" xr3:uid="{A9D34CB4-3D94-411A-A126-F8BA581F9E27}" name="قد2سالگی(cm)" dataDxfId="78"/>
    <tableColumn id="59" xr3:uid="{C9891380-84FC-42B2-B9C3-4B3B4B0DC54B}" name="ht_24m_zscore" dataDxfId="77"/>
    <tableColumn id="60" xr3:uid="{B6CFF542-7702-4137-879B-22211039EF98}" name="ht_DeltaZ = Z36 − Z18" dataDxfId="76"/>
    <tableColumn id="61" xr3:uid="{ABF4FBD7-F273-4AC2-8604-665205135E3C}" name="ht_24m_zscore_Imputation" dataDxfId="75"/>
    <tableColumn id="62" xr3:uid="{FF329775-195A-4014-B146-DFBF19C57F5C}" name="ht_Category" dataDxfId="74"/>
    <tableColumn id="63" xr3:uid="{D77802E9-C661-46E3-A080-73BF163FFA9C}" name="وزن2سالگی(g)" dataDxfId="73"/>
    <tableColumn id="64" xr3:uid="{364A3CD2-5138-4064-BEEA-E4B7A4FE2C1F}" name="wt_24m_zscore" dataDxfId="72"/>
    <tableColumn id="65" xr3:uid="{A796CA0C-98F7-40BC-91AC-781C1014164C}" name="wt_DeltaZ = Z36 − Z18" dataDxfId="71"/>
    <tableColumn id="66" xr3:uid="{3B031063-EEF7-4058-A389-BB2C57670087}" name="wt_DeltaZ_Category5" dataDxfId="70"/>
    <tableColumn id="67" xr3:uid="{02C95671-1DE5-4BA3-A00B-5387647C4F84}" name="wt_DeltaZ = Z36 − Z186" dataDxfId="69"/>
    <tableColumn id="68" xr3:uid="{2D1276DB-01D0-4830-980C-082F84618640}" name="wt_24m_zscore_Imputation" dataDxfId="68"/>
    <tableColumn id="69" xr3:uid="{AD11B689-0E72-40D2-8A6A-349021AB88C6}" name="wt_Category" dataDxfId="67"/>
    <tableColumn id="70" xr3:uid="{023D2F4E-428E-46A1-B590-FAC783D801C1}" name="BMI_36m_zscore" dataDxfId="66"/>
    <tableColumn id="71" xr3:uid="{C606AD47-D47C-41ED-885F-654EE19DAC15}" name="BMI_DeltaZ = Z36− Z24" dataDxfId="65"/>
    <tableColumn id="72" xr3:uid="{0402B179-C2B0-427C-A1D8-DC7756E59074}" name="BMI_DeltaZ_Category7" dataDxfId="64"/>
    <tableColumn id="73" xr3:uid="{3AB62C7D-A2D6-4FC8-B739-19AA0CB7F9B6}" name="BMI_DeltaZ = Z48− Z24" dataDxfId="63"/>
    <tableColumn id="74" xr3:uid="{6C45DA4B-1599-47D5-9017-11591D948229}" name="BMI_36m_zscore_Imputation" dataDxfId="62"/>
    <tableColumn id="75" xr3:uid="{C9B43494-F9B6-4BBF-944D-8DF7060FBBBC}" name="BMI_Category8" dataDxfId="61"/>
    <tableColumn id="76" xr3:uid="{4EC09F25-38BC-4CF0-B52C-F129CDE2E74F}" name="قد3سالگی(cm)" dataDxfId="60"/>
    <tableColumn id="77" xr3:uid="{ACDEF87B-2682-44FC-A2F4-3C38A79A47E1}" name="ht_36m_zscore" dataDxfId="59"/>
    <tableColumn id="78" xr3:uid="{1F445C3B-B4FD-4CCD-8F01-8C55E2DA9D4A}" name="ht_DeltaZ = Z36− Z24" dataDxfId="58"/>
    <tableColumn id="79" xr3:uid="{638E95D0-5973-45F7-A256-3EDA5841684F}" name="ht_DeltaZ_Category9" dataDxfId="57"/>
    <tableColumn id="80" xr3:uid="{9541403F-42B1-4E61-95C1-4DE94F56F6CB}" name="ht_DeltaZ = Z48 − Z24" dataDxfId="56"/>
    <tableColumn id="81" xr3:uid="{A24D30C6-0D45-4A7E-9050-3D963877F75A}" name="ht_36m_zscore_Imputation" dataDxfId="55"/>
    <tableColumn id="82" xr3:uid="{2ED9F1E4-0655-451D-825E-F27B025CA993}" name="ht_DeltaZ = Z36− Z2410" dataDxfId="54"/>
    <tableColumn id="83" xr3:uid="{4BA4D205-DB14-49F8-93FD-CC00EED2B8FD}" name="ht_Category11" dataDxfId="53"/>
    <tableColumn id="84" xr3:uid="{81DF5438-92E1-48AE-94DE-57DC742DA9F1}" name="وزن3سالگی(g)" dataDxfId="52"/>
    <tableColumn id="85" xr3:uid="{3B25B7D2-4719-4F34-9AF3-2768EF873B8A}" name="wt_3y_zscore" dataDxfId="51"/>
    <tableColumn id="86" xr3:uid="{5F302940-B613-4679-A004-8E2A9C0CAEAB}" name="wt_DeltaZ = Z36 − Z24" dataDxfId="50"/>
    <tableColumn id="87" xr3:uid="{C895B14D-D9FF-4B0A-9817-BAA04C8D88CC}" name="wt_DeltaZ_Category12" dataDxfId="49"/>
    <tableColumn id="88" xr3:uid="{E48BF5F5-C0C6-4197-89CF-34DD45347A5B}" name="wt_DeltaZ = Z48 − Z24" dataDxfId="48"/>
    <tableColumn id="89" xr3:uid="{48FDD470-EA9B-4B22-BFD6-D2D91E680FC8}" name="wt_36m_zscore_Imputation" dataDxfId="47"/>
    <tableColumn id="90" xr3:uid="{165C646F-B3C2-4987-A740-19BB83E88E0F}" name="wt_Category13" dataDxfId="46"/>
    <tableColumn id="91" xr3:uid="{6C452918-715D-4959-AEB0-A954BFCA3721}" name="BMI_4y_zscore" dataDxfId="45"/>
    <tableColumn id="92" xr3:uid="{1CCB209F-1FF6-417E-A8EE-6A7771BF400A}" name="BMI_DeltaZ = Z48 − Z36" dataDxfId="44"/>
    <tableColumn id="93" xr3:uid="{6FFE6B7D-0C6F-429F-9030-7C345D579053}" name="BMI_DeltaZ = Z48 − Z3614" dataDxfId="43"/>
    <tableColumn id="94" xr3:uid="{395D0D65-9BC9-4FD0-AA35-FB91F5DFFFEB}" name="BMI_48m_zscore_Imputation" dataDxfId="42"/>
    <tableColumn id="95" xr3:uid="{D73A393C-6CE4-44F5-AA1C-F464805DB440}" name="BMI_Category15" dataDxfId="41"/>
    <tableColumn id="96" xr3:uid="{3E6BA5D3-C3D0-4C34-AE37-F630A39F9F66}" name="قد4سالگی(cm)" dataDxfId="40"/>
    <tableColumn id="97" xr3:uid="{EF1EC304-A86B-40CE-A87D-E0DB30D1014B}" name="ht_48m_zscore" dataDxfId="39"/>
    <tableColumn id="98" xr3:uid="{52314BCE-B395-4985-8D3C-8B795F2B6A5C}" name="ht_DeltaZ = Z48 − Z36" dataDxfId="38"/>
    <tableColumn id="99" xr3:uid="{34B86687-F1AD-4486-BB0E-A7222E3ED86F}" name="ht_DeltaZ = Z48 − Z3616" dataDxfId="37"/>
    <tableColumn id="100" xr3:uid="{7CB38B7B-4782-4814-97F4-6B0700BE9E24}" name="ht_DeltaZ_Category17" dataDxfId="36"/>
    <tableColumn id="101" xr3:uid="{B2A66233-D08E-4A73-AC46-CCDA40D4D9C4}" name="ht_48m_zscore_Imputation" dataDxfId="35"/>
    <tableColumn id="102" xr3:uid="{12FD42F6-1E52-46C4-9F7A-D026A1D29B8A}" name="ht_Category18" dataDxfId="34"/>
    <tableColumn id="103" xr3:uid="{E864BE42-01DA-46EF-BE88-6E9F8BEF9738}" name="وزن4سالگی(g)" dataDxfId="33"/>
    <tableColumn id="104" xr3:uid="{D032EEC7-971E-4BAC-B72C-04A0C2A41A54}" name="wt_4y_zscore" dataDxfId="32"/>
    <tableColumn id="105" xr3:uid="{A374E362-82B4-41BE-90A6-7AFD4BF9C17C}" name="wt_DeltaZ = Z48 − Z36" dataDxfId="31"/>
    <tableColumn id="106" xr3:uid="{3DA4FC2F-5B2E-4D01-A297-5B1A7A06874D}" name="wt_DeltaZ = Z48 − Z3619" dataDxfId="30"/>
    <tableColumn id="107" xr3:uid="{1BB05DE1-A094-4017-B961-D7957A37EBA9}" name="wt_DeltaZ_Category20" dataDxfId="29"/>
    <tableColumn id="108" xr3:uid="{EE0ECD43-8395-450C-8632-2AFCEAE37CDD}" name="wt_48m_zscore_Imputation" dataDxfId="28"/>
    <tableColumn id="109" xr3:uid="{60179B0D-11EC-49E6-99C2-9438A8B60A46}" name="wt_Category21" dataDxfId="27"/>
    <tableColumn id="110" xr3:uid="{B9E462A4-74F2-404C-A676-240F4DEA66BB}" name="فرزند چندم" dataDxfId="26"/>
    <tableColumn id="111" xr3:uid="{A7E337BF-F47F-4453-99B6-BF90672BC57F}" name="سن مادر در زمان بارداری(سال)" dataDxfId="25"/>
    <tableColumn id="112" xr3:uid="{9D6690CA-82F3-4390-8CA5-993D98FDB476}" name="نوع زایمان مادر" dataDxfId="24"/>
    <tableColumn id="113" xr3:uid="{32DC9983-B7C7-4F09-A9CB-E979B517DEF3}" name="آیا مادر سوء تغذیه کم وزنی دارد؟ (شاخص توده بدنی کمتر از 18.5)" dataDxfId="23"/>
    <tableColumn id="114" xr3:uid="{60B677D6-C919-407E-A3E8-4B0705E89EF6}" name="وجود یا عدم وجود فشار خون" dataDxfId="22"/>
    <tableColumn id="115" xr3:uid="{EC9BF19C-939B-4A50-93C0-FC592E86A58D}" name=" هفته 24تا30" dataDxfId="21"/>
    <tableColumn id="116" xr3:uid="{1C3C54E7-4131-4AD8-84E0-35934F462357}" name="Column22" dataDxfId="20"/>
    <tableColumn id="117" xr3:uid="{F6849CE0-DF04-4615-834E-456FD7BA495C}" name=" هفته 31تا34" dataDxfId="19"/>
    <tableColumn id="118" xr3:uid="{5E83182B-BCD1-40D4-9C39-9A83A73F8BDA}" name="Column23" dataDxfId="18"/>
    <tableColumn id="119" xr3:uid="{C917EE14-D6F4-43BC-9980-44810EA73F2C}" name=" هفته 36تا37  " dataDxfId="17"/>
    <tableColumn id="120" xr3:uid="{4596266F-599E-4BA6-970B-0AA14D2DDE3D}" name="Column24" dataDxfId="16"/>
    <tableColumn id="121" xr3:uid="{49C49480-FDB1-4808-B71D-DE03A9594EF6}" name="سابقه سقط" dataDxfId="15"/>
    <tableColumn id="122" xr3:uid="{592CA56B-4E9B-4B10-B6DE-6C5720C39D33}" name="هفته بارداری" dataDxfId="14"/>
    <tableColumn id="123" xr3:uid="{F6DD930D-F1F1-4BBC-9763-E59FF8AF7959}" name="دیابت بارداری" dataDxfId="13"/>
    <tableColumn id="124" xr3:uid="{20112C3C-68E7-487B-A063-201870073F8E}" name="هفته6تا10 دیابت" dataDxfId="12"/>
    <tableColumn id="125" xr3:uid="{308EA896-D396-43AA-B011-73D7E04277B6}" name="هفته24تا30 دیابت" dataDxfId="11"/>
    <tableColumn id="126" xr3:uid="{6842CB25-7D2C-4123-B104-73BC1D07843E}" name="مشکلات تکاملی در2ماهگی" dataDxfId="10"/>
    <tableColumn id="127" xr3:uid="{B87910A3-5926-49DA-88C1-97A004B4FE0D}" name="مشکلاتت تکاملی 9ماهگی" dataDxfId="9"/>
    <tableColumn id="128" xr3:uid="{43197E74-8685-4736-B6EC-B033CBFCE377}" name="مشکلات تکاملی18ماهگی" dataDxfId="8"/>
    <tableColumn id="129" xr3:uid="{1509164D-EC98-43F0-A128-141B5820B527}" name="مشکل تغذیه با شیر مادر در 3-5 روزگی" dataDxfId="7"/>
    <tableColumn id="130" xr3:uid="{C308162C-A39C-4F78-941C-A6797E9116E6}" name="اندازه دور سر در بدو تولد(cm)" dataDxfId="6"/>
    <tableColumn id="131" xr3:uid="{CA9FF8CD-A0D9-4294-B399-3BF96B85EC8E}" name="اندازه دور سر (14-15 روزگی)" dataDxfId="5"/>
    <tableColumn id="132" xr3:uid="{8D813C9E-FC4E-4415-A00A-F4953040C96F}" name="دور سر در یک سالگی(cm)" dataDxfId="4"/>
    <tableColumn id="133" xr3:uid="{CC05CCDB-EB12-43FE-A0CC-1277075D5711}" name="ارزیابی از نظر دور سر(14-15روزگی)" dataDxfId="3"/>
    <tableColumn id="134" xr3:uid="{A2DCDC57-781C-427E-A07A-84633960A37F}" name="رزیابی از نظر دور سر(یک سالگی)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D511"/>
  <sheetViews>
    <sheetView tabSelected="1" topLeftCell="B1" zoomScale="78" zoomScaleNormal="78" workbookViewId="0">
      <pane ySplit="1" topLeftCell="A453" activePane="bottomLeft" state="frozen"/>
      <selection activeCell="AC1" sqref="AC1"/>
      <selection pane="bottomLeft" activeCell="K519" sqref="K519"/>
    </sheetView>
  </sheetViews>
  <sheetFormatPr defaultRowHeight="15" x14ac:dyDescent="0.25"/>
  <cols>
    <col min="1" max="1" width="10.5703125" hidden="1" customWidth="1"/>
    <col min="2" max="2" width="11" customWidth="1"/>
    <col min="3" max="3" width="12.85546875" style="2" customWidth="1"/>
    <col min="4" max="4" width="18.140625" style="2" customWidth="1"/>
    <col min="5" max="5" width="12.28515625" style="5" customWidth="1"/>
    <col min="6" max="6" width="10.85546875" style="2" customWidth="1"/>
    <col min="7" max="7" width="13.7109375" style="2" customWidth="1"/>
    <col min="8" max="8" width="18.42578125" style="2" customWidth="1"/>
    <col min="9" max="9" width="22.85546875" style="2" customWidth="1"/>
    <col min="10" max="10" width="16.85546875" style="2" customWidth="1"/>
    <col min="11" max="11" width="30.28515625" style="5" customWidth="1"/>
    <col min="12" max="12" width="23.42578125" style="2" customWidth="1"/>
    <col min="13" max="15" width="27.7109375" style="2" customWidth="1"/>
    <col min="16" max="16" width="22.85546875" style="2" customWidth="1"/>
    <col min="17" max="17" width="19.140625" style="2" customWidth="1"/>
    <col min="18" max="19" width="29.140625" style="2" customWidth="1"/>
    <col min="20" max="20" width="30.28515625" style="1" customWidth="1"/>
    <col min="21" max="21" width="19" style="2" customWidth="1"/>
    <col min="22" max="22" width="23.42578125" style="2" customWidth="1"/>
    <col min="23" max="23" width="27" style="2" customWidth="1"/>
    <col min="24" max="24" width="24.42578125" style="2" customWidth="1"/>
    <col min="25" max="26" width="24.42578125" style="76" customWidth="1"/>
    <col min="27" max="27" width="24.42578125" style="2" customWidth="1"/>
    <col min="28" max="28" width="29.5703125" style="2" customWidth="1"/>
    <col min="29" max="29" width="30.28515625" style="2" customWidth="1"/>
    <col min="30" max="30" width="26.140625" style="2" customWidth="1"/>
    <col min="31" max="32" width="26.140625" style="79" customWidth="1"/>
    <col min="33" max="33" width="26.140625" style="2" customWidth="1"/>
    <col min="34" max="34" width="26.5703125" style="2" customWidth="1"/>
    <col min="35" max="35" width="30" style="2" customWidth="1"/>
    <col min="36" max="36" width="16.42578125" style="2" customWidth="1"/>
    <col min="37" max="37" width="25.42578125" style="76" customWidth="1"/>
    <col min="38" max="38" width="24.5703125" style="76" customWidth="1"/>
    <col min="39" max="39" width="22" style="2" customWidth="1"/>
    <col min="40" max="40" width="29.5703125" style="2" customWidth="1"/>
    <col min="41" max="41" width="20.42578125" style="2" customWidth="1"/>
    <col min="42" max="42" width="22.28515625" style="2" customWidth="1"/>
    <col min="43" max="43" width="28.140625" style="2" customWidth="1"/>
    <col min="44" max="44" width="30.28515625" style="2" customWidth="1"/>
    <col min="45" max="46" width="22.7109375" style="2" customWidth="1"/>
    <col min="47" max="47" width="27.42578125" style="2" customWidth="1"/>
    <col min="48" max="48" width="30" style="2" customWidth="1"/>
    <col min="49" max="49" width="19.7109375" style="2" customWidth="1"/>
    <col min="50" max="50" width="21.42578125" style="2" customWidth="1"/>
    <col min="51" max="51" width="26.85546875" style="2" customWidth="1"/>
    <col min="52" max="52" width="18.28515625" style="2" customWidth="1"/>
    <col min="53" max="53" width="24.28515625" style="78" customWidth="1"/>
    <col min="54" max="54" width="22.7109375" style="78" customWidth="1"/>
    <col min="55" max="55" width="22.7109375" style="2" customWidth="1"/>
    <col min="56" max="56" width="29" style="2" customWidth="1"/>
    <col min="57" max="57" width="27.42578125" style="67" customWidth="1"/>
    <col min="58" max="58" width="30.28515625" style="2" customWidth="1"/>
    <col min="59" max="59" width="19.42578125" style="2" customWidth="1"/>
    <col min="60" max="60" width="21" style="2" customWidth="1"/>
    <col min="61" max="61" width="31.7109375" style="2" customWidth="1"/>
    <col min="62" max="62" width="31.7109375" style="67" customWidth="1"/>
    <col min="63" max="63" width="35.42578125" style="2" customWidth="1"/>
    <col min="64" max="64" width="16.42578125" style="2" customWidth="1"/>
    <col min="65" max="66" width="22.5703125" style="77" customWidth="1"/>
    <col min="67" max="67" width="22.5703125" style="2" customWidth="1"/>
    <col min="68" max="68" width="29.7109375" style="2" customWidth="1"/>
    <col min="69" max="69" width="29.7109375" style="67" customWidth="1"/>
    <col min="70" max="70" width="17.7109375" style="5" customWidth="1"/>
    <col min="71" max="71" width="22.85546875" style="75" customWidth="1"/>
    <col min="72" max="72" width="24.140625" style="75" customWidth="1"/>
    <col min="73" max="73" width="30.7109375" style="5" customWidth="1"/>
    <col min="74" max="74" width="29" style="5" customWidth="1"/>
    <col min="75" max="75" width="29" style="69" customWidth="1"/>
    <col min="76" max="76" width="30.28515625" style="2" customWidth="1"/>
    <col min="77" max="77" width="17.42578125" style="5" customWidth="1"/>
    <col min="78" max="78" width="22.85546875" style="74" customWidth="1"/>
    <col min="79" max="79" width="21.5703125" style="74" customWidth="1"/>
    <col min="80" max="80" width="27.7109375" style="5" customWidth="1"/>
    <col min="81" max="81" width="26.5703125" style="5" customWidth="1"/>
    <col min="82" max="82" width="31.7109375" style="2" customWidth="1"/>
    <col min="83" max="83" width="26.28515625" style="69" customWidth="1"/>
    <col min="84" max="84" width="35.42578125" style="5" customWidth="1"/>
    <col min="85" max="85" width="17.140625" style="5" customWidth="1"/>
    <col min="86" max="87" width="22.85546875" style="72" customWidth="1"/>
    <col min="88" max="88" width="23.5703125" style="5" customWidth="1"/>
    <col min="89" max="89" width="31" style="5" customWidth="1"/>
    <col min="90" max="90" width="31" style="69" customWidth="1"/>
    <col min="91" max="91" width="17.85546875" style="5" customWidth="1"/>
    <col min="92" max="92" width="24.5703125" style="70" hidden="1" customWidth="1"/>
    <col min="93" max="93" width="24.85546875" style="5" customWidth="1"/>
    <col min="94" max="94" width="28.140625" style="5" customWidth="1"/>
    <col min="95" max="95" width="26.5703125" style="69" customWidth="1"/>
    <col min="96" max="96" width="30.28515625" style="5" customWidth="1"/>
    <col min="97" max="97" width="25.85546875" style="5" hidden="1" customWidth="1"/>
    <col min="98" max="98" width="25.85546875" style="5" customWidth="1"/>
    <col min="99" max="100" width="25.85546875" style="80" customWidth="1"/>
    <col min="101" max="101" width="26.5703125" style="5" customWidth="1"/>
    <col min="102" max="102" width="25.85546875" style="69" customWidth="1"/>
    <col min="103" max="103" width="35.42578125" style="5" customWidth="1"/>
    <col min="104" max="104" width="29.5703125" style="5" customWidth="1"/>
    <col min="105" max="105" width="24" style="5" customWidth="1"/>
    <col min="106" max="106" width="24" style="73" customWidth="1"/>
    <col min="107" max="107" width="22.5703125" style="73" customWidth="1"/>
    <col min="108" max="108" width="35.85546875" style="5" customWidth="1"/>
    <col min="109" max="109" width="35.85546875" style="69" customWidth="1"/>
    <col min="110" max="110" width="26.7109375" style="2" customWidth="1"/>
    <col min="111" max="111" width="27.42578125" style="2" customWidth="1"/>
    <col min="112" max="112" width="13.85546875" style="2" customWidth="1"/>
    <col min="113" max="113" width="48" style="2" customWidth="1"/>
    <col min="114" max="114" width="23.42578125" style="2" customWidth="1"/>
    <col min="115" max="115" width="16.28515625" style="2" customWidth="1"/>
    <col min="116" max="120" width="19.28515625" style="2" customWidth="1"/>
    <col min="121" max="121" width="19.7109375" style="2" customWidth="1"/>
    <col min="122" max="122" width="12.28515625" style="2" customWidth="1"/>
    <col min="123" max="123" width="14.5703125" style="2" customWidth="1"/>
    <col min="124" max="124" width="16" style="2" customWidth="1"/>
    <col min="125" max="125" width="17" style="2" customWidth="1"/>
    <col min="126" max="126" width="21.5703125" style="2" customWidth="1"/>
    <col min="127" max="127" width="20.5703125" style="2" customWidth="1"/>
    <col min="128" max="128" width="24.28515625" style="2" customWidth="1"/>
    <col min="129" max="129" width="29.140625" style="2" customWidth="1"/>
    <col min="130" max="131" width="33.7109375" style="2" customWidth="1"/>
    <col min="132" max="132" width="29" style="2" customWidth="1"/>
    <col min="133" max="133" width="27.42578125" style="2" customWidth="1"/>
    <col min="134" max="134" width="25.140625" style="2" customWidth="1"/>
  </cols>
  <sheetData>
    <row r="1" spans="1:134" s="5" customFormat="1" ht="24.6" customHeight="1" x14ac:dyDescent="0.25">
      <c r="A1" s="6" t="s">
        <v>551</v>
      </c>
      <c r="B1" s="6" t="s">
        <v>552</v>
      </c>
      <c r="C1" s="6" t="s">
        <v>10</v>
      </c>
      <c r="D1" s="6" t="s">
        <v>0</v>
      </c>
      <c r="E1" s="7" t="s">
        <v>11</v>
      </c>
      <c r="F1" s="6" t="s">
        <v>1</v>
      </c>
      <c r="G1" s="6" t="s">
        <v>2</v>
      </c>
      <c r="H1" s="27" t="s">
        <v>511</v>
      </c>
      <c r="I1" s="24" t="s">
        <v>3</v>
      </c>
      <c r="J1" s="27" t="s">
        <v>510</v>
      </c>
      <c r="K1" s="22" t="s">
        <v>85</v>
      </c>
      <c r="L1" s="28" t="s">
        <v>509</v>
      </c>
      <c r="M1" s="48" t="s">
        <v>406</v>
      </c>
      <c r="N1" s="48" t="s">
        <v>491</v>
      </c>
      <c r="O1" s="48" t="s">
        <v>492</v>
      </c>
      <c r="P1" s="30" t="s">
        <v>4</v>
      </c>
      <c r="Q1" s="29" t="s">
        <v>405</v>
      </c>
      <c r="R1" s="18" t="s">
        <v>431</v>
      </c>
      <c r="S1" s="18" t="s">
        <v>432</v>
      </c>
      <c r="T1" s="31" t="s">
        <v>91</v>
      </c>
      <c r="U1" s="32" t="s">
        <v>404</v>
      </c>
      <c r="V1" s="32" t="s">
        <v>433</v>
      </c>
      <c r="W1" s="32" t="s">
        <v>434</v>
      </c>
      <c r="X1" s="19" t="s">
        <v>460</v>
      </c>
      <c r="Y1" s="19" t="s">
        <v>550</v>
      </c>
      <c r="Z1" s="19" t="s">
        <v>547</v>
      </c>
      <c r="AA1" s="19" t="s">
        <v>493</v>
      </c>
      <c r="AB1" s="19" t="s">
        <v>494</v>
      </c>
      <c r="AC1" s="30" t="s">
        <v>9</v>
      </c>
      <c r="AD1" s="29" t="s">
        <v>403</v>
      </c>
      <c r="AE1" s="29" t="s">
        <v>549</v>
      </c>
      <c r="AF1" s="29" t="s">
        <v>544</v>
      </c>
      <c r="AG1" s="29" t="s">
        <v>435</v>
      </c>
      <c r="AH1" s="29" t="s">
        <v>437</v>
      </c>
      <c r="AI1" s="33" t="s">
        <v>90</v>
      </c>
      <c r="AJ1" s="19" t="s">
        <v>439</v>
      </c>
      <c r="AK1" s="19" t="s">
        <v>548</v>
      </c>
      <c r="AL1" s="19" t="s">
        <v>543</v>
      </c>
      <c r="AM1" s="19" t="s">
        <v>438</v>
      </c>
      <c r="AN1" s="19" t="s">
        <v>436</v>
      </c>
      <c r="AO1" s="36" t="s">
        <v>488</v>
      </c>
      <c r="AP1" s="36" t="s">
        <v>495</v>
      </c>
      <c r="AQ1" s="36" t="s">
        <v>496</v>
      </c>
      <c r="AR1" s="23" t="s">
        <v>8</v>
      </c>
      <c r="AS1" s="34" t="s">
        <v>442</v>
      </c>
      <c r="AT1" s="34" t="s">
        <v>440</v>
      </c>
      <c r="AU1" s="34" t="s">
        <v>444</v>
      </c>
      <c r="AV1" s="35" t="s">
        <v>89</v>
      </c>
      <c r="AW1" s="36" t="s">
        <v>445</v>
      </c>
      <c r="AX1" s="36" t="s">
        <v>443</v>
      </c>
      <c r="AY1" s="36" t="s">
        <v>441</v>
      </c>
      <c r="AZ1" s="49" t="s">
        <v>498</v>
      </c>
      <c r="BA1" s="49" t="s">
        <v>553</v>
      </c>
      <c r="BB1" s="49" t="s">
        <v>554</v>
      </c>
      <c r="BC1" s="49" t="s">
        <v>497</v>
      </c>
      <c r="BD1" s="49" t="s">
        <v>500</v>
      </c>
      <c r="BE1" s="66" t="s">
        <v>506</v>
      </c>
      <c r="BF1" s="38" t="s">
        <v>7</v>
      </c>
      <c r="BG1" s="37" t="s">
        <v>448</v>
      </c>
      <c r="BH1" s="37" t="s">
        <v>449</v>
      </c>
      <c r="BI1" s="37" t="s">
        <v>447</v>
      </c>
      <c r="BJ1" s="66" t="s">
        <v>505</v>
      </c>
      <c r="BK1" s="39" t="s">
        <v>88</v>
      </c>
      <c r="BL1" s="40" t="s">
        <v>450</v>
      </c>
      <c r="BM1" s="40" t="s">
        <v>446</v>
      </c>
      <c r="BN1" s="40" t="s">
        <v>555</v>
      </c>
      <c r="BO1" s="40" t="s">
        <v>556</v>
      </c>
      <c r="BP1" s="40" t="s">
        <v>451</v>
      </c>
      <c r="BQ1" s="66" t="s">
        <v>504</v>
      </c>
      <c r="BR1" s="21" t="s">
        <v>501</v>
      </c>
      <c r="BS1" s="21" t="s">
        <v>546</v>
      </c>
      <c r="BT1" s="21" t="s">
        <v>557</v>
      </c>
      <c r="BU1" s="21" t="s">
        <v>499</v>
      </c>
      <c r="BV1" s="21" t="s">
        <v>502</v>
      </c>
      <c r="BW1" s="66" t="s">
        <v>558</v>
      </c>
      <c r="BX1" s="33" t="s">
        <v>6</v>
      </c>
      <c r="BY1" s="19" t="s">
        <v>456</v>
      </c>
      <c r="BZ1" s="19" t="s">
        <v>524</v>
      </c>
      <c r="CA1" s="19" t="s">
        <v>559</v>
      </c>
      <c r="CB1" s="19" t="s">
        <v>454</v>
      </c>
      <c r="CC1" s="19" t="s">
        <v>455</v>
      </c>
      <c r="CD1" s="37" t="s">
        <v>560</v>
      </c>
      <c r="CE1" s="66" t="s">
        <v>561</v>
      </c>
      <c r="CF1" s="26" t="s">
        <v>87</v>
      </c>
      <c r="CG1" s="21" t="s">
        <v>400</v>
      </c>
      <c r="CH1" s="27" t="s">
        <v>545</v>
      </c>
      <c r="CI1" s="27" t="s">
        <v>562</v>
      </c>
      <c r="CJ1" s="21" t="s">
        <v>452</v>
      </c>
      <c r="CK1" s="21" t="s">
        <v>453</v>
      </c>
      <c r="CL1" s="66" t="s">
        <v>563</v>
      </c>
      <c r="CM1" s="42" t="s">
        <v>402</v>
      </c>
      <c r="CN1" s="40" t="s">
        <v>507</v>
      </c>
      <c r="CO1" s="71" t="s">
        <v>564</v>
      </c>
      <c r="CP1" s="42" t="s">
        <v>508</v>
      </c>
      <c r="CQ1" s="66" t="s">
        <v>565</v>
      </c>
      <c r="CR1" s="41" t="s">
        <v>5</v>
      </c>
      <c r="CS1" s="42" t="s">
        <v>459</v>
      </c>
      <c r="CT1" s="42" t="s">
        <v>457</v>
      </c>
      <c r="CU1" s="42" t="s">
        <v>566</v>
      </c>
      <c r="CV1" s="42" t="s">
        <v>567</v>
      </c>
      <c r="CW1" s="42" t="s">
        <v>458</v>
      </c>
      <c r="CX1" s="66" t="s">
        <v>568</v>
      </c>
      <c r="CY1" s="25" t="s">
        <v>86</v>
      </c>
      <c r="CZ1" s="43" t="s">
        <v>401</v>
      </c>
      <c r="DA1" s="21" t="s">
        <v>489</v>
      </c>
      <c r="DB1" s="43" t="s">
        <v>569</v>
      </c>
      <c r="DC1" s="43" t="s">
        <v>570</v>
      </c>
      <c r="DD1" s="43" t="s">
        <v>490</v>
      </c>
      <c r="DE1" s="66" t="s">
        <v>571</v>
      </c>
      <c r="DF1" s="6" t="s">
        <v>487</v>
      </c>
      <c r="DG1" s="6" t="s">
        <v>486</v>
      </c>
      <c r="DH1" s="6" t="s">
        <v>485</v>
      </c>
      <c r="DI1" s="44" t="s">
        <v>484</v>
      </c>
      <c r="DJ1" s="5" t="s">
        <v>483</v>
      </c>
      <c r="DK1" s="52" t="s">
        <v>482</v>
      </c>
      <c r="DL1" s="52" t="s">
        <v>572</v>
      </c>
      <c r="DM1" s="52" t="s">
        <v>481</v>
      </c>
      <c r="DN1" s="52" t="s">
        <v>573</v>
      </c>
      <c r="DO1" s="52" t="s">
        <v>480</v>
      </c>
      <c r="DP1" s="52" t="s">
        <v>574</v>
      </c>
      <c r="DQ1" s="6" t="s">
        <v>479</v>
      </c>
      <c r="DR1" s="45" t="s">
        <v>478</v>
      </c>
      <c r="DS1" s="44" t="s">
        <v>477</v>
      </c>
      <c r="DT1" s="46" t="s">
        <v>476</v>
      </c>
      <c r="DU1" s="45" t="s">
        <v>475</v>
      </c>
      <c r="DV1" s="6" t="s">
        <v>474</v>
      </c>
      <c r="DW1" s="6" t="s">
        <v>473</v>
      </c>
      <c r="DX1" s="6" t="s">
        <v>472</v>
      </c>
      <c r="DY1" s="6" t="s">
        <v>471</v>
      </c>
      <c r="DZ1" s="6" t="s">
        <v>470</v>
      </c>
      <c r="EA1" s="6" t="s">
        <v>469</v>
      </c>
      <c r="EB1" s="6" t="s">
        <v>468</v>
      </c>
      <c r="EC1" s="6" t="s">
        <v>467</v>
      </c>
      <c r="ED1" s="6" t="s">
        <v>466</v>
      </c>
    </row>
    <row r="2" spans="1:134" x14ac:dyDescent="0.25">
      <c r="C2" s="8" t="s">
        <v>234</v>
      </c>
      <c r="D2" s="4">
        <v>122379100</v>
      </c>
      <c r="E2" s="5">
        <v>7</v>
      </c>
      <c r="F2" s="2">
        <v>1</v>
      </c>
      <c r="G2" s="2">
        <v>59</v>
      </c>
      <c r="H2" s="2">
        <v>0.30194118836567441</v>
      </c>
      <c r="I2" s="2">
        <v>48</v>
      </c>
      <c r="J2" s="2">
        <v>-0.61614996855203885</v>
      </c>
      <c r="K2" s="2">
        <v>3160</v>
      </c>
      <c r="L2" s="2">
        <v>-0.1587329451236302</v>
      </c>
      <c r="M2" s="2">
        <v>1.4411</v>
      </c>
      <c r="N2" s="2">
        <f t="shared" ref="N2:N65" si="0">IF(AND(NOT(ISBLANK(H:H)), NOT(ISBLANK(X:X))), (X:X - H:H)/2, "")</f>
        <v>0.21262940581716278</v>
      </c>
      <c r="O2" s="2">
        <f t="shared" ref="O2:O65" si="1">IF(NOT(ISBLANK(M:M)),M:M,IF(AND(NOT(ISBLANK(N:N)),NOT(ISBLANK(H:H))),H:H+N:N,""))</f>
        <v>1.4411</v>
      </c>
      <c r="P2" s="2">
        <v>66</v>
      </c>
      <c r="Q2" s="2">
        <v>0.11</v>
      </c>
      <c r="R2" s="5">
        <f t="shared" ref="R2:R65" si="2">IF(AND(NOT(ISBLANK(J2)), NOT(ISBLANK(AD2))), (AD2 - J2)/2, "")</f>
        <v>0.11307498427601942</v>
      </c>
      <c r="S2" s="5">
        <f t="shared" ref="S2:S65" si="3">IF(NOT(ISBLANK(Q2)),Q2,IF(AND(NOT(ISBLANK(J2)),NOT(ISBLANK(R2))),J2+R2,""))</f>
        <v>0.11</v>
      </c>
      <c r="T2" s="2">
        <v>8400</v>
      </c>
      <c r="U2" s="2">
        <v>1.1399999999999999</v>
      </c>
      <c r="V2" s="2">
        <f t="shared" ref="V2:V65" si="4">IF(AND(NOT(ISBLANK(L2)), NOT(ISBLANK(AJ2))), (AJ2 - L2)/2, "")</f>
        <v>0.23436647256181509</v>
      </c>
      <c r="W2" s="2">
        <f t="shared" ref="W2:W65" si="5">IF(NOT(ISBLANK(U2)), U2, IF(AND(NOT(ISBLANK(L2)), NOT(ISBLANK(V2))), L2 + V2, ""))</f>
        <v>1.1399999999999999</v>
      </c>
      <c r="X2" s="2">
        <v>0.72719999999999996</v>
      </c>
      <c r="Y2" s="76">
        <f xml:space="preserve"> IF(AND(NOT(ISBLANK(AB:AB)), NOT(ISBLANK(H:H))), (AB:AB-H:H), "")</f>
        <v>0.42525881163432555</v>
      </c>
      <c r="Z2" s="76">
        <f>IF(Y:Y&gt;0.67,2,IF(AND(Y:Y&gt;0,Y:Y&lt;=0.67),1,IF(AND(Y:Y&gt;=-0.67,Y:Y&lt;=0),-1,IF(Y:Y&lt;-0.67,-2))))</f>
        <v>1</v>
      </c>
      <c r="AA2" s="2">
        <f t="shared" ref="AA2:AA65" si="6">IF(AND(NOT(ISBLANK(S:S)), NOT(ISBLANK(AO:AO))), (AO:AO- S:S)/2, "")</f>
        <v>0.41720000000000002</v>
      </c>
      <c r="AB2" s="2">
        <f t="shared" ref="AB2:AB65" si="7">IF(NOT(ISBLANK(X:X)),X:X,IF(AND(NOT(ISBLANK(O:O)),NOT(ISBLANK(AA:AA))),O:O+AA:AA,""))</f>
        <v>0.72719999999999996</v>
      </c>
      <c r="AC2" s="2">
        <v>73</v>
      </c>
      <c r="AD2" s="2">
        <v>-0.39</v>
      </c>
      <c r="AE2" s="79">
        <f xml:space="preserve"> IF(AND(NOT(ISBLANK(AH:AH)), NOT(ISBLANK(J:J))), (AH:AH-J:J), "")</f>
        <v>0.22614996855203884</v>
      </c>
      <c r="AF2" s="79">
        <f>IF(AE:AE&gt;0.67,2,IF(AND(AE:AE&gt;0,AE:AE&lt;=0.67),1,IF(AND(AE:AE&gt;=-0.67,AE:AE&lt;=0),-1,IF(AE:AE&lt;-0.67,-2))))</f>
        <v>1</v>
      </c>
      <c r="AG2" s="2">
        <f t="shared" ref="AG2:AG33" si="8">IF(AND(NOT(ISBLANK(S2)), NOT(ISBLANK(AS2))), (AS2 - S2)/2, "")</f>
        <v>-0.52</v>
      </c>
      <c r="AH2" s="2">
        <f t="shared" ref="AH2:AH65" si="9">IF(NOT(ISBLANK(AD2)), AD2, IF(AND(NOT(ISBLANK(S2)), NOT(ISBLANK(AG2))), S2 + AG2, ""))</f>
        <v>-0.39</v>
      </c>
      <c r="AI2" s="2">
        <v>9300</v>
      </c>
      <c r="AJ2" s="2">
        <v>0.31</v>
      </c>
      <c r="AK2" s="76">
        <f xml:space="preserve"> IF(AND(NOT(ISBLANK(AN:AN)), NOT(ISBLANK(L:L))), (AN:AN-L:L), "")</f>
        <v>0.46873294512363017</v>
      </c>
      <c r="AL2" s="76">
        <f>IF(AK:AK&gt;0.67,2,IF(AND(AK:AK&gt;0,AK:AK&lt;=0.67),1,IF(AND(AK:AK&gt;=-0.67,AK:AK&lt;=0),-1,IF(AK:AK&lt;-0.67,-2))))</f>
        <v>1</v>
      </c>
      <c r="AM2" s="2">
        <f t="shared" ref="AM2:AM65" si="10">IF(AND(NOT(ISBLANK(W2)), NOT(ISBLANK(AW2))), (AW2 - W2)/2, "")</f>
        <v>-0.50499999999999989</v>
      </c>
      <c r="AN2" s="2">
        <f t="shared" ref="AN2:AN65" si="11">IF(NOT(ISBLANK(AJ2)), AJ2, IF(AND(NOT(ISBLANK(W2)), NOT(ISBLANK(AM2))), W2 + AM2, ""))</f>
        <v>0.31</v>
      </c>
      <c r="AO2" s="2">
        <v>0.94440000000000002</v>
      </c>
      <c r="AP2" s="2" t="str">
        <f t="shared" ref="AP2:AP65" si="12">IF(AND(NOT(ISBLANK(AB:AB)), NOT(ISBLANK(AZ:AZ))), (AZ:AZ - AB:AB)/2, "")</f>
        <v/>
      </c>
      <c r="AQ2" s="2">
        <f t="shared" ref="AQ2:AQ65" si="13">IF(NOT(ISBLANK(AO:AO)),AO:AO,IF(AND(NOT(ISBLANK(AB:AB)),NOT(ISBLANK(AP:AP))),AP:AP+AB:AB,""))</f>
        <v>0.94440000000000002</v>
      </c>
      <c r="AR2" s="2">
        <v>78</v>
      </c>
      <c r="AS2" s="2">
        <v>-0.93</v>
      </c>
      <c r="AT2" s="2" t="str">
        <f t="shared" ref="AT2:AT65" si="14">IF(AND(NOT(ISBLANK(AH2)), NOT(ISBLANK(BG2))), (BG2 - AH2)/2, "")</f>
        <v/>
      </c>
      <c r="AU2" s="2">
        <f t="shared" ref="AU2:AU65" si="15">IF(NOT(ISBLANK(AS2)), AS2, IF(AND(NOT(ISBLANK(AH2)), NOT(ISBLANK(AT2))), AH2 + AT2, ""))</f>
        <v>-0.93</v>
      </c>
      <c r="AV2" s="2">
        <v>10400</v>
      </c>
      <c r="AW2" s="2">
        <v>0.13</v>
      </c>
      <c r="AX2" s="2" t="str">
        <f t="shared" ref="AX2:AX65" si="16">IF(AND(NOT(ISBLANK(AN2)), NOT(ISBLANK(BL2))), (BL2 - AN2)/2, "")</f>
        <v/>
      </c>
      <c r="AY2" s="2">
        <f t="shared" ref="AY2:AY65" si="17">IF(NOT(ISBLANK(AW2)), AW2, IF(AND(NOT(ISBLANK(AN2)), NOT(ISBLANK(AX2))),AN2 + AX2, ""))</f>
        <v>0.13</v>
      </c>
      <c r="BA2" s="78">
        <f xml:space="preserve"> IF(AND(NOT(ISBLANK(BD:BD)), NOT(ISBLANK(AB:AB))), (BD:BD-AB:AB), "")</f>
        <v>0.19331095813605403</v>
      </c>
      <c r="BB2" s="78">
        <f>IF(BA:BA&gt;0.67,2,IF(AND(BA:BA&gt;0,BA:BA&lt;=0.67),1,IF(AND(BA:BA&gt;=-0.67,BA:BA&lt;=0),-1,IF(BA:BA&lt;-0.67,-2))))</f>
        <v>1</v>
      </c>
      <c r="BC2" s="2">
        <f t="shared" ref="BC2:BC65" si="18">IF(AND(NOT(ISBLANK(AQ:AQ)), NOT(ISBLANK(BR:BR))), (BR:BR - AQ:AQ)/3, "")</f>
        <v>-2.3889041863946064E-2</v>
      </c>
      <c r="BD2" s="2">
        <f t="shared" ref="BD2:BD65" si="19">IF(NOT(ISBLANK(AZ:AZ)),AZ:AZ,IF(AND(NOT(ISBLANK(BC:BC)),NOT(ISBLANK(AQ:AQ))),AQ:AQ+BC:BC,""))</f>
        <v>0.92051095813605399</v>
      </c>
      <c r="BE2" s="67">
        <f>IF(BD:BD&lt;-3,1,IF(AND(BD:BD&gt;=-3,BD:BD&lt;-2),2,IF(AND(BD:BD&gt;=-2,BD:BD&lt;=2),7,"")))</f>
        <v>7</v>
      </c>
      <c r="BF2" s="2" t="s">
        <v>12</v>
      </c>
      <c r="BH2" s="2">
        <f t="shared" ref="BH2:BH65" si="20">IF(AND(NOT(ISBLANK(AU2)), NOT(ISBLANK(BY2))), (BY2 - AU2)/3, "")</f>
        <v>3.7271209562019715E-2</v>
      </c>
      <c r="BI2" s="2">
        <f t="shared" ref="BI2:BI65" si="21">IF(NOT(ISBLANK(BG2)), BG2, IF(AND(NOT(ISBLANK(AU2)), NOT(ISBLANK(BH2))),AU2 + BH2, ""))</f>
        <v>-0.89272879043798037</v>
      </c>
      <c r="BJ2" s="67">
        <f t="shared" ref="BJ2:BJ33" si="22">IF(BI:BI&lt;-3,5,IF(AND(BI:BI&gt;=-3,BI:BI&lt;-2),6,IF(AND(BI:BI&gt;=-2,BI:BI&lt;=2),7,"")))</f>
        <v>7</v>
      </c>
      <c r="BK2" s="2" t="s">
        <v>12</v>
      </c>
      <c r="BM2" s="77">
        <f xml:space="preserve"> IF(AND(NOT(ISBLANK(BP:BP)), NOT(ISBLANK(AN:AN))), (BP:BP-AN:AN), "")</f>
        <v>-0.21159439139240538</v>
      </c>
      <c r="BN2" s="77">
        <f>IF(BM:BM&gt;0.67,2,IF(AND(BM:BM&gt;0,BM:BM&lt;=0.67),1,IF(AND(BM:BM&gt;=-0.67,BM:BM&lt;=0),-1,IF(BM:BM&lt;-0.67,-2))))</f>
        <v>-1</v>
      </c>
      <c r="BO2" s="2">
        <f t="shared" ref="BO2:BO65" si="23">IF(AND(NOT(ISBLANK(AY2)), NOT(ISBLANK(CG2))), (CG2 - AY2)/3, "")</f>
        <v>-3.1594391392405392E-2</v>
      </c>
      <c r="BP2" s="2">
        <f t="shared" ref="BP2:BP65" si="24">IF(NOT(ISBLANK(BL2)), BL2, IF(AND(NOT(ISBLANK(AY2)), NOT(ISBLANK(BO2))),AY2 + BO2, ""))</f>
        <v>9.8405608607594619E-2</v>
      </c>
      <c r="BQ2" s="67">
        <f>IF(BP:BP&lt;-3,3,IF(AND(BP:BP&gt;=-3,BP:BP&lt;-2),4,IF(AND(BP:BP&gt;=-2,BP:BP&lt;=2),7,"")))</f>
        <v>7</v>
      </c>
      <c r="BR2" s="5">
        <v>0.87273287440816183</v>
      </c>
      <c r="BS2" s="75">
        <f>IF(G2&gt;=36, IF(AND(NOT(ISBLANK(BV:BV)), NOT(ISBLANK(BD:BD))), (BV:BV-BD:BD), ""), "UF")</f>
        <v>-4.7778083727892162E-2</v>
      </c>
      <c r="BT2" s="75">
        <f>IF(G2&lt;36,"UF",IF(BS:BS&gt;0.67,2,IF(AND(BS:BS&gt;0,BS:BS&lt;=0.67),1,IF(AND(BS:BS&gt;=-0.67,BS:BS&lt;=0),-1,IF(BS:BS&lt;-0.67,-2)))))</f>
        <v>-1</v>
      </c>
      <c r="BU2" s="5">
        <f t="shared" ref="BU2:BU46" si="25">IF(G11&gt;=36, IF(AND(NOT(ISBLANK(CM:CM)), NOT(ISBLANK(BD:BD))), (CM:CM-BD:BD)/2, ""), "UF")</f>
        <v>-0.2141060048205855</v>
      </c>
      <c r="BV2" s="5">
        <f t="shared" ref="BV2:BV65" si="26">IF(G2&gt;=36, IF(NOT(ISBLANK(BR:BR)), BR:BR, IF(AND(NOT(ISBLANK(BD:BD)), NOT(ISBLANK(BU:BU))),BD:BD + BU:BU, "")), "UF")</f>
        <v>0.87273287440816183</v>
      </c>
      <c r="BW2" s="69">
        <f t="shared" ref="BW2:BW33" si="27">IF(BV:BV&lt;-3,1,IF(AND(BV:BV&gt;=-3,BV:BV&lt;-2),2,IF(AND(BV:BV&gt;=-2,BV:BV&lt;=2),7,"")))</f>
        <v>7</v>
      </c>
      <c r="BX2" s="2">
        <v>91</v>
      </c>
      <c r="BY2" s="5">
        <v>-0.8181863713139409</v>
      </c>
      <c r="BZ2" s="74">
        <f>IF(G2&gt;=36, IF(AND(NOT(ISBLANK(CC:CC)), NOT(ISBLANK(BP:BP))), (CC:CC-BP:BP), ""), "UF")</f>
        <v>-0.91659197992153552</v>
      </c>
      <c r="CA2" s="74">
        <f>IF(G2&lt;36,"UF",IF(BZ:BZ&gt;0.67,2,IF(AND(BZ:BZ&gt;0,BZ:BZ&lt;=0.67),1,IF(AND(BZ:BZ&gt;=-0.67,BZ:BZ&lt;=0),-1,IF(BZ:BZ&lt;-0.67,-2)))))</f>
        <v>-2</v>
      </c>
      <c r="CB2" s="5">
        <f t="shared" ref="CB2:CB65" si="28">IF(G2&gt;=36, IF(AND(NOT(ISBLANK(BI2)), NOT(ISBLANK(CS2))), (CS2-BI2)/2, ""), "UF")</f>
        <v>-2.2413875190205435E-2</v>
      </c>
      <c r="CC2" s="5">
        <f t="shared" ref="CC2:CC65" si="29">IF(G2&gt;=36, IF(NOT(ISBLANK(BY2)), BY2, IF(AND(NOT(ISBLANK(CB2)), NOT(ISBLANK(BI2))),CB2 + BI2, "")), "UF")</f>
        <v>-0.8181863713139409</v>
      </c>
      <c r="CD2" s="2">
        <f t="shared" ref="CD2:CD65" si="30">IF(AND(NOT(ISBLANK(BI:BI)), NOT(ISBLANK(CC:CC))), CC:CC-BI:BI, "")</f>
        <v>7.4542419124039472E-2</v>
      </c>
      <c r="CE2" s="69">
        <f t="shared" ref="CE2:CE65" si="31">IF(CC2&lt;-3,5,IF(AND(CC2&gt;=-3,CC2&lt;-2),6,IF(AND(CC2&gt;=-2,CC2&lt;=2),7,"")))</f>
        <v>7</v>
      </c>
      <c r="CF2" s="5">
        <v>14000</v>
      </c>
      <c r="CG2" s="5">
        <v>3.5216825822783827E-2</v>
      </c>
      <c r="CH2" s="72">
        <f>IF(G2&gt;=36, IF(AND(NOT(ISBLANK(CK:CK)), NOT(ISBLANK(BP:BP))), (CK:CK-BP:BP), ""), "UF")</f>
        <v>-6.3188782784810799E-2</v>
      </c>
      <c r="CI2" s="72">
        <f>IF(G2&lt;36,"UF",IF(CH:CH&gt;0.67,2,IF(AND(CH:CH&gt;0,CH:CH&lt;=0.67),1,IF(AND(CH:CH&gt;=-0.67,CH:CH&lt;=0),-1,IF(CH:CH&lt;-0.67,-2)))))</f>
        <v>-1</v>
      </c>
      <c r="CJ2" s="5">
        <f t="shared" ref="CJ2:CJ65" si="32">IF(G2&gt;=36, IF(AND(NOT(ISBLANK(BP2)), NOT(ISBLANK(CZ2))), (CZ2-BP2)/2, ""), "UF")</f>
        <v>-0.27244566297218037</v>
      </c>
      <c r="CK2" s="5">
        <f t="shared" ref="CK2:CK65" si="33">IF(G2&gt;=36, IF(NOT(ISBLANK(CG2)), CG2, IF(AND(NOT(ISBLANK(BP2)), NOT(ISBLANK(CJ2))),BP2 + CJ2, "")), "UF")</f>
        <v>3.5216825822783827E-2</v>
      </c>
      <c r="CL2" s="69">
        <f t="shared" ref="CL2:CL33" si="34">IF(CK:CK&lt;-3,3,IF(AND(CK:CK&gt;=-3,CK:CK&lt;-2),4,IF(AND(CK:CK&gt;=-2,CK:CK&lt;=2),7,"")))</f>
        <v>7</v>
      </c>
      <c r="CM2" s="5">
        <v>0.49229894849488298</v>
      </c>
      <c r="CN2" s="70">
        <f t="shared" ref="CN2:CN65" si="35">IF(AND(NOT(ISBLANK(BV:BV)), NOT(ISBLANK(CM:CM))), CM:CM-BV:BV, "")</f>
        <v>-0.38043392591327885</v>
      </c>
      <c r="CO2" s="5">
        <f t="shared" ref="CO2:CO65" si="36">IF(G2&lt;48,"UF",IF(AND(NOT(ISBLANK(BV:BV)),NOT(ISBLANK(CP:CP))),CP:CP-BV:BV,""))</f>
        <v>-0.38043392591327885</v>
      </c>
      <c r="CP2" s="5">
        <f>IF(G2&lt;48,"UF", IF(NOT(ISBLANK(CM:CM)), CM:CM, IF(BW:BW=1, BV:BV+Sheet2!B418, IF(Sheet1!BW:BW=2, Sheet1!BV:BV+Sheet2!B419, IF(Sheet1!BW:BW=7, Sheet1!BV:BV+Sheet2!B420,"")))))</f>
        <v>0.49229894849488298</v>
      </c>
      <c r="CQ2" s="69">
        <f>IF(CP:CP&lt;-3,1,IF(AND(CP:CP&gt;=-3,CP:CP&lt;-2),2,IF(AND(CP:CP&gt;=-2,CP:CP&lt;=2),7,"")))</f>
        <v>7</v>
      </c>
      <c r="CR2" s="5">
        <v>97</v>
      </c>
      <c r="CS2" s="5">
        <v>-0.93755654081839124</v>
      </c>
      <c r="CT2" s="5">
        <f t="shared" ref="CT2:CT65" si="37">IF(AND(NOT(ISBLANK(CC2)), NOT(ISBLANK(CS2))), CS2-CC2, "")</f>
        <v>-0.11937016950445034</v>
      </c>
      <c r="CU2" s="80">
        <f t="shared" ref="CU2:CU65" si="38">IF(G2&lt;48,"UF",IF(AND(NOT(ISBLANK(CW:CW)), NOT(ISBLANK(CC:CC))), CW:CW-CC:CC, ""))</f>
        <v>-0.11937016950445034</v>
      </c>
      <c r="CV2" s="80">
        <f t="shared" ref="CV2:CV65" si="39">IF(CU:CU=""," ",IF(G2&lt;48,"UF",IF(CU:CU&gt;0.67,2,IF(AND(CU:CU&gt;0,CU:CU&lt;=0.67),1,IF(AND(CU:CU&gt;=-0.67,CU:CU&lt;=0),-1,IF(CU:CU&lt;-0.67,-2))))))</f>
        <v>-1</v>
      </c>
      <c r="CW2" s="20">
        <f>IF(G2&lt;48,"UF", IF(NOT(ISBLANK(CS2)), CS2, IF(CE2=5, CC2+Sheet2!B407, IF(CE2=6, CC2+Sheet2!B408, IF(CE2=7, CC2+Sheet2!B409,"")))))</f>
        <v>-0.93755654081839124</v>
      </c>
      <c r="CX2" s="68">
        <f>IF(CW:CW&lt;-3,5,IF(AND(CW:CW&gt;=-3,CW:CW&lt;-2),6,IF(AND(CW:CW&gt;=-2,CW:CW&lt;=2),7,"")))</f>
        <v>7</v>
      </c>
      <c r="CY2" s="5">
        <v>15000</v>
      </c>
      <c r="CZ2" s="5">
        <v>-0.44648571733676612</v>
      </c>
      <c r="DA2" s="5">
        <f t="shared" ref="DA2:DA65" si="40">IF(G2&lt;48,"UF",IF(AND(NOT(ISBLANK(CZ:CZ)), NOT(ISBLANK(CK:CK))), CZ:CZ-CK:CK, ""))</f>
        <v>-0.48170254315954997</v>
      </c>
      <c r="DB2" s="73">
        <f t="shared" ref="DB2:DB65" si="41">IF(G2&lt;48,"UF",IF(AND(NOT(ISBLANK(DD:DD)), NOT(ISBLANK(CK:CK))), DD:DD-CK:CK, ""))</f>
        <v>-0.48170254315954997</v>
      </c>
      <c r="DC2" s="73">
        <f t="shared" ref="DC2:DC65" si="42">IF(DB:DB=""," ",IF(G2&lt;48,"UF",IF(DB:DB&gt;0.67,2,IF(AND(DB:DB&gt;0,DB:DB&lt;=0.67),1,IF(AND(DB:DB&gt;=-0.67,DB:DB&lt;=0),-1,IF(DB:DB&lt;-0.67,-2))))))</f>
        <v>-1</v>
      </c>
      <c r="DD2" s="5">
        <f>IF(G2&lt;48,"UF", IF(NOT(ISBLANK(CZ:CZ)), CZ:CZ, IF(CL:CL=3, CK:CK+Sheet2!B412, IF(CL:CL=4, CK:CK+Sheet2!B413, IF(CL:CL=7, CK:CK+Sheet2!B414,"")))))</f>
        <v>-0.44648571733676612</v>
      </c>
      <c r="DE2" s="69">
        <f t="shared" ref="DE2:DE65" si="43">IF(DD:DD&lt;-3,3,IF(AND(DD:DD&gt;=-3,DD:DD&lt;-2),4,IF(AND(DD:DD&gt;=-2,DD:DD&lt;=2),7,"")))</f>
        <v>7</v>
      </c>
      <c r="DF2" s="2">
        <v>1</v>
      </c>
      <c r="DG2" s="2">
        <v>21</v>
      </c>
      <c r="DH2" s="2">
        <v>2</v>
      </c>
      <c r="DI2" s="2">
        <v>2</v>
      </c>
      <c r="DJ2" s="2">
        <v>2</v>
      </c>
      <c r="DK2" s="2">
        <v>105</v>
      </c>
      <c r="DL2" s="2">
        <v>52</v>
      </c>
      <c r="DM2" s="2">
        <v>108</v>
      </c>
      <c r="DN2" s="2">
        <v>58</v>
      </c>
      <c r="DO2" s="2">
        <v>122</v>
      </c>
      <c r="DP2" s="2">
        <v>80</v>
      </c>
      <c r="DQ2" s="2">
        <v>2</v>
      </c>
      <c r="DR2" s="2">
        <v>40</v>
      </c>
      <c r="DS2" s="2">
        <v>2</v>
      </c>
      <c r="DT2" s="2">
        <v>84</v>
      </c>
      <c r="DU2" s="2">
        <v>77</v>
      </c>
      <c r="DV2" s="2">
        <v>2</v>
      </c>
      <c r="DW2" s="2">
        <v>3</v>
      </c>
      <c r="DX2" s="2">
        <v>2</v>
      </c>
      <c r="DY2" s="2">
        <v>2</v>
      </c>
      <c r="DZ2" s="2">
        <v>33</v>
      </c>
      <c r="EA2" s="2" t="s">
        <v>12</v>
      </c>
      <c r="EB2" s="2">
        <v>45</v>
      </c>
      <c r="EC2" s="2" t="s">
        <v>12</v>
      </c>
      <c r="ED2" s="2">
        <v>1</v>
      </c>
    </row>
    <row r="3" spans="1:134" x14ac:dyDescent="0.25">
      <c r="C3" s="8" t="s">
        <v>242</v>
      </c>
      <c r="D3" s="8">
        <v>122385092</v>
      </c>
      <c r="E3" s="5">
        <v>7</v>
      </c>
      <c r="F3" s="2">
        <v>1</v>
      </c>
      <c r="G3" s="2">
        <v>58</v>
      </c>
      <c r="H3" s="2">
        <v>-1.6388966007400689</v>
      </c>
      <c r="I3" s="2">
        <v>52</v>
      </c>
      <c r="J3" s="2">
        <v>1.531272843240846</v>
      </c>
      <c r="K3" s="2">
        <v>3100</v>
      </c>
      <c r="L3" s="2">
        <v>-0.29236112544414727</v>
      </c>
      <c r="M3" s="2">
        <v>-0.80520000000000003</v>
      </c>
      <c r="N3" s="2" t="str">
        <f t="shared" si="0"/>
        <v/>
      </c>
      <c r="O3" s="2">
        <f t="shared" si="1"/>
        <v>-0.80520000000000003</v>
      </c>
      <c r="P3" s="2">
        <v>68.5</v>
      </c>
      <c r="Q3" s="2">
        <v>1.21</v>
      </c>
      <c r="R3" s="5" t="str">
        <f t="shared" si="2"/>
        <v/>
      </c>
      <c r="S3" s="5">
        <f t="shared" si="3"/>
        <v>1.21</v>
      </c>
      <c r="T3" s="2">
        <v>7380</v>
      </c>
      <c r="U3" s="2">
        <v>0.09</v>
      </c>
      <c r="V3" s="2" t="str">
        <f t="shared" si="4"/>
        <v/>
      </c>
      <c r="W3" s="2">
        <f t="shared" si="5"/>
        <v>0.09</v>
      </c>
      <c r="Y3" s="76">
        <f t="shared" ref="Y3:Y66" si="44" xml:space="preserve"> IF(AND(NOT(ISBLANK(AB:AB)), NOT(ISBLANK(H:H))), (AB:AB-H:H), "")</f>
        <v>-6.0203399259931123E-2</v>
      </c>
      <c r="Z3" s="76">
        <f t="shared" ref="Z3:Z66" si="45">IF(Y:Y&gt;0.67,2,IF(AND(Y:Y&gt;0,Y:Y&lt;=0.67),1,IF(AND(Y:Y&gt;=-0.67,Y:Y&lt;=0),-1,IF(Y:Y&lt;-0.67,-2))))</f>
        <v>-1</v>
      </c>
      <c r="AA3" s="2">
        <f t="shared" si="6"/>
        <v>-0.89389999999999992</v>
      </c>
      <c r="AB3" s="2">
        <f t="shared" si="7"/>
        <v>-1.6991000000000001</v>
      </c>
      <c r="AC3" s="2" t="s">
        <v>12</v>
      </c>
      <c r="AE3" s="79">
        <f t="shared" ref="AE3:AE66" si="46" xml:space="preserve"> IF(AND(NOT(ISBLANK(AH:AH)), NOT(ISBLANK(J:J))), (AH:AH-J:J), "")</f>
        <v>-0.96127284324084605</v>
      </c>
      <c r="AF3" s="79">
        <f t="shared" ref="AF3:AF66" si="47">IF(AE:AE&gt;0.67,2,IF(AND(AE:AE&gt;0,AE:AE&lt;=0.67),1,IF(AND(AE:AE&gt;=-0.67,AE:AE&lt;=0),-1,IF(AE:AE&lt;-0.67,-2))))</f>
        <v>-2</v>
      </c>
      <c r="AG3" s="2">
        <f t="shared" si="8"/>
        <v>-0.64</v>
      </c>
      <c r="AH3" s="2">
        <f t="shared" si="9"/>
        <v>0.56999999999999995</v>
      </c>
      <c r="AI3" s="2" t="s">
        <v>12</v>
      </c>
      <c r="AK3" s="76">
        <f t="shared" ref="AK3:AK66" si="48" xml:space="preserve"> IF(AND(NOT(ISBLANK(AN:AN)), NOT(ISBLANK(L:L))), (AN:AN-L:L), "")</f>
        <v>0.11736112544414726</v>
      </c>
      <c r="AL3" s="76">
        <f t="shared" ref="AL3:AL66" si="49">IF(AK:AK&gt;0.67,2,IF(AND(AK:AK&gt;0,AK:AK&lt;=0.67),1,IF(AND(AK:AK&gt;=-0.67,AK:AK&lt;=0),-1,IF(AK:AK&lt;-0.67,-2))))</f>
        <v>1</v>
      </c>
      <c r="AM3" s="2">
        <f t="shared" si="10"/>
        <v>-0.26500000000000001</v>
      </c>
      <c r="AN3" s="2">
        <f t="shared" si="11"/>
        <v>-0.17500000000000002</v>
      </c>
      <c r="AO3" s="2">
        <v>-0.57779999999999998</v>
      </c>
      <c r="AP3" s="2" t="str">
        <f t="shared" si="12"/>
        <v/>
      </c>
      <c r="AQ3" s="2">
        <f t="shared" si="13"/>
        <v>-0.57779999999999998</v>
      </c>
      <c r="AR3" s="2">
        <v>80.5</v>
      </c>
      <c r="AS3" s="2">
        <v>-7.0000000000000007E-2</v>
      </c>
      <c r="AT3" s="2" t="str">
        <f t="shared" si="14"/>
        <v/>
      </c>
      <c r="AU3" s="2">
        <f t="shared" si="15"/>
        <v>-7.0000000000000007E-2</v>
      </c>
      <c r="AV3" s="2">
        <v>9700</v>
      </c>
      <c r="AW3" s="2">
        <v>-0.44</v>
      </c>
      <c r="AX3" s="2" t="str">
        <f t="shared" si="16"/>
        <v/>
      </c>
      <c r="AY3" s="2">
        <f t="shared" si="17"/>
        <v>-0.44</v>
      </c>
      <c r="BA3" s="78">
        <f t="shared" ref="BA3:BA66" si="50" xml:space="preserve"> IF(AND(NOT(ISBLANK(BD:BD)), NOT(ISBLANK(AB:AB))), (BD:BD-AB:AB), "")</f>
        <v>1.3884304721071885</v>
      </c>
      <c r="BB3" s="78">
        <f t="shared" ref="BB3:BB66" si="51">IF(BA:BA&gt;0.67,2,IF(AND(BA:BA&gt;0,BA:BA&lt;=0.67),1,IF(AND(BA:BA&gt;=-0.67,BA:BA&lt;=0),-1,IF(BA:BA&lt;-0.67,-2))))</f>
        <v>2</v>
      </c>
      <c r="BC3" s="2">
        <f t="shared" si="18"/>
        <v>0.26713047210718854</v>
      </c>
      <c r="BD3" s="2">
        <f t="shared" si="19"/>
        <v>-0.31066952789281144</v>
      </c>
      <c r="BE3" s="67">
        <f t="shared" ref="BE3:BE66" si="52">IF(BD:BD&lt;-3,1,IF(AND(BD:BD&gt;=-3,BD:BD&lt;-2),2,IF(AND(BD:BD&gt;=-2,BD:BD&lt;=2),7,"")))</f>
        <v>7</v>
      </c>
      <c r="BF3" s="2" t="s">
        <v>12</v>
      </c>
      <c r="BH3" s="2">
        <f t="shared" si="20"/>
        <v>-0.20121614660021181</v>
      </c>
      <c r="BI3" s="2">
        <f t="shared" si="21"/>
        <v>-0.27121614660021182</v>
      </c>
      <c r="BJ3" s="67">
        <f t="shared" si="22"/>
        <v>7</v>
      </c>
      <c r="BK3" s="2" t="s">
        <v>12</v>
      </c>
      <c r="BM3" s="77">
        <f t="shared" ref="BM3:BM66" si="53" xml:space="preserve"> IF(AND(NOT(ISBLANK(BP:BP)), NOT(ISBLANK(AN:AN))), (BP:BP-AN:AN), "")</f>
        <v>-0.23103029884331269</v>
      </c>
      <c r="BN3" s="77">
        <f t="shared" ref="BN3:BN66" si="54">IF(BM:BM&gt;0.67,2,IF(AND(BM:BM&gt;0,BM:BM&lt;=0.67),1,IF(AND(BM:BM&gt;=-0.67,BM:BM&lt;=0),-1,IF(BM:BM&lt;-0.67,-2))))</f>
        <v>-1</v>
      </c>
      <c r="BO3" s="2">
        <f t="shared" si="23"/>
        <v>3.3969701156687293E-2</v>
      </c>
      <c r="BP3" s="2">
        <f t="shared" si="24"/>
        <v>-0.40603029884331271</v>
      </c>
      <c r="BQ3" s="67">
        <f t="shared" ref="BQ3:BQ66" si="55">IF(BP:BP&lt;-3,3,IF(AND(BP:BP&gt;=-3,BP:BP&lt;-2),4,IF(AND(BP:BP&gt;=-2,BP:BP&lt;=2),7,"")))</f>
        <v>7</v>
      </c>
      <c r="BR3" s="5">
        <v>0.22359141632156571</v>
      </c>
      <c r="BS3" s="75">
        <f t="shared" ref="BS3:BS66" si="56">IF(G3&gt;=36, IF(AND(NOT(ISBLANK(BV:BV)), NOT(ISBLANK(BD:BD))), (BV:BV-BD:BD), ""), "UF")</f>
        <v>0.53426094421437709</v>
      </c>
      <c r="BT3" s="75">
        <f t="shared" ref="BT3:BT66" si="57">IF(G3&lt;36,"UF",IF(BS:BS&gt;0.67,2,IF(AND(BS:BS&gt;0,BS:BS&lt;=0.67),1,IF(AND(BS:BS&gt;=-0.67,BS:BS&lt;=0),-1,IF(BS:BS&lt;-0.67,-2)))))</f>
        <v>1</v>
      </c>
      <c r="BU3" s="5">
        <f t="shared" si="25"/>
        <v>-1.0094883596577902</v>
      </c>
      <c r="BV3" s="5">
        <f t="shared" si="26"/>
        <v>0.22359141632156571</v>
      </c>
      <c r="BW3" s="69">
        <f t="shared" si="27"/>
        <v>7</v>
      </c>
      <c r="BX3" s="2">
        <v>97</v>
      </c>
      <c r="BY3" s="5">
        <v>-0.67364843980063538</v>
      </c>
      <c r="BZ3" s="74">
        <f t="shared" ref="BZ3:BZ66" si="58">IF(G3&gt;=36, IF(AND(NOT(ISBLANK(CC:CC)), NOT(ISBLANK(BP:BP))), (CC:CC-BP:BP), ""), "UF")</f>
        <v>-0.26761814095732267</v>
      </c>
      <c r="CA3" s="74">
        <f t="shared" ref="CA3:CA66" si="59">IF(G3&lt;36,"UF",IF(BZ:BZ&gt;0.67,2,IF(AND(BZ:BZ&gt;0,BZ:BZ&lt;=0.67),1,IF(AND(BZ:BZ&gt;=-0.67,BZ:BZ&lt;=0),-1,IF(BZ:BZ&lt;-0.67,-2)))))</f>
        <v>-1</v>
      </c>
      <c r="CB3" s="5">
        <f t="shared" si="28"/>
        <v>0.47112908049436408</v>
      </c>
      <c r="CC3" s="5">
        <f t="shared" si="29"/>
        <v>-0.67364843980063538</v>
      </c>
      <c r="CD3" s="2">
        <f t="shared" si="30"/>
        <v>-0.40243229320042356</v>
      </c>
      <c r="CE3" s="69">
        <f t="shared" si="31"/>
        <v>7</v>
      </c>
      <c r="CF3" s="5">
        <v>13400</v>
      </c>
      <c r="CG3" s="5">
        <v>-0.33809089652993812</v>
      </c>
      <c r="CH3" s="72">
        <f t="shared" ref="CH3:CH66" si="60">IF(G3&gt;=36, IF(AND(NOT(ISBLANK(CK:CK)), NOT(ISBLANK(BP:BP))), (CK:CK-BP:BP), ""), "UF")</f>
        <v>6.7939402313374586E-2</v>
      </c>
      <c r="CI3" s="72">
        <f t="shared" ref="CI3:CI66" si="61">IF(G3&lt;36,"UF",IF(CH:CH&gt;0.67,2,IF(AND(CH:CH&gt;0,CH:CH&lt;=0.67),1,IF(AND(CH:CH&gt;=-0.67,CH:CH&lt;=0),-1,IF(CH:CH&lt;-0.67,-2)))))</f>
        <v>1</v>
      </c>
      <c r="CJ3" s="5">
        <f t="shared" si="32"/>
        <v>-0.21963823092785043</v>
      </c>
      <c r="CK3" s="5">
        <f t="shared" si="33"/>
        <v>-0.33809089652993812</v>
      </c>
      <c r="CL3" s="69">
        <f t="shared" si="34"/>
        <v>7</v>
      </c>
      <c r="CM3" s="5">
        <v>-2.3296462472083919</v>
      </c>
      <c r="CN3" s="70">
        <f t="shared" si="35"/>
        <v>-2.5532376635299574</v>
      </c>
      <c r="CO3" s="5">
        <f t="shared" si="36"/>
        <v>-2.5532376635299574</v>
      </c>
      <c r="CP3" s="5">
        <f>IF(G3&lt;48,"UF", IF(NOT(ISBLANK(CM:CM)), CM:CM, IF(BW:BW=1, BV:BV+Sheet2!B431, IF(Sheet1!BW:BW=2, Sheet1!BV:BV+Sheet2!B432, IF(Sheet1!BW:BW=7, Sheet1!BV:BV+Sheet2!B433,"")))))</f>
        <v>-2.3296462472083919</v>
      </c>
      <c r="CQ3" s="69">
        <f t="shared" ref="CQ3:CQ66" si="62">IF(CP:CP&lt;-3,1,IF(AND(CP:CP&gt;=-3,CP:CP&lt;-2),2,IF(AND(CP:CP&gt;=-2,CP:CP&lt;=2),7,"")))</f>
        <v>2</v>
      </c>
      <c r="CR3" s="5">
        <v>104</v>
      </c>
      <c r="CS3" s="5">
        <v>0.67104201438851629</v>
      </c>
      <c r="CT3" s="5">
        <f t="shared" si="37"/>
        <v>1.3446904541891516</v>
      </c>
      <c r="CU3" s="80">
        <f t="shared" si="38"/>
        <v>1.3446904541891516</v>
      </c>
      <c r="CV3" s="80">
        <f t="shared" si="39"/>
        <v>2</v>
      </c>
      <c r="CW3" s="20">
        <f>IF(G3&lt;48,"UF", IF(NOT(ISBLANK(CS3)), CS3, IF(CE3=5, CC3+Sheet2!B420, IF(CE3=6, CC3+Sheet2!B421, IF(CE3=7, CC3+Sheet2!B422,"")))))</f>
        <v>0.67104201438851629</v>
      </c>
      <c r="CX3" s="68">
        <f t="shared" ref="CX3:CX66" si="63">IF(CW:CW&lt;-3,5,IF(AND(CW:CW&gt;=-3,CW:CW&lt;-2),6,IF(AND(CW:CW&gt;=-2,CW:CW&lt;=2),7,"")))</f>
        <v>7</v>
      </c>
      <c r="CY3" s="5">
        <v>14300</v>
      </c>
      <c r="CZ3" s="5">
        <v>-0.84530676069901356</v>
      </c>
      <c r="DA3" s="5">
        <f t="shared" si="40"/>
        <v>-0.50721586416907538</v>
      </c>
      <c r="DB3" s="73">
        <f t="shared" si="41"/>
        <v>-0.50721586416907538</v>
      </c>
      <c r="DC3" s="73">
        <f t="shared" si="42"/>
        <v>-1</v>
      </c>
      <c r="DD3" s="5">
        <f>IF(G3&lt;48,"UF", IF(NOT(ISBLANK(CZ:CZ)), CZ:CZ, IF(CL:CL=3, CK:CK+Sheet2!B425, IF(CL:CL=4, CK:CK+Sheet2!B426, IF(CL:CL=7, CK:CK+Sheet2!B427,"")))))</f>
        <v>-0.84530676069901356</v>
      </c>
      <c r="DE3" s="69">
        <f t="shared" si="43"/>
        <v>7</v>
      </c>
      <c r="DF3" s="2">
        <v>1</v>
      </c>
      <c r="DG3" s="2">
        <v>27</v>
      </c>
      <c r="DH3" s="2">
        <v>1</v>
      </c>
      <c r="DI3" s="2">
        <v>2</v>
      </c>
      <c r="DJ3" s="2">
        <v>3</v>
      </c>
      <c r="DK3" s="2" t="s">
        <v>12</v>
      </c>
      <c r="DL3" s="2" t="s">
        <v>12</v>
      </c>
      <c r="DM3" s="2" t="s">
        <v>12</v>
      </c>
      <c r="DN3" s="2" t="s">
        <v>12</v>
      </c>
      <c r="DO3" s="2" t="s">
        <v>12</v>
      </c>
      <c r="DP3" s="2" t="s">
        <v>12</v>
      </c>
      <c r="DQ3" s="2">
        <v>2</v>
      </c>
      <c r="DR3" s="2">
        <v>38</v>
      </c>
      <c r="DS3" s="2">
        <v>3</v>
      </c>
      <c r="DT3" s="2" t="s">
        <v>12</v>
      </c>
      <c r="DU3" s="2" t="s">
        <v>12</v>
      </c>
      <c r="DV3" s="2">
        <v>2</v>
      </c>
      <c r="DW3" s="2">
        <v>2</v>
      </c>
      <c r="DX3" s="2">
        <v>2</v>
      </c>
      <c r="DY3" s="2">
        <v>3</v>
      </c>
      <c r="DZ3" s="2">
        <v>35</v>
      </c>
      <c r="EA3" s="2" t="s">
        <v>12</v>
      </c>
      <c r="EB3" s="2" t="s">
        <v>12</v>
      </c>
      <c r="EC3" s="2" t="s">
        <v>12</v>
      </c>
      <c r="ED3" s="2" t="s">
        <v>12</v>
      </c>
    </row>
    <row r="4" spans="1:134" x14ac:dyDescent="0.25">
      <c r="C4" s="8" t="s">
        <v>245</v>
      </c>
      <c r="D4" s="53">
        <v>122385820</v>
      </c>
      <c r="E4" s="5">
        <v>7</v>
      </c>
      <c r="F4" s="2">
        <v>1</v>
      </c>
      <c r="G4" s="2">
        <v>58</v>
      </c>
      <c r="H4" s="2">
        <v>0.33845921116826339</v>
      </c>
      <c r="I4" s="2">
        <v>47</v>
      </c>
      <c r="J4" s="2">
        <v>-1.153005671500261</v>
      </c>
      <c r="K4" s="2">
        <v>3040</v>
      </c>
      <c r="L4" s="2">
        <v>-0.42760028049282411</v>
      </c>
      <c r="N4" s="2">
        <f t="shared" si="0"/>
        <v>-1.6221296055841319</v>
      </c>
      <c r="O4" s="2">
        <f t="shared" si="1"/>
        <v>-1.2836703944158685</v>
      </c>
      <c r="P4" s="2" t="s">
        <v>12</v>
      </c>
      <c r="R4" s="5">
        <f t="shared" si="2"/>
        <v>0.96150283575013051</v>
      </c>
      <c r="S4" s="5">
        <f t="shared" si="3"/>
        <v>-0.1915028357501305</v>
      </c>
      <c r="T4" s="2" t="s">
        <v>12</v>
      </c>
      <c r="V4" s="2">
        <f t="shared" si="4"/>
        <v>-0.57619985975358801</v>
      </c>
      <c r="W4" s="2">
        <f t="shared" si="5"/>
        <v>-1.0038001402464121</v>
      </c>
      <c r="X4" s="2">
        <v>-2.9058000000000002</v>
      </c>
      <c r="Y4" s="76">
        <f t="shared" si="44"/>
        <v>-3.2442592111682638</v>
      </c>
      <c r="Z4" s="76">
        <f t="shared" si="45"/>
        <v>-2</v>
      </c>
      <c r="AA4" s="2" t="str">
        <f t="shared" si="6"/>
        <v/>
      </c>
      <c r="AB4" s="2">
        <f t="shared" si="7"/>
        <v>-2.9058000000000002</v>
      </c>
      <c r="AC4" s="2">
        <v>76</v>
      </c>
      <c r="AD4" s="2">
        <v>0.77</v>
      </c>
      <c r="AE4" s="79">
        <f t="shared" si="46"/>
        <v>1.923005671500261</v>
      </c>
      <c r="AF4" s="79">
        <f t="shared" si="47"/>
        <v>2</v>
      </c>
      <c r="AG4" s="2" t="str">
        <f t="shared" si="8"/>
        <v/>
      </c>
      <c r="AH4" s="2">
        <f t="shared" si="9"/>
        <v>0.77</v>
      </c>
      <c r="AI4" s="2">
        <v>7400</v>
      </c>
      <c r="AJ4" s="2">
        <v>-1.58</v>
      </c>
      <c r="AK4" s="76">
        <f t="shared" si="48"/>
        <v>-1.152399719507176</v>
      </c>
      <c r="AL4" s="76">
        <f t="shared" si="49"/>
        <v>-2</v>
      </c>
      <c r="AM4" s="2" t="str">
        <f t="shared" si="10"/>
        <v/>
      </c>
      <c r="AN4" s="2">
        <f t="shared" si="11"/>
        <v>-1.58</v>
      </c>
      <c r="AP4" s="2" t="str">
        <f t="shared" si="12"/>
        <v/>
      </c>
      <c r="AQ4" s="2" t="e">
        <f t="shared" si="13"/>
        <v>#VALUE!</v>
      </c>
      <c r="AR4" s="2" t="s">
        <v>12</v>
      </c>
      <c r="AT4" s="2" t="str">
        <f t="shared" si="14"/>
        <v/>
      </c>
      <c r="AU4" s="2" t="e">
        <f t="shared" si="15"/>
        <v>#VALUE!</v>
      </c>
      <c r="AV4" s="2" t="s">
        <v>12</v>
      </c>
      <c r="AX4" s="2" t="str">
        <f t="shared" si="16"/>
        <v/>
      </c>
      <c r="AY4" s="2" t="e">
        <f t="shared" si="17"/>
        <v>#VALUE!</v>
      </c>
      <c r="BA4" s="78" t="e">
        <f t="shared" si="50"/>
        <v>#VALUE!</v>
      </c>
      <c r="BB4" s="78" t="e">
        <f t="shared" si="51"/>
        <v>#VALUE!</v>
      </c>
      <c r="BC4" s="2" t="str">
        <f t="shared" si="18"/>
        <v/>
      </c>
      <c r="BD4" s="2" t="e">
        <f t="shared" si="19"/>
        <v>#VALUE!</v>
      </c>
      <c r="BE4" s="67" t="e">
        <f t="shared" si="52"/>
        <v>#VALUE!</v>
      </c>
      <c r="BF4" s="2" t="s">
        <v>12</v>
      </c>
      <c r="BH4" s="2" t="str">
        <f t="shared" si="20"/>
        <v/>
      </c>
      <c r="BI4" s="2" t="e">
        <f t="shared" si="21"/>
        <v>#VALUE!</v>
      </c>
      <c r="BJ4" s="67" t="e">
        <f t="shared" si="22"/>
        <v>#VALUE!</v>
      </c>
      <c r="BK4" s="2" t="s">
        <v>12</v>
      </c>
      <c r="BM4" s="77" t="e">
        <f t="shared" si="53"/>
        <v>#VALUE!</v>
      </c>
      <c r="BN4" s="77" t="e">
        <f t="shared" si="54"/>
        <v>#VALUE!</v>
      </c>
      <c r="BO4" s="2" t="str">
        <f t="shared" si="23"/>
        <v/>
      </c>
      <c r="BP4" s="2" t="e">
        <f t="shared" si="24"/>
        <v>#VALUE!</v>
      </c>
      <c r="BQ4" s="67" t="e">
        <f t="shared" si="55"/>
        <v>#VALUE!</v>
      </c>
      <c r="BS4" s="75" t="e">
        <f t="shared" si="56"/>
        <v>#VALUE!</v>
      </c>
      <c r="BT4" s="75" t="e">
        <f t="shared" si="57"/>
        <v>#VALUE!</v>
      </c>
      <c r="BU4" s="5" t="str">
        <f t="shared" si="25"/>
        <v/>
      </c>
      <c r="BV4" s="5" t="e">
        <f t="shared" si="26"/>
        <v>#VALUE!</v>
      </c>
      <c r="BW4" s="69" t="e">
        <f t="shared" si="27"/>
        <v>#VALUE!</v>
      </c>
      <c r="BX4" s="2" t="s">
        <v>12</v>
      </c>
      <c r="BZ4" s="74" t="e">
        <f t="shared" si="58"/>
        <v>#VALUE!</v>
      </c>
      <c r="CA4" s="74" t="e">
        <f t="shared" si="59"/>
        <v>#VALUE!</v>
      </c>
      <c r="CB4" s="5" t="str">
        <f t="shared" si="28"/>
        <v/>
      </c>
      <c r="CC4" s="5" t="e">
        <f t="shared" si="29"/>
        <v>#VALUE!</v>
      </c>
      <c r="CD4" s="2" t="e">
        <f t="shared" si="30"/>
        <v>#VALUE!</v>
      </c>
      <c r="CE4" s="69" t="e">
        <f t="shared" si="31"/>
        <v>#VALUE!</v>
      </c>
      <c r="CF4" s="5" t="s">
        <v>12</v>
      </c>
      <c r="CH4" s="72" t="e">
        <f t="shared" si="60"/>
        <v>#VALUE!</v>
      </c>
      <c r="CI4" s="72" t="e">
        <f t="shared" si="61"/>
        <v>#VALUE!</v>
      </c>
      <c r="CJ4" s="5" t="str">
        <f t="shared" si="32"/>
        <v/>
      </c>
      <c r="CK4" s="5" t="e">
        <f t="shared" si="33"/>
        <v>#VALUE!</v>
      </c>
      <c r="CL4" s="69" t="e">
        <f t="shared" si="34"/>
        <v>#VALUE!</v>
      </c>
      <c r="CN4" s="70" t="str">
        <f t="shared" si="35"/>
        <v/>
      </c>
      <c r="CO4" s="5" t="e">
        <f t="shared" si="36"/>
        <v>#VALUE!</v>
      </c>
      <c r="CP4" s="5" t="e">
        <f>IF(G4&lt;48,"UF", IF(NOT(ISBLANK(CM:CM)), CM:CM, IF(BW:BW=1, BV:BV+Sheet2!B437, IF(Sheet1!BW:BW=2, Sheet1!BV:BV+Sheet2!B438, IF(Sheet1!BW:BW=7, Sheet1!BV:BV+Sheet2!B439,"")))))</f>
        <v>#VALUE!</v>
      </c>
      <c r="CQ4" s="69" t="e">
        <f t="shared" si="62"/>
        <v>#VALUE!</v>
      </c>
      <c r="CR4" s="5" t="s">
        <v>12</v>
      </c>
      <c r="CT4" s="5" t="str">
        <f t="shared" si="37"/>
        <v/>
      </c>
      <c r="CU4" s="80" t="e">
        <f t="shared" si="38"/>
        <v>#VALUE!</v>
      </c>
      <c r="CV4" s="80" t="e">
        <f t="shared" si="39"/>
        <v>#VALUE!</v>
      </c>
      <c r="CW4" s="20" t="e">
        <f>IF(G4&lt;48,"UF", IF(NOT(ISBLANK(CS4)), CS4, IF(CE4=5, CC4+Sheet2!B426, IF(CE4=6, CC4+Sheet2!B427, IF(CE4=7, CC4+Sheet2!B428,"")))))</f>
        <v>#VALUE!</v>
      </c>
      <c r="CX4" s="68" t="e">
        <f t="shared" si="63"/>
        <v>#VALUE!</v>
      </c>
      <c r="CY4" s="5" t="s">
        <v>12</v>
      </c>
      <c r="DA4" s="5" t="str">
        <f t="shared" si="40"/>
        <v/>
      </c>
      <c r="DB4" s="73" t="e">
        <f t="shared" si="41"/>
        <v>#VALUE!</v>
      </c>
      <c r="DC4" s="73" t="e">
        <f t="shared" si="42"/>
        <v>#VALUE!</v>
      </c>
      <c r="DD4" s="5" t="e">
        <f>IF(G4&lt;48,"UF", IF(NOT(ISBLANK(CZ:CZ)), CZ:CZ, IF(CL:CL=3, CK:CK+Sheet2!B431, IF(CL:CL=4, CK:CK+Sheet2!B432, IF(CL:CL=7, CK:CK+Sheet2!B433,"")))))</f>
        <v>#VALUE!</v>
      </c>
      <c r="DE4" s="69" t="e">
        <f t="shared" si="43"/>
        <v>#VALUE!</v>
      </c>
      <c r="DF4" s="2">
        <v>6</v>
      </c>
      <c r="DG4" s="2">
        <v>32</v>
      </c>
      <c r="DH4" s="2">
        <v>2</v>
      </c>
      <c r="DI4" s="2">
        <v>2</v>
      </c>
      <c r="DJ4" s="2">
        <v>3</v>
      </c>
      <c r="DK4" s="2" t="s">
        <v>12</v>
      </c>
      <c r="DL4" s="2" t="s">
        <v>12</v>
      </c>
      <c r="DM4" s="2" t="s">
        <v>12</v>
      </c>
      <c r="DN4" s="2" t="s">
        <v>12</v>
      </c>
      <c r="DO4" s="2" t="s">
        <v>12</v>
      </c>
      <c r="DP4" s="2" t="s">
        <v>12</v>
      </c>
      <c r="DQ4" s="2">
        <v>2</v>
      </c>
      <c r="DR4" s="2">
        <v>40</v>
      </c>
      <c r="DS4" s="2">
        <v>3</v>
      </c>
      <c r="DT4" s="2" t="s">
        <v>12</v>
      </c>
      <c r="DU4" s="2" t="s">
        <v>12</v>
      </c>
      <c r="DV4" s="2">
        <v>3</v>
      </c>
      <c r="DW4" s="2">
        <v>3</v>
      </c>
      <c r="DX4" s="2">
        <v>2</v>
      </c>
      <c r="DY4" s="2">
        <v>2</v>
      </c>
      <c r="DZ4" s="2">
        <v>34.5</v>
      </c>
      <c r="EA4" s="2">
        <v>44.5</v>
      </c>
      <c r="EB4" s="2" t="s">
        <v>12</v>
      </c>
      <c r="EC4" s="2">
        <v>1</v>
      </c>
      <c r="ED4" s="2" t="s">
        <v>12</v>
      </c>
    </row>
    <row r="5" spans="1:134" x14ac:dyDescent="0.25">
      <c r="C5" s="8" t="s">
        <v>216</v>
      </c>
      <c r="D5" s="8">
        <v>122396112</v>
      </c>
      <c r="E5" s="5">
        <v>7</v>
      </c>
      <c r="F5" s="2">
        <v>2</v>
      </c>
      <c r="G5" s="2">
        <v>59</v>
      </c>
      <c r="H5" s="2">
        <v>-1.3642828206616811</v>
      </c>
      <c r="I5" s="2">
        <v>52</v>
      </c>
      <c r="J5" s="2">
        <v>1.117633928075521</v>
      </c>
      <c r="K5" s="2">
        <v>3190</v>
      </c>
      <c r="L5" s="2">
        <v>-0.32507199322425828</v>
      </c>
      <c r="M5" s="2">
        <v>1.9963</v>
      </c>
      <c r="N5" s="2">
        <f t="shared" si="0"/>
        <v>1.8599414103308405</v>
      </c>
      <c r="O5" s="2">
        <f t="shared" si="1"/>
        <v>1.9963</v>
      </c>
      <c r="P5" s="2">
        <v>67</v>
      </c>
      <c r="Q5" s="2">
        <v>-0.3</v>
      </c>
      <c r="R5" s="5">
        <f t="shared" si="2"/>
        <v>-0.71381696403776052</v>
      </c>
      <c r="S5" s="5">
        <f t="shared" si="3"/>
        <v>-0.3</v>
      </c>
      <c r="T5" s="2">
        <v>9200</v>
      </c>
      <c r="U5" s="2">
        <v>1.36</v>
      </c>
      <c r="V5" s="2">
        <f t="shared" si="4"/>
        <v>0.97253599661212919</v>
      </c>
      <c r="W5" s="2">
        <f t="shared" si="5"/>
        <v>1.36</v>
      </c>
      <c r="X5" s="2">
        <v>2.3555999999999999</v>
      </c>
      <c r="Y5" s="76">
        <f t="shared" si="44"/>
        <v>3.719882820661681</v>
      </c>
      <c r="Z5" s="76">
        <f t="shared" si="45"/>
        <v>2</v>
      </c>
      <c r="AA5" s="2">
        <f t="shared" si="6"/>
        <v>1.2077499999999999</v>
      </c>
      <c r="AB5" s="2">
        <f t="shared" si="7"/>
        <v>2.3555999999999999</v>
      </c>
      <c r="AC5" s="2">
        <v>75</v>
      </c>
      <c r="AD5" s="2">
        <v>-0.31</v>
      </c>
      <c r="AE5" s="79">
        <f t="shared" si="46"/>
        <v>-1.427633928075521</v>
      </c>
      <c r="AF5" s="79">
        <f t="shared" si="47"/>
        <v>-2</v>
      </c>
      <c r="AG5" s="2">
        <f t="shared" si="8"/>
        <v>-0.27</v>
      </c>
      <c r="AH5" s="2">
        <f t="shared" si="9"/>
        <v>-0.31</v>
      </c>
      <c r="AI5" s="2">
        <v>11500</v>
      </c>
      <c r="AJ5" s="2">
        <v>1.62</v>
      </c>
      <c r="AK5" s="76">
        <f t="shared" si="48"/>
        <v>1.9450719932242584</v>
      </c>
      <c r="AL5" s="76">
        <f t="shared" si="49"/>
        <v>2</v>
      </c>
      <c r="AM5" s="2">
        <f t="shared" si="10"/>
        <v>-0.15000000000000002</v>
      </c>
      <c r="AN5" s="2">
        <f t="shared" si="11"/>
        <v>1.62</v>
      </c>
      <c r="AO5" s="2">
        <v>2.1154999999999999</v>
      </c>
      <c r="AP5" s="2">
        <f t="shared" si="12"/>
        <v>-0.74312789335088447</v>
      </c>
      <c r="AQ5" s="2">
        <f t="shared" si="13"/>
        <v>2.1154999999999999</v>
      </c>
      <c r="AR5" s="2">
        <v>80</v>
      </c>
      <c r="AS5" s="2">
        <v>-0.84</v>
      </c>
      <c r="AT5" s="2">
        <f t="shared" si="14"/>
        <v>0.17472046099855978</v>
      </c>
      <c r="AU5" s="2">
        <f t="shared" si="15"/>
        <v>-0.84</v>
      </c>
      <c r="AV5" s="2">
        <v>12300</v>
      </c>
      <c r="AW5" s="2">
        <v>1.06</v>
      </c>
      <c r="AX5" s="2">
        <f t="shared" si="16"/>
        <v>-0.54438310763569542</v>
      </c>
      <c r="AY5" s="2">
        <f t="shared" si="17"/>
        <v>1.06</v>
      </c>
      <c r="AZ5" s="2">
        <v>0.86934421329823097</v>
      </c>
      <c r="BA5" s="78">
        <f t="shared" si="50"/>
        <v>-1.4862557867017689</v>
      </c>
      <c r="BB5" s="78">
        <f t="shared" si="51"/>
        <v>-2</v>
      </c>
      <c r="BC5" s="2">
        <f t="shared" si="18"/>
        <v>-0.88212257239282621</v>
      </c>
      <c r="BD5" s="2">
        <f t="shared" si="19"/>
        <v>0.86934421329823097</v>
      </c>
      <c r="BE5" s="67">
        <f t="shared" si="52"/>
        <v>7</v>
      </c>
      <c r="BF5" s="2">
        <v>87</v>
      </c>
      <c r="BG5" s="2">
        <v>3.9440921997119571E-2</v>
      </c>
      <c r="BH5" s="2">
        <f t="shared" si="20"/>
        <v>0.42716352059306212</v>
      </c>
      <c r="BI5" s="2">
        <f t="shared" si="21"/>
        <v>3.9440921997119571E-2</v>
      </c>
      <c r="BJ5" s="67">
        <f t="shared" si="22"/>
        <v>7</v>
      </c>
      <c r="BK5" s="2">
        <v>13500</v>
      </c>
      <c r="BL5" s="2">
        <v>0.53123378472860927</v>
      </c>
      <c r="BM5" s="77">
        <f t="shared" si="53"/>
        <v>-1.0887662152713908</v>
      </c>
      <c r="BN5" s="77">
        <f t="shared" si="54"/>
        <v>-2</v>
      </c>
      <c r="BO5" s="2">
        <f t="shared" si="23"/>
        <v>-0.33329924874322397</v>
      </c>
      <c r="BP5" s="2">
        <f t="shared" si="24"/>
        <v>0.53123378472860927</v>
      </c>
      <c r="BQ5" s="67">
        <f t="shared" si="55"/>
        <v>7</v>
      </c>
      <c r="BR5" s="5">
        <v>-0.53086771717847847</v>
      </c>
      <c r="BS5" s="75">
        <f t="shared" si="56"/>
        <v>-1.4002119304767096</v>
      </c>
      <c r="BT5" s="75">
        <f t="shared" si="57"/>
        <v>-2</v>
      </c>
      <c r="BU5" s="5">
        <f t="shared" si="25"/>
        <v>-0.32466335010651826</v>
      </c>
      <c r="BV5" s="5">
        <f t="shared" si="26"/>
        <v>-0.53086771717847847</v>
      </c>
      <c r="BW5" s="69">
        <f t="shared" si="27"/>
        <v>7</v>
      </c>
      <c r="BX5" s="2">
        <v>97</v>
      </c>
      <c r="BY5" s="5">
        <v>0.44149056177918639</v>
      </c>
      <c r="BZ5" s="74">
        <f t="shared" si="58"/>
        <v>-8.9743222949422885E-2</v>
      </c>
      <c r="CA5" s="74">
        <f t="shared" si="59"/>
        <v>-1</v>
      </c>
      <c r="CB5" s="5">
        <f t="shared" si="28"/>
        <v>-0.19814477217870405</v>
      </c>
      <c r="CC5" s="5">
        <f t="shared" si="29"/>
        <v>0.44149056177918639</v>
      </c>
      <c r="CD5" s="2">
        <f t="shared" si="30"/>
        <v>0.40204963978206681</v>
      </c>
      <c r="CE5" s="69">
        <f t="shared" si="31"/>
        <v>7</v>
      </c>
      <c r="CF5" s="5">
        <v>14500</v>
      </c>
      <c r="CG5" s="5">
        <v>6.0102253770328191E-2</v>
      </c>
      <c r="CH5" s="72">
        <f t="shared" si="60"/>
        <v>-0.47113153095828109</v>
      </c>
      <c r="CI5" s="72">
        <f t="shared" si="61"/>
        <v>-1</v>
      </c>
      <c r="CJ5" s="5">
        <f t="shared" si="32"/>
        <v>-0.2956516592872413</v>
      </c>
      <c r="CK5" s="5">
        <f t="shared" si="33"/>
        <v>6.0102253770328191E-2</v>
      </c>
      <c r="CL5" s="69">
        <f t="shared" si="34"/>
        <v>7</v>
      </c>
      <c r="CM5" s="5">
        <v>0.2200175130851944</v>
      </c>
      <c r="CN5" s="70">
        <f t="shared" si="35"/>
        <v>0.75088523026367282</v>
      </c>
      <c r="CO5" s="5">
        <f t="shared" si="36"/>
        <v>0.75088523026367282</v>
      </c>
      <c r="CP5" s="5">
        <f>IF(G5&lt;48,"UF", IF(NOT(ISBLANK(CM:CM)), CM:CM, IF(BW:BW=1, BV:BV+Sheet2!B430, IF(Sheet1!BW:BW=2, Sheet1!BV:BV+Sheet2!B431, IF(Sheet1!BW:BW=7, Sheet1!BV:BV+Sheet2!B432,"")))))</f>
        <v>0.2200175130851944</v>
      </c>
      <c r="CQ5" s="69">
        <f t="shared" si="62"/>
        <v>7</v>
      </c>
      <c r="CR5" s="5">
        <v>101</v>
      </c>
      <c r="CS5" s="5">
        <v>-0.35684862236028853</v>
      </c>
      <c r="CT5" s="5">
        <f t="shared" si="37"/>
        <v>-0.79833918413947491</v>
      </c>
      <c r="CU5" s="80">
        <f t="shared" si="38"/>
        <v>-0.79833918413947491</v>
      </c>
      <c r="CV5" s="80">
        <f t="shared" si="39"/>
        <v>-2</v>
      </c>
      <c r="CW5" s="20">
        <f>IF(G5&lt;48,"UF", IF(NOT(ISBLANK(CS5)), CS5, IF(CE5=5, CC5+Sheet2!B419, IF(CE5=6, CC5+Sheet2!B420, IF(CE5=7, CC5+Sheet2!B421,"")))))</f>
        <v>-0.35684862236028853</v>
      </c>
      <c r="CX5" s="68">
        <f t="shared" si="63"/>
        <v>7</v>
      </c>
      <c r="CY5" s="5">
        <v>16200</v>
      </c>
      <c r="CZ5" s="5">
        <v>-6.0069533845873331E-2</v>
      </c>
      <c r="DA5" s="5">
        <f t="shared" si="40"/>
        <v>-0.12017178761620152</v>
      </c>
      <c r="DB5" s="73">
        <f t="shared" si="41"/>
        <v>-0.12017178761620152</v>
      </c>
      <c r="DC5" s="73">
        <f t="shared" si="42"/>
        <v>-1</v>
      </c>
      <c r="DD5" s="5">
        <f>IF(G5&lt;48,"UF", IF(NOT(ISBLANK(CZ:CZ)), CZ:CZ, IF(CL:CL=3, CK:CK+Sheet2!B424, IF(CL:CL=4, CK:CK+Sheet2!B425, IF(CL:CL=7, CK:CK+Sheet2!B426,"")))))</f>
        <v>-6.0069533845873331E-2</v>
      </c>
      <c r="DE5" s="69">
        <f t="shared" si="43"/>
        <v>7</v>
      </c>
      <c r="DF5" s="2">
        <v>5</v>
      </c>
      <c r="DG5" s="2">
        <v>36</v>
      </c>
      <c r="DH5" s="2">
        <v>2</v>
      </c>
      <c r="DI5" s="2">
        <v>2</v>
      </c>
      <c r="DJ5" s="2">
        <v>2</v>
      </c>
      <c r="DK5" s="2">
        <v>115</v>
      </c>
      <c r="DL5" s="2">
        <v>60</v>
      </c>
      <c r="DM5" s="2" t="s">
        <v>12</v>
      </c>
      <c r="DN5" s="2" t="s">
        <v>12</v>
      </c>
      <c r="DO5" s="2" t="s">
        <v>12</v>
      </c>
      <c r="DP5" s="2" t="s">
        <v>12</v>
      </c>
      <c r="DQ5" s="2">
        <v>2</v>
      </c>
      <c r="DR5" s="2">
        <v>38</v>
      </c>
      <c r="DS5" s="2">
        <v>2</v>
      </c>
      <c r="DT5" s="2">
        <v>76</v>
      </c>
      <c r="DU5" s="2">
        <v>70</v>
      </c>
      <c r="DV5" s="2">
        <v>2</v>
      </c>
      <c r="DW5" s="2">
        <v>2</v>
      </c>
      <c r="DX5" s="2">
        <v>2</v>
      </c>
      <c r="DY5" s="2">
        <v>3</v>
      </c>
      <c r="DZ5" s="2">
        <v>35</v>
      </c>
      <c r="EA5" s="2" t="s">
        <v>12</v>
      </c>
      <c r="EB5" s="2">
        <v>46.5</v>
      </c>
      <c r="EC5" s="2" t="s">
        <v>12</v>
      </c>
      <c r="ED5" s="2">
        <v>1</v>
      </c>
    </row>
    <row r="6" spans="1:134" s="59" customFormat="1" x14ac:dyDescent="0.25">
      <c r="C6" s="60" t="s">
        <v>395</v>
      </c>
      <c r="D6" s="61">
        <v>122414846</v>
      </c>
      <c r="E6" s="62">
        <v>7</v>
      </c>
      <c r="F6" s="60">
        <v>1</v>
      </c>
      <c r="G6" s="60">
        <v>58</v>
      </c>
      <c r="H6" s="60">
        <v>1.1194580007436581</v>
      </c>
      <c r="I6" s="60">
        <v>50</v>
      </c>
      <c r="J6" s="60">
        <v>0.45756143734440202</v>
      </c>
      <c r="K6" s="63">
        <v>3700</v>
      </c>
      <c r="L6" s="60">
        <v>0.97883011041566159</v>
      </c>
      <c r="M6" s="60">
        <v>0.20019999999999999</v>
      </c>
      <c r="N6" s="60" t="str">
        <f t="shared" si="0"/>
        <v/>
      </c>
      <c r="O6" s="60">
        <f t="shared" si="1"/>
        <v>0.20019999999999999</v>
      </c>
      <c r="P6" s="60">
        <v>66</v>
      </c>
      <c r="Q6" s="60">
        <v>0.11</v>
      </c>
      <c r="R6" s="63" t="str">
        <f t="shared" si="2"/>
        <v/>
      </c>
      <c r="S6" s="63">
        <f t="shared" si="3"/>
        <v>0.11</v>
      </c>
      <c r="T6" s="64">
        <v>7500</v>
      </c>
      <c r="U6" s="60">
        <v>0.22</v>
      </c>
      <c r="V6" s="60" t="str">
        <f t="shared" si="4"/>
        <v/>
      </c>
      <c r="W6" s="60">
        <f t="shared" si="5"/>
        <v>0.22</v>
      </c>
      <c r="X6" s="60"/>
      <c r="Y6" s="76">
        <f t="shared" si="44"/>
        <v>-0.73205800074365812</v>
      </c>
      <c r="Z6" s="76">
        <f t="shared" si="45"/>
        <v>-2</v>
      </c>
      <c r="AA6" s="60">
        <f t="shared" si="6"/>
        <v>0.18720000000000001</v>
      </c>
      <c r="AB6" s="60">
        <f t="shared" si="7"/>
        <v>0.38739999999999997</v>
      </c>
      <c r="AC6" s="60" t="s">
        <v>12</v>
      </c>
      <c r="AD6" s="60"/>
      <c r="AE6" s="79">
        <f t="shared" si="46"/>
        <v>-0.52756143734440197</v>
      </c>
      <c r="AF6" s="79">
        <f t="shared" si="47"/>
        <v>-1</v>
      </c>
      <c r="AG6" s="60">
        <f t="shared" si="8"/>
        <v>-0.18</v>
      </c>
      <c r="AH6" s="60">
        <f t="shared" si="9"/>
        <v>-6.9999999999999993E-2</v>
      </c>
      <c r="AI6" s="60" t="s">
        <v>12</v>
      </c>
      <c r="AJ6" s="60"/>
      <c r="AK6" s="76">
        <f t="shared" si="48"/>
        <v>-0.76383011041566162</v>
      </c>
      <c r="AL6" s="76">
        <f t="shared" si="49"/>
        <v>-2</v>
      </c>
      <c r="AM6" s="60">
        <f t="shared" si="10"/>
        <v>-5.0000000000000044E-3</v>
      </c>
      <c r="AN6" s="60">
        <f t="shared" si="11"/>
        <v>0.215</v>
      </c>
      <c r="AO6" s="60">
        <v>0.4844</v>
      </c>
      <c r="AP6" s="60">
        <f t="shared" si="12"/>
        <v>-0.11548134064909889</v>
      </c>
      <c r="AQ6" s="60">
        <f t="shared" si="13"/>
        <v>0.4844</v>
      </c>
      <c r="AR6" s="60">
        <v>80</v>
      </c>
      <c r="AS6" s="60">
        <v>-0.25</v>
      </c>
      <c r="AT6" s="60">
        <f t="shared" si="14"/>
        <v>-2.1926630174520005E-2</v>
      </c>
      <c r="AU6" s="60">
        <f t="shared" si="15"/>
        <v>-0.25</v>
      </c>
      <c r="AV6" s="60">
        <v>10500</v>
      </c>
      <c r="AW6" s="60">
        <v>0.21</v>
      </c>
      <c r="AX6" s="60">
        <f t="shared" si="16"/>
        <v>-0.15946489070164366</v>
      </c>
      <c r="AY6" s="60">
        <f t="shared" si="17"/>
        <v>0.21</v>
      </c>
      <c r="AZ6" s="60">
        <v>0.15643731870180219</v>
      </c>
      <c r="BA6" s="78">
        <f t="shared" si="50"/>
        <v>-0.23096268129819778</v>
      </c>
      <c r="BB6" s="78">
        <f t="shared" si="51"/>
        <v>-1</v>
      </c>
      <c r="BC6" s="60" t="str">
        <f t="shared" si="18"/>
        <v/>
      </c>
      <c r="BD6" s="60">
        <f t="shared" si="19"/>
        <v>0.15643731870180219</v>
      </c>
      <c r="BE6" s="67">
        <f t="shared" si="52"/>
        <v>7</v>
      </c>
      <c r="BF6" s="60">
        <v>85</v>
      </c>
      <c r="BG6" s="60">
        <v>-0.11385326034904</v>
      </c>
      <c r="BH6" s="60" t="str">
        <f t="shared" si="20"/>
        <v/>
      </c>
      <c r="BI6" s="60">
        <f t="shared" si="21"/>
        <v>-0.11385326034904</v>
      </c>
      <c r="BJ6" s="67">
        <f t="shared" si="22"/>
        <v>7</v>
      </c>
      <c r="BK6" s="60">
        <v>12000</v>
      </c>
      <c r="BL6" s="60">
        <v>-0.10392978140328731</v>
      </c>
      <c r="BM6" s="77">
        <f t="shared" si="53"/>
        <v>-0.31892978140328732</v>
      </c>
      <c r="BN6" s="77">
        <f t="shared" si="54"/>
        <v>-1</v>
      </c>
      <c r="BO6" s="60" t="str">
        <f t="shared" si="23"/>
        <v/>
      </c>
      <c r="BP6" s="60">
        <f t="shared" si="24"/>
        <v>-0.10392978140328731</v>
      </c>
      <c r="BQ6" s="67">
        <f t="shared" si="55"/>
        <v>7</v>
      </c>
      <c r="BR6" s="63"/>
      <c r="BS6" s="75" t="e">
        <f t="shared" si="56"/>
        <v>#VALUE!</v>
      </c>
      <c r="BT6" s="75" t="e">
        <f t="shared" si="57"/>
        <v>#VALUE!</v>
      </c>
      <c r="BU6" s="63" t="str">
        <f t="shared" si="25"/>
        <v/>
      </c>
      <c r="BV6" s="63" t="e">
        <f t="shared" si="26"/>
        <v>#VALUE!</v>
      </c>
      <c r="BW6" s="69" t="e">
        <f t="shared" si="27"/>
        <v>#VALUE!</v>
      </c>
      <c r="BX6" s="60" t="s">
        <v>12</v>
      </c>
      <c r="BY6" s="63"/>
      <c r="BZ6" s="74" t="e">
        <f t="shared" si="58"/>
        <v>#VALUE!</v>
      </c>
      <c r="CA6" s="74" t="e">
        <f t="shared" si="59"/>
        <v>#VALUE!</v>
      </c>
      <c r="CB6" s="63" t="str">
        <f t="shared" si="28"/>
        <v/>
      </c>
      <c r="CC6" s="63" t="e">
        <f t="shared" si="29"/>
        <v>#VALUE!</v>
      </c>
      <c r="CD6" s="60" t="e">
        <f t="shared" si="30"/>
        <v>#VALUE!</v>
      </c>
      <c r="CE6" s="69" t="e">
        <f t="shared" si="31"/>
        <v>#VALUE!</v>
      </c>
      <c r="CF6" s="63" t="s">
        <v>12</v>
      </c>
      <c r="CG6" s="63"/>
      <c r="CH6" s="72" t="e">
        <f t="shared" si="60"/>
        <v>#VALUE!</v>
      </c>
      <c r="CI6" s="72" t="e">
        <f t="shared" si="61"/>
        <v>#VALUE!</v>
      </c>
      <c r="CJ6" s="63" t="str">
        <f t="shared" si="32"/>
        <v/>
      </c>
      <c r="CK6" s="63" t="e">
        <f t="shared" si="33"/>
        <v>#VALUE!</v>
      </c>
      <c r="CL6" s="69" t="e">
        <f t="shared" si="34"/>
        <v>#VALUE!</v>
      </c>
      <c r="CM6" s="63"/>
      <c r="CN6" s="70" t="str">
        <f t="shared" si="35"/>
        <v/>
      </c>
      <c r="CO6" s="5" t="e">
        <f t="shared" si="36"/>
        <v>#VALUE!</v>
      </c>
      <c r="CP6" s="63" t="e">
        <f>IF(G6&lt;48,"UF", IF(NOT(ISBLANK(CM:CM)), CM:CM, IF(BW:BW=1, BV:BV+Sheet2!B613, IF(Sheet1!BW:BW=2, Sheet1!BV:BV+Sheet2!B614, IF(Sheet1!BW:BW=7, Sheet1!BV:BV+Sheet2!B615,"")))))</f>
        <v>#VALUE!</v>
      </c>
      <c r="CQ6" s="69" t="e">
        <f t="shared" si="62"/>
        <v>#VALUE!</v>
      </c>
      <c r="CR6" s="63" t="s">
        <v>12</v>
      </c>
      <c r="CS6" s="63"/>
      <c r="CT6" s="5" t="str">
        <f t="shared" si="37"/>
        <v/>
      </c>
      <c r="CU6" s="80" t="e">
        <f t="shared" si="38"/>
        <v>#VALUE!</v>
      </c>
      <c r="CV6" s="80" t="e">
        <f t="shared" si="39"/>
        <v>#VALUE!</v>
      </c>
      <c r="CW6" s="65" t="e">
        <f>IF(G6&lt;48,"UF", IF(NOT(ISBLANK(CS6)), CS6, IF(CE6=5, CC6+Sheet2!B602, IF(CE6=6, CC6+Sheet2!B603, IF(CE6=7, CC6+Sheet2!B604,"")))))</f>
        <v>#VALUE!</v>
      </c>
      <c r="CX6" s="68" t="e">
        <f t="shared" si="63"/>
        <v>#VALUE!</v>
      </c>
      <c r="CY6" s="63" t="s">
        <v>12</v>
      </c>
      <c r="CZ6" s="63"/>
      <c r="DA6" s="5" t="str">
        <f t="shared" si="40"/>
        <v/>
      </c>
      <c r="DB6" s="73" t="e">
        <f t="shared" si="41"/>
        <v>#VALUE!</v>
      </c>
      <c r="DC6" s="73" t="e">
        <f t="shared" si="42"/>
        <v>#VALUE!</v>
      </c>
      <c r="DD6" s="63" t="e">
        <f>IF(G6&lt;48,"UF", IF(NOT(ISBLANK(CZ:CZ)), CZ:CZ, IF(CL:CL=3, CK:CK+Sheet2!B607, IF(CL:CL=4, CK:CK+Sheet2!B608, IF(CL:CL=7, CK:CK+Sheet2!B609,"")))))</f>
        <v>#VALUE!</v>
      </c>
      <c r="DE6" s="69" t="e">
        <f t="shared" si="43"/>
        <v>#VALUE!</v>
      </c>
      <c r="DF6" s="60">
        <v>3</v>
      </c>
      <c r="DG6" s="60">
        <v>23</v>
      </c>
      <c r="DH6" s="60">
        <v>2</v>
      </c>
      <c r="DI6" s="60">
        <v>2</v>
      </c>
      <c r="DJ6" s="60">
        <v>2</v>
      </c>
      <c r="DK6" s="60">
        <v>90</v>
      </c>
      <c r="DL6" s="60">
        <v>65</v>
      </c>
      <c r="DM6" s="60">
        <v>110</v>
      </c>
      <c r="DN6" s="60">
        <v>70</v>
      </c>
      <c r="DO6" s="60">
        <v>100</v>
      </c>
      <c r="DP6" s="60">
        <v>60</v>
      </c>
      <c r="DQ6" s="60">
        <v>2</v>
      </c>
      <c r="DR6" s="60">
        <v>40</v>
      </c>
      <c r="DS6" s="60">
        <v>2</v>
      </c>
      <c r="DT6" s="60">
        <v>83</v>
      </c>
      <c r="DU6" s="60">
        <v>68</v>
      </c>
      <c r="DV6" s="60">
        <v>2</v>
      </c>
      <c r="DW6" s="60">
        <v>3</v>
      </c>
      <c r="DX6" s="60">
        <v>1</v>
      </c>
      <c r="DY6" s="60">
        <v>2</v>
      </c>
      <c r="DZ6" s="60">
        <v>36</v>
      </c>
      <c r="EA6" s="60">
        <v>37</v>
      </c>
      <c r="EB6" s="60">
        <v>44</v>
      </c>
      <c r="EC6" s="60">
        <v>1</v>
      </c>
      <c r="ED6" s="60">
        <v>1</v>
      </c>
    </row>
    <row r="7" spans="1:134" x14ac:dyDescent="0.25">
      <c r="C7" s="8" t="s">
        <v>216</v>
      </c>
      <c r="D7" s="8">
        <v>122431826</v>
      </c>
      <c r="E7" s="5">
        <v>7</v>
      </c>
      <c r="F7" s="2">
        <v>2</v>
      </c>
      <c r="G7" s="2">
        <v>59</v>
      </c>
      <c r="H7" s="2">
        <v>-0.9107393947200394</v>
      </c>
      <c r="I7" s="2">
        <v>51</v>
      </c>
      <c r="J7" s="2">
        <v>0.58940135287155082</v>
      </c>
      <c r="K7" s="1">
        <v>3200</v>
      </c>
      <c r="L7" s="2">
        <v>-0.30398057951686752</v>
      </c>
      <c r="N7" s="2">
        <f t="shared" si="0"/>
        <v>0.76251969736001968</v>
      </c>
      <c r="O7" s="2">
        <f t="shared" si="1"/>
        <v>-0.14821969736001972</v>
      </c>
      <c r="P7" s="2" t="s">
        <v>12</v>
      </c>
      <c r="R7" s="5">
        <f t="shared" si="2"/>
        <v>-1.2897006764357755</v>
      </c>
      <c r="S7" s="5">
        <f t="shared" si="3"/>
        <v>-0.70029932356422464</v>
      </c>
      <c r="T7" s="2" t="s">
        <v>12</v>
      </c>
      <c r="V7" s="2">
        <f t="shared" si="4"/>
        <v>-0.21300971024156623</v>
      </c>
      <c r="W7" s="2">
        <f t="shared" si="5"/>
        <v>-0.51699028975843375</v>
      </c>
      <c r="X7" s="2">
        <v>0.61429999999999996</v>
      </c>
      <c r="Y7" s="76">
        <f t="shared" si="44"/>
        <v>1.5250393947200394</v>
      </c>
      <c r="Z7" s="76">
        <f t="shared" si="45"/>
        <v>2</v>
      </c>
      <c r="AA7" s="2" t="str">
        <f t="shared" si="6"/>
        <v/>
      </c>
      <c r="AB7" s="2">
        <f t="shared" si="7"/>
        <v>0.61429999999999996</v>
      </c>
      <c r="AC7" s="2">
        <v>71</v>
      </c>
      <c r="AD7" s="2">
        <v>-1.99</v>
      </c>
      <c r="AE7" s="79">
        <f t="shared" si="46"/>
        <v>-2.5794013528715509</v>
      </c>
      <c r="AF7" s="79">
        <f t="shared" si="47"/>
        <v>-2</v>
      </c>
      <c r="AG7" s="2" t="str">
        <f t="shared" si="8"/>
        <v/>
      </c>
      <c r="AH7" s="2">
        <f t="shared" si="9"/>
        <v>-1.99</v>
      </c>
      <c r="AI7" s="2">
        <v>8900</v>
      </c>
      <c r="AJ7" s="2">
        <v>-0.73</v>
      </c>
      <c r="AK7" s="76">
        <f t="shared" si="48"/>
        <v>-0.42601942048313246</v>
      </c>
      <c r="AL7" s="76">
        <f t="shared" si="49"/>
        <v>-1</v>
      </c>
      <c r="AM7" s="2" t="str">
        <f t="shared" si="10"/>
        <v/>
      </c>
      <c r="AN7" s="2">
        <f t="shared" si="11"/>
        <v>-0.73</v>
      </c>
      <c r="AP7" s="2" t="str">
        <f t="shared" si="12"/>
        <v/>
      </c>
      <c r="AQ7" s="2" t="e">
        <f t="shared" si="13"/>
        <v>#VALUE!</v>
      </c>
      <c r="AR7" s="2" t="s">
        <v>12</v>
      </c>
      <c r="AT7" s="2" t="str">
        <f t="shared" si="14"/>
        <v/>
      </c>
      <c r="AU7" s="2" t="e">
        <f t="shared" si="15"/>
        <v>#VALUE!</v>
      </c>
      <c r="AV7" s="2" t="s">
        <v>12</v>
      </c>
      <c r="AX7" s="2" t="str">
        <f t="shared" si="16"/>
        <v/>
      </c>
      <c r="AY7" s="2" t="e">
        <f t="shared" si="17"/>
        <v>#VALUE!</v>
      </c>
      <c r="BA7" s="78" t="e">
        <f t="shared" si="50"/>
        <v>#VALUE!</v>
      </c>
      <c r="BB7" s="78" t="e">
        <f t="shared" si="51"/>
        <v>#VALUE!</v>
      </c>
      <c r="BC7" s="2" t="str">
        <f t="shared" si="18"/>
        <v/>
      </c>
      <c r="BD7" s="2" t="e">
        <f t="shared" si="19"/>
        <v>#VALUE!</v>
      </c>
      <c r="BE7" s="67" t="e">
        <f t="shared" si="52"/>
        <v>#VALUE!</v>
      </c>
      <c r="BF7" s="2" t="s">
        <v>12</v>
      </c>
      <c r="BH7" s="2" t="str">
        <f t="shared" si="20"/>
        <v/>
      </c>
      <c r="BI7" s="2" t="e">
        <f t="shared" si="21"/>
        <v>#VALUE!</v>
      </c>
      <c r="BJ7" s="67" t="e">
        <f t="shared" si="22"/>
        <v>#VALUE!</v>
      </c>
      <c r="BK7" s="2" t="s">
        <v>12</v>
      </c>
      <c r="BM7" s="77" t="e">
        <f t="shared" si="53"/>
        <v>#VALUE!</v>
      </c>
      <c r="BN7" s="77" t="e">
        <f t="shared" si="54"/>
        <v>#VALUE!</v>
      </c>
      <c r="BO7" s="2" t="str">
        <f t="shared" si="23"/>
        <v/>
      </c>
      <c r="BP7" s="2" t="e">
        <f t="shared" si="24"/>
        <v>#VALUE!</v>
      </c>
      <c r="BQ7" s="67" t="e">
        <f t="shared" si="55"/>
        <v>#VALUE!</v>
      </c>
      <c r="BS7" s="75" t="e">
        <f t="shared" si="56"/>
        <v>#VALUE!</v>
      </c>
      <c r="BT7" s="75" t="e">
        <f t="shared" si="57"/>
        <v>#VALUE!</v>
      </c>
      <c r="BU7" s="5" t="str">
        <f t="shared" si="25"/>
        <v/>
      </c>
      <c r="BV7" s="5" t="e">
        <f t="shared" si="26"/>
        <v>#VALUE!</v>
      </c>
      <c r="BW7" s="69" t="e">
        <f t="shared" si="27"/>
        <v>#VALUE!</v>
      </c>
      <c r="BX7" s="2" t="s">
        <v>12</v>
      </c>
      <c r="BZ7" s="74" t="e">
        <f t="shared" si="58"/>
        <v>#VALUE!</v>
      </c>
      <c r="CA7" s="74" t="e">
        <f t="shared" si="59"/>
        <v>#VALUE!</v>
      </c>
      <c r="CB7" s="5" t="str">
        <f t="shared" si="28"/>
        <v/>
      </c>
      <c r="CC7" s="5" t="e">
        <f t="shared" si="29"/>
        <v>#VALUE!</v>
      </c>
      <c r="CD7" s="2" t="e">
        <f t="shared" si="30"/>
        <v>#VALUE!</v>
      </c>
      <c r="CE7" s="69" t="e">
        <f t="shared" si="31"/>
        <v>#VALUE!</v>
      </c>
      <c r="CF7" s="5" t="s">
        <v>12</v>
      </c>
      <c r="CH7" s="72" t="e">
        <f t="shared" si="60"/>
        <v>#VALUE!</v>
      </c>
      <c r="CI7" s="72" t="e">
        <f t="shared" si="61"/>
        <v>#VALUE!</v>
      </c>
      <c r="CJ7" s="5" t="str">
        <f t="shared" si="32"/>
        <v/>
      </c>
      <c r="CK7" s="5" t="e">
        <f t="shared" si="33"/>
        <v>#VALUE!</v>
      </c>
      <c r="CL7" s="69" t="e">
        <f t="shared" si="34"/>
        <v>#VALUE!</v>
      </c>
      <c r="CN7" s="70" t="str">
        <f t="shared" si="35"/>
        <v/>
      </c>
      <c r="CO7" s="5" t="e">
        <f t="shared" si="36"/>
        <v>#VALUE!</v>
      </c>
      <c r="CP7" s="5" t="e">
        <f>IF(G7&lt;48,"UF", IF(NOT(ISBLANK(CM:CM)), CM:CM, IF(BW:BW=1, BV:BV+Sheet2!B397, IF(Sheet1!BW:BW=2, Sheet1!BV:BV+Sheet2!B398, IF(Sheet1!BW:BW=7, Sheet1!BV:BV+Sheet2!B399,"")))))</f>
        <v>#VALUE!</v>
      </c>
      <c r="CQ7" s="69" t="e">
        <f t="shared" si="62"/>
        <v>#VALUE!</v>
      </c>
      <c r="CR7" s="5" t="s">
        <v>12</v>
      </c>
      <c r="CT7" s="5" t="str">
        <f t="shared" si="37"/>
        <v/>
      </c>
      <c r="CU7" s="80" t="e">
        <f t="shared" si="38"/>
        <v>#VALUE!</v>
      </c>
      <c r="CV7" s="80" t="e">
        <f t="shared" si="39"/>
        <v>#VALUE!</v>
      </c>
      <c r="CW7" s="20" t="e">
        <f>IF(G7&lt;48,"UF", IF(NOT(ISBLANK(CS7)), CS7, IF(CE7=5, CC7+Sheet2!B386, IF(CE7=6, CC7+Sheet2!B387, IF(CE7=7, CC7+Sheet2!B388,"")))))</f>
        <v>#VALUE!</v>
      </c>
      <c r="CX7" s="68" t="e">
        <f t="shared" si="63"/>
        <v>#VALUE!</v>
      </c>
      <c r="CY7" s="5" t="s">
        <v>12</v>
      </c>
      <c r="DA7" s="5" t="str">
        <f t="shared" si="40"/>
        <v/>
      </c>
      <c r="DB7" s="73" t="e">
        <f t="shared" si="41"/>
        <v>#VALUE!</v>
      </c>
      <c r="DC7" s="73" t="e">
        <f t="shared" si="42"/>
        <v>#VALUE!</v>
      </c>
      <c r="DD7" s="5" t="e">
        <f>IF(G7&lt;48,"UF", IF(NOT(ISBLANK(CZ:CZ)), CZ:CZ, IF(CL:CL=3, CK:CK+Sheet2!B391, IF(CL:CL=4, CK:CK+Sheet2!B392, IF(CL:CL=7, CK:CK+Sheet2!B393,"")))))</f>
        <v>#VALUE!</v>
      </c>
      <c r="DE7" s="69" t="e">
        <f t="shared" si="43"/>
        <v>#VALUE!</v>
      </c>
      <c r="DF7" s="2">
        <v>3</v>
      </c>
      <c r="DG7" s="2">
        <v>23</v>
      </c>
      <c r="DH7" s="2">
        <v>2</v>
      </c>
      <c r="DI7" s="2">
        <v>2</v>
      </c>
      <c r="DJ7" s="2">
        <v>3</v>
      </c>
      <c r="DK7" s="2" t="s">
        <v>12</v>
      </c>
      <c r="DL7" s="2" t="s">
        <v>12</v>
      </c>
      <c r="DM7" s="2" t="s">
        <v>12</v>
      </c>
      <c r="DN7" s="2" t="s">
        <v>12</v>
      </c>
      <c r="DO7" s="2" t="s">
        <v>12</v>
      </c>
      <c r="DP7" s="2" t="s">
        <v>12</v>
      </c>
      <c r="DQ7" s="2">
        <v>2</v>
      </c>
      <c r="DR7" s="2">
        <v>40</v>
      </c>
      <c r="DS7" s="2">
        <v>3</v>
      </c>
      <c r="DT7" s="2" t="s">
        <v>12</v>
      </c>
      <c r="DU7" s="2" t="s">
        <v>12</v>
      </c>
      <c r="DV7" s="2">
        <v>3</v>
      </c>
      <c r="DW7" s="2">
        <v>3</v>
      </c>
      <c r="DX7" s="2">
        <v>3</v>
      </c>
      <c r="DY7" s="2">
        <v>3</v>
      </c>
      <c r="DZ7" s="2">
        <v>34</v>
      </c>
      <c r="EA7" s="2" t="s">
        <v>12</v>
      </c>
      <c r="EB7" s="2">
        <v>46.7</v>
      </c>
      <c r="EC7" s="2" t="s">
        <v>12</v>
      </c>
      <c r="ED7" s="2">
        <v>1</v>
      </c>
    </row>
    <row r="8" spans="1:134" x14ac:dyDescent="0.25">
      <c r="C8" s="8" t="s">
        <v>220</v>
      </c>
      <c r="D8" s="4">
        <v>122447291</v>
      </c>
      <c r="E8" s="5">
        <v>7</v>
      </c>
      <c r="F8" s="2">
        <v>1</v>
      </c>
      <c r="G8" s="2">
        <v>48</v>
      </c>
      <c r="H8" s="2">
        <v>0.52300852935087727</v>
      </c>
      <c r="I8" s="2">
        <v>50</v>
      </c>
      <c r="J8" s="2">
        <v>0.45756143734440202</v>
      </c>
      <c r="K8" s="2">
        <v>3500</v>
      </c>
      <c r="L8" s="2">
        <v>0.57031252552855893</v>
      </c>
      <c r="N8" s="2" t="str">
        <f t="shared" si="0"/>
        <v/>
      </c>
      <c r="O8" s="2" t="e">
        <f t="shared" si="1"/>
        <v>#VALUE!</v>
      </c>
      <c r="P8" s="2" t="s">
        <v>12</v>
      </c>
      <c r="R8" s="5" t="str">
        <f t="shared" si="2"/>
        <v/>
      </c>
      <c r="S8" s="5" t="e">
        <f t="shared" si="3"/>
        <v>#VALUE!</v>
      </c>
      <c r="T8" s="2" t="s">
        <v>12</v>
      </c>
      <c r="V8" s="2" t="str">
        <f t="shared" si="4"/>
        <v/>
      </c>
      <c r="W8" s="2" t="e">
        <f t="shared" si="5"/>
        <v>#VALUE!</v>
      </c>
      <c r="Y8" s="76" t="e">
        <f t="shared" si="44"/>
        <v>#VALUE!</v>
      </c>
      <c r="Z8" s="76" t="e">
        <f t="shared" si="45"/>
        <v>#VALUE!</v>
      </c>
      <c r="AA8" s="2" t="str">
        <f t="shared" si="6"/>
        <v/>
      </c>
      <c r="AB8" s="2" t="e">
        <f t="shared" si="7"/>
        <v>#VALUE!</v>
      </c>
      <c r="AC8" s="2" t="s">
        <v>12</v>
      </c>
      <c r="AE8" s="79" t="e">
        <f t="shared" si="46"/>
        <v>#VALUE!</v>
      </c>
      <c r="AF8" s="79" t="e">
        <f t="shared" si="47"/>
        <v>#VALUE!</v>
      </c>
      <c r="AG8" s="2" t="str">
        <f t="shared" si="8"/>
        <v/>
      </c>
      <c r="AH8" s="2" t="e">
        <f t="shared" si="9"/>
        <v>#VALUE!</v>
      </c>
      <c r="AI8" s="2" t="s">
        <v>12</v>
      </c>
      <c r="AK8" s="76" t="e">
        <f t="shared" si="48"/>
        <v>#VALUE!</v>
      </c>
      <c r="AL8" s="76" t="e">
        <f t="shared" si="49"/>
        <v>#VALUE!</v>
      </c>
      <c r="AM8" s="2" t="str">
        <f t="shared" si="10"/>
        <v/>
      </c>
      <c r="AN8" s="2" t="e">
        <f t="shared" si="11"/>
        <v>#VALUE!</v>
      </c>
      <c r="AP8" s="2" t="str">
        <f t="shared" si="12"/>
        <v/>
      </c>
      <c r="AQ8" s="2" t="e">
        <f t="shared" si="13"/>
        <v>#VALUE!</v>
      </c>
      <c r="AR8" s="2" t="s">
        <v>12</v>
      </c>
      <c r="AT8" s="2" t="str">
        <f t="shared" si="14"/>
        <v/>
      </c>
      <c r="AU8" s="2" t="e">
        <f t="shared" si="15"/>
        <v>#VALUE!</v>
      </c>
      <c r="AV8" s="2" t="s">
        <v>12</v>
      </c>
      <c r="AX8" s="2" t="str">
        <f t="shared" si="16"/>
        <v/>
      </c>
      <c r="AY8" s="2" t="e">
        <f t="shared" si="17"/>
        <v>#VALUE!</v>
      </c>
      <c r="BA8" s="78" t="e">
        <f t="shared" si="50"/>
        <v>#VALUE!</v>
      </c>
      <c r="BB8" s="78" t="e">
        <f t="shared" si="51"/>
        <v>#VALUE!</v>
      </c>
      <c r="BC8" s="2" t="str">
        <f t="shared" si="18"/>
        <v/>
      </c>
      <c r="BD8" s="2" t="e">
        <f t="shared" si="19"/>
        <v>#VALUE!</v>
      </c>
      <c r="BE8" s="67" t="e">
        <f t="shared" si="52"/>
        <v>#VALUE!</v>
      </c>
      <c r="BF8" s="2" t="s">
        <v>12</v>
      </c>
      <c r="BH8" s="2" t="str">
        <f t="shared" si="20"/>
        <v/>
      </c>
      <c r="BI8" s="2" t="e">
        <f t="shared" si="21"/>
        <v>#VALUE!</v>
      </c>
      <c r="BJ8" s="67" t="e">
        <f t="shared" si="22"/>
        <v>#VALUE!</v>
      </c>
      <c r="BK8" s="2" t="s">
        <v>12</v>
      </c>
      <c r="BM8" s="77" t="e">
        <f t="shared" si="53"/>
        <v>#VALUE!</v>
      </c>
      <c r="BN8" s="77" t="e">
        <f t="shared" si="54"/>
        <v>#VALUE!</v>
      </c>
      <c r="BO8" s="2" t="str">
        <f t="shared" si="23"/>
        <v/>
      </c>
      <c r="BP8" s="2" t="e">
        <f t="shared" si="24"/>
        <v>#VALUE!</v>
      </c>
      <c r="BQ8" s="67" t="e">
        <f t="shared" si="55"/>
        <v>#VALUE!</v>
      </c>
      <c r="BS8" s="75" t="e">
        <f t="shared" si="56"/>
        <v>#VALUE!</v>
      </c>
      <c r="BT8" s="75" t="e">
        <f t="shared" si="57"/>
        <v>#VALUE!</v>
      </c>
      <c r="BU8" s="5" t="str">
        <f t="shared" si="25"/>
        <v/>
      </c>
      <c r="BV8" s="5" t="e">
        <f t="shared" si="26"/>
        <v>#VALUE!</v>
      </c>
      <c r="BW8" s="69" t="e">
        <f t="shared" si="27"/>
        <v>#VALUE!</v>
      </c>
      <c r="BX8" s="2" t="s">
        <v>12</v>
      </c>
      <c r="BZ8" s="74" t="e">
        <f t="shared" si="58"/>
        <v>#VALUE!</v>
      </c>
      <c r="CA8" s="74" t="e">
        <f t="shared" si="59"/>
        <v>#VALUE!</v>
      </c>
      <c r="CB8" s="5" t="str">
        <f t="shared" si="28"/>
        <v/>
      </c>
      <c r="CC8" s="5" t="e">
        <f t="shared" si="29"/>
        <v>#VALUE!</v>
      </c>
      <c r="CD8" s="2" t="e">
        <f t="shared" si="30"/>
        <v>#VALUE!</v>
      </c>
      <c r="CE8" s="69" t="e">
        <f t="shared" si="31"/>
        <v>#VALUE!</v>
      </c>
      <c r="CF8" s="5" t="s">
        <v>12</v>
      </c>
      <c r="CH8" s="72" t="e">
        <f t="shared" si="60"/>
        <v>#VALUE!</v>
      </c>
      <c r="CI8" s="72" t="e">
        <f t="shared" si="61"/>
        <v>#VALUE!</v>
      </c>
      <c r="CJ8" s="5" t="str">
        <f t="shared" si="32"/>
        <v/>
      </c>
      <c r="CK8" s="5" t="e">
        <f t="shared" si="33"/>
        <v>#VALUE!</v>
      </c>
      <c r="CL8" s="69" t="e">
        <f t="shared" si="34"/>
        <v>#VALUE!</v>
      </c>
      <c r="CN8" s="70" t="str">
        <f t="shared" si="35"/>
        <v/>
      </c>
      <c r="CO8" s="5" t="e">
        <f t="shared" si="36"/>
        <v>#VALUE!</v>
      </c>
      <c r="CP8" s="5" t="e">
        <f>IF(G8&lt;48,"UF", IF(NOT(ISBLANK(CM:CM)), CM:CM, IF(BW:BW=1, BV:BV+Sheet2!B401, IF(Sheet1!BW:BW=2, Sheet1!BV:BV+Sheet2!B402, IF(Sheet1!BW:BW=7, Sheet1!BV:BV+Sheet2!B403,"")))))</f>
        <v>#VALUE!</v>
      </c>
      <c r="CQ8" s="69" t="e">
        <f t="shared" si="62"/>
        <v>#VALUE!</v>
      </c>
      <c r="CR8" s="5" t="s">
        <v>12</v>
      </c>
      <c r="CT8" s="5" t="str">
        <f t="shared" si="37"/>
        <v/>
      </c>
      <c r="CU8" s="80" t="e">
        <f t="shared" si="38"/>
        <v>#VALUE!</v>
      </c>
      <c r="CV8" s="80" t="e">
        <f t="shared" si="39"/>
        <v>#VALUE!</v>
      </c>
      <c r="CW8" s="20" t="e">
        <f>IF(G8&lt;48,"UF", IF(NOT(ISBLANK(CS8)), CS8, IF(CE8=5, CC8+Sheet2!B390, IF(CE8=6, CC8+Sheet2!B391, IF(CE8=7, CC8+Sheet2!B392,"")))))</f>
        <v>#VALUE!</v>
      </c>
      <c r="CX8" s="68" t="e">
        <f t="shared" si="63"/>
        <v>#VALUE!</v>
      </c>
      <c r="CY8" s="5" t="s">
        <v>12</v>
      </c>
      <c r="DA8" s="5" t="str">
        <f t="shared" si="40"/>
        <v/>
      </c>
      <c r="DB8" s="73" t="e">
        <f t="shared" si="41"/>
        <v>#VALUE!</v>
      </c>
      <c r="DC8" s="73" t="e">
        <f t="shared" si="42"/>
        <v>#VALUE!</v>
      </c>
      <c r="DD8" s="5" t="e">
        <f>IF(G8&lt;48,"UF", IF(NOT(ISBLANK(CZ:CZ)), CZ:CZ, IF(CL:CL=3, CK:CK+Sheet2!B395, IF(CL:CL=4, CK:CK+Sheet2!B396, IF(CL:CL=7, CK:CK+Sheet2!B397,"")))))</f>
        <v>#VALUE!</v>
      </c>
      <c r="DE8" s="69" t="e">
        <f t="shared" si="43"/>
        <v>#VALUE!</v>
      </c>
      <c r="DF8" s="2">
        <v>3</v>
      </c>
      <c r="DG8" s="2">
        <v>24</v>
      </c>
      <c r="DH8" s="2">
        <v>2</v>
      </c>
      <c r="DI8" s="2">
        <v>2</v>
      </c>
      <c r="DJ8" s="2">
        <v>2</v>
      </c>
      <c r="DK8" s="2">
        <v>115</v>
      </c>
      <c r="DL8" s="2">
        <v>65</v>
      </c>
      <c r="DM8" s="2" t="s">
        <v>12</v>
      </c>
      <c r="DN8" s="2" t="s">
        <v>12</v>
      </c>
      <c r="DO8" s="2">
        <v>100</v>
      </c>
      <c r="DP8" s="2">
        <v>60</v>
      </c>
      <c r="DQ8" s="2">
        <v>2</v>
      </c>
      <c r="DR8" s="2">
        <v>39</v>
      </c>
      <c r="DS8" s="2">
        <v>3</v>
      </c>
      <c r="DT8" s="2" t="s">
        <v>12</v>
      </c>
      <c r="DU8" s="2" t="s">
        <v>12</v>
      </c>
      <c r="DV8" s="2">
        <v>2</v>
      </c>
      <c r="DW8" s="2">
        <v>3</v>
      </c>
      <c r="DX8" s="2">
        <v>3</v>
      </c>
      <c r="DY8" s="2">
        <v>2</v>
      </c>
      <c r="DZ8" s="2">
        <v>34.5</v>
      </c>
      <c r="EA8" s="2" t="s">
        <v>12</v>
      </c>
      <c r="EB8" s="2" t="s">
        <v>12</v>
      </c>
      <c r="EC8" s="2" t="s">
        <v>12</v>
      </c>
      <c r="ED8" s="2" t="s">
        <v>12</v>
      </c>
    </row>
    <row r="9" spans="1:134" x14ac:dyDescent="0.25">
      <c r="C9" s="5" t="s">
        <v>392</v>
      </c>
      <c r="D9" s="8">
        <v>122468964</v>
      </c>
      <c r="E9" s="3">
        <v>7</v>
      </c>
      <c r="F9" s="2">
        <v>2</v>
      </c>
      <c r="G9" s="2">
        <v>47</v>
      </c>
      <c r="H9" s="2">
        <v>4.2516342613137782E-2</v>
      </c>
      <c r="I9" s="2">
        <v>52</v>
      </c>
      <c r="J9" s="2">
        <v>1.117633928075521</v>
      </c>
      <c r="K9" s="5">
        <v>3640</v>
      </c>
      <c r="L9" s="2">
        <v>0.58446637772371202</v>
      </c>
      <c r="M9" s="2">
        <v>1.7372000000000001</v>
      </c>
      <c r="N9" s="2">
        <f t="shared" si="0"/>
        <v>0.4476918286934311</v>
      </c>
      <c r="O9" s="2">
        <f t="shared" si="1"/>
        <v>1.7372000000000001</v>
      </c>
      <c r="P9" s="2">
        <v>67</v>
      </c>
      <c r="Q9" s="2">
        <v>-0.3</v>
      </c>
      <c r="R9" s="5">
        <f t="shared" si="2"/>
        <v>-0.29381696403776048</v>
      </c>
      <c r="S9" s="5">
        <f t="shared" si="3"/>
        <v>-0.3</v>
      </c>
      <c r="T9" s="1">
        <v>9000</v>
      </c>
      <c r="U9" s="2">
        <v>1.1499999999999999</v>
      </c>
      <c r="V9" s="2">
        <f t="shared" si="4"/>
        <v>0.20776681113814399</v>
      </c>
      <c r="W9" s="2">
        <f t="shared" si="5"/>
        <v>1.1499999999999999</v>
      </c>
      <c r="X9" s="2">
        <v>0.93789999999999996</v>
      </c>
      <c r="Y9" s="76">
        <f t="shared" si="44"/>
        <v>0.89538365738686221</v>
      </c>
      <c r="Z9" s="76">
        <f t="shared" si="45"/>
        <v>2</v>
      </c>
      <c r="AA9" s="2">
        <f t="shared" si="6"/>
        <v>0.43940000000000001</v>
      </c>
      <c r="AB9" s="2">
        <f t="shared" si="7"/>
        <v>0.93789999999999996</v>
      </c>
      <c r="AC9" s="2">
        <v>77</v>
      </c>
      <c r="AD9" s="2">
        <v>0.53</v>
      </c>
      <c r="AE9" s="79">
        <f t="shared" si="46"/>
        <v>-0.58763392807552095</v>
      </c>
      <c r="AF9" s="79">
        <f t="shared" si="47"/>
        <v>-1</v>
      </c>
      <c r="AG9" s="2">
        <f t="shared" si="8"/>
        <v>0.84499999999999997</v>
      </c>
      <c r="AH9" s="2">
        <f t="shared" si="9"/>
        <v>0.53</v>
      </c>
      <c r="AI9" s="2">
        <v>10750</v>
      </c>
      <c r="AJ9" s="2">
        <v>1</v>
      </c>
      <c r="AK9" s="76">
        <f t="shared" si="48"/>
        <v>0.41553362227628798</v>
      </c>
      <c r="AL9" s="76">
        <f t="shared" si="49"/>
        <v>1</v>
      </c>
      <c r="AM9" s="2">
        <f t="shared" si="10"/>
        <v>2.5000000000000022E-2</v>
      </c>
      <c r="AN9" s="2">
        <f t="shared" si="11"/>
        <v>1</v>
      </c>
      <c r="AO9" s="2">
        <v>0.57879999999999998</v>
      </c>
      <c r="AP9" s="2">
        <f t="shared" si="12"/>
        <v>-0.54774101861090063</v>
      </c>
      <c r="AQ9" s="2">
        <f t="shared" si="13"/>
        <v>0.57879999999999998</v>
      </c>
      <c r="AR9" s="2">
        <v>86</v>
      </c>
      <c r="AS9" s="2">
        <v>1.39</v>
      </c>
      <c r="AT9" s="2">
        <f t="shared" si="14"/>
        <v>-3.1517361084535123E-2</v>
      </c>
      <c r="AU9" s="2">
        <f t="shared" si="15"/>
        <v>1.39</v>
      </c>
      <c r="AV9" s="2">
        <v>12500</v>
      </c>
      <c r="AW9" s="2">
        <v>1.2</v>
      </c>
      <c r="AX9" s="2">
        <f t="shared" si="16"/>
        <v>-0.47885162344255078</v>
      </c>
      <c r="AY9" s="2">
        <f t="shared" si="17"/>
        <v>1.2</v>
      </c>
      <c r="AZ9" s="2">
        <v>-0.15758203722180131</v>
      </c>
      <c r="BA9" s="78">
        <f t="shared" si="50"/>
        <v>-1.0954820372218013</v>
      </c>
      <c r="BB9" s="78">
        <f t="shared" si="51"/>
        <v>-2</v>
      </c>
      <c r="BC9" s="2">
        <f t="shared" si="18"/>
        <v>-0.71295760240027095</v>
      </c>
      <c r="BD9" s="2">
        <f t="shared" si="19"/>
        <v>-0.15758203722180131</v>
      </c>
      <c r="BE9" s="67">
        <f t="shared" si="52"/>
        <v>7</v>
      </c>
      <c r="BF9" s="2">
        <v>88.5</v>
      </c>
      <c r="BG9" s="2">
        <v>0.46696527783092978</v>
      </c>
      <c r="BH9" s="2">
        <f t="shared" si="20"/>
        <v>-0.48699557122662807</v>
      </c>
      <c r="BI9" s="2">
        <f t="shared" si="21"/>
        <v>0.46696527783092978</v>
      </c>
      <c r="BJ9" s="67">
        <f t="shared" si="22"/>
        <v>7</v>
      </c>
      <c r="BK9" s="2">
        <v>12800</v>
      </c>
      <c r="BL9" s="2">
        <v>4.2296753114898493E-2</v>
      </c>
      <c r="BM9" s="77">
        <f t="shared" si="53"/>
        <v>-0.95770324688510156</v>
      </c>
      <c r="BN9" s="77">
        <f t="shared" si="54"/>
        <v>-2</v>
      </c>
      <c r="BO9" s="2">
        <f t="shared" si="23"/>
        <v>-0.71521336758083898</v>
      </c>
      <c r="BP9" s="2">
        <f t="shared" si="24"/>
        <v>4.2296753114898493E-2</v>
      </c>
      <c r="BQ9" s="67">
        <f t="shared" si="55"/>
        <v>7</v>
      </c>
      <c r="BR9" s="5">
        <v>-1.560072807200813</v>
      </c>
      <c r="BS9" s="75">
        <f t="shared" si="56"/>
        <v>-1.4024907699790117</v>
      </c>
      <c r="BT9" s="75">
        <f t="shared" si="57"/>
        <v>-2</v>
      </c>
      <c r="BU9" s="5" t="str">
        <f t="shared" si="25"/>
        <v/>
      </c>
      <c r="BV9" s="5">
        <f t="shared" si="26"/>
        <v>-1.560072807200813</v>
      </c>
      <c r="BW9" s="69">
        <f t="shared" si="27"/>
        <v>7</v>
      </c>
      <c r="BX9" s="2">
        <v>95</v>
      </c>
      <c r="BY9" s="5">
        <v>-7.0986713679884253E-2</v>
      </c>
      <c r="BZ9" s="74">
        <f t="shared" si="58"/>
        <v>-0.11328346679478274</v>
      </c>
      <c r="CA9" s="74">
        <f t="shared" si="59"/>
        <v>-1</v>
      </c>
      <c r="CB9" s="5" t="str">
        <f t="shared" si="28"/>
        <v/>
      </c>
      <c r="CC9" s="5">
        <f t="shared" si="29"/>
        <v>-7.0986713679884253E-2</v>
      </c>
      <c r="CD9" s="2">
        <f t="shared" si="30"/>
        <v>-0.53795199151081408</v>
      </c>
      <c r="CE9" s="69">
        <f t="shared" si="31"/>
        <v>7</v>
      </c>
      <c r="CF9" s="5">
        <v>13000</v>
      </c>
      <c r="CG9" s="5">
        <v>-0.94564010274251686</v>
      </c>
      <c r="CH9" s="72">
        <f t="shared" si="60"/>
        <v>-0.98793685585741531</v>
      </c>
      <c r="CI9" s="72">
        <f t="shared" si="61"/>
        <v>-2</v>
      </c>
      <c r="CJ9" s="5" t="str">
        <f t="shared" si="32"/>
        <v/>
      </c>
      <c r="CK9" s="5">
        <f t="shared" si="33"/>
        <v>-0.94564010274251686</v>
      </c>
      <c r="CL9" s="69">
        <f t="shared" si="34"/>
        <v>7</v>
      </c>
      <c r="CN9" s="70" t="str">
        <f t="shared" si="35"/>
        <v/>
      </c>
      <c r="CO9" s="5" t="str">
        <f t="shared" si="36"/>
        <v>UF</v>
      </c>
      <c r="CP9" s="5" t="str">
        <f>IF(G9&lt;48,"UF", IF(NOT(ISBLANK(CM:CM)), CM:CM, IF(BW:BW=1, BV:BV+Sheet2!B608, IF(Sheet1!BW:BW=2, Sheet1!BV:BV+Sheet2!B609, IF(Sheet1!BW:BW=7, Sheet1!BV:BV+Sheet2!B610,"")))))</f>
        <v>UF</v>
      </c>
      <c r="CQ9" s="69" t="str">
        <f t="shared" si="62"/>
        <v/>
      </c>
      <c r="CR9" s="5" t="s">
        <v>12</v>
      </c>
      <c r="CT9" s="5" t="str">
        <f t="shared" si="37"/>
        <v/>
      </c>
      <c r="CU9" s="80" t="str">
        <f t="shared" si="38"/>
        <v>UF</v>
      </c>
      <c r="CV9" s="80" t="str">
        <f t="shared" si="39"/>
        <v>UF</v>
      </c>
      <c r="CW9" s="20" t="str">
        <f>IF(G9&lt;48,"UF", IF(NOT(ISBLANK(CS9)), CS9, IF(CE9=5, CC9+Sheet2!B597, IF(CE9=6, CC9+Sheet2!B598, IF(CE9=7, CC9+Sheet2!B599,"")))))</f>
        <v>UF</v>
      </c>
      <c r="CX9" s="68" t="str">
        <f t="shared" si="63"/>
        <v/>
      </c>
      <c r="CY9" s="5" t="s">
        <v>12</v>
      </c>
      <c r="DA9" s="5" t="str">
        <f t="shared" si="40"/>
        <v>UF</v>
      </c>
      <c r="DB9" s="73" t="str">
        <f t="shared" si="41"/>
        <v>UF</v>
      </c>
      <c r="DC9" s="73" t="str">
        <f t="shared" si="42"/>
        <v>UF</v>
      </c>
      <c r="DD9" s="5" t="str">
        <f>IF(G9&lt;48,"UF", IF(NOT(ISBLANK(CZ:CZ)), CZ:CZ, IF(CL:CL=3, CK:CK+Sheet2!B602, IF(CL:CL=4, CK:CK+Sheet2!B603, IF(CL:CL=7, CK:CK+Sheet2!B604,"")))))</f>
        <v>UF</v>
      </c>
      <c r="DE9" s="69" t="str">
        <f t="shared" si="43"/>
        <v/>
      </c>
      <c r="DF9" s="2">
        <v>3</v>
      </c>
      <c r="DG9" s="2">
        <v>28</v>
      </c>
      <c r="DH9" s="2">
        <v>1</v>
      </c>
      <c r="DI9" s="2">
        <v>2</v>
      </c>
      <c r="DJ9" s="2">
        <v>2</v>
      </c>
      <c r="DK9" s="2">
        <v>90</v>
      </c>
      <c r="DL9" s="2">
        <v>50</v>
      </c>
      <c r="DM9" s="2">
        <v>103</v>
      </c>
      <c r="DN9" s="2">
        <v>52</v>
      </c>
      <c r="DO9" s="2">
        <v>84</v>
      </c>
      <c r="DP9" s="2">
        <v>56</v>
      </c>
      <c r="DQ9" s="2">
        <v>2</v>
      </c>
      <c r="DR9" s="2">
        <v>41</v>
      </c>
      <c r="DS9" s="2">
        <v>2</v>
      </c>
      <c r="DT9" s="2">
        <v>88</v>
      </c>
      <c r="DU9" s="2">
        <v>68</v>
      </c>
      <c r="DV9" s="2">
        <v>2</v>
      </c>
      <c r="DW9" s="2">
        <v>3</v>
      </c>
      <c r="DX9" s="2">
        <v>2</v>
      </c>
      <c r="DY9" s="2">
        <v>2</v>
      </c>
      <c r="DZ9" s="2">
        <v>28</v>
      </c>
      <c r="EA9" s="2">
        <v>38</v>
      </c>
      <c r="EB9" s="2">
        <v>47.5</v>
      </c>
      <c r="EC9" s="2">
        <v>1</v>
      </c>
      <c r="ED9" s="2">
        <v>1</v>
      </c>
    </row>
    <row r="10" spans="1:134" x14ac:dyDescent="0.25">
      <c r="C10" s="8" t="s">
        <v>241</v>
      </c>
      <c r="D10" s="4">
        <v>122557126</v>
      </c>
      <c r="E10" s="5">
        <v>7</v>
      </c>
      <c r="F10" s="2">
        <v>2</v>
      </c>
      <c r="G10" s="2">
        <v>50</v>
      </c>
      <c r="H10" s="2">
        <v>0.57588290071768522</v>
      </c>
      <c r="I10" s="2">
        <v>42</v>
      </c>
      <c r="J10" s="2">
        <v>-4.164691823964179</v>
      </c>
      <c r="K10" s="2">
        <v>2500</v>
      </c>
      <c r="L10" s="2">
        <v>-1.8987799312803511</v>
      </c>
      <c r="N10" s="2" t="str">
        <f t="shared" si="0"/>
        <v/>
      </c>
      <c r="O10" s="2" t="e">
        <f t="shared" si="1"/>
        <v>#VALUE!</v>
      </c>
      <c r="P10" s="2" t="s">
        <v>12</v>
      </c>
      <c r="R10" s="5" t="str">
        <f t="shared" si="2"/>
        <v/>
      </c>
      <c r="S10" s="5" t="e">
        <f t="shared" si="3"/>
        <v>#VALUE!</v>
      </c>
      <c r="T10" s="2" t="s">
        <v>12</v>
      </c>
      <c r="V10" s="2" t="str">
        <f t="shared" si="4"/>
        <v/>
      </c>
      <c r="W10" s="2" t="e">
        <f t="shared" si="5"/>
        <v>#VALUE!</v>
      </c>
      <c r="Y10" s="76" t="e">
        <f t="shared" si="44"/>
        <v>#VALUE!</v>
      </c>
      <c r="Z10" s="76" t="e">
        <f t="shared" si="45"/>
        <v>#VALUE!</v>
      </c>
      <c r="AA10" s="2" t="str">
        <f t="shared" si="6"/>
        <v/>
      </c>
      <c r="AB10" s="2" t="e">
        <f t="shared" si="7"/>
        <v>#VALUE!</v>
      </c>
      <c r="AC10" s="2" t="s">
        <v>12</v>
      </c>
      <c r="AE10" s="79" t="e">
        <f t="shared" si="46"/>
        <v>#VALUE!</v>
      </c>
      <c r="AF10" s="79" t="e">
        <f t="shared" si="47"/>
        <v>#VALUE!</v>
      </c>
      <c r="AG10" s="2" t="str">
        <f t="shared" si="8"/>
        <v/>
      </c>
      <c r="AH10" s="2" t="e">
        <f t="shared" si="9"/>
        <v>#VALUE!</v>
      </c>
      <c r="AI10" s="2" t="s">
        <v>12</v>
      </c>
      <c r="AK10" s="76" t="e">
        <f t="shared" si="48"/>
        <v>#VALUE!</v>
      </c>
      <c r="AL10" s="76" t="e">
        <f t="shared" si="49"/>
        <v>#VALUE!</v>
      </c>
      <c r="AM10" s="2" t="str">
        <f t="shared" si="10"/>
        <v/>
      </c>
      <c r="AN10" s="2" t="e">
        <f t="shared" si="11"/>
        <v>#VALUE!</v>
      </c>
      <c r="AP10" s="2" t="str">
        <f t="shared" si="12"/>
        <v/>
      </c>
      <c r="AQ10" s="2" t="e">
        <f t="shared" si="13"/>
        <v>#VALUE!</v>
      </c>
      <c r="AR10" s="2" t="s">
        <v>12</v>
      </c>
      <c r="AT10" s="2" t="str">
        <f t="shared" si="14"/>
        <v/>
      </c>
      <c r="AU10" s="2" t="e">
        <f t="shared" si="15"/>
        <v>#VALUE!</v>
      </c>
      <c r="AV10" s="2" t="s">
        <v>12</v>
      </c>
      <c r="AX10" s="2" t="str">
        <f t="shared" si="16"/>
        <v/>
      </c>
      <c r="AY10" s="2" t="e">
        <f t="shared" si="17"/>
        <v>#VALUE!</v>
      </c>
      <c r="BA10" s="78" t="e">
        <f t="shared" si="50"/>
        <v>#VALUE!</v>
      </c>
      <c r="BB10" s="78" t="e">
        <f t="shared" si="51"/>
        <v>#VALUE!</v>
      </c>
      <c r="BC10" s="2" t="str">
        <f t="shared" si="18"/>
        <v/>
      </c>
      <c r="BD10" s="2" t="e">
        <f t="shared" si="19"/>
        <v>#VALUE!</v>
      </c>
      <c r="BE10" s="67" t="e">
        <f t="shared" si="52"/>
        <v>#VALUE!</v>
      </c>
      <c r="BF10" s="2" t="s">
        <v>12</v>
      </c>
      <c r="BH10" s="2" t="str">
        <f t="shared" si="20"/>
        <v/>
      </c>
      <c r="BI10" s="2" t="e">
        <f t="shared" si="21"/>
        <v>#VALUE!</v>
      </c>
      <c r="BJ10" s="67" t="e">
        <f t="shared" si="22"/>
        <v>#VALUE!</v>
      </c>
      <c r="BK10" s="2" t="s">
        <v>12</v>
      </c>
      <c r="BM10" s="77" t="e">
        <f t="shared" si="53"/>
        <v>#VALUE!</v>
      </c>
      <c r="BN10" s="77" t="e">
        <f t="shared" si="54"/>
        <v>#VALUE!</v>
      </c>
      <c r="BO10" s="2" t="str">
        <f t="shared" si="23"/>
        <v/>
      </c>
      <c r="BP10" s="2" t="e">
        <f t="shared" si="24"/>
        <v>#VALUE!</v>
      </c>
      <c r="BQ10" s="67" t="e">
        <f t="shared" si="55"/>
        <v>#VALUE!</v>
      </c>
      <c r="BS10" s="75" t="e">
        <f t="shared" si="56"/>
        <v>#VALUE!</v>
      </c>
      <c r="BT10" s="75" t="e">
        <f t="shared" si="57"/>
        <v>#VALUE!</v>
      </c>
      <c r="BU10" s="5" t="str">
        <f t="shared" si="25"/>
        <v>UF</v>
      </c>
      <c r="BV10" s="5" t="e">
        <f t="shared" si="26"/>
        <v>#VALUE!</v>
      </c>
      <c r="BW10" s="69" t="e">
        <f t="shared" si="27"/>
        <v>#VALUE!</v>
      </c>
      <c r="BX10" s="2" t="s">
        <v>12</v>
      </c>
      <c r="BZ10" s="74" t="e">
        <f t="shared" si="58"/>
        <v>#VALUE!</v>
      </c>
      <c r="CA10" s="74" t="e">
        <f t="shared" si="59"/>
        <v>#VALUE!</v>
      </c>
      <c r="CB10" s="5" t="str">
        <f t="shared" si="28"/>
        <v/>
      </c>
      <c r="CC10" s="5" t="e">
        <f t="shared" si="29"/>
        <v>#VALUE!</v>
      </c>
      <c r="CD10" s="2" t="e">
        <f t="shared" si="30"/>
        <v>#VALUE!</v>
      </c>
      <c r="CE10" s="69" t="e">
        <f t="shared" si="31"/>
        <v>#VALUE!</v>
      </c>
      <c r="CF10" s="5" t="s">
        <v>12</v>
      </c>
      <c r="CH10" s="72" t="e">
        <f t="shared" si="60"/>
        <v>#VALUE!</v>
      </c>
      <c r="CI10" s="72" t="e">
        <f t="shared" si="61"/>
        <v>#VALUE!</v>
      </c>
      <c r="CJ10" s="5" t="str">
        <f t="shared" si="32"/>
        <v/>
      </c>
      <c r="CK10" s="5" t="e">
        <f t="shared" si="33"/>
        <v>#VALUE!</v>
      </c>
      <c r="CL10" s="69" t="e">
        <f t="shared" si="34"/>
        <v>#VALUE!</v>
      </c>
      <c r="CN10" s="70" t="str">
        <f t="shared" si="35"/>
        <v/>
      </c>
      <c r="CO10" s="5" t="e">
        <f t="shared" si="36"/>
        <v>#VALUE!</v>
      </c>
      <c r="CP10" s="5" t="e">
        <f>IF(G10&lt;48,"UF", IF(NOT(ISBLANK(CM:CM)), CM:CM, IF(BW:BW=1, BV:BV+Sheet2!B429, IF(Sheet1!BW:BW=2, Sheet1!BV:BV+Sheet2!B430, IF(Sheet1!BW:BW=7, Sheet1!BV:BV+Sheet2!B431,"")))))</f>
        <v>#VALUE!</v>
      </c>
      <c r="CQ10" s="69" t="e">
        <f t="shared" si="62"/>
        <v>#VALUE!</v>
      </c>
      <c r="CR10" s="5" t="s">
        <v>12</v>
      </c>
      <c r="CT10" s="5" t="str">
        <f t="shared" si="37"/>
        <v/>
      </c>
      <c r="CU10" s="80" t="e">
        <f t="shared" si="38"/>
        <v>#VALUE!</v>
      </c>
      <c r="CV10" s="80" t="e">
        <f t="shared" si="39"/>
        <v>#VALUE!</v>
      </c>
      <c r="CW10" s="20" t="e">
        <f>IF(G10&lt;48,"UF", IF(NOT(ISBLANK(CS10)), CS10, IF(CE10=5, CC10+Sheet2!B418, IF(CE10=6, CC10+Sheet2!B419, IF(CE10=7, CC10+Sheet2!B420,"")))))</f>
        <v>#VALUE!</v>
      </c>
      <c r="CX10" s="68" t="e">
        <f t="shared" si="63"/>
        <v>#VALUE!</v>
      </c>
      <c r="CY10" s="5" t="s">
        <v>12</v>
      </c>
      <c r="DA10" s="5" t="str">
        <f t="shared" si="40"/>
        <v/>
      </c>
      <c r="DB10" s="73" t="e">
        <f t="shared" si="41"/>
        <v>#VALUE!</v>
      </c>
      <c r="DC10" s="73" t="e">
        <f t="shared" si="42"/>
        <v>#VALUE!</v>
      </c>
      <c r="DD10" s="5" t="e">
        <f>IF(G10&lt;48,"UF", IF(NOT(ISBLANK(CZ:CZ)), CZ:CZ, IF(CL:CL=3, CK:CK+Sheet2!B423, IF(CL:CL=4, CK:CK+Sheet2!B424, IF(CL:CL=7, CK:CK+Sheet2!B425,"")))))</f>
        <v>#VALUE!</v>
      </c>
      <c r="DE10" s="69" t="e">
        <f t="shared" si="43"/>
        <v>#VALUE!</v>
      </c>
      <c r="DF10" s="2">
        <v>2</v>
      </c>
      <c r="DG10" s="2">
        <v>20</v>
      </c>
      <c r="DH10" s="2">
        <v>2</v>
      </c>
      <c r="DI10" s="2">
        <v>2</v>
      </c>
      <c r="DJ10" s="2">
        <v>3</v>
      </c>
      <c r="DK10" s="2" t="s">
        <v>12</v>
      </c>
      <c r="DL10" s="2" t="s">
        <v>12</v>
      </c>
      <c r="DM10" s="2" t="s">
        <v>12</v>
      </c>
      <c r="DN10" s="2" t="s">
        <v>12</v>
      </c>
      <c r="DO10" s="2" t="s">
        <v>12</v>
      </c>
      <c r="DP10" s="2" t="s">
        <v>12</v>
      </c>
      <c r="DQ10" s="2">
        <v>2</v>
      </c>
      <c r="DR10" s="2">
        <v>38</v>
      </c>
      <c r="DS10" s="2">
        <v>3</v>
      </c>
      <c r="DT10" s="2" t="s">
        <v>12</v>
      </c>
      <c r="DU10" s="2" t="s">
        <v>12</v>
      </c>
      <c r="DV10" s="2">
        <v>3</v>
      </c>
      <c r="DW10" s="2">
        <v>3</v>
      </c>
      <c r="DX10" s="2">
        <v>3</v>
      </c>
      <c r="DY10" s="2">
        <v>3</v>
      </c>
      <c r="DZ10" s="2">
        <v>33</v>
      </c>
      <c r="EA10" s="2" t="s">
        <v>12</v>
      </c>
      <c r="EB10" s="2" t="s">
        <v>12</v>
      </c>
      <c r="EC10" s="2" t="s">
        <v>12</v>
      </c>
      <c r="ED10" s="2" t="s">
        <v>12</v>
      </c>
    </row>
    <row r="11" spans="1:134" x14ac:dyDescent="0.25">
      <c r="C11" s="8" t="s">
        <v>239</v>
      </c>
      <c r="D11" s="53">
        <v>122557496</v>
      </c>
      <c r="E11" s="5">
        <v>7</v>
      </c>
      <c r="F11" s="2">
        <v>2</v>
      </c>
      <c r="G11" s="2">
        <v>43</v>
      </c>
      <c r="H11" s="2">
        <v>0.17983102930816239</v>
      </c>
      <c r="I11" s="2">
        <v>50</v>
      </c>
      <c r="J11" s="2">
        <v>6.1168777667580831E-2</v>
      </c>
      <c r="K11" s="2">
        <v>3410</v>
      </c>
      <c r="L11" s="2">
        <v>0.12935953866729011</v>
      </c>
      <c r="M11" s="2">
        <v>-13.2241</v>
      </c>
      <c r="N11" s="2">
        <f t="shared" si="0"/>
        <v>0.58068448534591877</v>
      </c>
      <c r="O11" s="2">
        <f t="shared" si="1"/>
        <v>-13.2241</v>
      </c>
      <c r="P11" s="2">
        <v>70</v>
      </c>
      <c r="Q11" s="2">
        <v>1.1000000000000001</v>
      </c>
      <c r="R11" s="5">
        <f t="shared" si="2"/>
        <v>0.86441561116620957</v>
      </c>
      <c r="S11" s="5">
        <f t="shared" si="3"/>
        <v>1.1000000000000001</v>
      </c>
      <c r="T11" s="2">
        <v>10500</v>
      </c>
      <c r="U11" s="2">
        <v>-9.7799999999999994</v>
      </c>
      <c r="V11" s="2">
        <f t="shared" si="4"/>
        <v>0.94032023066635484</v>
      </c>
      <c r="W11" s="2">
        <f t="shared" si="5"/>
        <v>-9.7799999999999994</v>
      </c>
      <c r="X11" s="2">
        <v>1.3411999999999999</v>
      </c>
      <c r="Y11" s="76">
        <f t="shared" si="44"/>
        <v>1.1613689706918375</v>
      </c>
      <c r="Z11" s="76">
        <f t="shared" si="45"/>
        <v>2</v>
      </c>
      <c r="AA11" s="2" t="str">
        <f t="shared" si="6"/>
        <v/>
      </c>
      <c r="AB11" s="2">
        <f t="shared" si="7"/>
        <v>1.3411999999999999</v>
      </c>
      <c r="AC11" s="2">
        <v>80</v>
      </c>
      <c r="AD11" s="2">
        <v>1.79</v>
      </c>
      <c r="AE11" s="79">
        <f t="shared" si="46"/>
        <v>1.7288312223324191</v>
      </c>
      <c r="AF11" s="79">
        <f t="shared" si="47"/>
        <v>2</v>
      </c>
      <c r="AG11" s="2" t="str">
        <f t="shared" si="8"/>
        <v/>
      </c>
      <c r="AH11" s="2">
        <f t="shared" si="9"/>
        <v>1.79</v>
      </c>
      <c r="AI11" s="2">
        <v>12000</v>
      </c>
      <c r="AJ11" s="2">
        <v>2.0099999999999998</v>
      </c>
      <c r="AK11" s="76">
        <f t="shared" si="48"/>
        <v>1.8806404613327097</v>
      </c>
      <c r="AL11" s="76">
        <f t="shared" si="49"/>
        <v>2</v>
      </c>
      <c r="AM11" s="2" t="str">
        <f t="shared" si="10"/>
        <v/>
      </c>
      <c r="AN11" s="2">
        <f t="shared" si="11"/>
        <v>2.0099999999999998</v>
      </c>
      <c r="AP11" s="2" t="str">
        <f t="shared" si="12"/>
        <v/>
      </c>
      <c r="AQ11" s="2" t="e">
        <f t="shared" si="13"/>
        <v>#VALUE!</v>
      </c>
      <c r="AR11" s="2" t="s">
        <v>12</v>
      </c>
      <c r="AT11" s="2" t="str">
        <f t="shared" si="14"/>
        <v/>
      </c>
      <c r="AU11" s="2" t="e">
        <f t="shared" si="15"/>
        <v>#VALUE!</v>
      </c>
      <c r="AV11" s="2" t="s">
        <v>12</v>
      </c>
      <c r="AX11" s="2" t="str">
        <f t="shared" si="16"/>
        <v/>
      </c>
      <c r="AY11" s="2" t="e">
        <f t="shared" si="17"/>
        <v>#VALUE!</v>
      </c>
      <c r="BA11" s="78" t="e">
        <f t="shared" si="50"/>
        <v>#VALUE!</v>
      </c>
      <c r="BB11" s="78" t="e">
        <f t="shared" si="51"/>
        <v>#VALUE!</v>
      </c>
      <c r="BC11" s="2" t="str">
        <f t="shared" si="18"/>
        <v/>
      </c>
      <c r="BD11" s="2" t="e">
        <f t="shared" si="19"/>
        <v>#VALUE!</v>
      </c>
      <c r="BE11" s="67" t="e">
        <f t="shared" si="52"/>
        <v>#VALUE!</v>
      </c>
      <c r="BF11" s="2" t="s">
        <v>12</v>
      </c>
      <c r="BH11" s="2" t="str">
        <f t="shared" si="20"/>
        <v/>
      </c>
      <c r="BI11" s="2" t="e">
        <f t="shared" si="21"/>
        <v>#VALUE!</v>
      </c>
      <c r="BJ11" s="67" t="e">
        <f t="shared" si="22"/>
        <v>#VALUE!</v>
      </c>
      <c r="BK11" s="2" t="s">
        <v>12</v>
      </c>
      <c r="BM11" s="77" t="e">
        <f t="shared" si="53"/>
        <v>#VALUE!</v>
      </c>
      <c r="BN11" s="77" t="e">
        <f t="shared" si="54"/>
        <v>#VALUE!</v>
      </c>
      <c r="BO11" s="2" t="str">
        <f t="shared" si="23"/>
        <v/>
      </c>
      <c r="BP11" s="2" t="e">
        <f t="shared" si="24"/>
        <v>#VALUE!</v>
      </c>
      <c r="BQ11" s="67" t="e">
        <f t="shared" si="55"/>
        <v>#VALUE!</v>
      </c>
      <c r="BS11" s="75" t="e">
        <f t="shared" si="56"/>
        <v>#VALUE!</v>
      </c>
      <c r="BT11" s="75" t="e">
        <f t="shared" si="57"/>
        <v>#VALUE!</v>
      </c>
      <c r="BU11" s="5" t="str">
        <f t="shared" si="25"/>
        <v/>
      </c>
      <c r="BV11" s="5" t="e">
        <f t="shared" si="26"/>
        <v>#VALUE!</v>
      </c>
      <c r="BW11" s="69" t="e">
        <f t="shared" si="27"/>
        <v>#VALUE!</v>
      </c>
      <c r="BX11" s="2" t="s">
        <v>12</v>
      </c>
      <c r="BZ11" s="74" t="e">
        <f t="shared" si="58"/>
        <v>#VALUE!</v>
      </c>
      <c r="CA11" s="74" t="e">
        <f t="shared" si="59"/>
        <v>#VALUE!</v>
      </c>
      <c r="CB11" s="5" t="str">
        <f t="shared" si="28"/>
        <v/>
      </c>
      <c r="CC11" s="5" t="e">
        <f t="shared" si="29"/>
        <v>#VALUE!</v>
      </c>
      <c r="CD11" s="2" t="e">
        <f t="shared" si="30"/>
        <v>#VALUE!</v>
      </c>
      <c r="CE11" s="69" t="e">
        <f t="shared" si="31"/>
        <v>#VALUE!</v>
      </c>
      <c r="CF11" s="5" t="s">
        <v>12</v>
      </c>
      <c r="CH11" s="72" t="e">
        <f t="shared" si="60"/>
        <v>#VALUE!</v>
      </c>
      <c r="CI11" s="72" t="e">
        <f t="shared" si="61"/>
        <v>#VALUE!</v>
      </c>
      <c r="CJ11" s="5" t="str">
        <f t="shared" si="32"/>
        <v/>
      </c>
      <c r="CK11" s="5" t="e">
        <f t="shared" si="33"/>
        <v>#VALUE!</v>
      </c>
      <c r="CL11" s="69" t="e">
        <f t="shared" si="34"/>
        <v>#VALUE!</v>
      </c>
      <c r="CN11" s="70" t="str">
        <f t="shared" si="35"/>
        <v/>
      </c>
      <c r="CO11" s="5" t="str">
        <f t="shared" si="36"/>
        <v>UF</v>
      </c>
      <c r="CP11" s="5" t="str">
        <f>IF(G11&lt;48,"UF", IF(NOT(ISBLANK(CM:CM)), CM:CM, IF(BW:BW=1, BV:BV+Sheet2!B426, IF(Sheet1!BW:BW=2, Sheet1!BV:BV+Sheet2!B427, IF(Sheet1!BW:BW=7, Sheet1!BV:BV+Sheet2!B428,"")))))</f>
        <v>UF</v>
      </c>
      <c r="CQ11" s="69" t="str">
        <f t="shared" si="62"/>
        <v/>
      </c>
      <c r="CR11" s="5" t="s">
        <v>12</v>
      </c>
      <c r="CT11" s="5" t="str">
        <f t="shared" si="37"/>
        <v/>
      </c>
      <c r="CU11" s="80" t="str">
        <f t="shared" si="38"/>
        <v>UF</v>
      </c>
      <c r="CV11" s="80" t="str">
        <f t="shared" si="39"/>
        <v>UF</v>
      </c>
      <c r="CW11" s="20" t="str">
        <f>IF(G11&lt;48,"UF", IF(NOT(ISBLANK(CS11)), CS11, IF(CE11=5, CC11+Sheet2!B415, IF(CE11=6, CC11+Sheet2!B416, IF(CE11=7, CC11+Sheet2!B417,"")))))</f>
        <v>UF</v>
      </c>
      <c r="CX11" s="68" t="str">
        <f t="shared" si="63"/>
        <v/>
      </c>
      <c r="CY11" s="5" t="s">
        <v>12</v>
      </c>
      <c r="DA11" s="5" t="str">
        <f t="shared" si="40"/>
        <v>UF</v>
      </c>
      <c r="DB11" s="73" t="str">
        <f t="shared" si="41"/>
        <v>UF</v>
      </c>
      <c r="DC11" s="73" t="str">
        <f t="shared" si="42"/>
        <v>UF</v>
      </c>
      <c r="DD11" s="5" t="str">
        <f>IF(G11&lt;48,"UF", IF(NOT(ISBLANK(CZ:CZ)), CZ:CZ, IF(CL:CL=3, CK:CK+Sheet2!B420, IF(CL:CL=4, CK:CK+Sheet2!B421, IF(CL:CL=7, CK:CK+Sheet2!B422,"")))))</f>
        <v>UF</v>
      </c>
      <c r="DE11" s="69" t="str">
        <f t="shared" si="43"/>
        <v/>
      </c>
      <c r="DF11" s="2">
        <v>1</v>
      </c>
      <c r="DG11" s="2">
        <v>29</v>
      </c>
      <c r="DH11" s="2">
        <v>2</v>
      </c>
      <c r="DI11" s="2">
        <v>2</v>
      </c>
      <c r="DJ11" s="2">
        <v>2</v>
      </c>
      <c r="DK11" s="2">
        <v>110</v>
      </c>
      <c r="DL11" s="2">
        <v>60</v>
      </c>
      <c r="DM11" s="2">
        <v>120</v>
      </c>
      <c r="DN11" s="2">
        <v>70</v>
      </c>
      <c r="DO11" s="2">
        <v>116</v>
      </c>
      <c r="DP11" s="2">
        <v>60</v>
      </c>
      <c r="DQ11" s="2">
        <v>2</v>
      </c>
      <c r="DR11" s="2">
        <v>38</v>
      </c>
      <c r="DS11" s="2">
        <v>2</v>
      </c>
      <c r="DT11" s="2">
        <v>90</v>
      </c>
      <c r="DU11" s="2">
        <v>72</v>
      </c>
      <c r="DV11" s="2">
        <v>3</v>
      </c>
      <c r="DW11" s="2">
        <v>2</v>
      </c>
      <c r="DX11" s="2">
        <v>2</v>
      </c>
      <c r="DY11" s="2">
        <v>3</v>
      </c>
      <c r="DZ11" s="2">
        <v>34</v>
      </c>
      <c r="EA11" s="2" t="s">
        <v>12</v>
      </c>
      <c r="EB11" s="2">
        <v>46.5</v>
      </c>
      <c r="EC11" s="2" t="s">
        <v>12</v>
      </c>
      <c r="ED11" s="2">
        <v>1</v>
      </c>
    </row>
    <row r="12" spans="1:134" x14ac:dyDescent="0.25">
      <c r="C12" s="8" t="s">
        <v>214</v>
      </c>
      <c r="D12" s="4">
        <v>122577536</v>
      </c>
      <c r="E12" s="5">
        <v>7</v>
      </c>
      <c r="F12" s="2">
        <v>1</v>
      </c>
      <c r="G12" s="2">
        <v>38</v>
      </c>
      <c r="H12" s="2">
        <v>-2.0107425576649272</v>
      </c>
      <c r="I12" s="2">
        <v>50</v>
      </c>
      <c r="J12" s="2">
        <v>0.45756143734440202</v>
      </c>
      <c r="K12" s="1">
        <v>2770</v>
      </c>
      <c r="L12" s="2">
        <v>-1.057568225755859</v>
      </c>
      <c r="M12" s="2">
        <v>0.58030000000000004</v>
      </c>
      <c r="N12" s="2" t="str">
        <f t="shared" si="0"/>
        <v/>
      </c>
      <c r="O12" s="2">
        <f t="shared" si="1"/>
        <v>0.58030000000000004</v>
      </c>
      <c r="P12" s="2">
        <v>64</v>
      </c>
      <c r="Q12" s="2">
        <v>-0.77</v>
      </c>
      <c r="R12" s="5" t="str">
        <f t="shared" si="2"/>
        <v/>
      </c>
      <c r="S12" s="5">
        <f t="shared" si="3"/>
        <v>-0.77</v>
      </c>
      <c r="T12" s="2">
        <v>7300</v>
      </c>
      <c r="U12" s="2">
        <v>0</v>
      </c>
      <c r="V12" s="2" t="str">
        <f t="shared" si="4"/>
        <v/>
      </c>
      <c r="W12" s="2">
        <f t="shared" si="5"/>
        <v>0</v>
      </c>
      <c r="Y12" s="76">
        <f t="shared" si="44"/>
        <v>3.2702425576649272</v>
      </c>
      <c r="Z12" s="76">
        <f t="shared" si="45"/>
        <v>2</v>
      </c>
      <c r="AA12" s="2">
        <f t="shared" si="6"/>
        <v>0.67920000000000003</v>
      </c>
      <c r="AB12" s="2">
        <f t="shared" si="7"/>
        <v>1.2595000000000001</v>
      </c>
      <c r="AC12" s="2" t="s">
        <v>12</v>
      </c>
      <c r="AE12" s="79">
        <f t="shared" si="46"/>
        <v>-0.87756143734440206</v>
      </c>
      <c r="AF12" s="79">
        <f t="shared" si="47"/>
        <v>-2</v>
      </c>
      <c r="AG12" s="2">
        <f t="shared" si="8"/>
        <v>0.35</v>
      </c>
      <c r="AH12" s="2">
        <f t="shared" si="9"/>
        <v>-0.42000000000000004</v>
      </c>
      <c r="AI12" s="2" t="s">
        <v>12</v>
      </c>
      <c r="AK12" s="76">
        <f t="shared" si="48"/>
        <v>1.2475682257558589</v>
      </c>
      <c r="AL12" s="76">
        <f t="shared" si="49"/>
        <v>2</v>
      </c>
      <c r="AM12" s="2">
        <f t="shared" si="10"/>
        <v>0.19</v>
      </c>
      <c r="AN12" s="2">
        <f t="shared" si="11"/>
        <v>0.19</v>
      </c>
      <c r="AO12" s="2">
        <v>0.58840000000000003</v>
      </c>
      <c r="AP12" s="2">
        <f t="shared" si="12"/>
        <v>-0.7195740567628407</v>
      </c>
      <c r="AQ12" s="2">
        <f t="shared" si="13"/>
        <v>0.58840000000000003</v>
      </c>
      <c r="AR12" s="2">
        <v>80.5</v>
      </c>
      <c r="AS12" s="2">
        <v>-7.0000000000000007E-2</v>
      </c>
      <c r="AT12" s="2">
        <f t="shared" si="14"/>
        <v>0.58323948795121305</v>
      </c>
      <c r="AU12" s="2">
        <f t="shared" si="15"/>
        <v>-7.0000000000000007E-2</v>
      </c>
      <c r="AV12" s="2">
        <v>10730</v>
      </c>
      <c r="AW12" s="2">
        <v>0.38</v>
      </c>
      <c r="AX12" s="2">
        <f t="shared" si="16"/>
        <v>4.1173630110570653E-2</v>
      </c>
      <c r="AY12" s="2">
        <f t="shared" si="17"/>
        <v>0.38</v>
      </c>
      <c r="AZ12" s="2">
        <v>-0.1796481135256813</v>
      </c>
      <c r="BA12" s="78">
        <f t="shared" si="50"/>
        <v>-1.4391481135256814</v>
      </c>
      <c r="BB12" s="78">
        <f t="shared" si="51"/>
        <v>-2</v>
      </c>
      <c r="BC12" s="2">
        <f t="shared" si="18"/>
        <v>-1.4916896192022263E-2</v>
      </c>
      <c r="BD12" s="2">
        <f t="shared" si="19"/>
        <v>-0.1796481135256813</v>
      </c>
      <c r="BE12" s="67">
        <f t="shared" si="52"/>
        <v>7</v>
      </c>
      <c r="BF12" s="2">
        <v>88</v>
      </c>
      <c r="BG12" s="2">
        <v>0.74647897590242618</v>
      </c>
      <c r="BH12" s="2">
        <f t="shared" si="20"/>
        <v>-7.9140189177672696E-2</v>
      </c>
      <c r="BI12" s="2">
        <f t="shared" si="21"/>
        <v>0.74647897590242618</v>
      </c>
      <c r="BJ12" s="67">
        <f t="shared" si="22"/>
        <v>7</v>
      </c>
      <c r="BK12" s="2">
        <v>12500</v>
      </c>
      <c r="BL12" s="2">
        <v>0.27234726022114131</v>
      </c>
      <c r="BM12" s="77">
        <f t="shared" si="53"/>
        <v>8.2347260221141305E-2</v>
      </c>
      <c r="BN12" s="77">
        <f t="shared" si="54"/>
        <v>1</v>
      </c>
      <c r="BO12" s="2">
        <f t="shared" si="23"/>
        <v>-7.5813813826894436E-2</v>
      </c>
      <c r="BP12" s="2">
        <f t="shared" si="24"/>
        <v>0.27234726022114131</v>
      </c>
      <c r="BQ12" s="67">
        <f t="shared" si="55"/>
        <v>7</v>
      </c>
      <c r="BR12" s="5">
        <v>0.54364931142393325</v>
      </c>
      <c r="BS12" s="75">
        <f t="shared" si="56"/>
        <v>0.72329742494961458</v>
      </c>
      <c r="BT12" s="75">
        <f t="shared" si="57"/>
        <v>2</v>
      </c>
      <c r="BU12" s="5" t="str">
        <f t="shared" si="25"/>
        <v>UF</v>
      </c>
      <c r="BV12" s="5">
        <f t="shared" si="26"/>
        <v>0.54364931142393325</v>
      </c>
      <c r="BW12" s="69">
        <f t="shared" si="27"/>
        <v>7</v>
      </c>
      <c r="BX12" s="2">
        <v>93</v>
      </c>
      <c r="BY12" s="5">
        <v>-0.30742056753301811</v>
      </c>
      <c r="BZ12" s="74">
        <f t="shared" si="58"/>
        <v>-0.57976782775415936</v>
      </c>
      <c r="CA12" s="74">
        <f t="shared" si="59"/>
        <v>-1</v>
      </c>
      <c r="CB12" s="5" t="str">
        <f t="shared" si="28"/>
        <v/>
      </c>
      <c r="CC12" s="5">
        <f t="shared" si="29"/>
        <v>-0.30742056753301811</v>
      </c>
      <c r="CD12" s="2">
        <f t="shared" si="30"/>
        <v>-1.0538995434354443</v>
      </c>
      <c r="CE12" s="69">
        <f t="shared" si="31"/>
        <v>7</v>
      </c>
      <c r="CF12" s="5">
        <v>14200</v>
      </c>
      <c r="CG12" s="5">
        <v>0.15255855851931671</v>
      </c>
      <c r="CH12" s="72">
        <f t="shared" si="60"/>
        <v>-0.1197887017018246</v>
      </c>
      <c r="CI12" s="72">
        <f t="shared" si="61"/>
        <v>-1</v>
      </c>
      <c r="CJ12" s="5" t="str">
        <f t="shared" si="32"/>
        <v/>
      </c>
      <c r="CK12" s="5">
        <f t="shared" si="33"/>
        <v>0.15255855851931671</v>
      </c>
      <c r="CL12" s="69">
        <f t="shared" si="34"/>
        <v>7</v>
      </c>
      <c r="CN12" s="70" t="str">
        <f t="shared" si="35"/>
        <v/>
      </c>
      <c r="CO12" s="5" t="str">
        <f t="shared" si="36"/>
        <v>UF</v>
      </c>
      <c r="CP12" s="5" t="str">
        <f>IF(G12&lt;48,"UF", IF(NOT(ISBLANK(CM:CM)), CM:CM, IF(BW:BW=1, BV:BV+Sheet2!B395, IF(Sheet1!BW:BW=2, Sheet1!BV:BV+Sheet2!B396, IF(Sheet1!BW:BW=7, Sheet1!BV:BV+Sheet2!B397,"")))))</f>
        <v>UF</v>
      </c>
      <c r="CQ12" s="69" t="str">
        <f t="shared" si="62"/>
        <v/>
      </c>
      <c r="CR12" s="5" t="s">
        <v>12</v>
      </c>
      <c r="CT12" s="5" t="str">
        <f t="shared" si="37"/>
        <v/>
      </c>
      <c r="CU12" s="80" t="str">
        <f t="shared" si="38"/>
        <v>UF</v>
      </c>
      <c r="CV12" s="80" t="str">
        <f t="shared" si="39"/>
        <v>UF</v>
      </c>
      <c r="CW12" s="20" t="str">
        <f>IF(G12&lt;48,"UF", IF(NOT(ISBLANK(CS12)), CS12, IF(CE12=5, CC12+Sheet2!B384, IF(CE12=6, CC12+Sheet2!B385, IF(CE12=7, CC12+Sheet2!B386,"")))))</f>
        <v>UF</v>
      </c>
      <c r="CX12" s="68" t="str">
        <f t="shared" si="63"/>
        <v/>
      </c>
      <c r="CY12" s="5" t="s">
        <v>12</v>
      </c>
      <c r="DA12" s="5" t="str">
        <f t="shared" si="40"/>
        <v>UF</v>
      </c>
      <c r="DB12" s="73" t="str">
        <f t="shared" si="41"/>
        <v>UF</v>
      </c>
      <c r="DC12" s="73" t="str">
        <f t="shared" si="42"/>
        <v>UF</v>
      </c>
      <c r="DD12" s="5" t="str">
        <f>IF(G12&lt;48,"UF", IF(NOT(ISBLANK(CZ:CZ)), CZ:CZ, IF(CL:CL=3, CK:CK+Sheet2!B389, IF(CL:CL=4, CK:CK+Sheet2!B390, IF(CL:CL=7, CK:CK+Sheet2!B391,"")))))</f>
        <v>UF</v>
      </c>
      <c r="DE12" s="69" t="str">
        <f t="shared" si="43"/>
        <v/>
      </c>
      <c r="DF12" s="2">
        <v>1</v>
      </c>
      <c r="DG12" s="2">
        <v>21</v>
      </c>
      <c r="DH12" s="2">
        <v>1</v>
      </c>
      <c r="DI12" s="2">
        <v>2</v>
      </c>
      <c r="DJ12" s="2">
        <v>2</v>
      </c>
      <c r="DK12" s="2">
        <v>110</v>
      </c>
      <c r="DL12" s="2">
        <v>60</v>
      </c>
      <c r="DM12" s="2">
        <v>120</v>
      </c>
      <c r="DN12" s="2">
        <v>60</v>
      </c>
      <c r="DO12" s="2">
        <v>105</v>
      </c>
      <c r="DP12" s="2">
        <v>59</v>
      </c>
      <c r="DQ12" s="2">
        <v>2</v>
      </c>
      <c r="DR12" s="2">
        <v>39</v>
      </c>
      <c r="DS12" s="2">
        <v>2</v>
      </c>
      <c r="DT12" s="2">
        <v>88</v>
      </c>
      <c r="DU12" s="2">
        <v>76</v>
      </c>
      <c r="DV12" s="2">
        <v>2</v>
      </c>
      <c r="DW12" s="2">
        <v>2</v>
      </c>
      <c r="DX12" s="2">
        <v>2</v>
      </c>
      <c r="DY12" s="2">
        <v>2</v>
      </c>
      <c r="DZ12" s="2">
        <v>35</v>
      </c>
      <c r="EA12" s="2">
        <v>35.5</v>
      </c>
      <c r="EB12" s="2">
        <v>46</v>
      </c>
      <c r="EC12" s="2">
        <v>1</v>
      </c>
      <c r="ED12" s="2">
        <v>1</v>
      </c>
    </row>
    <row r="13" spans="1:134" x14ac:dyDescent="0.25">
      <c r="C13" s="8" t="s">
        <v>233</v>
      </c>
      <c r="D13" s="53">
        <v>122587383</v>
      </c>
      <c r="E13" s="5">
        <v>7</v>
      </c>
      <c r="F13" s="2">
        <v>2</v>
      </c>
      <c r="G13" s="2">
        <v>37</v>
      </c>
      <c r="H13" s="2">
        <v>-1.604974862860441</v>
      </c>
      <c r="I13" s="2">
        <v>50</v>
      </c>
      <c r="J13" s="2">
        <v>6.1168777667580831E-2</v>
      </c>
      <c r="K13" s="2">
        <v>2885</v>
      </c>
      <c r="L13" s="2">
        <v>-0.99019316435123717</v>
      </c>
      <c r="M13" s="2">
        <v>-0.4546</v>
      </c>
      <c r="N13" s="2">
        <f t="shared" si="0"/>
        <v>0.83563743143022051</v>
      </c>
      <c r="O13" s="2">
        <f t="shared" si="1"/>
        <v>-0.4546</v>
      </c>
      <c r="P13" s="2">
        <v>67</v>
      </c>
      <c r="Q13" s="2">
        <v>-0.3</v>
      </c>
      <c r="R13" s="5">
        <f t="shared" si="2"/>
        <v>-0.6055843888337904</v>
      </c>
      <c r="S13" s="5">
        <f t="shared" si="3"/>
        <v>-0.3</v>
      </c>
      <c r="T13" s="2">
        <v>7500</v>
      </c>
      <c r="U13" s="2">
        <v>-0.52</v>
      </c>
      <c r="V13" s="2">
        <f t="shared" si="4"/>
        <v>0.18009658217561858</v>
      </c>
      <c r="W13" s="2">
        <f t="shared" si="5"/>
        <v>-0.52</v>
      </c>
      <c r="X13" s="2">
        <v>6.6299999999999998E-2</v>
      </c>
      <c r="Y13" s="76">
        <f t="shared" si="44"/>
        <v>1.671274862860441</v>
      </c>
      <c r="Z13" s="76">
        <f t="shared" si="45"/>
        <v>2</v>
      </c>
      <c r="AA13" s="2">
        <f t="shared" si="6"/>
        <v>0.10419999999999999</v>
      </c>
      <c r="AB13" s="2">
        <f t="shared" si="7"/>
        <v>6.6299999999999998E-2</v>
      </c>
      <c r="AC13" s="2">
        <v>73</v>
      </c>
      <c r="AD13" s="2">
        <v>-1.1499999999999999</v>
      </c>
      <c r="AE13" s="79">
        <f t="shared" si="46"/>
        <v>-1.2111687776675808</v>
      </c>
      <c r="AF13" s="79">
        <f t="shared" si="47"/>
        <v>-2</v>
      </c>
      <c r="AG13" s="2">
        <f t="shared" si="8"/>
        <v>-0.45499999999999996</v>
      </c>
      <c r="AH13" s="2">
        <f t="shared" si="9"/>
        <v>-1.1499999999999999</v>
      </c>
      <c r="AI13" s="2">
        <v>9000</v>
      </c>
      <c r="AJ13" s="2">
        <v>-0.63</v>
      </c>
      <c r="AK13" s="76">
        <f t="shared" si="48"/>
        <v>0.36019316435123716</v>
      </c>
      <c r="AL13" s="76">
        <f t="shared" si="49"/>
        <v>1</v>
      </c>
      <c r="AM13" s="2">
        <f t="shared" si="10"/>
        <v>-0.14500000000000002</v>
      </c>
      <c r="AN13" s="2">
        <f t="shared" si="11"/>
        <v>-0.63</v>
      </c>
      <c r="AO13" s="2">
        <v>-9.1600000000000001E-2</v>
      </c>
      <c r="AP13" s="2">
        <f t="shared" si="12"/>
        <v>-8.9705949763470044E-2</v>
      </c>
      <c r="AQ13" s="2">
        <f t="shared" si="13"/>
        <v>-9.1600000000000001E-2</v>
      </c>
      <c r="AR13" s="2">
        <v>79</v>
      </c>
      <c r="AS13" s="2">
        <v>-1.21</v>
      </c>
      <c r="AT13" s="2">
        <f t="shared" si="14"/>
        <v>0.73722565580973676</v>
      </c>
      <c r="AU13" s="2">
        <f t="shared" si="15"/>
        <v>-1.21</v>
      </c>
      <c r="AV13" s="2">
        <v>10000</v>
      </c>
      <c r="AW13" s="2">
        <v>-0.81</v>
      </c>
      <c r="AX13" s="2">
        <f t="shared" si="16"/>
        <v>0.29989823997567799</v>
      </c>
      <c r="AY13" s="2">
        <f t="shared" si="17"/>
        <v>-0.81</v>
      </c>
      <c r="AZ13" s="2">
        <v>-0.1131118995269401</v>
      </c>
      <c r="BA13" s="78">
        <f t="shared" si="50"/>
        <v>-0.17941189952694009</v>
      </c>
      <c r="BB13" s="78">
        <f t="shared" si="51"/>
        <v>-1</v>
      </c>
      <c r="BC13" s="2" t="str">
        <f t="shared" si="18"/>
        <v/>
      </c>
      <c r="BD13" s="2">
        <f t="shared" si="19"/>
        <v>-0.1131118995269401</v>
      </c>
      <c r="BE13" s="67">
        <f t="shared" si="52"/>
        <v>7</v>
      </c>
      <c r="BF13" s="2">
        <v>88</v>
      </c>
      <c r="BG13" s="2">
        <v>0.32445131161947349</v>
      </c>
      <c r="BH13" s="2" t="str">
        <f t="shared" si="20"/>
        <v/>
      </c>
      <c r="BI13" s="2">
        <f t="shared" si="21"/>
        <v>0.32445131161947349</v>
      </c>
      <c r="BJ13" s="67">
        <f t="shared" si="22"/>
        <v>7</v>
      </c>
      <c r="BK13" s="2">
        <v>12700</v>
      </c>
      <c r="BL13" s="2">
        <v>-3.0203520048644041E-2</v>
      </c>
      <c r="BM13" s="77">
        <f t="shared" si="53"/>
        <v>0.59979647995135599</v>
      </c>
      <c r="BN13" s="77">
        <f t="shared" si="54"/>
        <v>1</v>
      </c>
      <c r="BO13" s="2" t="str">
        <f t="shared" si="23"/>
        <v/>
      </c>
      <c r="BP13" s="2">
        <f t="shared" si="24"/>
        <v>-3.0203520048644041E-2</v>
      </c>
      <c r="BQ13" s="67">
        <f t="shared" si="55"/>
        <v>7</v>
      </c>
      <c r="BS13" s="75" t="e">
        <f t="shared" si="56"/>
        <v>#VALUE!</v>
      </c>
      <c r="BT13" s="75" t="e">
        <f t="shared" si="57"/>
        <v>#VALUE!</v>
      </c>
      <c r="BU13" s="5" t="str">
        <f t="shared" si="25"/>
        <v>UF</v>
      </c>
      <c r="BV13" s="5" t="e">
        <f t="shared" si="26"/>
        <v>#VALUE!</v>
      </c>
      <c r="BW13" s="69" t="e">
        <f t="shared" si="27"/>
        <v>#VALUE!</v>
      </c>
      <c r="BX13" s="2" t="s">
        <v>12</v>
      </c>
      <c r="BZ13" s="74" t="e">
        <f t="shared" si="58"/>
        <v>#VALUE!</v>
      </c>
      <c r="CA13" s="74" t="e">
        <f t="shared" si="59"/>
        <v>#VALUE!</v>
      </c>
      <c r="CB13" s="5" t="str">
        <f t="shared" si="28"/>
        <v/>
      </c>
      <c r="CC13" s="5" t="e">
        <f t="shared" si="29"/>
        <v>#VALUE!</v>
      </c>
      <c r="CD13" s="2" t="e">
        <f t="shared" si="30"/>
        <v>#VALUE!</v>
      </c>
      <c r="CE13" s="69" t="e">
        <f t="shared" si="31"/>
        <v>#VALUE!</v>
      </c>
      <c r="CF13" s="5" t="s">
        <v>12</v>
      </c>
      <c r="CH13" s="72" t="e">
        <f t="shared" si="60"/>
        <v>#VALUE!</v>
      </c>
      <c r="CI13" s="72" t="e">
        <f t="shared" si="61"/>
        <v>#VALUE!</v>
      </c>
      <c r="CJ13" s="5" t="str">
        <f t="shared" si="32"/>
        <v/>
      </c>
      <c r="CK13" s="5" t="e">
        <f t="shared" si="33"/>
        <v>#VALUE!</v>
      </c>
      <c r="CL13" s="69" t="e">
        <f t="shared" si="34"/>
        <v>#VALUE!</v>
      </c>
      <c r="CN13" s="70" t="str">
        <f t="shared" si="35"/>
        <v/>
      </c>
      <c r="CO13" s="5" t="str">
        <f t="shared" si="36"/>
        <v>UF</v>
      </c>
      <c r="CP13" s="5" t="str">
        <f>IF(G13&lt;48,"UF", IF(NOT(ISBLANK(CM:CM)), CM:CM, IF(BW:BW=1, BV:BV+Sheet2!B417, IF(Sheet1!BW:BW=2, Sheet1!BV:BV+Sheet2!B418, IF(Sheet1!BW:BW=7, Sheet1!BV:BV+Sheet2!B419,"")))))</f>
        <v>UF</v>
      </c>
      <c r="CQ13" s="69" t="str">
        <f t="shared" si="62"/>
        <v/>
      </c>
      <c r="CR13" s="5" t="s">
        <v>12</v>
      </c>
      <c r="CT13" s="5" t="str">
        <f t="shared" si="37"/>
        <v/>
      </c>
      <c r="CU13" s="80" t="str">
        <f t="shared" si="38"/>
        <v>UF</v>
      </c>
      <c r="CV13" s="80" t="str">
        <f t="shared" si="39"/>
        <v>UF</v>
      </c>
      <c r="CW13" s="20" t="str">
        <f>IF(G13&lt;48,"UF", IF(NOT(ISBLANK(CS13)), CS13, IF(CE13=5, CC13+Sheet2!B406, IF(CE13=6, CC13+Sheet2!B407, IF(CE13=7, CC13+Sheet2!B408,"")))))</f>
        <v>UF</v>
      </c>
      <c r="CX13" s="68" t="str">
        <f t="shared" si="63"/>
        <v/>
      </c>
      <c r="CY13" s="5" t="s">
        <v>12</v>
      </c>
      <c r="DA13" s="5" t="str">
        <f t="shared" si="40"/>
        <v>UF</v>
      </c>
      <c r="DB13" s="73" t="str">
        <f t="shared" si="41"/>
        <v>UF</v>
      </c>
      <c r="DC13" s="73" t="str">
        <f t="shared" si="42"/>
        <v>UF</v>
      </c>
      <c r="DD13" s="5" t="str">
        <f>IF(G13&lt;48,"UF", IF(NOT(ISBLANK(CZ:CZ)), CZ:CZ, IF(CL:CL=3, CK:CK+Sheet2!B411, IF(CL:CL=4, CK:CK+Sheet2!B412, IF(CL:CL=7, CK:CK+Sheet2!B413,"")))))</f>
        <v>UF</v>
      </c>
      <c r="DE13" s="69" t="str">
        <f t="shared" si="43"/>
        <v/>
      </c>
      <c r="DF13" s="2">
        <v>2</v>
      </c>
      <c r="DG13" s="2">
        <v>28</v>
      </c>
      <c r="DH13" s="2">
        <v>2</v>
      </c>
      <c r="DI13" s="2">
        <v>2</v>
      </c>
      <c r="DJ13" s="2">
        <v>2</v>
      </c>
      <c r="DK13" s="2">
        <v>113</v>
      </c>
      <c r="DL13" s="2">
        <v>70</v>
      </c>
      <c r="DM13" s="2">
        <v>110</v>
      </c>
      <c r="DN13" s="2">
        <v>60</v>
      </c>
      <c r="DO13" s="2">
        <v>120</v>
      </c>
      <c r="DP13" s="2">
        <v>59</v>
      </c>
      <c r="DQ13" s="2">
        <v>2</v>
      </c>
      <c r="DR13" s="2">
        <v>40</v>
      </c>
      <c r="DS13" s="2">
        <v>2</v>
      </c>
      <c r="DT13" s="2">
        <v>81</v>
      </c>
      <c r="DU13" s="2">
        <v>72</v>
      </c>
      <c r="DV13" s="2">
        <v>2</v>
      </c>
      <c r="DW13" s="2">
        <v>2</v>
      </c>
      <c r="DX13" s="2">
        <v>2</v>
      </c>
      <c r="DY13" s="2">
        <v>2</v>
      </c>
      <c r="DZ13" s="2">
        <v>33.5</v>
      </c>
      <c r="EA13" s="2">
        <v>36.5</v>
      </c>
      <c r="EB13" s="2">
        <v>44.8</v>
      </c>
      <c r="EC13" s="2">
        <v>1</v>
      </c>
      <c r="ED13" s="2">
        <v>1</v>
      </c>
    </row>
    <row r="14" spans="1:134" x14ac:dyDescent="0.25">
      <c r="C14" s="8" t="s">
        <v>205</v>
      </c>
      <c r="D14" s="4">
        <v>122590827</v>
      </c>
      <c r="E14" s="5">
        <v>7</v>
      </c>
      <c r="F14" s="2">
        <v>1</v>
      </c>
      <c r="G14" s="2">
        <v>37</v>
      </c>
      <c r="H14" s="2">
        <v>-1.3620167871604469</v>
      </c>
      <c r="I14" s="2">
        <v>50</v>
      </c>
      <c r="J14" s="2">
        <v>0.45756143734440202</v>
      </c>
      <c r="K14" s="1">
        <v>2940</v>
      </c>
      <c r="L14" s="2">
        <v>-0.65672075323294044</v>
      </c>
      <c r="N14" s="2">
        <f t="shared" si="0"/>
        <v>5.1008393580223466E-2</v>
      </c>
      <c r="O14" s="2">
        <f t="shared" si="1"/>
        <v>-1.3110083935802235</v>
      </c>
      <c r="P14" s="2" t="s">
        <v>12</v>
      </c>
      <c r="R14" s="5">
        <f t="shared" si="2"/>
        <v>0.35121928132779895</v>
      </c>
      <c r="S14" s="5">
        <f t="shared" si="3"/>
        <v>0.80878071867220092</v>
      </c>
      <c r="T14" s="2" t="s">
        <v>12</v>
      </c>
      <c r="V14" s="2">
        <f t="shared" si="4"/>
        <v>0.21336037661647023</v>
      </c>
      <c r="W14" s="2">
        <f t="shared" si="5"/>
        <v>-0.44336037661647021</v>
      </c>
      <c r="X14" s="2">
        <v>-1.26</v>
      </c>
      <c r="Y14" s="76">
        <f t="shared" si="44"/>
        <v>0.10201678716044693</v>
      </c>
      <c r="Z14" s="76">
        <f t="shared" si="45"/>
        <v>1</v>
      </c>
      <c r="AA14" s="2">
        <f t="shared" si="6"/>
        <v>-0.93549035933610047</v>
      </c>
      <c r="AB14" s="2">
        <f t="shared" si="7"/>
        <v>-1.26</v>
      </c>
      <c r="AC14" s="2">
        <v>77</v>
      </c>
      <c r="AD14" s="2">
        <v>1.1599999999999999</v>
      </c>
      <c r="AE14" s="79">
        <f t="shared" si="46"/>
        <v>0.7024385626555979</v>
      </c>
      <c r="AF14" s="79">
        <f t="shared" si="47"/>
        <v>2</v>
      </c>
      <c r="AG14" s="2">
        <f t="shared" si="8"/>
        <v>-0.52939035933610046</v>
      </c>
      <c r="AH14" s="2">
        <f t="shared" si="9"/>
        <v>1.1599999999999999</v>
      </c>
      <c r="AI14" s="2">
        <v>8700</v>
      </c>
      <c r="AJ14" s="2">
        <v>-0.23</v>
      </c>
      <c r="AK14" s="76">
        <f t="shared" si="48"/>
        <v>0.42672075323294045</v>
      </c>
      <c r="AL14" s="76">
        <f t="shared" si="49"/>
        <v>1</v>
      </c>
      <c r="AM14" s="2">
        <f t="shared" si="10"/>
        <v>-0.2183198116917649</v>
      </c>
      <c r="AN14" s="2">
        <f t="shared" si="11"/>
        <v>-0.23</v>
      </c>
      <c r="AO14" s="2">
        <v>-1.0622</v>
      </c>
      <c r="AP14" s="2" t="str">
        <f t="shared" si="12"/>
        <v/>
      </c>
      <c r="AQ14" s="2">
        <f t="shared" si="13"/>
        <v>-1.0622</v>
      </c>
      <c r="AR14" s="2">
        <v>80</v>
      </c>
      <c r="AS14" s="2">
        <v>-0.25</v>
      </c>
      <c r="AT14" s="2" t="str">
        <f t="shared" si="14"/>
        <v/>
      </c>
      <c r="AU14" s="2">
        <f t="shared" si="15"/>
        <v>-0.25</v>
      </c>
      <c r="AV14" s="2">
        <v>9200</v>
      </c>
      <c r="AW14" s="2">
        <v>-0.88</v>
      </c>
      <c r="AX14" s="2" t="str">
        <f t="shared" si="16"/>
        <v/>
      </c>
      <c r="AY14" s="2">
        <f t="shared" si="17"/>
        <v>-0.88</v>
      </c>
      <c r="BA14" s="78" t="e">
        <f t="shared" si="50"/>
        <v>#VALUE!</v>
      </c>
      <c r="BB14" s="78" t="e">
        <f t="shared" si="51"/>
        <v>#VALUE!</v>
      </c>
      <c r="BC14" s="2" t="str">
        <f t="shared" si="18"/>
        <v/>
      </c>
      <c r="BD14" s="2" t="e">
        <f t="shared" si="19"/>
        <v>#VALUE!</v>
      </c>
      <c r="BE14" s="67" t="e">
        <f t="shared" si="52"/>
        <v>#VALUE!</v>
      </c>
      <c r="BF14" s="2" t="s">
        <v>12</v>
      </c>
      <c r="BH14" s="2" t="str">
        <f t="shared" si="20"/>
        <v/>
      </c>
      <c r="BI14" s="2" t="e">
        <f t="shared" si="21"/>
        <v>#VALUE!</v>
      </c>
      <c r="BJ14" s="67" t="e">
        <f t="shared" si="22"/>
        <v>#VALUE!</v>
      </c>
      <c r="BK14" s="2" t="s">
        <v>12</v>
      </c>
      <c r="BM14" s="77" t="e">
        <f t="shared" si="53"/>
        <v>#VALUE!</v>
      </c>
      <c r="BN14" s="77" t="e">
        <f t="shared" si="54"/>
        <v>#VALUE!</v>
      </c>
      <c r="BO14" s="2" t="str">
        <f t="shared" si="23"/>
        <v/>
      </c>
      <c r="BP14" s="2" t="e">
        <f t="shared" si="24"/>
        <v>#VALUE!</v>
      </c>
      <c r="BQ14" s="67" t="e">
        <f t="shared" si="55"/>
        <v>#VALUE!</v>
      </c>
      <c r="BS14" s="75" t="e">
        <f t="shared" si="56"/>
        <v>#VALUE!</v>
      </c>
      <c r="BT14" s="75" t="e">
        <f t="shared" si="57"/>
        <v>#VALUE!</v>
      </c>
      <c r="BU14" s="5" t="str">
        <f t="shared" si="25"/>
        <v>UF</v>
      </c>
      <c r="BV14" s="5" t="e">
        <f t="shared" si="26"/>
        <v>#VALUE!</v>
      </c>
      <c r="BW14" s="69" t="e">
        <f t="shared" si="27"/>
        <v>#VALUE!</v>
      </c>
      <c r="BX14" s="2" t="s">
        <v>12</v>
      </c>
      <c r="BZ14" s="74" t="e">
        <f t="shared" si="58"/>
        <v>#VALUE!</v>
      </c>
      <c r="CA14" s="74" t="e">
        <f t="shared" si="59"/>
        <v>#VALUE!</v>
      </c>
      <c r="CB14" s="5" t="str">
        <f t="shared" si="28"/>
        <v/>
      </c>
      <c r="CC14" s="5" t="e">
        <f t="shared" si="29"/>
        <v>#VALUE!</v>
      </c>
      <c r="CD14" s="2" t="e">
        <f t="shared" si="30"/>
        <v>#VALUE!</v>
      </c>
      <c r="CE14" s="69" t="e">
        <f t="shared" si="31"/>
        <v>#VALUE!</v>
      </c>
      <c r="CF14" s="5" t="s">
        <v>12</v>
      </c>
      <c r="CH14" s="72" t="e">
        <f t="shared" si="60"/>
        <v>#VALUE!</v>
      </c>
      <c r="CI14" s="72" t="e">
        <f t="shared" si="61"/>
        <v>#VALUE!</v>
      </c>
      <c r="CJ14" s="5" t="str">
        <f t="shared" si="32"/>
        <v/>
      </c>
      <c r="CK14" s="5" t="e">
        <f t="shared" si="33"/>
        <v>#VALUE!</v>
      </c>
      <c r="CL14" s="69" t="e">
        <f t="shared" si="34"/>
        <v>#VALUE!</v>
      </c>
      <c r="CN14" s="70" t="str">
        <f t="shared" si="35"/>
        <v/>
      </c>
      <c r="CO14" s="5" t="str">
        <f t="shared" si="36"/>
        <v>UF</v>
      </c>
      <c r="CP14" s="5" t="str">
        <f>IF(G14&lt;48,"UF", IF(NOT(ISBLANK(CM:CM)), CM:CM, IF(BW:BW=1, BV:BV+Sheet2!B380, IF(Sheet1!BW:BW=2, Sheet1!BV:BV+Sheet2!B381, IF(Sheet1!BW:BW=7, Sheet1!BV:BV+Sheet2!B382,"")))))</f>
        <v>UF</v>
      </c>
      <c r="CQ14" s="69" t="str">
        <f t="shared" si="62"/>
        <v/>
      </c>
      <c r="CR14" s="5" t="s">
        <v>12</v>
      </c>
      <c r="CT14" s="5" t="str">
        <f t="shared" si="37"/>
        <v/>
      </c>
      <c r="CU14" s="80" t="str">
        <f t="shared" si="38"/>
        <v>UF</v>
      </c>
      <c r="CV14" s="80" t="str">
        <f t="shared" si="39"/>
        <v>UF</v>
      </c>
      <c r="CW14" s="20" t="str">
        <f>IF(G14&lt;48,"UF", IF(NOT(ISBLANK(CS14)), CS14, IF(CE14=5, CC14+Sheet2!B369, IF(CE14=6, CC14+Sheet2!B370, IF(CE14=7, CC14+Sheet2!B371,"")))))</f>
        <v>UF</v>
      </c>
      <c r="CX14" s="68" t="str">
        <f t="shared" si="63"/>
        <v/>
      </c>
      <c r="CY14" s="5" t="s">
        <v>12</v>
      </c>
      <c r="DA14" s="5" t="str">
        <f t="shared" si="40"/>
        <v>UF</v>
      </c>
      <c r="DB14" s="73" t="str">
        <f t="shared" si="41"/>
        <v>UF</v>
      </c>
      <c r="DC14" s="73" t="str">
        <f t="shared" si="42"/>
        <v>UF</v>
      </c>
      <c r="DD14" s="5" t="str">
        <f>IF(G14&lt;48,"UF", IF(NOT(ISBLANK(CZ:CZ)), CZ:CZ, IF(CL:CL=3, CK:CK+Sheet2!B374, IF(CL:CL=4, CK:CK+Sheet2!B375, IF(CL:CL=7, CK:CK+Sheet2!B376,"")))))</f>
        <v>UF</v>
      </c>
      <c r="DE14" s="69" t="str">
        <f t="shared" si="43"/>
        <v/>
      </c>
      <c r="DF14" s="2">
        <v>2</v>
      </c>
      <c r="DG14" s="2">
        <v>24</v>
      </c>
      <c r="DH14" s="2">
        <v>2</v>
      </c>
      <c r="DI14" s="2">
        <v>2</v>
      </c>
      <c r="DJ14" s="2">
        <v>2</v>
      </c>
      <c r="DK14" s="2">
        <v>110</v>
      </c>
      <c r="DL14" s="2">
        <v>60</v>
      </c>
      <c r="DM14" s="2">
        <v>110</v>
      </c>
      <c r="DN14" s="2">
        <v>60</v>
      </c>
      <c r="DO14" s="2" t="s">
        <v>12</v>
      </c>
      <c r="DP14" s="2" t="s">
        <v>12</v>
      </c>
      <c r="DQ14" s="2">
        <v>2</v>
      </c>
      <c r="DR14" s="2">
        <v>38</v>
      </c>
      <c r="DS14" s="2">
        <v>2</v>
      </c>
      <c r="DT14" s="2">
        <v>85</v>
      </c>
      <c r="DU14" s="2">
        <v>73</v>
      </c>
      <c r="DV14" s="2">
        <v>2</v>
      </c>
      <c r="DW14" s="2">
        <v>3</v>
      </c>
      <c r="DX14" s="2">
        <v>2</v>
      </c>
      <c r="DY14" s="2">
        <v>3</v>
      </c>
      <c r="DZ14" s="2">
        <v>35</v>
      </c>
      <c r="EA14" s="2">
        <v>36</v>
      </c>
      <c r="EB14" s="2">
        <v>46</v>
      </c>
      <c r="EC14" s="2">
        <v>1</v>
      </c>
      <c r="ED14" s="2">
        <v>1</v>
      </c>
    </row>
    <row r="15" spans="1:134" x14ac:dyDescent="0.25">
      <c r="C15" s="5" t="s">
        <v>388</v>
      </c>
      <c r="D15" s="8">
        <v>122592522</v>
      </c>
      <c r="E15" s="3">
        <v>7</v>
      </c>
      <c r="F15" s="2">
        <v>1</v>
      </c>
      <c r="G15" s="2">
        <v>40</v>
      </c>
      <c r="H15" s="2">
        <v>-0.34966417634341068</v>
      </c>
      <c r="I15" s="2">
        <v>49</v>
      </c>
      <c r="J15" s="2">
        <v>-7.9294265603816944E-2</v>
      </c>
      <c r="K15" s="5">
        <v>3100</v>
      </c>
      <c r="L15" s="2">
        <v>-0.29236112544414727</v>
      </c>
      <c r="M15" s="2">
        <v>0.1802</v>
      </c>
      <c r="N15" s="2">
        <f t="shared" si="0"/>
        <v>0.36978208817170533</v>
      </c>
      <c r="O15" s="2">
        <f t="shared" si="1"/>
        <v>0.1802</v>
      </c>
      <c r="P15" s="2">
        <v>64.5</v>
      </c>
      <c r="Q15" s="2">
        <v>-0.55000000000000004</v>
      </c>
      <c r="R15" s="5">
        <f t="shared" si="2"/>
        <v>-0.25035286719809152</v>
      </c>
      <c r="S15" s="5">
        <f t="shared" si="3"/>
        <v>-0.55000000000000004</v>
      </c>
      <c r="T15" s="1">
        <v>7150</v>
      </c>
      <c r="U15" s="2">
        <v>-0.17</v>
      </c>
      <c r="V15" s="2">
        <f t="shared" si="4"/>
        <v>0.12618056272207365</v>
      </c>
      <c r="W15" s="2">
        <f t="shared" si="5"/>
        <v>-0.17</v>
      </c>
      <c r="X15" s="2">
        <v>0.38990000000000002</v>
      </c>
      <c r="Y15" s="76">
        <f t="shared" si="44"/>
        <v>0.73956417634341065</v>
      </c>
      <c r="Z15" s="76">
        <f t="shared" si="45"/>
        <v>2</v>
      </c>
      <c r="AA15" s="2" t="str">
        <f t="shared" si="6"/>
        <v/>
      </c>
      <c r="AB15" s="2">
        <f t="shared" si="7"/>
        <v>0.38990000000000002</v>
      </c>
      <c r="AC15" s="2">
        <v>72.5</v>
      </c>
      <c r="AD15" s="2">
        <v>-0.57999999999999996</v>
      </c>
      <c r="AE15" s="79">
        <f t="shared" si="46"/>
        <v>-0.50070573439618304</v>
      </c>
      <c r="AF15" s="79">
        <f t="shared" si="47"/>
        <v>-1</v>
      </c>
      <c r="AG15" s="2" t="str">
        <f t="shared" si="8"/>
        <v/>
      </c>
      <c r="AH15" s="2">
        <f t="shared" si="9"/>
        <v>-0.57999999999999996</v>
      </c>
      <c r="AI15" s="2">
        <v>8900</v>
      </c>
      <c r="AJ15" s="2">
        <v>-0.04</v>
      </c>
      <c r="AK15" s="76">
        <f t="shared" si="48"/>
        <v>0.25236112544414729</v>
      </c>
      <c r="AL15" s="76">
        <f t="shared" si="49"/>
        <v>1</v>
      </c>
      <c r="AM15" s="2" t="str">
        <f t="shared" si="10"/>
        <v/>
      </c>
      <c r="AN15" s="2">
        <f t="shared" si="11"/>
        <v>-0.04</v>
      </c>
      <c r="AP15" s="2" t="str">
        <f t="shared" si="12"/>
        <v/>
      </c>
      <c r="AQ15" s="2" t="e">
        <f t="shared" si="13"/>
        <v>#VALUE!</v>
      </c>
      <c r="AR15" s="2" t="s">
        <v>12</v>
      </c>
      <c r="AT15" s="2" t="str">
        <f t="shared" si="14"/>
        <v/>
      </c>
      <c r="AU15" s="2" t="e">
        <f t="shared" si="15"/>
        <v>#VALUE!</v>
      </c>
      <c r="AV15" s="2" t="s">
        <v>12</v>
      </c>
      <c r="AX15" s="2" t="str">
        <f t="shared" si="16"/>
        <v/>
      </c>
      <c r="AY15" s="2" t="e">
        <f t="shared" si="17"/>
        <v>#VALUE!</v>
      </c>
      <c r="BA15" s="78" t="e">
        <f t="shared" si="50"/>
        <v>#VALUE!</v>
      </c>
      <c r="BB15" s="78" t="e">
        <f t="shared" si="51"/>
        <v>#VALUE!</v>
      </c>
      <c r="BC15" s="2" t="e">
        <f t="shared" si="18"/>
        <v>#VALUE!</v>
      </c>
      <c r="BD15" s="2" t="e">
        <f t="shared" si="19"/>
        <v>#VALUE!</v>
      </c>
      <c r="BE15" s="67" t="e">
        <f t="shared" si="52"/>
        <v>#VALUE!</v>
      </c>
      <c r="BF15" s="2" t="s">
        <v>12</v>
      </c>
      <c r="BH15" s="2" t="e">
        <f t="shared" si="20"/>
        <v>#VALUE!</v>
      </c>
      <c r="BI15" s="2" t="e">
        <f t="shared" si="21"/>
        <v>#VALUE!</v>
      </c>
      <c r="BJ15" s="67" t="e">
        <f t="shared" si="22"/>
        <v>#VALUE!</v>
      </c>
      <c r="BK15" s="2" t="s">
        <v>12</v>
      </c>
      <c r="BM15" s="77" t="e">
        <f t="shared" si="53"/>
        <v>#VALUE!</v>
      </c>
      <c r="BN15" s="77" t="e">
        <f t="shared" si="54"/>
        <v>#VALUE!</v>
      </c>
      <c r="BO15" s="2" t="e">
        <f t="shared" si="23"/>
        <v>#VALUE!</v>
      </c>
      <c r="BP15" s="2" t="e">
        <f t="shared" si="24"/>
        <v>#VALUE!</v>
      </c>
      <c r="BQ15" s="67" t="e">
        <f t="shared" si="55"/>
        <v>#VALUE!</v>
      </c>
      <c r="BR15" s="5">
        <v>0.53008677196626575</v>
      </c>
      <c r="BS15" s="75" t="e">
        <f t="shared" si="56"/>
        <v>#VALUE!</v>
      </c>
      <c r="BT15" s="75" t="e">
        <f t="shared" si="57"/>
        <v>#VALUE!</v>
      </c>
      <c r="BU15" s="5" t="str">
        <f t="shared" si="25"/>
        <v>UF</v>
      </c>
      <c r="BV15" s="5">
        <f t="shared" si="26"/>
        <v>0.53008677196626575</v>
      </c>
      <c r="BW15" s="69">
        <f t="shared" si="27"/>
        <v>7</v>
      </c>
      <c r="BX15" s="2">
        <v>95</v>
      </c>
      <c r="BY15" s="5">
        <v>0.19833848239431601</v>
      </c>
      <c r="BZ15" s="74" t="e">
        <f t="shared" si="58"/>
        <v>#VALUE!</v>
      </c>
      <c r="CA15" s="74" t="e">
        <f t="shared" si="59"/>
        <v>#VALUE!</v>
      </c>
      <c r="CB15" s="5" t="str">
        <f t="shared" si="28"/>
        <v/>
      </c>
      <c r="CC15" s="5">
        <f t="shared" si="29"/>
        <v>0.19833848239431601</v>
      </c>
      <c r="CD15" s="2" t="e">
        <f t="shared" si="30"/>
        <v>#VALUE!</v>
      </c>
      <c r="CE15" s="69">
        <f t="shared" si="31"/>
        <v>7</v>
      </c>
      <c r="CF15" s="5">
        <v>14800</v>
      </c>
      <c r="CG15" s="5">
        <v>0.48533006733936968</v>
      </c>
      <c r="CH15" s="72" t="e">
        <f t="shared" si="60"/>
        <v>#VALUE!</v>
      </c>
      <c r="CI15" s="72" t="e">
        <f t="shared" si="61"/>
        <v>#VALUE!</v>
      </c>
      <c r="CJ15" s="5" t="str">
        <f t="shared" si="32"/>
        <v/>
      </c>
      <c r="CK15" s="5">
        <f t="shared" si="33"/>
        <v>0.48533006733936968</v>
      </c>
      <c r="CL15" s="69">
        <f t="shared" si="34"/>
        <v>7</v>
      </c>
      <c r="CN15" s="70" t="str">
        <f t="shared" si="35"/>
        <v/>
      </c>
      <c r="CO15" s="5" t="str">
        <f t="shared" si="36"/>
        <v>UF</v>
      </c>
      <c r="CP15" s="5" t="str">
        <f>IF(G15&lt;48,"UF", IF(NOT(ISBLANK(CM:CM)), CM:CM, IF(BW:BW=1, BV:BV+Sheet2!B604, IF(Sheet1!BW:BW=2, Sheet1!BV:BV+Sheet2!B605, IF(Sheet1!BW:BW=7, Sheet1!BV:BV+Sheet2!B606,"")))))</f>
        <v>UF</v>
      </c>
      <c r="CQ15" s="69" t="str">
        <f t="shared" si="62"/>
        <v/>
      </c>
      <c r="CR15" s="5" t="s">
        <v>12</v>
      </c>
      <c r="CT15" s="5" t="str">
        <f t="shared" si="37"/>
        <v/>
      </c>
      <c r="CU15" s="80" t="str">
        <f t="shared" si="38"/>
        <v>UF</v>
      </c>
      <c r="CV15" s="80" t="str">
        <f t="shared" si="39"/>
        <v>UF</v>
      </c>
      <c r="CW15" s="20" t="str">
        <f>IF(G15&lt;48,"UF", IF(NOT(ISBLANK(CS15)), CS15, IF(CE15=5, CC15+Sheet2!B593, IF(CE15=6, CC15+Sheet2!B594, IF(CE15=7, CC15+Sheet2!B595,"")))))</f>
        <v>UF</v>
      </c>
      <c r="CX15" s="68" t="str">
        <f t="shared" si="63"/>
        <v/>
      </c>
      <c r="CY15" s="5" t="s">
        <v>12</v>
      </c>
      <c r="DA15" s="5" t="str">
        <f t="shared" si="40"/>
        <v>UF</v>
      </c>
      <c r="DB15" s="73" t="str">
        <f t="shared" si="41"/>
        <v>UF</v>
      </c>
      <c r="DC15" s="73" t="str">
        <f t="shared" si="42"/>
        <v>UF</v>
      </c>
      <c r="DD15" s="5" t="str">
        <f>IF(G15&lt;48,"UF", IF(NOT(ISBLANK(CZ:CZ)), CZ:CZ, IF(CL:CL=3, CK:CK+Sheet2!B598, IF(CL:CL=4, CK:CK+Sheet2!B599, IF(CL:CL=7, CK:CK+Sheet2!B600,"")))))</f>
        <v>UF</v>
      </c>
      <c r="DE15" s="69" t="str">
        <f t="shared" si="43"/>
        <v/>
      </c>
      <c r="DF15" s="2">
        <v>6</v>
      </c>
      <c r="DG15" s="2">
        <v>24</v>
      </c>
      <c r="DH15" s="2">
        <v>2</v>
      </c>
      <c r="DI15" s="2">
        <v>2</v>
      </c>
      <c r="DJ15" s="2">
        <v>2</v>
      </c>
      <c r="DK15" s="2">
        <v>123</v>
      </c>
      <c r="DL15" s="2">
        <v>75</v>
      </c>
      <c r="DM15" s="2">
        <v>110</v>
      </c>
      <c r="DN15" s="2">
        <v>70</v>
      </c>
      <c r="DO15" s="2">
        <v>113</v>
      </c>
      <c r="DP15" s="2">
        <v>76</v>
      </c>
      <c r="DQ15" s="2">
        <v>2</v>
      </c>
      <c r="DR15" s="2">
        <v>39</v>
      </c>
      <c r="DS15" s="2">
        <v>2</v>
      </c>
      <c r="DT15" s="2">
        <v>84</v>
      </c>
      <c r="DU15" s="2">
        <v>83</v>
      </c>
      <c r="DV15" s="2">
        <v>2</v>
      </c>
      <c r="DW15" s="2">
        <v>3</v>
      </c>
      <c r="DX15" s="2">
        <v>2</v>
      </c>
      <c r="DY15" s="2">
        <v>2</v>
      </c>
      <c r="DZ15" s="2">
        <v>33</v>
      </c>
      <c r="EA15" s="2" t="s">
        <v>12</v>
      </c>
      <c r="EB15" s="2">
        <v>43.5</v>
      </c>
      <c r="EC15" s="2" t="s">
        <v>12</v>
      </c>
      <c r="ED15" s="2">
        <v>1</v>
      </c>
    </row>
    <row r="16" spans="1:134" x14ac:dyDescent="0.25">
      <c r="C16" s="8" t="s">
        <v>232</v>
      </c>
      <c r="D16" s="4">
        <v>122597348</v>
      </c>
      <c r="E16" s="5">
        <v>7</v>
      </c>
      <c r="F16" s="2">
        <v>1</v>
      </c>
      <c r="G16" s="2">
        <v>36</v>
      </c>
      <c r="H16" s="2">
        <v>-0.27567802227962818</v>
      </c>
      <c r="I16" s="2">
        <v>50</v>
      </c>
      <c r="J16" s="2">
        <v>0.45756143734440202</v>
      </c>
      <c r="K16" s="2">
        <v>3250</v>
      </c>
      <c r="L16" s="2">
        <v>3.8795805092995343E-2</v>
      </c>
      <c r="M16" s="2">
        <v>-0.32850000000000001</v>
      </c>
      <c r="N16" s="2" t="str">
        <f t="shared" si="0"/>
        <v/>
      </c>
      <c r="O16" s="2">
        <f t="shared" si="1"/>
        <v>-0.32850000000000001</v>
      </c>
      <c r="P16" s="2">
        <v>62</v>
      </c>
      <c r="Q16" s="2">
        <v>-1.65</v>
      </c>
      <c r="R16" s="5" t="str">
        <f t="shared" si="2"/>
        <v/>
      </c>
      <c r="S16" s="5">
        <f t="shared" si="3"/>
        <v>-1.65</v>
      </c>
      <c r="T16" s="2">
        <v>6310</v>
      </c>
      <c r="U16" s="2">
        <v>-1.2</v>
      </c>
      <c r="V16" s="2" t="str">
        <f t="shared" si="4"/>
        <v/>
      </c>
      <c r="W16" s="2">
        <f t="shared" si="5"/>
        <v>-1.2</v>
      </c>
      <c r="Y16" s="76">
        <f t="shared" si="44"/>
        <v>0.52022802227962806</v>
      </c>
      <c r="Z16" s="76">
        <f t="shared" si="45"/>
        <v>1</v>
      </c>
      <c r="AA16" s="2">
        <f t="shared" si="6"/>
        <v>0.57304999999999995</v>
      </c>
      <c r="AB16" s="2">
        <f t="shared" si="7"/>
        <v>0.24454999999999993</v>
      </c>
      <c r="AC16" s="2" t="s">
        <v>12</v>
      </c>
      <c r="AE16" s="79">
        <f t="shared" si="46"/>
        <v>-2.0925614373444019</v>
      </c>
      <c r="AF16" s="79">
        <f t="shared" si="47"/>
        <v>-2</v>
      </c>
      <c r="AG16" s="2">
        <f t="shared" si="8"/>
        <v>1.4999999999999902E-2</v>
      </c>
      <c r="AH16" s="2">
        <f t="shared" si="9"/>
        <v>-1.635</v>
      </c>
      <c r="AI16" s="2" t="s">
        <v>12</v>
      </c>
      <c r="AK16" s="76">
        <f t="shared" si="48"/>
        <v>-1.3137958050929952</v>
      </c>
      <c r="AL16" s="76">
        <f t="shared" si="49"/>
        <v>-2</v>
      </c>
      <c r="AM16" s="2">
        <f t="shared" si="10"/>
        <v>-7.5000000000000067E-2</v>
      </c>
      <c r="AN16" s="2">
        <f t="shared" si="11"/>
        <v>-1.2749999999999999</v>
      </c>
      <c r="AO16" s="2">
        <v>-0.50390000000000001</v>
      </c>
      <c r="AP16" s="2">
        <f t="shared" si="12"/>
        <v>-0.8290606174323365</v>
      </c>
      <c r="AQ16" s="2">
        <f t="shared" si="13"/>
        <v>-0.50390000000000001</v>
      </c>
      <c r="AR16" s="2">
        <v>76</v>
      </c>
      <c r="AS16" s="2">
        <v>-1.62</v>
      </c>
      <c r="AT16" s="2">
        <f t="shared" si="14"/>
        <v>0.18823321475828902</v>
      </c>
      <c r="AU16" s="2">
        <f t="shared" si="15"/>
        <v>-1.62</v>
      </c>
      <c r="AV16" s="2">
        <v>8700</v>
      </c>
      <c r="AW16" s="2">
        <v>-1.35</v>
      </c>
      <c r="AX16" s="2">
        <f t="shared" si="16"/>
        <v>-0.55150688470717846</v>
      </c>
      <c r="AY16" s="2">
        <f t="shared" si="17"/>
        <v>-1.35</v>
      </c>
      <c r="AZ16" s="2">
        <v>-1.413571234864673</v>
      </c>
      <c r="BA16" s="78">
        <f t="shared" si="50"/>
        <v>-1.658121234864673</v>
      </c>
      <c r="BB16" s="78">
        <f t="shared" si="51"/>
        <v>-2</v>
      </c>
      <c r="BC16" s="2" t="str">
        <f t="shared" si="18"/>
        <v/>
      </c>
      <c r="BD16" s="2">
        <f t="shared" si="19"/>
        <v>-1.413571234864673</v>
      </c>
      <c r="BE16" s="67">
        <f t="shared" si="52"/>
        <v>7</v>
      </c>
      <c r="BF16" s="2">
        <v>81</v>
      </c>
      <c r="BG16" s="2">
        <v>-1.258533570483422</v>
      </c>
      <c r="BH16" s="2" t="str">
        <f t="shared" si="20"/>
        <v/>
      </c>
      <c r="BI16" s="2">
        <f t="shared" si="21"/>
        <v>-1.258533570483422</v>
      </c>
      <c r="BJ16" s="67">
        <f t="shared" si="22"/>
        <v>7</v>
      </c>
      <c r="BK16" s="2">
        <v>9600</v>
      </c>
      <c r="BL16" s="2">
        <v>-2.3780137694143568</v>
      </c>
      <c r="BM16" s="77">
        <f t="shared" si="53"/>
        <v>-1.1030137694143569</v>
      </c>
      <c r="BN16" s="77">
        <f t="shared" si="54"/>
        <v>-2</v>
      </c>
      <c r="BO16" s="2" t="str">
        <f t="shared" si="23"/>
        <v/>
      </c>
      <c r="BP16" s="2">
        <f t="shared" si="24"/>
        <v>-2.3780137694143568</v>
      </c>
      <c r="BQ16" s="67">
        <f t="shared" si="55"/>
        <v>4</v>
      </c>
      <c r="BS16" s="75" t="e">
        <f t="shared" si="56"/>
        <v>#VALUE!</v>
      </c>
      <c r="BT16" s="75" t="e">
        <f t="shared" si="57"/>
        <v>#VALUE!</v>
      </c>
      <c r="BU16" s="5" t="str">
        <f t="shared" si="25"/>
        <v>UF</v>
      </c>
      <c r="BV16" s="5" t="e">
        <f t="shared" si="26"/>
        <v>#VALUE!</v>
      </c>
      <c r="BW16" s="69" t="e">
        <f t="shared" si="27"/>
        <v>#VALUE!</v>
      </c>
      <c r="BX16" s="2" t="s">
        <v>12</v>
      </c>
      <c r="BZ16" s="74" t="e">
        <f t="shared" si="58"/>
        <v>#VALUE!</v>
      </c>
      <c r="CA16" s="74" t="e">
        <f t="shared" si="59"/>
        <v>#VALUE!</v>
      </c>
      <c r="CB16" s="5" t="str">
        <f t="shared" si="28"/>
        <v/>
      </c>
      <c r="CC16" s="5" t="e">
        <f t="shared" si="29"/>
        <v>#VALUE!</v>
      </c>
      <c r="CD16" s="2" t="e">
        <f t="shared" si="30"/>
        <v>#VALUE!</v>
      </c>
      <c r="CE16" s="69" t="e">
        <f t="shared" si="31"/>
        <v>#VALUE!</v>
      </c>
      <c r="CF16" s="5" t="s">
        <v>12</v>
      </c>
      <c r="CH16" s="72" t="e">
        <f t="shared" si="60"/>
        <v>#VALUE!</v>
      </c>
      <c r="CI16" s="72" t="e">
        <f t="shared" si="61"/>
        <v>#VALUE!</v>
      </c>
      <c r="CJ16" s="5" t="str">
        <f t="shared" si="32"/>
        <v/>
      </c>
      <c r="CK16" s="5" t="e">
        <f t="shared" si="33"/>
        <v>#VALUE!</v>
      </c>
      <c r="CL16" s="69" t="e">
        <f t="shared" si="34"/>
        <v>#VALUE!</v>
      </c>
      <c r="CN16" s="70" t="str">
        <f t="shared" si="35"/>
        <v/>
      </c>
      <c r="CO16" s="5" t="str">
        <f t="shared" si="36"/>
        <v>UF</v>
      </c>
      <c r="CP16" s="5" t="str">
        <f>IF(G16&lt;48,"UF", IF(NOT(ISBLANK(CM:CM)), CM:CM, IF(BW:BW=1, BV:BV+Sheet2!B416, IF(Sheet1!BW:BW=2, Sheet1!BV:BV+Sheet2!B417, IF(Sheet1!BW:BW=7, Sheet1!BV:BV+Sheet2!B418,"")))))</f>
        <v>UF</v>
      </c>
      <c r="CQ16" s="69" t="str">
        <f t="shared" si="62"/>
        <v/>
      </c>
      <c r="CR16" s="5" t="s">
        <v>12</v>
      </c>
      <c r="CT16" s="5" t="str">
        <f t="shared" si="37"/>
        <v/>
      </c>
      <c r="CU16" s="80" t="str">
        <f t="shared" si="38"/>
        <v>UF</v>
      </c>
      <c r="CV16" s="80" t="str">
        <f t="shared" si="39"/>
        <v>UF</v>
      </c>
      <c r="CW16" s="20" t="str">
        <f>IF(G16&lt;48,"UF", IF(NOT(ISBLANK(CS16)), CS16, IF(CE16=5, CC16+Sheet2!B405, IF(CE16=6, CC16+Sheet2!B406, IF(CE16=7, CC16+Sheet2!B407,"")))))</f>
        <v>UF</v>
      </c>
      <c r="CX16" s="68" t="str">
        <f t="shared" si="63"/>
        <v/>
      </c>
      <c r="CY16" s="5" t="s">
        <v>12</v>
      </c>
      <c r="DA16" s="5" t="str">
        <f t="shared" si="40"/>
        <v>UF</v>
      </c>
      <c r="DB16" s="73" t="str">
        <f t="shared" si="41"/>
        <v>UF</v>
      </c>
      <c r="DC16" s="73" t="str">
        <f t="shared" si="42"/>
        <v>UF</v>
      </c>
      <c r="DD16" s="5" t="str">
        <f>IF(G16&lt;48,"UF", IF(NOT(ISBLANK(CZ:CZ)), CZ:CZ, IF(CL:CL=3, CK:CK+Sheet2!B410, IF(CL:CL=4, CK:CK+Sheet2!B411, IF(CL:CL=7, CK:CK+Sheet2!B412,"")))))</f>
        <v>UF</v>
      </c>
      <c r="DE16" s="69" t="str">
        <f t="shared" si="43"/>
        <v/>
      </c>
      <c r="DF16" s="2">
        <v>6</v>
      </c>
      <c r="DG16" s="2">
        <v>35</v>
      </c>
      <c r="DH16" s="2">
        <v>2</v>
      </c>
      <c r="DI16" s="2">
        <v>2</v>
      </c>
      <c r="DJ16" s="2">
        <v>3</v>
      </c>
      <c r="DK16" s="2" t="s">
        <v>12</v>
      </c>
      <c r="DL16" s="2" t="s">
        <v>12</v>
      </c>
      <c r="DM16" s="2" t="s">
        <v>12</v>
      </c>
      <c r="DN16" s="2" t="s">
        <v>12</v>
      </c>
      <c r="DO16" s="2" t="s">
        <v>12</v>
      </c>
      <c r="DP16" s="2" t="s">
        <v>12</v>
      </c>
      <c r="DQ16" s="2">
        <v>2</v>
      </c>
      <c r="DR16" s="2">
        <v>38</v>
      </c>
      <c r="DS16" s="2">
        <v>3</v>
      </c>
      <c r="DT16" s="2" t="s">
        <v>12</v>
      </c>
      <c r="DU16" s="2" t="s">
        <v>12</v>
      </c>
      <c r="DV16" s="2">
        <v>2</v>
      </c>
      <c r="DW16" s="2">
        <v>2</v>
      </c>
      <c r="DX16" s="2">
        <v>2</v>
      </c>
      <c r="DY16" s="2">
        <v>2</v>
      </c>
      <c r="DZ16" s="2">
        <v>34.5</v>
      </c>
      <c r="EA16" s="2" t="s">
        <v>12</v>
      </c>
      <c r="EB16" s="2">
        <v>41</v>
      </c>
      <c r="EC16" s="2" t="s">
        <v>12</v>
      </c>
      <c r="ED16" s="2">
        <v>3</v>
      </c>
    </row>
    <row r="17" spans="2:134" x14ac:dyDescent="0.25">
      <c r="C17" s="8" t="s">
        <v>244</v>
      </c>
      <c r="D17" s="8">
        <v>122597822</v>
      </c>
      <c r="E17" s="5">
        <v>7</v>
      </c>
      <c r="F17" s="2">
        <v>2</v>
      </c>
      <c r="G17" s="2">
        <v>36</v>
      </c>
      <c r="H17" s="2">
        <v>-0.32390823877458641</v>
      </c>
      <c r="I17" s="2">
        <v>50</v>
      </c>
      <c r="J17" s="2">
        <v>6.1168777667580831E-2</v>
      </c>
      <c r="K17" s="2">
        <v>3250</v>
      </c>
      <c r="L17" s="2">
        <v>-0.19916239122279231</v>
      </c>
      <c r="M17" s="2">
        <v>-0.43469999999999998</v>
      </c>
      <c r="N17" s="2">
        <f t="shared" si="0"/>
        <v>0.8374041193872932</v>
      </c>
      <c r="O17" s="2">
        <f t="shared" si="1"/>
        <v>-0.43469999999999998</v>
      </c>
      <c r="P17" s="2">
        <v>70</v>
      </c>
      <c r="Q17" s="2">
        <v>1.1000000000000001</v>
      </c>
      <c r="R17" s="5">
        <f t="shared" si="2"/>
        <v>-0.6055843888337904</v>
      </c>
      <c r="S17" s="5">
        <f t="shared" si="3"/>
        <v>1.1000000000000001</v>
      </c>
      <c r="T17" s="2">
        <v>8200</v>
      </c>
      <c r="U17" s="2">
        <v>0.3</v>
      </c>
      <c r="V17" s="2">
        <f t="shared" si="4"/>
        <v>0.26458119561139615</v>
      </c>
      <c r="W17" s="2">
        <f t="shared" si="5"/>
        <v>0.3</v>
      </c>
      <c r="X17" s="2">
        <v>1.3509</v>
      </c>
      <c r="Y17" s="76">
        <f t="shared" si="44"/>
        <v>1.6748082387745864</v>
      </c>
      <c r="Z17" s="76">
        <f t="shared" si="45"/>
        <v>2</v>
      </c>
      <c r="AA17" s="2">
        <f t="shared" si="6"/>
        <v>-0.99595000000000011</v>
      </c>
      <c r="AB17" s="2">
        <f t="shared" si="7"/>
        <v>1.3509</v>
      </c>
      <c r="AC17" s="2">
        <v>73</v>
      </c>
      <c r="AD17" s="2">
        <v>-1.1499999999999999</v>
      </c>
      <c r="AE17" s="79">
        <f t="shared" si="46"/>
        <v>-1.2111687776675808</v>
      </c>
      <c r="AF17" s="79">
        <f t="shared" si="47"/>
        <v>-2</v>
      </c>
      <c r="AG17" s="2" t="str">
        <f t="shared" si="8"/>
        <v/>
      </c>
      <c r="AH17" s="2">
        <f t="shared" si="9"/>
        <v>-1.1499999999999999</v>
      </c>
      <c r="AI17" s="2">
        <v>10000</v>
      </c>
      <c r="AJ17" s="2">
        <v>0.33</v>
      </c>
      <c r="AK17" s="76">
        <f t="shared" si="48"/>
        <v>0.52916239122279229</v>
      </c>
      <c r="AL17" s="76">
        <f t="shared" si="49"/>
        <v>1</v>
      </c>
      <c r="AM17" s="2" t="str">
        <f t="shared" si="10"/>
        <v/>
      </c>
      <c r="AN17" s="2">
        <f t="shared" si="11"/>
        <v>0.33</v>
      </c>
      <c r="AO17" s="2">
        <v>-0.89190000000000003</v>
      </c>
      <c r="AP17" s="2" t="str">
        <f t="shared" si="12"/>
        <v/>
      </c>
      <c r="AQ17" s="2">
        <f t="shared" si="13"/>
        <v>-0.89190000000000003</v>
      </c>
      <c r="AR17" s="2" t="s">
        <v>12</v>
      </c>
      <c r="AT17" s="2" t="str">
        <f t="shared" si="14"/>
        <v/>
      </c>
      <c r="AU17" s="2" t="e">
        <f t="shared" si="15"/>
        <v>#VALUE!</v>
      </c>
      <c r="AV17" s="2" t="s">
        <v>12</v>
      </c>
      <c r="AX17" s="2" t="str">
        <f t="shared" si="16"/>
        <v/>
      </c>
      <c r="AY17" s="2" t="e">
        <f t="shared" si="17"/>
        <v>#VALUE!</v>
      </c>
      <c r="BA17" s="78" t="e">
        <f t="shared" si="50"/>
        <v>#VALUE!</v>
      </c>
      <c r="BB17" s="78" t="e">
        <f t="shared" si="51"/>
        <v>#VALUE!</v>
      </c>
      <c r="BC17" s="2" t="str">
        <f t="shared" si="18"/>
        <v/>
      </c>
      <c r="BD17" s="2" t="e">
        <f t="shared" si="19"/>
        <v>#VALUE!</v>
      </c>
      <c r="BE17" s="67" t="e">
        <f t="shared" si="52"/>
        <v>#VALUE!</v>
      </c>
      <c r="BF17" s="2" t="s">
        <v>12</v>
      </c>
      <c r="BH17" s="2" t="str">
        <f t="shared" si="20"/>
        <v/>
      </c>
      <c r="BI17" s="2" t="e">
        <f t="shared" si="21"/>
        <v>#VALUE!</v>
      </c>
      <c r="BJ17" s="67" t="e">
        <f t="shared" si="22"/>
        <v>#VALUE!</v>
      </c>
      <c r="BK17" s="2" t="s">
        <v>12</v>
      </c>
      <c r="BM17" s="77" t="e">
        <f t="shared" si="53"/>
        <v>#VALUE!</v>
      </c>
      <c r="BN17" s="77" t="e">
        <f t="shared" si="54"/>
        <v>#VALUE!</v>
      </c>
      <c r="BO17" s="2" t="str">
        <f t="shared" si="23"/>
        <v/>
      </c>
      <c r="BP17" s="2" t="e">
        <f t="shared" si="24"/>
        <v>#VALUE!</v>
      </c>
      <c r="BQ17" s="67" t="e">
        <f t="shared" si="55"/>
        <v>#VALUE!</v>
      </c>
      <c r="BS17" s="75" t="e">
        <f t="shared" si="56"/>
        <v>#VALUE!</v>
      </c>
      <c r="BT17" s="75" t="e">
        <f t="shared" si="57"/>
        <v>#VALUE!</v>
      </c>
      <c r="BU17" s="5" t="str">
        <f t="shared" si="25"/>
        <v>UF</v>
      </c>
      <c r="BV17" s="5" t="e">
        <f t="shared" si="26"/>
        <v>#VALUE!</v>
      </c>
      <c r="BW17" s="69" t="e">
        <f t="shared" si="27"/>
        <v>#VALUE!</v>
      </c>
      <c r="BX17" s="2" t="s">
        <v>12</v>
      </c>
      <c r="BZ17" s="74" t="e">
        <f t="shared" si="58"/>
        <v>#VALUE!</v>
      </c>
      <c r="CA17" s="74" t="e">
        <f t="shared" si="59"/>
        <v>#VALUE!</v>
      </c>
      <c r="CB17" s="5" t="str">
        <f t="shared" si="28"/>
        <v/>
      </c>
      <c r="CC17" s="5" t="e">
        <f t="shared" si="29"/>
        <v>#VALUE!</v>
      </c>
      <c r="CD17" s="2" t="e">
        <f t="shared" si="30"/>
        <v>#VALUE!</v>
      </c>
      <c r="CE17" s="69" t="e">
        <f t="shared" si="31"/>
        <v>#VALUE!</v>
      </c>
      <c r="CF17" s="5" t="s">
        <v>12</v>
      </c>
      <c r="CH17" s="72" t="e">
        <f t="shared" si="60"/>
        <v>#VALUE!</v>
      </c>
      <c r="CI17" s="72" t="e">
        <f t="shared" si="61"/>
        <v>#VALUE!</v>
      </c>
      <c r="CJ17" s="5" t="str">
        <f t="shared" si="32"/>
        <v/>
      </c>
      <c r="CK17" s="5" t="e">
        <f t="shared" si="33"/>
        <v>#VALUE!</v>
      </c>
      <c r="CL17" s="69" t="e">
        <f t="shared" si="34"/>
        <v>#VALUE!</v>
      </c>
      <c r="CN17" s="70" t="str">
        <f t="shared" si="35"/>
        <v/>
      </c>
      <c r="CO17" s="5" t="str">
        <f t="shared" si="36"/>
        <v>UF</v>
      </c>
      <c r="CP17" s="5" t="str">
        <f>IF(G17&lt;48,"UF", IF(NOT(ISBLANK(CM:CM)), CM:CM, IF(BW:BW=1, BV:BV+Sheet2!B435, IF(Sheet1!BW:BW=2, Sheet1!BV:BV+Sheet2!B436, IF(Sheet1!BW:BW=7, Sheet1!BV:BV+Sheet2!B437,"")))))</f>
        <v>UF</v>
      </c>
      <c r="CQ17" s="69" t="str">
        <f t="shared" si="62"/>
        <v/>
      </c>
      <c r="CR17" s="5" t="s">
        <v>12</v>
      </c>
      <c r="CT17" s="5" t="str">
        <f t="shared" si="37"/>
        <v/>
      </c>
      <c r="CU17" s="80" t="str">
        <f t="shared" si="38"/>
        <v>UF</v>
      </c>
      <c r="CV17" s="80" t="str">
        <f t="shared" si="39"/>
        <v>UF</v>
      </c>
      <c r="CW17" s="20" t="str">
        <f>IF(G17&lt;48,"UF", IF(NOT(ISBLANK(CS17)), CS17, IF(CE17=5, CC17+Sheet2!B424, IF(CE17=6, CC17+Sheet2!B425, IF(CE17=7, CC17+Sheet2!B426,"")))))</f>
        <v>UF</v>
      </c>
      <c r="CX17" s="68" t="str">
        <f t="shared" si="63"/>
        <v/>
      </c>
      <c r="CY17" s="5" t="s">
        <v>12</v>
      </c>
      <c r="DA17" s="5" t="str">
        <f t="shared" si="40"/>
        <v>UF</v>
      </c>
      <c r="DB17" s="73" t="str">
        <f t="shared" si="41"/>
        <v>UF</v>
      </c>
      <c r="DC17" s="73" t="str">
        <f t="shared" si="42"/>
        <v>UF</v>
      </c>
      <c r="DD17" s="5" t="str">
        <f>IF(G17&lt;48,"UF", IF(NOT(ISBLANK(CZ:CZ)), CZ:CZ, IF(CL:CL=3, CK:CK+Sheet2!B429, IF(CL:CL=4, CK:CK+Sheet2!B430, IF(CL:CL=7, CK:CK+Sheet2!B431,"")))))</f>
        <v>UF</v>
      </c>
      <c r="DE17" s="69" t="str">
        <f t="shared" si="43"/>
        <v/>
      </c>
      <c r="DF17" s="2">
        <v>5</v>
      </c>
      <c r="DG17" s="2">
        <v>34</v>
      </c>
      <c r="DH17" s="2">
        <v>2</v>
      </c>
      <c r="DI17" s="2">
        <v>2</v>
      </c>
      <c r="DJ17" s="2">
        <v>2</v>
      </c>
      <c r="DK17" s="2">
        <v>70</v>
      </c>
      <c r="DL17" s="2">
        <v>50</v>
      </c>
      <c r="DM17" s="2">
        <v>112</v>
      </c>
      <c r="DN17" s="2">
        <v>62</v>
      </c>
      <c r="DO17" s="2">
        <v>110</v>
      </c>
      <c r="DP17" s="2">
        <v>60</v>
      </c>
      <c r="DQ17" s="2">
        <v>2</v>
      </c>
      <c r="DR17" s="2">
        <v>39</v>
      </c>
      <c r="DS17" s="2">
        <v>2</v>
      </c>
      <c r="DT17" s="2">
        <v>70</v>
      </c>
      <c r="DU17" s="2">
        <v>75</v>
      </c>
      <c r="DV17" s="2">
        <v>4</v>
      </c>
      <c r="DW17" s="2">
        <v>2</v>
      </c>
      <c r="DX17" s="2">
        <v>2</v>
      </c>
      <c r="DY17" s="2">
        <v>2</v>
      </c>
      <c r="DZ17" s="2">
        <v>34.799999999999997</v>
      </c>
      <c r="EA17" s="2" t="s">
        <v>12</v>
      </c>
      <c r="EB17" s="2">
        <v>47</v>
      </c>
      <c r="EC17" s="2" t="s">
        <v>12</v>
      </c>
      <c r="ED17" s="2">
        <v>1</v>
      </c>
    </row>
    <row r="18" spans="2:134" x14ac:dyDescent="0.25">
      <c r="C18" s="8" t="s">
        <v>217</v>
      </c>
      <c r="D18" s="53">
        <v>122599678</v>
      </c>
      <c r="E18" s="5">
        <v>7</v>
      </c>
      <c r="F18" s="2">
        <v>2</v>
      </c>
      <c r="G18" s="2">
        <v>36</v>
      </c>
      <c r="H18" s="2">
        <v>-0.83593697359552199</v>
      </c>
      <c r="I18" s="2">
        <v>52</v>
      </c>
      <c r="J18" s="2">
        <v>1.117633928075521</v>
      </c>
      <c r="K18" s="1">
        <v>3350</v>
      </c>
      <c r="L18" s="2">
        <v>7.3647417021721496E-3</v>
      </c>
      <c r="M18" s="2">
        <v>-1.3708</v>
      </c>
      <c r="N18" s="2">
        <f t="shared" si="0"/>
        <v>-0.10598151320223903</v>
      </c>
      <c r="O18" s="2">
        <f t="shared" si="1"/>
        <v>-1.3708</v>
      </c>
      <c r="P18" s="2">
        <v>70</v>
      </c>
      <c r="Q18" s="2">
        <v>1.1000000000000001</v>
      </c>
      <c r="R18" s="5">
        <f t="shared" si="2"/>
        <v>0.33618303596223953</v>
      </c>
      <c r="S18" s="5">
        <f t="shared" si="3"/>
        <v>1.1000000000000001</v>
      </c>
      <c r="T18" s="2">
        <v>7600</v>
      </c>
      <c r="U18" s="2">
        <v>-0.4</v>
      </c>
      <c r="V18" s="2">
        <f t="shared" si="4"/>
        <v>0.11631762914891391</v>
      </c>
      <c r="W18" s="2">
        <f t="shared" si="5"/>
        <v>-0.4</v>
      </c>
      <c r="X18" s="2">
        <v>-1.0479000000000001</v>
      </c>
      <c r="Y18" s="76">
        <f t="shared" si="44"/>
        <v>-0.21196302640447806</v>
      </c>
      <c r="Z18" s="76">
        <f t="shared" si="45"/>
        <v>-1</v>
      </c>
      <c r="AA18" s="2">
        <f t="shared" si="6"/>
        <v>-1.2967</v>
      </c>
      <c r="AB18" s="2">
        <f t="shared" si="7"/>
        <v>-1.0479000000000001</v>
      </c>
      <c r="AC18" s="2">
        <v>80</v>
      </c>
      <c r="AD18" s="2">
        <v>1.79</v>
      </c>
      <c r="AE18" s="79">
        <f t="shared" si="46"/>
        <v>0.67236607192447906</v>
      </c>
      <c r="AF18" s="79">
        <f t="shared" si="47"/>
        <v>2</v>
      </c>
      <c r="AG18" s="2">
        <f t="shared" si="8"/>
        <v>0.32999999999999996</v>
      </c>
      <c r="AH18" s="2">
        <f t="shared" si="9"/>
        <v>1.79</v>
      </c>
      <c r="AI18" s="2">
        <v>9900</v>
      </c>
      <c r="AJ18" s="2">
        <v>0.24</v>
      </c>
      <c r="AK18" s="76">
        <f t="shared" si="48"/>
        <v>0.23263525829782783</v>
      </c>
      <c r="AL18" s="76">
        <f t="shared" si="49"/>
        <v>1</v>
      </c>
      <c r="AM18" s="2">
        <f t="shared" si="10"/>
        <v>0.185</v>
      </c>
      <c r="AN18" s="2">
        <f t="shared" si="11"/>
        <v>0.24</v>
      </c>
      <c r="AO18" s="2">
        <v>-1.4934000000000001</v>
      </c>
      <c r="AP18" s="2" t="str">
        <f t="shared" si="12"/>
        <v/>
      </c>
      <c r="AQ18" s="2">
        <f t="shared" si="13"/>
        <v>-1.4934000000000001</v>
      </c>
      <c r="AR18" s="2">
        <v>87</v>
      </c>
      <c r="AS18" s="2">
        <v>1.76</v>
      </c>
      <c r="AT18" s="2" t="str">
        <f t="shared" si="14"/>
        <v/>
      </c>
      <c r="AU18" s="2">
        <f t="shared" si="15"/>
        <v>1.76</v>
      </c>
      <c r="AV18" s="2">
        <v>10900</v>
      </c>
      <c r="AW18" s="2">
        <v>-0.03</v>
      </c>
      <c r="AX18" s="2" t="str">
        <f t="shared" si="16"/>
        <v/>
      </c>
      <c r="AY18" s="2">
        <f t="shared" si="17"/>
        <v>-0.03</v>
      </c>
      <c r="BA18" s="78" t="e">
        <f t="shared" si="50"/>
        <v>#VALUE!</v>
      </c>
      <c r="BB18" s="78" t="e">
        <f t="shared" si="51"/>
        <v>#VALUE!</v>
      </c>
      <c r="BC18" s="2" t="str">
        <f t="shared" si="18"/>
        <v/>
      </c>
      <c r="BD18" s="2" t="e">
        <f t="shared" si="19"/>
        <v>#VALUE!</v>
      </c>
      <c r="BE18" s="67" t="e">
        <f t="shared" si="52"/>
        <v>#VALUE!</v>
      </c>
      <c r="BF18" s="2" t="s">
        <v>12</v>
      </c>
      <c r="BH18" s="2" t="str">
        <f t="shared" si="20"/>
        <v/>
      </c>
      <c r="BI18" s="2" t="e">
        <f t="shared" si="21"/>
        <v>#VALUE!</v>
      </c>
      <c r="BJ18" s="67" t="e">
        <f t="shared" si="22"/>
        <v>#VALUE!</v>
      </c>
      <c r="BK18" s="2" t="s">
        <v>12</v>
      </c>
      <c r="BM18" s="77" t="e">
        <f t="shared" si="53"/>
        <v>#VALUE!</v>
      </c>
      <c r="BN18" s="77" t="e">
        <f t="shared" si="54"/>
        <v>#VALUE!</v>
      </c>
      <c r="BO18" s="2" t="str">
        <f t="shared" si="23"/>
        <v/>
      </c>
      <c r="BP18" s="2" t="e">
        <f t="shared" si="24"/>
        <v>#VALUE!</v>
      </c>
      <c r="BQ18" s="67" t="e">
        <f t="shared" si="55"/>
        <v>#VALUE!</v>
      </c>
      <c r="BS18" s="75" t="e">
        <f t="shared" si="56"/>
        <v>#VALUE!</v>
      </c>
      <c r="BT18" s="75" t="e">
        <f t="shared" si="57"/>
        <v>#VALUE!</v>
      </c>
      <c r="BU18" s="5" t="str">
        <f t="shared" si="25"/>
        <v>UF</v>
      </c>
      <c r="BV18" s="5" t="e">
        <f t="shared" si="26"/>
        <v>#VALUE!</v>
      </c>
      <c r="BW18" s="69" t="e">
        <f t="shared" si="27"/>
        <v>#VALUE!</v>
      </c>
      <c r="BX18" s="2" t="s">
        <v>12</v>
      </c>
      <c r="BZ18" s="74" t="e">
        <f t="shared" si="58"/>
        <v>#VALUE!</v>
      </c>
      <c r="CA18" s="74" t="e">
        <f t="shared" si="59"/>
        <v>#VALUE!</v>
      </c>
      <c r="CB18" s="5" t="str">
        <f t="shared" si="28"/>
        <v/>
      </c>
      <c r="CC18" s="5" t="e">
        <f t="shared" si="29"/>
        <v>#VALUE!</v>
      </c>
      <c r="CD18" s="2" t="e">
        <f t="shared" si="30"/>
        <v>#VALUE!</v>
      </c>
      <c r="CE18" s="69" t="e">
        <f t="shared" si="31"/>
        <v>#VALUE!</v>
      </c>
      <c r="CF18" s="5" t="s">
        <v>12</v>
      </c>
      <c r="CH18" s="72" t="e">
        <f t="shared" si="60"/>
        <v>#VALUE!</v>
      </c>
      <c r="CI18" s="72" t="e">
        <f t="shared" si="61"/>
        <v>#VALUE!</v>
      </c>
      <c r="CJ18" s="5" t="str">
        <f t="shared" si="32"/>
        <v/>
      </c>
      <c r="CK18" s="5" t="e">
        <f t="shared" si="33"/>
        <v>#VALUE!</v>
      </c>
      <c r="CL18" s="69" t="e">
        <f t="shared" si="34"/>
        <v>#VALUE!</v>
      </c>
      <c r="CN18" s="70" t="str">
        <f t="shared" si="35"/>
        <v/>
      </c>
      <c r="CO18" s="5" t="str">
        <f t="shared" si="36"/>
        <v>UF</v>
      </c>
      <c r="CP18" s="5" t="str">
        <f>IF(G18&lt;48,"UF", IF(NOT(ISBLANK(CM:CM)), CM:CM, IF(BW:BW=1, BV:BV+Sheet2!B398, IF(Sheet1!BW:BW=2, Sheet1!BV:BV+Sheet2!B399, IF(Sheet1!BW:BW=7, Sheet1!BV:BV+Sheet2!B400,"")))))</f>
        <v>UF</v>
      </c>
      <c r="CQ18" s="69" t="str">
        <f t="shared" si="62"/>
        <v/>
      </c>
      <c r="CR18" s="5" t="s">
        <v>12</v>
      </c>
      <c r="CT18" s="5" t="str">
        <f t="shared" si="37"/>
        <v/>
      </c>
      <c r="CU18" s="80" t="str">
        <f t="shared" si="38"/>
        <v>UF</v>
      </c>
      <c r="CV18" s="80" t="str">
        <f t="shared" si="39"/>
        <v>UF</v>
      </c>
      <c r="CW18" s="20" t="str">
        <f>IF(G18&lt;48,"UF", IF(NOT(ISBLANK(CS18)), CS18, IF(CE18=5, CC18+Sheet2!B387, IF(CE18=6, CC18+Sheet2!B388, IF(CE18=7, CC18+Sheet2!B389,"")))))</f>
        <v>UF</v>
      </c>
      <c r="CX18" s="68" t="str">
        <f t="shared" si="63"/>
        <v/>
      </c>
      <c r="CY18" s="5" t="s">
        <v>12</v>
      </c>
      <c r="DA18" s="5" t="str">
        <f t="shared" si="40"/>
        <v>UF</v>
      </c>
      <c r="DB18" s="73" t="str">
        <f t="shared" si="41"/>
        <v>UF</v>
      </c>
      <c r="DC18" s="73" t="str">
        <f t="shared" si="42"/>
        <v>UF</v>
      </c>
      <c r="DD18" s="5" t="str">
        <f>IF(G18&lt;48,"UF", IF(NOT(ISBLANK(CZ:CZ)), CZ:CZ, IF(CL:CL=3, CK:CK+Sheet2!B392, IF(CL:CL=4, CK:CK+Sheet2!B393, IF(CL:CL=7, CK:CK+Sheet2!B394,"")))))</f>
        <v>UF</v>
      </c>
      <c r="DE18" s="69" t="str">
        <f t="shared" si="43"/>
        <v/>
      </c>
      <c r="DF18" s="2">
        <v>2</v>
      </c>
      <c r="DG18" s="2">
        <v>23</v>
      </c>
      <c r="DH18" s="2">
        <v>2</v>
      </c>
      <c r="DI18" s="2">
        <v>2</v>
      </c>
      <c r="DJ18" s="2">
        <v>2</v>
      </c>
      <c r="DK18" s="2">
        <v>100</v>
      </c>
      <c r="DL18" s="2">
        <v>60</v>
      </c>
      <c r="DM18" s="2">
        <v>100</v>
      </c>
      <c r="DN18" s="2">
        <v>60</v>
      </c>
      <c r="DO18" s="2" t="s">
        <v>12</v>
      </c>
      <c r="DP18" s="2" t="s">
        <v>12</v>
      </c>
      <c r="DQ18" s="2">
        <v>2</v>
      </c>
      <c r="DR18" s="2">
        <v>38</v>
      </c>
      <c r="DS18" s="2">
        <v>2</v>
      </c>
      <c r="DT18" s="2">
        <v>76.5</v>
      </c>
      <c r="DU18" s="2" t="s">
        <v>12</v>
      </c>
      <c r="DV18" s="2">
        <v>2</v>
      </c>
      <c r="DW18" s="2">
        <v>2</v>
      </c>
      <c r="DX18" s="2">
        <v>2</v>
      </c>
      <c r="DY18" s="2">
        <v>2</v>
      </c>
      <c r="DZ18" s="2">
        <v>35</v>
      </c>
      <c r="EA18" s="2">
        <v>37.5</v>
      </c>
      <c r="EB18" s="2">
        <v>47.5</v>
      </c>
      <c r="EC18" s="2">
        <v>1</v>
      </c>
      <c r="ED18" s="2">
        <v>1</v>
      </c>
    </row>
    <row r="19" spans="2:134" x14ac:dyDescent="0.25">
      <c r="C19" s="8" t="s">
        <v>231</v>
      </c>
      <c r="D19" s="4">
        <v>122613865</v>
      </c>
      <c r="E19" s="5">
        <v>7</v>
      </c>
      <c r="F19" s="2">
        <v>2</v>
      </c>
      <c r="G19" s="2">
        <v>33</v>
      </c>
      <c r="H19" s="2">
        <v>-1.5451184795266131</v>
      </c>
      <c r="I19" s="2">
        <v>55</v>
      </c>
      <c r="J19" s="2">
        <v>2.7023316536874251</v>
      </c>
      <c r="K19" s="2">
        <v>3510</v>
      </c>
      <c r="L19" s="2">
        <v>0.32961453792191009</v>
      </c>
      <c r="N19" s="2">
        <f t="shared" si="0"/>
        <v>-0.25864076023669336</v>
      </c>
      <c r="O19" s="2">
        <f t="shared" si="1"/>
        <v>-1.8037592397633064</v>
      </c>
      <c r="P19" s="2" t="s">
        <v>12</v>
      </c>
      <c r="R19" s="5">
        <f t="shared" si="2"/>
        <v>-1.0861658268437124</v>
      </c>
      <c r="S19" s="5">
        <f t="shared" si="3"/>
        <v>1.6161658268437127</v>
      </c>
      <c r="T19" s="2">
        <v>11400</v>
      </c>
      <c r="U19" s="2">
        <v>3.4</v>
      </c>
      <c r="V19" s="2">
        <f t="shared" si="4"/>
        <v>-0.74480726896095506</v>
      </c>
      <c r="W19" s="2">
        <f t="shared" si="5"/>
        <v>3.4</v>
      </c>
      <c r="X19" s="2">
        <v>-2.0623999999999998</v>
      </c>
      <c r="Y19" s="76">
        <f t="shared" si="44"/>
        <v>-0.51728152047338671</v>
      </c>
      <c r="Z19" s="76">
        <f t="shared" si="45"/>
        <v>-1</v>
      </c>
      <c r="AA19" s="2">
        <f t="shared" si="6"/>
        <v>0.54036708657814359</v>
      </c>
      <c r="AB19" s="2">
        <f t="shared" si="7"/>
        <v>-2.0623999999999998</v>
      </c>
      <c r="AC19" s="2">
        <v>77</v>
      </c>
      <c r="AD19" s="2">
        <v>0.53</v>
      </c>
      <c r="AE19" s="79">
        <f t="shared" si="46"/>
        <v>-2.1723316536874249</v>
      </c>
      <c r="AF19" s="79">
        <f t="shared" si="47"/>
        <v>-2</v>
      </c>
      <c r="AG19" s="2">
        <f t="shared" si="8"/>
        <v>-0.85808291342185639</v>
      </c>
      <c r="AH19" s="2">
        <f t="shared" si="9"/>
        <v>0.53</v>
      </c>
      <c r="AI19" s="2">
        <v>11400</v>
      </c>
      <c r="AJ19" s="2">
        <v>-1.1599999999999999</v>
      </c>
      <c r="AK19" s="76">
        <f t="shared" si="48"/>
        <v>-1.4896145379219101</v>
      </c>
      <c r="AL19" s="76">
        <f t="shared" si="49"/>
        <v>-2</v>
      </c>
      <c r="AM19" s="2">
        <f t="shared" si="10"/>
        <v>-0.72</v>
      </c>
      <c r="AN19" s="2">
        <f t="shared" si="11"/>
        <v>-1.1599999999999999</v>
      </c>
      <c r="AO19" s="2">
        <v>2.6968999999999999</v>
      </c>
      <c r="AP19" s="2" t="str">
        <f t="shared" si="12"/>
        <v/>
      </c>
      <c r="AQ19" s="2">
        <f t="shared" si="13"/>
        <v>2.6968999999999999</v>
      </c>
      <c r="AR19" s="2">
        <v>82</v>
      </c>
      <c r="AS19" s="2">
        <v>-0.1</v>
      </c>
      <c r="AT19" s="2" t="str">
        <f t="shared" si="14"/>
        <v/>
      </c>
      <c r="AU19" s="2">
        <f t="shared" si="15"/>
        <v>-0.1</v>
      </c>
      <c r="AV19" s="2">
        <v>13600</v>
      </c>
      <c r="AW19" s="2">
        <v>1.96</v>
      </c>
      <c r="AX19" s="2" t="str">
        <f t="shared" si="16"/>
        <v/>
      </c>
      <c r="AY19" s="2">
        <f t="shared" si="17"/>
        <v>1.96</v>
      </c>
      <c r="BA19" s="78" t="e">
        <f t="shared" si="50"/>
        <v>#VALUE!</v>
      </c>
      <c r="BB19" s="78" t="e">
        <f t="shared" si="51"/>
        <v>#VALUE!</v>
      </c>
      <c r="BC19" s="2" t="str">
        <f t="shared" si="18"/>
        <v/>
      </c>
      <c r="BD19" s="2" t="e">
        <f t="shared" si="19"/>
        <v>#VALUE!</v>
      </c>
      <c r="BE19" s="67" t="e">
        <f t="shared" si="52"/>
        <v>#VALUE!</v>
      </c>
      <c r="BF19" s="2" t="s">
        <v>12</v>
      </c>
      <c r="BH19" s="2" t="str">
        <f t="shared" si="20"/>
        <v/>
      </c>
      <c r="BI19" s="2" t="e">
        <f t="shared" si="21"/>
        <v>#VALUE!</v>
      </c>
      <c r="BJ19" s="67" t="e">
        <f t="shared" si="22"/>
        <v>#VALUE!</v>
      </c>
      <c r="BK19" s="2" t="s">
        <v>12</v>
      </c>
      <c r="BM19" s="77" t="e">
        <f t="shared" si="53"/>
        <v>#VALUE!</v>
      </c>
      <c r="BN19" s="77" t="e">
        <f t="shared" si="54"/>
        <v>#VALUE!</v>
      </c>
      <c r="BO19" s="2" t="str">
        <f t="shared" si="23"/>
        <v/>
      </c>
      <c r="BP19" s="2" t="e">
        <f t="shared" si="24"/>
        <v>#VALUE!</v>
      </c>
      <c r="BQ19" s="67" t="e">
        <f t="shared" si="55"/>
        <v>#VALUE!</v>
      </c>
      <c r="BS19" s="75" t="str">
        <f t="shared" si="56"/>
        <v>UF</v>
      </c>
      <c r="BT19" s="75" t="str">
        <f t="shared" si="57"/>
        <v>UF</v>
      </c>
      <c r="BU19" s="5" t="str">
        <f t="shared" si="25"/>
        <v>UF</v>
      </c>
      <c r="BV19" s="5" t="str">
        <f t="shared" si="26"/>
        <v>UF</v>
      </c>
      <c r="BW19" s="69" t="str">
        <f t="shared" si="27"/>
        <v/>
      </c>
      <c r="BX19" s="2" t="s">
        <v>12</v>
      </c>
      <c r="BZ19" s="74" t="str">
        <f t="shared" si="58"/>
        <v>UF</v>
      </c>
      <c r="CA19" s="74" t="str">
        <f t="shared" si="59"/>
        <v>UF</v>
      </c>
      <c r="CB19" s="5" t="str">
        <f t="shared" si="28"/>
        <v>UF</v>
      </c>
      <c r="CC19" s="5" t="str">
        <f t="shared" si="29"/>
        <v>UF</v>
      </c>
      <c r="CD19" s="2" t="e">
        <f t="shared" si="30"/>
        <v>#VALUE!</v>
      </c>
      <c r="CE19" s="69" t="str">
        <f t="shared" si="31"/>
        <v/>
      </c>
      <c r="CF19" s="5" t="s">
        <v>12</v>
      </c>
      <c r="CH19" s="72" t="str">
        <f t="shared" si="60"/>
        <v>UF</v>
      </c>
      <c r="CI19" s="72" t="str">
        <f t="shared" si="61"/>
        <v>UF</v>
      </c>
      <c r="CJ19" s="5" t="str">
        <f t="shared" si="32"/>
        <v>UF</v>
      </c>
      <c r="CK19" s="5" t="str">
        <f t="shared" si="33"/>
        <v>UF</v>
      </c>
      <c r="CL19" s="69" t="str">
        <f t="shared" si="34"/>
        <v/>
      </c>
      <c r="CN19" s="70" t="str">
        <f t="shared" si="35"/>
        <v/>
      </c>
      <c r="CO19" s="5" t="str">
        <f t="shared" si="36"/>
        <v>UF</v>
      </c>
      <c r="CP19" s="5" t="str">
        <f>IF(G19&lt;48,"UF", IF(NOT(ISBLANK(CM:CM)), CM:CM, IF(BW:BW=1, BV:BV+Sheet2!B415, IF(Sheet1!BW:BW=2, Sheet1!BV:BV+Sheet2!B416, IF(Sheet1!BW:BW=7, Sheet1!BV:BV+Sheet2!B417,"")))))</f>
        <v>UF</v>
      </c>
      <c r="CQ19" s="69" t="str">
        <f t="shared" si="62"/>
        <v/>
      </c>
      <c r="CR19" s="5" t="s">
        <v>12</v>
      </c>
      <c r="CT19" s="5" t="str">
        <f t="shared" si="37"/>
        <v/>
      </c>
      <c r="CU19" s="80" t="str">
        <f t="shared" si="38"/>
        <v>UF</v>
      </c>
      <c r="CV19" s="80" t="str">
        <f t="shared" si="39"/>
        <v>UF</v>
      </c>
      <c r="CW19" s="20" t="str">
        <f>IF(G19&lt;48,"UF", IF(NOT(ISBLANK(CS19)), CS19, IF(CE19=5, CC19+Sheet2!B404, IF(CE19=6, CC19+Sheet2!B405, IF(CE19=7, CC19+Sheet2!B406,"")))))</f>
        <v>UF</v>
      </c>
      <c r="CX19" s="68" t="str">
        <f t="shared" si="63"/>
        <v/>
      </c>
      <c r="CY19" s="5" t="s">
        <v>12</v>
      </c>
      <c r="DA19" s="5" t="str">
        <f t="shared" si="40"/>
        <v>UF</v>
      </c>
      <c r="DB19" s="73" t="str">
        <f t="shared" si="41"/>
        <v>UF</v>
      </c>
      <c r="DC19" s="73" t="str">
        <f t="shared" si="42"/>
        <v>UF</v>
      </c>
      <c r="DD19" s="5" t="str">
        <f>IF(G19&lt;48,"UF", IF(NOT(ISBLANK(CZ:CZ)), CZ:CZ, IF(CL:CL=3, CK:CK+Sheet2!B409, IF(CL:CL=4, CK:CK+Sheet2!B410, IF(CL:CL=7, CK:CK+Sheet2!B411,"")))))</f>
        <v>UF</v>
      </c>
      <c r="DE19" s="69" t="str">
        <f t="shared" si="43"/>
        <v/>
      </c>
      <c r="DF19" s="2">
        <v>2</v>
      </c>
      <c r="DG19" s="2">
        <v>24</v>
      </c>
      <c r="DH19" s="2">
        <v>2</v>
      </c>
      <c r="DI19" s="2">
        <v>2</v>
      </c>
      <c r="DJ19" s="2">
        <v>2</v>
      </c>
      <c r="DK19" s="2">
        <v>95</v>
      </c>
      <c r="DL19" s="2">
        <v>60</v>
      </c>
      <c r="DM19" s="2">
        <v>101</v>
      </c>
      <c r="DN19" s="2">
        <v>60</v>
      </c>
      <c r="DO19" s="2" t="s">
        <v>12</v>
      </c>
      <c r="DP19" s="2" t="s">
        <v>12</v>
      </c>
      <c r="DQ19" s="2">
        <v>2</v>
      </c>
      <c r="DR19" s="2">
        <v>39</v>
      </c>
      <c r="DS19" s="2">
        <v>1</v>
      </c>
      <c r="DT19" s="2">
        <v>93</v>
      </c>
      <c r="DU19" s="2">
        <v>70</v>
      </c>
      <c r="DV19" s="2">
        <v>2</v>
      </c>
      <c r="DW19" s="2">
        <v>2</v>
      </c>
      <c r="DX19" s="2">
        <v>2</v>
      </c>
      <c r="DY19" s="2">
        <v>2</v>
      </c>
      <c r="DZ19" s="2">
        <v>37</v>
      </c>
      <c r="EA19" s="2">
        <v>37</v>
      </c>
      <c r="EB19" s="2">
        <v>49</v>
      </c>
      <c r="EC19" s="2">
        <v>1</v>
      </c>
      <c r="ED19" s="2">
        <v>1</v>
      </c>
    </row>
    <row r="20" spans="2:134" x14ac:dyDescent="0.25">
      <c r="C20" s="8" t="s">
        <v>204</v>
      </c>
      <c r="D20" s="4">
        <v>122616084</v>
      </c>
      <c r="E20" s="5">
        <v>7</v>
      </c>
      <c r="F20" s="2">
        <v>2</v>
      </c>
      <c r="G20" s="2">
        <v>36</v>
      </c>
      <c r="H20" s="2">
        <v>-1.476204897471824</v>
      </c>
      <c r="I20" s="2">
        <v>53</v>
      </c>
      <c r="J20" s="2">
        <v>1.645866503279491</v>
      </c>
      <c r="K20" s="1">
        <v>3280</v>
      </c>
      <c r="L20" s="2">
        <v>-0.13677480954860369</v>
      </c>
      <c r="N20" s="2">
        <f t="shared" si="0"/>
        <v>1.1792024487359121</v>
      </c>
      <c r="O20" s="2">
        <f t="shared" si="1"/>
        <v>-0.29700244873591197</v>
      </c>
      <c r="P20" s="2" t="s">
        <v>12</v>
      </c>
      <c r="R20" s="5">
        <f t="shared" si="2"/>
        <v>-1.2929332516397456</v>
      </c>
      <c r="S20" s="5">
        <f t="shared" si="3"/>
        <v>0.35293325163974543</v>
      </c>
      <c r="T20" s="2" t="s">
        <v>12</v>
      </c>
      <c r="V20" s="2">
        <f t="shared" si="4"/>
        <v>0.11838740477430185</v>
      </c>
      <c r="W20" s="2">
        <f t="shared" si="5"/>
        <v>-1.8387404774301841E-2</v>
      </c>
      <c r="X20" s="2">
        <v>0.88219999999999998</v>
      </c>
      <c r="Y20" s="76">
        <f t="shared" si="44"/>
        <v>2.3584048974718241</v>
      </c>
      <c r="Z20" s="76">
        <f t="shared" si="45"/>
        <v>2</v>
      </c>
      <c r="AA20" s="2">
        <f t="shared" si="6"/>
        <v>-0.34431662581987271</v>
      </c>
      <c r="AB20" s="2">
        <f t="shared" si="7"/>
        <v>0.88219999999999998</v>
      </c>
      <c r="AC20" s="2">
        <v>73.5</v>
      </c>
      <c r="AD20" s="2">
        <v>-0.94</v>
      </c>
      <c r="AE20" s="79">
        <f t="shared" si="46"/>
        <v>-2.5858665032794912</v>
      </c>
      <c r="AF20" s="79">
        <f t="shared" si="47"/>
        <v>-2</v>
      </c>
      <c r="AG20" s="2">
        <f t="shared" si="8"/>
        <v>-0.13146662581987273</v>
      </c>
      <c r="AH20" s="2">
        <f t="shared" si="9"/>
        <v>-0.94</v>
      </c>
      <c r="AI20" s="2">
        <v>9750</v>
      </c>
      <c r="AJ20" s="2">
        <v>0.1</v>
      </c>
      <c r="AK20" s="76">
        <f t="shared" si="48"/>
        <v>0.23677480954860369</v>
      </c>
      <c r="AL20" s="76">
        <f t="shared" si="49"/>
        <v>1</v>
      </c>
      <c r="AM20" s="2">
        <f t="shared" si="10"/>
        <v>-9.0806297612849085E-2</v>
      </c>
      <c r="AN20" s="2">
        <f t="shared" si="11"/>
        <v>0.1</v>
      </c>
      <c r="AO20" s="2">
        <v>-0.3357</v>
      </c>
      <c r="AP20" s="2">
        <f t="shared" si="12"/>
        <v>-0.65627386868149606</v>
      </c>
      <c r="AQ20" s="2">
        <f t="shared" si="13"/>
        <v>-0.3357</v>
      </c>
      <c r="AR20" s="2">
        <v>82.5</v>
      </c>
      <c r="AS20" s="2">
        <v>0.09</v>
      </c>
      <c r="AT20" s="2">
        <f t="shared" si="14"/>
        <v>0.27598484847931992</v>
      </c>
      <c r="AU20" s="2">
        <f t="shared" si="15"/>
        <v>0.09</v>
      </c>
      <c r="AV20" s="2">
        <v>10700</v>
      </c>
      <c r="AW20" s="2">
        <v>-0.2</v>
      </c>
      <c r="AX20" s="2">
        <f t="shared" si="16"/>
        <v>-0.44786581208355103</v>
      </c>
      <c r="AY20" s="2">
        <f t="shared" si="17"/>
        <v>-0.2</v>
      </c>
      <c r="AZ20" s="2">
        <v>-0.43034773736299209</v>
      </c>
      <c r="BA20" s="78">
        <f t="shared" si="50"/>
        <v>-1.3125477373629921</v>
      </c>
      <c r="BB20" s="78">
        <f t="shared" si="51"/>
        <v>-2</v>
      </c>
      <c r="BC20" s="2" t="str">
        <f t="shared" si="18"/>
        <v/>
      </c>
      <c r="BD20" s="2">
        <f t="shared" si="19"/>
        <v>-0.43034773736299209</v>
      </c>
      <c r="BE20" s="67">
        <f t="shared" si="52"/>
        <v>7</v>
      </c>
      <c r="BF20" s="2">
        <v>85.5</v>
      </c>
      <c r="BG20" s="2">
        <v>-0.3880303030413601</v>
      </c>
      <c r="BH20" s="2" t="str">
        <f t="shared" si="20"/>
        <v/>
      </c>
      <c r="BI20" s="2">
        <f t="shared" si="21"/>
        <v>-0.3880303030413601</v>
      </c>
      <c r="BJ20" s="67">
        <f t="shared" si="22"/>
        <v>7</v>
      </c>
      <c r="BK20" s="2">
        <v>11700</v>
      </c>
      <c r="BL20" s="2">
        <v>-0.79573162416710208</v>
      </c>
      <c r="BM20" s="77">
        <f t="shared" si="53"/>
        <v>-0.89573162416710206</v>
      </c>
      <c r="BN20" s="77">
        <f t="shared" si="54"/>
        <v>-2</v>
      </c>
      <c r="BO20" s="2" t="str">
        <f t="shared" si="23"/>
        <v/>
      </c>
      <c r="BP20" s="2">
        <f t="shared" si="24"/>
        <v>-0.79573162416710208</v>
      </c>
      <c r="BQ20" s="67">
        <f t="shared" si="55"/>
        <v>7</v>
      </c>
      <c r="BS20" s="75" t="e">
        <f t="shared" si="56"/>
        <v>#VALUE!</v>
      </c>
      <c r="BT20" s="75" t="e">
        <f t="shared" si="57"/>
        <v>#VALUE!</v>
      </c>
      <c r="BU20" s="5" t="str">
        <f t="shared" si="25"/>
        <v>UF</v>
      </c>
      <c r="BV20" s="5" t="e">
        <f t="shared" si="26"/>
        <v>#VALUE!</v>
      </c>
      <c r="BW20" s="69" t="e">
        <f t="shared" si="27"/>
        <v>#VALUE!</v>
      </c>
      <c r="BX20" s="2" t="s">
        <v>12</v>
      </c>
      <c r="BZ20" s="74" t="e">
        <f t="shared" si="58"/>
        <v>#VALUE!</v>
      </c>
      <c r="CA20" s="74" t="e">
        <f t="shared" si="59"/>
        <v>#VALUE!</v>
      </c>
      <c r="CB20" s="5" t="str">
        <f t="shared" si="28"/>
        <v/>
      </c>
      <c r="CC20" s="5" t="e">
        <f t="shared" si="29"/>
        <v>#VALUE!</v>
      </c>
      <c r="CD20" s="2" t="e">
        <f t="shared" si="30"/>
        <v>#VALUE!</v>
      </c>
      <c r="CE20" s="69" t="e">
        <f t="shared" si="31"/>
        <v>#VALUE!</v>
      </c>
      <c r="CF20" s="5" t="s">
        <v>12</v>
      </c>
      <c r="CH20" s="72" t="e">
        <f t="shared" si="60"/>
        <v>#VALUE!</v>
      </c>
      <c r="CI20" s="72" t="e">
        <f t="shared" si="61"/>
        <v>#VALUE!</v>
      </c>
      <c r="CJ20" s="5" t="str">
        <f t="shared" si="32"/>
        <v/>
      </c>
      <c r="CK20" s="5" t="e">
        <f t="shared" si="33"/>
        <v>#VALUE!</v>
      </c>
      <c r="CL20" s="69" t="e">
        <f t="shared" si="34"/>
        <v>#VALUE!</v>
      </c>
      <c r="CN20" s="70" t="str">
        <f t="shared" si="35"/>
        <v/>
      </c>
      <c r="CO20" s="5" t="str">
        <f t="shared" si="36"/>
        <v>UF</v>
      </c>
      <c r="CP20" s="5" t="str">
        <f>IF(G20&lt;48,"UF", IF(NOT(ISBLANK(CM:CM)), CM:CM, IF(BW:BW=1, BV:BV+Sheet2!B379, IF(Sheet1!BW:BW=2, Sheet1!BV:BV+Sheet2!B380, IF(Sheet1!BW:BW=7, Sheet1!BV:BV+Sheet2!B381,"")))))</f>
        <v>UF</v>
      </c>
      <c r="CQ20" s="69" t="str">
        <f t="shared" si="62"/>
        <v/>
      </c>
      <c r="CR20" s="5" t="s">
        <v>12</v>
      </c>
      <c r="CT20" s="5" t="str">
        <f t="shared" si="37"/>
        <v/>
      </c>
      <c r="CU20" s="80" t="str">
        <f t="shared" si="38"/>
        <v>UF</v>
      </c>
      <c r="CV20" s="80" t="str">
        <f t="shared" si="39"/>
        <v>UF</v>
      </c>
      <c r="CW20" s="20" t="str">
        <f>IF(G20&lt;48,"UF", IF(NOT(ISBLANK(CS20)), CS20, IF(CE20=5, CC20+Sheet2!B368, IF(CE20=6, CC20+Sheet2!B369, IF(CE20=7, CC20+Sheet2!B370,"")))))</f>
        <v>UF</v>
      </c>
      <c r="CX20" s="68" t="str">
        <f t="shared" si="63"/>
        <v/>
      </c>
      <c r="CY20" s="5" t="s">
        <v>12</v>
      </c>
      <c r="DA20" s="5" t="str">
        <f t="shared" si="40"/>
        <v>UF</v>
      </c>
      <c r="DB20" s="73" t="str">
        <f t="shared" si="41"/>
        <v>UF</v>
      </c>
      <c r="DC20" s="73" t="str">
        <f t="shared" si="42"/>
        <v>UF</v>
      </c>
      <c r="DD20" s="5" t="str">
        <f>IF(G20&lt;48,"UF", IF(NOT(ISBLANK(CZ:CZ)), CZ:CZ, IF(CL:CL=3, CK:CK+Sheet2!B373, IF(CL:CL=4, CK:CK+Sheet2!B374, IF(CL:CL=7, CK:CK+Sheet2!B375,"")))))</f>
        <v>UF</v>
      </c>
      <c r="DE20" s="69" t="str">
        <f t="shared" si="43"/>
        <v/>
      </c>
      <c r="DF20" s="2">
        <v>3</v>
      </c>
      <c r="DG20" s="2">
        <v>29</v>
      </c>
      <c r="DH20" s="2">
        <v>2</v>
      </c>
      <c r="DI20" s="2">
        <v>1</v>
      </c>
      <c r="DJ20" s="2">
        <v>3</v>
      </c>
      <c r="DK20" s="2" t="s">
        <v>12</v>
      </c>
      <c r="DL20" s="2" t="s">
        <v>12</v>
      </c>
      <c r="DM20" s="2" t="s">
        <v>12</v>
      </c>
      <c r="DN20" s="2" t="s">
        <v>12</v>
      </c>
      <c r="DO20" s="2" t="s">
        <v>12</v>
      </c>
      <c r="DP20" s="2" t="s">
        <v>12</v>
      </c>
      <c r="DQ20" s="2">
        <v>2</v>
      </c>
      <c r="DR20" s="2">
        <v>38</v>
      </c>
      <c r="DS20" s="2">
        <v>2</v>
      </c>
      <c r="DT20" s="2" t="s">
        <v>12</v>
      </c>
      <c r="DU20" s="2">
        <v>73</v>
      </c>
      <c r="DV20" s="2">
        <v>2</v>
      </c>
      <c r="DW20" s="2">
        <v>3</v>
      </c>
      <c r="DX20" s="2">
        <v>2</v>
      </c>
      <c r="DY20" s="2">
        <v>3</v>
      </c>
      <c r="DZ20" s="2">
        <v>35</v>
      </c>
      <c r="EA20" s="2" t="s">
        <v>12</v>
      </c>
      <c r="EB20" s="2">
        <v>48</v>
      </c>
      <c r="EC20" s="2" t="s">
        <v>12</v>
      </c>
      <c r="ED20" s="2">
        <v>1</v>
      </c>
    </row>
    <row r="21" spans="2:134" x14ac:dyDescent="0.25">
      <c r="C21" s="8" t="s">
        <v>33</v>
      </c>
      <c r="D21" s="4">
        <v>122617023</v>
      </c>
      <c r="E21" s="5">
        <v>7</v>
      </c>
      <c r="F21" s="2">
        <v>2</v>
      </c>
      <c r="G21" s="2">
        <v>33</v>
      </c>
      <c r="H21" s="2">
        <v>-1.819707925835794</v>
      </c>
      <c r="I21" s="2">
        <v>52</v>
      </c>
      <c r="J21" s="2">
        <v>1.117633928075521</v>
      </c>
      <c r="K21" s="2">
        <v>3060</v>
      </c>
      <c r="L21" s="2">
        <v>-0.60326652627431243</v>
      </c>
      <c r="M21" s="2">
        <v>1.0338000000000001</v>
      </c>
      <c r="N21" s="2">
        <f t="shared" si="0"/>
        <v>1.1477039629178969</v>
      </c>
      <c r="O21" s="2">
        <f t="shared" si="1"/>
        <v>1.0338000000000001</v>
      </c>
      <c r="P21" s="2">
        <v>63</v>
      </c>
      <c r="Q21" s="2">
        <v>-2.17</v>
      </c>
      <c r="R21" s="5">
        <f t="shared" si="2"/>
        <v>-1.5538169640377606</v>
      </c>
      <c r="S21" s="5">
        <f t="shared" si="3"/>
        <v>-2.17</v>
      </c>
      <c r="T21" s="2">
        <v>7500</v>
      </c>
      <c r="U21" s="2">
        <v>-0.52</v>
      </c>
      <c r="V21" s="2">
        <f t="shared" si="4"/>
        <v>-0.11836673686284377</v>
      </c>
      <c r="W21" s="2">
        <f t="shared" si="5"/>
        <v>-0.52</v>
      </c>
      <c r="X21" s="2">
        <v>0.47570000000000001</v>
      </c>
      <c r="Y21" s="76">
        <f t="shared" si="44"/>
        <v>2.2954079258357938</v>
      </c>
      <c r="Z21" s="76">
        <f t="shared" si="45"/>
        <v>2</v>
      </c>
      <c r="AA21" s="2">
        <f t="shared" si="6"/>
        <v>0.80479999999999996</v>
      </c>
      <c r="AB21" s="2">
        <f t="shared" si="7"/>
        <v>0.47570000000000001</v>
      </c>
      <c r="AC21" s="2">
        <v>71</v>
      </c>
      <c r="AD21" s="2">
        <v>-1.99</v>
      </c>
      <c r="AE21" s="79">
        <f t="shared" si="46"/>
        <v>-3.1076339280755212</v>
      </c>
      <c r="AF21" s="79">
        <f t="shared" si="47"/>
        <v>-2</v>
      </c>
      <c r="AG21" s="2">
        <f t="shared" si="8"/>
        <v>0.29499999999999993</v>
      </c>
      <c r="AH21" s="2">
        <f t="shared" si="9"/>
        <v>-1.99</v>
      </c>
      <c r="AI21" s="2">
        <v>8800</v>
      </c>
      <c r="AJ21" s="2">
        <v>-0.84</v>
      </c>
      <c r="AK21" s="76">
        <f t="shared" si="48"/>
        <v>-0.23673347372568754</v>
      </c>
      <c r="AL21" s="76">
        <f t="shared" si="49"/>
        <v>-1</v>
      </c>
      <c r="AM21" s="2">
        <f t="shared" si="10"/>
        <v>-0.42000000000000004</v>
      </c>
      <c r="AN21" s="2">
        <f t="shared" si="11"/>
        <v>-0.84</v>
      </c>
      <c r="AO21" s="2">
        <v>-0.56040000000000001</v>
      </c>
      <c r="AP21" s="2">
        <f t="shared" si="12"/>
        <v>-0.79511988483356799</v>
      </c>
      <c r="AQ21" s="2">
        <f t="shared" si="13"/>
        <v>-0.56040000000000001</v>
      </c>
      <c r="AR21" s="2">
        <v>78</v>
      </c>
      <c r="AS21" s="2">
        <v>-1.58</v>
      </c>
      <c r="AT21" s="2">
        <f t="shared" si="14"/>
        <v>0.15994211372213796</v>
      </c>
      <c r="AU21" s="2">
        <f t="shared" si="15"/>
        <v>-1.58</v>
      </c>
      <c r="AV21" s="2">
        <v>9400</v>
      </c>
      <c r="AW21" s="2">
        <v>-1.36</v>
      </c>
      <c r="AX21" s="2">
        <f t="shared" si="16"/>
        <v>-0.72985168653485366</v>
      </c>
      <c r="AY21" s="2">
        <f t="shared" si="17"/>
        <v>-1.36</v>
      </c>
      <c r="AZ21" s="2">
        <v>-1.114539769667136</v>
      </c>
      <c r="BA21" s="78">
        <f t="shared" si="50"/>
        <v>-1.590239769667136</v>
      </c>
      <c r="BB21" s="78">
        <f t="shared" si="51"/>
        <v>-2</v>
      </c>
      <c r="BC21" s="2" t="str">
        <f t="shared" si="18"/>
        <v/>
      </c>
      <c r="BD21" s="2">
        <f t="shared" si="19"/>
        <v>-1.114539769667136</v>
      </c>
      <c r="BE21" s="67">
        <f t="shared" si="52"/>
        <v>7</v>
      </c>
      <c r="BF21" s="2">
        <v>81</v>
      </c>
      <c r="BG21" s="2">
        <v>-1.6701157725557241</v>
      </c>
      <c r="BH21" s="2" t="str">
        <f t="shared" si="20"/>
        <v/>
      </c>
      <c r="BI21" s="2">
        <f t="shared" si="21"/>
        <v>-1.6701157725557241</v>
      </c>
      <c r="BJ21" s="67">
        <f t="shared" si="22"/>
        <v>7</v>
      </c>
      <c r="BK21" s="2">
        <v>10000</v>
      </c>
      <c r="BL21" s="2">
        <v>-2.2997033730697072</v>
      </c>
      <c r="BM21" s="77">
        <f t="shared" si="53"/>
        <v>-1.4597033730697073</v>
      </c>
      <c r="BN21" s="77">
        <f t="shared" si="54"/>
        <v>-2</v>
      </c>
      <c r="BO21" s="2" t="str">
        <f t="shared" si="23"/>
        <v/>
      </c>
      <c r="BP21" s="2">
        <f t="shared" si="24"/>
        <v>-2.2997033730697072</v>
      </c>
      <c r="BQ21" s="67">
        <f t="shared" si="55"/>
        <v>4</v>
      </c>
      <c r="BS21" s="75" t="str">
        <f t="shared" si="56"/>
        <v>UF</v>
      </c>
      <c r="BT21" s="75" t="str">
        <f t="shared" si="57"/>
        <v>UF</v>
      </c>
      <c r="BU21" s="5" t="str">
        <f t="shared" si="25"/>
        <v>UF</v>
      </c>
      <c r="BV21" s="5" t="str">
        <f t="shared" si="26"/>
        <v>UF</v>
      </c>
      <c r="BW21" s="69" t="str">
        <f t="shared" si="27"/>
        <v/>
      </c>
      <c r="BX21" s="2" t="s">
        <v>12</v>
      </c>
      <c r="BZ21" s="74" t="str">
        <f t="shared" si="58"/>
        <v>UF</v>
      </c>
      <c r="CA21" s="74" t="str">
        <f t="shared" si="59"/>
        <v>UF</v>
      </c>
      <c r="CB21" s="5" t="str">
        <f t="shared" si="28"/>
        <v>UF</v>
      </c>
      <c r="CC21" s="5" t="str">
        <f t="shared" si="29"/>
        <v>UF</v>
      </c>
      <c r="CD21" s="2" t="e">
        <f t="shared" si="30"/>
        <v>#VALUE!</v>
      </c>
      <c r="CE21" s="69" t="str">
        <f t="shared" si="31"/>
        <v/>
      </c>
      <c r="CF21" s="5" t="s">
        <v>12</v>
      </c>
      <c r="CH21" s="72" t="str">
        <f t="shared" si="60"/>
        <v>UF</v>
      </c>
      <c r="CI21" s="72" t="str">
        <f>IF(G21&lt;36,"UF",IF(CH:CH&gt;0.67,2,IF(AND(CH:CH&gt;0,CH:CH&lt;=0.67),1,IF(AND(CH:CH&gt;=-0.67,CH:CH&lt;=0),-1,IF(CH:CH&lt;-0.67,-2)))))</f>
        <v>UF</v>
      </c>
      <c r="CJ21" s="5" t="str">
        <f t="shared" si="32"/>
        <v>UF</v>
      </c>
      <c r="CK21" s="5" t="str">
        <f t="shared" si="33"/>
        <v>UF</v>
      </c>
      <c r="CL21" s="69" t="str">
        <f t="shared" si="34"/>
        <v/>
      </c>
      <c r="CN21" s="70" t="str">
        <f t="shared" si="35"/>
        <v/>
      </c>
      <c r="CO21" s="5" t="str">
        <f t="shared" si="36"/>
        <v>UF</v>
      </c>
      <c r="CP21" s="5" t="str">
        <f>IF(G21&lt;48,"UF", IF(NOT(ISBLANK(CM:CM)), CM:CM, IF(BW:BW=1, BV:BV+Sheet2!B434, IF(Sheet1!BW:BW=2, Sheet1!BV:BV+Sheet2!B435, IF(Sheet1!BW:BW=7, Sheet1!BV:BV+Sheet2!B436,"")))))</f>
        <v>UF</v>
      </c>
      <c r="CQ21" s="69" t="str">
        <f t="shared" si="62"/>
        <v/>
      </c>
      <c r="CR21" s="5" t="s">
        <v>12</v>
      </c>
      <c r="CT21" s="5" t="str">
        <f t="shared" si="37"/>
        <v/>
      </c>
      <c r="CU21" s="80" t="str">
        <f t="shared" si="38"/>
        <v>UF</v>
      </c>
      <c r="CV21" s="80" t="str">
        <f t="shared" si="39"/>
        <v>UF</v>
      </c>
      <c r="CW21" s="20" t="str">
        <f>IF(G21&lt;48,"UF", IF(NOT(ISBLANK(CS21)), CS21, IF(CE21=5, CC21+Sheet2!B423, IF(CE21=6, CC21+Sheet2!B424, IF(CE21=7, CC21+Sheet2!B425,"")))))</f>
        <v>UF</v>
      </c>
      <c r="CX21" s="68" t="str">
        <f t="shared" si="63"/>
        <v/>
      </c>
      <c r="CY21" s="5" t="s">
        <v>12</v>
      </c>
      <c r="DA21" s="5" t="str">
        <f t="shared" si="40"/>
        <v>UF</v>
      </c>
      <c r="DB21" s="73" t="str">
        <f t="shared" si="41"/>
        <v>UF</v>
      </c>
      <c r="DC21" s="73" t="str">
        <f t="shared" si="42"/>
        <v>UF</v>
      </c>
      <c r="DD21" s="5" t="str">
        <f>IF(G21&lt;48,"UF", IF(NOT(ISBLANK(CZ:CZ)), CZ:CZ, IF(CL:CL=3, CK:CK+Sheet2!B428, IF(CL:CL=4, CK:CK+Sheet2!B429, IF(CL:CL=7, CK:CK+Sheet2!B430,"")))))</f>
        <v>UF</v>
      </c>
      <c r="DE21" s="69" t="str">
        <f t="shared" si="43"/>
        <v/>
      </c>
      <c r="DF21" s="2">
        <v>2</v>
      </c>
      <c r="DG21" s="2">
        <v>20</v>
      </c>
      <c r="DH21" s="2">
        <v>2</v>
      </c>
      <c r="DI21" s="2">
        <v>1</v>
      </c>
      <c r="DJ21" s="2">
        <v>2</v>
      </c>
      <c r="DK21" s="2">
        <v>115</v>
      </c>
      <c r="DL21" s="2">
        <v>54</v>
      </c>
      <c r="DM21" s="2">
        <v>120</v>
      </c>
      <c r="DN21" s="2">
        <v>60</v>
      </c>
      <c r="DO21" s="2">
        <v>115</v>
      </c>
      <c r="DP21" s="2">
        <v>60</v>
      </c>
      <c r="DQ21" s="2">
        <v>2</v>
      </c>
      <c r="DR21" s="2">
        <v>40</v>
      </c>
      <c r="DS21" s="2">
        <v>2</v>
      </c>
      <c r="DT21" s="2">
        <v>83</v>
      </c>
      <c r="DU21" s="2">
        <v>60</v>
      </c>
      <c r="DV21" s="2">
        <v>2</v>
      </c>
      <c r="DW21" s="2">
        <v>2</v>
      </c>
      <c r="DX21" s="2">
        <v>2</v>
      </c>
      <c r="DY21" s="2">
        <v>2</v>
      </c>
      <c r="DZ21" s="2">
        <v>33</v>
      </c>
      <c r="EA21" s="2">
        <v>34.200000000000003</v>
      </c>
      <c r="EB21" s="2">
        <v>45</v>
      </c>
      <c r="EC21" s="2">
        <v>1</v>
      </c>
      <c r="ED21" s="2">
        <v>1</v>
      </c>
    </row>
    <row r="22" spans="2:134" x14ac:dyDescent="0.25">
      <c r="C22" s="8" t="s">
        <v>238</v>
      </c>
      <c r="D22" s="8">
        <v>122619844</v>
      </c>
      <c r="E22" s="5">
        <v>7</v>
      </c>
      <c r="F22" s="2">
        <v>2</v>
      </c>
      <c r="G22" s="2">
        <v>33</v>
      </c>
      <c r="H22" s="2">
        <v>-2.3755171868817011</v>
      </c>
      <c r="I22" s="2">
        <v>48</v>
      </c>
      <c r="J22" s="2">
        <v>-0.99529637274036198</v>
      </c>
      <c r="K22" s="2">
        <v>2480</v>
      </c>
      <c r="L22" s="2">
        <v>-1.9483996148533911</v>
      </c>
      <c r="M22" s="2">
        <v>-0.75790000000000002</v>
      </c>
      <c r="N22" s="2">
        <f t="shared" si="0"/>
        <v>1.0355585934408507</v>
      </c>
      <c r="O22" s="2">
        <f t="shared" si="1"/>
        <v>-0.75790000000000002</v>
      </c>
      <c r="P22" s="2">
        <v>66</v>
      </c>
      <c r="Q22" s="2">
        <v>-0.77</v>
      </c>
      <c r="R22" s="5">
        <f t="shared" si="2"/>
        <v>-0.28735181362981904</v>
      </c>
      <c r="S22" s="5">
        <f t="shared" si="3"/>
        <v>-0.77</v>
      </c>
      <c r="T22" s="2">
        <v>7100</v>
      </c>
      <c r="U22" s="2">
        <v>-1.01</v>
      </c>
      <c r="V22" s="2">
        <f t="shared" si="4"/>
        <v>0.39919980742669559</v>
      </c>
      <c r="W22" s="2">
        <f t="shared" si="5"/>
        <v>-1.01</v>
      </c>
      <c r="X22" s="2">
        <v>-0.3044</v>
      </c>
      <c r="Y22" s="76">
        <f t="shared" si="44"/>
        <v>2.0711171868817013</v>
      </c>
      <c r="Z22" s="76">
        <f t="shared" si="45"/>
        <v>2</v>
      </c>
      <c r="AA22" s="2">
        <f t="shared" si="6"/>
        <v>0.50050000000000006</v>
      </c>
      <c r="AB22" s="2">
        <f t="shared" si="7"/>
        <v>-0.3044</v>
      </c>
      <c r="AC22" s="2">
        <v>72</v>
      </c>
      <c r="AD22" s="2">
        <v>-1.57</v>
      </c>
      <c r="AE22" s="79">
        <f t="shared" si="46"/>
        <v>-0.57470362725963808</v>
      </c>
      <c r="AF22" s="79">
        <f t="shared" si="47"/>
        <v>-1</v>
      </c>
      <c r="AG22" s="2">
        <f t="shared" si="8"/>
        <v>-0.40500000000000003</v>
      </c>
      <c r="AH22" s="2">
        <f t="shared" si="9"/>
        <v>-1.57</v>
      </c>
      <c r="AI22" s="2">
        <v>8500</v>
      </c>
      <c r="AJ22" s="2">
        <v>-1.1499999999999999</v>
      </c>
      <c r="AK22" s="76">
        <f t="shared" si="48"/>
        <v>0.79839961485339117</v>
      </c>
      <c r="AL22" s="76">
        <f t="shared" si="49"/>
        <v>2</v>
      </c>
      <c r="AM22" s="2">
        <f t="shared" si="10"/>
        <v>9.9999999999999978E-2</v>
      </c>
      <c r="AN22" s="2">
        <f t="shared" si="11"/>
        <v>-1.1499999999999999</v>
      </c>
      <c r="AO22" s="2">
        <v>0.23100000000000001</v>
      </c>
      <c r="AP22" s="2">
        <f t="shared" si="12"/>
        <v>-0.15478334308995223</v>
      </c>
      <c r="AQ22" s="2">
        <f t="shared" si="13"/>
        <v>0.23100000000000001</v>
      </c>
      <c r="AR22" s="2">
        <v>78</v>
      </c>
      <c r="AS22" s="2">
        <v>-1.58</v>
      </c>
      <c r="AT22" s="2">
        <f t="shared" si="14"/>
        <v>-5.0057886277862007E-2</v>
      </c>
      <c r="AU22" s="2">
        <f t="shared" si="15"/>
        <v>-1.58</v>
      </c>
      <c r="AV22" s="2">
        <v>10000</v>
      </c>
      <c r="AW22" s="2">
        <v>-0.81</v>
      </c>
      <c r="AX22" s="2" t="str">
        <f t="shared" si="16"/>
        <v/>
      </c>
      <c r="AY22" s="2">
        <f t="shared" si="17"/>
        <v>-0.81</v>
      </c>
      <c r="AZ22" s="2">
        <v>-0.61396668617990446</v>
      </c>
      <c r="BA22" s="78">
        <f t="shared" si="50"/>
        <v>-0.30956668617990446</v>
      </c>
      <c r="BB22" s="78">
        <f t="shared" si="51"/>
        <v>-1</v>
      </c>
      <c r="BC22" s="2" t="str">
        <f t="shared" si="18"/>
        <v/>
      </c>
      <c r="BD22" s="2">
        <f t="shared" si="19"/>
        <v>-0.61396668617990446</v>
      </c>
      <c r="BE22" s="67">
        <f t="shared" si="52"/>
        <v>7</v>
      </c>
      <c r="BF22" s="2">
        <v>81</v>
      </c>
      <c r="BG22" s="2">
        <v>-1.6701157725557241</v>
      </c>
      <c r="BH22" s="2" t="str">
        <f t="shared" si="20"/>
        <v/>
      </c>
      <c r="BI22" s="2">
        <f t="shared" si="21"/>
        <v>-1.6701157725557241</v>
      </c>
      <c r="BJ22" s="67">
        <f t="shared" si="22"/>
        <v>7</v>
      </c>
      <c r="BK22" s="2" t="s">
        <v>12</v>
      </c>
      <c r="BM22" s="77" t="e">
        <f t="shared" si="53"/>
        <v>#VALUE!</v>
      </c>
      <c r="BN22" s="77" t="e">
        <f t="shared" si="54"/>
        <v>#VALUE!</v>
      </c>
      <c r="BO22" s="2" t="str">
        <f t="shared" si="23"/>
        <v/>
      </c>
      <c r="BP22" s="2" t="e">
        <f t="shared" si="24"/>
        <v>#VALUE!</v>
      </c>
      <c r="BQ22" s="67" t="e">
        <f t="shared" si="55"/>
        <v>#VALUE!</v>
      </c>
      <c r="BS22" s="75" t="str">
        <f t="shared" si="56"/>
        <v>UF</v>
      </c>
      <c r="BT22" s="75" t="str">
        <f t="shared" si="57"/>
        <v>UF</v>
      </c>
      <c r="BU22" s="5" t="str">
        <f t="shared" si="25"/>
        <v>UF</v>
      </c>
      <c r="BV22" s="5" t="str">
        <f t="shared" si="26"/>
        <v>UF</v>
      </c>
      <c r="BW22" s="69" t="str">
        <f t="shared" si="27"/>
        <v/>
      </c>
      <c r="BX22" s="2" t="s">
        <v>12</v>
      </c>
      <c r="BZ22" s="74" t="str">
        <f t="shared" si="58"/>
        <v>UF</v>
      </c>
      <c r="CA22" s="74" t="str">
        <f t="shared" si="59"/>
        <v>UF</v>
      </c>
      <c r="CB22" s="5" t="str">
        <f t="shared" si="28"/>
        <v>UF</v>
      </c>
      <c r="CC22" s="5" t="str">
        <f t="shared" si="29"/>
        <v>UF</v>
      </c>
      <c r="CD22" s="2" t="e">
        <f t="shared" si="30"/>
        <v>#VALUE!</v>
      </c>
      <c r="CE22" s="69" t="str">
        <f t="shared" si="31"/>
        <v/>
      </c>
      <c r="CF22" s="5" t="s">
        <v>12</v>
      </c>
      <c r="CH22" s="72" t="str">
        <f t="shared" si="60"/>
        <v>UF</v>
      </c>
      <c r="CI22" s="72" t="str">
        <f t="shared" si="61"/>
        <v>UF</v>
      </c>
      <c r="CJ22" s="5" t="str">
        <f t="shared" si="32"/>
        <v>UF</v>
      </c>
      <c r="CK22" s="5" t="str">
        <f t="shared" si="33"/>
        <v>UF</v>
      </c>
      <c r="CL22" s="69" t="str">
        <f t="shared" si="34"/>
        <v/>
      </c>
      <c r="CN22" s="70" t="str">
        <f t="shared" si="35"/>
        <v/>
      </c>
      <c r="CO22" s="5" t="str">
        <f t="shared" si="36"/>
        <v>UF</v>
      </c>
      <c r="CP22" s="5" t="str">
        <f>IF(G22&lt;48,"UF", IF(NOT(ISBLANK(CM:CM)), CM:CM, IF(BW:BW=1, BV:BV+Sheet2!B425, IF(Sheet1!BW:BW=2, Sheet1!BV:BV+Sheet2!B426, IF(Sheet1!BW:BW=7, Sheet1!BV:BV+Sheet2!B427,"")))))</f>
        <v>UF</v>
      </c>
      <c r="CQ22" s="69" t="str">
        <f t="shared" si="62"/>
        <v/>
      </c>
      <c r="CR22" s="5" t="s">
        <v>12</v>
      </c>
      <c r="CT22" s="5" t="str">
        <f t="shared" si="37"/>
        <v/>
      </c>
      <c r="CU22" s="80" t="str">
        <f t="shared" si="38"/>
        <v>UF</v>
      </c>
      <c r="CV22" s="80" t="str">
        <f t="shared" si="39"/>
        <v>UF</v>
      </c>
      <c r="CW22" s="20" t="str">
        <f>IF(G22&lt;48,"UF", IF(NOT(ISBLANK(CS22)), CS22, IF(CE22=5, CC22+Sheet2!B414, IF(CE22=6, CC22+Sheet2!B415, IF(CE22=7, CC22+Sheet2!B416,"")))))</f>
        <v>UF</v>
      </c>
      <c r="CX22" s="68" t="str">
        <f t="shared" si="63"/>
        <v/>
      </c>
      <c r="CY22" s="5" t="s">
        <v>12</v>
      </c>
      <c r="DA22" s="5" t="str">
        <f t="shared" si="40"/>
        <v>UF</v>
      </c>
      <c r="DB22" s="73" t="str">
        <f t="shared" si="41"/>
        <v>UF</v>
      </c>
      <c r="DC22" s="73" t="str">
        <f t="shared" si="42"/>
        <v>UF</v>
      </c>
      <c r="DD22" s="5" t="str">
        <f>IF(G22&lt;48,"UF", IF(NOT(ISBLANK(CZ:CZ)), CZ:CZ, IF(CL:CL=3, CK:CK+Sheet2!B419, IF(CL:CL=4, CK:CK+Sheet2!B420, IF(CL:CL=7, CK:CK+Sheet2!B421,"")))))</f>
        <v>UF</v>
      </c>
      <c r="DE22" s="69" t="str">
        <f t="shared" si="43"/>
        <v/>
      </c>
      <c r="DF22" s="2">
        <v>1</v>
      </c>
      <c r="DG22" s="2">
        <v>18</v>
      </c>
      <c r="DH22" s="2">
        <v>2</v>
      </c>
      <c r="DI22" s="2">
        <v>2</v>
      </c>
      <c r="DJ22" s="2">
        <v>3</v>
      </c>
      <c r="DK22" s="2" t="s">
        <v>12</v>
      </c>
      <c r="DL22" s="2" t="s">
        <v>12</v>
      </c>
      <c r="DM22" s="2" t="s">
        <v>12</v>
      </c>
      <c r="DN22" s="2" t="s">
        <v>12</v>
      </c>
      <c r="DO22" s="2" t="s">
        <v>12</v>
      </c>
      <c r="DP22" s="2" t="s">
        <v>12</v>
      </c>
      <c r="DQ22" s="2">
        <v>2</v>
      </c>
      <c r="DR22" s="2">
        <v>39</v>
      </c>
      <c r="DS22" s="2">
        <v>2</v>
      </c>
      <c r="DT22" s="2">
        <v>82</v>
      </c>
      <c r="DU22" s="2" t="s">
        <v>12</v>
      </c>
      <c r="DV22" s="2">
        <v>2</v>
      </c>
      <c r="DW22" s="2">
        <v>2</v>
      </c>
      <c r="DX22" s="2">
        <v>2</v>
      </c>
      <c r="DY22" s="2">
        <v>2</v>
      </c>
      <c r="DZ22" s="2">
        <v>32</v>
      </c>
      <c r="EA22" s="2">
        <v>34</v>
      </c>
      <c r="EB22" s="2">
        <v>44.5</v>
      </c>
      <c r="EC22" s="2">
        <v>1</v>
      </c>
      <c r="ED22" s="2">
        <v>1</v>
      </c>
    </row>
    <row r="23" spans="2:134" x14ac:dyDescent="0.25">
      <c r="C23" s="8" t="s">
        <v>203</v>
      </c>
      <c r="D23" s="4">
        <v>122619978</v>
      </c>
      <c r="E23" s="5">
        <v>7</v>
      </c>
      <c r="F23" s="2">
        <v>1</v>
      </c>
      <c r="G23" s="2">
        <v>32</v>
      </c>
      <c r="H23" s="2">
        <v>-1.082885964165786</v>
      </c>
      <c r="I23" s="2">
        <v>55</v>
      </c>
      <c r="J23" s="2">
        <v>3.141839952085506</v>
      </c>
      <c r="K23" s="1">
        <v>3650</v>
      </c>
      <c r="L23" s="2">
        <v>0.87800837274108989</v>
      </c>
      <c r="M23" s="2">
        <v>1.7479</v>
      </c>
      <c r="N23" s="2" t="str">
        <f t="shared" si="0"/>
        <v/>
      </c>
      <c r="O23" s="2">
        <f t="shared" si="1"/>
        <v>1.7479</v>
      </c>
      <c r="P23" s="2">
        <v>71</v>
      </c>
      <c r="Q23" s="2">
        <v>2.3199999999999998</v>
      </c>
      <c r="R23" s="5" t="str">
        <f t="shared" si="2"/>
        <v/>
      </c>
      <c r="S23" s="5">
        <f t="shared" si="3"/>
        <v>2.3199999999999998</v>
      </c>
      <c r="T23" s="1">
        <v>10000</v>
      </c>
      <c r="U23" s="2">
        <v>2.5499999999999998</v>
      </c>
      <c r="V23" s="2" t="str">
        <f t="shared" si="4"/>
        <v/>
      </c>
      <c r="W23" s="2">
        <f t="shared" si="5"/>
        <v>2.5499999999999998</v>
      </c>
      <c r="Y23" s="76" t="e">
        <f t="shared" si="44"/>
        <v>#VALUE!</v>
      </c>
      <c r="Z23" s="76" t="e">
        <f t="shared" si="45"/>
        <v>#VALUE!</v>
      </c>
      <c r="AA23" s="2" t="str">
        <f t="shared" si="6"/>
        <v/>
      </c>
      <c r="AB23" s="2" t="e">
        <f t="shared" si="7"/>
        <v>#VALUE!</v>
      </c>
      <c r="AC23" s="2" t="s">
        <v>12</v>
      </c>
      <c r="AE23" s="79" t="e">
        <f t="shared" si="46"/>
        <v>#VALUE!</v>
      </c>
      <c r="AF23" s="79" t="e">
        <f t="shared" si="47"/>
        <v>#VALUE!</v>
      </c>
      <c r="AG23" s="2" t="str">
        <f t="shared" si="8"/>
        <v/>
      </c>
      <c r="AH23" s="2" t="e">
        <f t="shared" si="9"/>
        <v>#VALUE!</v>
      </c>
      <c r="AI23" s="2" t="s">
        <v>12</v>
      </c>
      <c r="AK23" s="76" t="e">
        <f t="shared" si="48"/>
        <v>#VALUE!</v>
      </c>
      <c r="AL23" s="76" t="e">
        <f t="shared" si="49"/>
        <v>#VALUE!</v>
      </c>
      <c r="AM23" s="2" t="str">
        <f t="shared" si="10"/>
        <v/>
      </c>
      <c r="AN23" s="2" t="e">
        <f t="shared" si="11"/>
        <v>#VALUE!</v>
      </c>
      <c r="AP23" s="2" t="str">
        <f t="shared" si="12"/>
        <v/>
      </c>
      <c r="AQ23" s="2" t="e">
        <f t="shared" si="13"/>
        <v>#VALUE!</v>
      </c>
      <c r="AR23" s="2" t="s">
        <v>12</v>
      </c>
      <c r="AT23" s="2" t="str">
        <f t="shared" si="14"/>
        <v/>
      </c>
      <c r="AU23" s="2" t="e">
        <f t="shared" si="15"/>
        <v>#VALUE!</v>
      </c>
      <c r="AV23" s="2" t="s">
        <v>12</v>
      </c>
      <c r="AX23" s="2" t="str">
        <f t="shared" si="16"/>
        <v/>
      </c>
      <c r="AY23" s="2" t="e">
        <f t="shared" si="17"/>
        <v>#VALUE!</v>
      </c>
      <c r="BA23" s="78" t="e">
        <f t="shared" si="50"/>
        <v>#VALUE!</v>
      </c>
      <c r="BB23" s="78" t="e">
        <f t="shared" si="51"/>
        <v>#VALUE!</v>
      </c>
      <c r="BC23" s="2" t="str">
        <f t="shared" si="18"/>
        <v/>
      </c>
      <c r="BD23" s="2" t="e">
        <f t="shared" si="19"/>
        <v>#VALUE!</v>
      </c>
      <c r="BE23" s="67" t="e">
        <f t="shared" si="52"/>
        <v>#VALUE!</v>
      </c>
      <c r="BF23" s="2" t="s">
        <v>12</v>
      </c>
      <c r="BH23" s="2" t="str">
        <f t="shared" si="20"/>
        <v/>
      </c>
      <c r="BI23" s="2" t="e">
        <f t="shared" si="21"/>
        <v>#VALUE!</v>
      </c>
      <c r="BJ23" s="67" t="e">
        <f t="shared" si="22"/>
        <v>#VALUE!</v>
      </c>
      <c r="BK23" s="2" t="s">
        <v>12</v>
      </c>
      <c r="BM23" s="77" t="e">
        <f t="shared" si="53"/>
        <v>#VALUE!</v>
      </c>
      <c r="BN23" s="77" t="e">
        <f t="shared" si="54"/>
        <v>#VALUE!</v>
      </c>
      <c r="BO23" s="2" t="str">
        <f t="shared" si="23"/>
        <v/>
      </c>
      <c r="BP23" s="2" t="e">
        <f t="shared" si="24"/>
        <v>#VALUE!</v>
      </c>
      <c r="BQ23" s="67" t="e">
        <f t="shared" si="55"/>
        <v>#VALUE!</v>
      </c>
      <c r="BS23" s="75" t="str">
        <f t="shared" si="56"/>
        <v>UF</v>
      </c>
      <c r="BT23" s="75" t="str">
        <f>IF(G23&lt;36,"UF",IF(BS:BS&gt;0.67,2,IF(AND(BS:BS&gt;0,BS:BS&lt;=0.67),1,IF(AND(BS:BS&gt;=-0.67,BS:BS&lt;=0),-1,IF(BS:BS&lt;-0.67,-2)))))</f>
        <v>UF</v>
      </c>
      <c r="BU23" s="5" t="str">
        <f t="shared" si="25"/>
        <v>UF</v>
      </c>
      <c r="BV23" s="5" t="str">
        <f t="shared" si="26"/>
        <v>UF</v>
      </c>
      <c r="BW23" s="69" t="str">
        <f t="shared" si="27"/>
        <v/>
      </c>
      <c r="BX23" s="2" t="s">
        <v>12</v>
      </c>
      <c r="BZ23" s="74" t="str">
        <f t="shared" si="58"/>
        <v>UF</v>
      </c>
      <c r="CA23" s="74" t="str">
        <f t="shared" si="59"/>
        <v>UF</v>
      </c>
      <c r="CB23" s="5" t="str">
        <f t="shared" si="28"/>
        <v>UF</v>
      </c>
      <c r="CC23" s="5" t="str">
        <f t="shared" si="29"/>
        <v>UF</v>
      </c>
      <c r="CD23" s="2" t="e">
        <f t="shared" si="30"/>
        <v>#VALUE!</v>
      </c>
      <c r="CE23" s="69" t="str">
        <f t="shared" si="31"/>
        <v/>
      </c>
      <c r="CF23" s="5" t="s">
        <v>12</v>
      </c>
      <c r="CH23" s="72" t="str">
        <f t="shared" si="60"/>
        <v>UF</v>
      </c>
      <c r="CI23" s="72" t="str">
        <f t="shared" si="61"/>
        <v>UF</v>
      </c>
      <c r="CJ23" s="5" t="str">
        <f t="shared" si="32"/>
        <v>UF</v>
      </c>
      <c r="CK23" s="5" t="str">
        <f t="shared" si="33"/>
        <v>UF</v>
      </c>
      <c r="CL23" s="69" t="str">
        <f t="shared" si="34"/>
        <v/>
      </c>
      <c r="CN23" s="70" t="str">
        <f t="shared" si="35"/>
        <v/>
      </c>
      <c r="CO23" s="5" t="str">
        <f t="shared" si="36"/>
        <v>UF</v>
      </c>
      <c r="CP23" s="5" t="str">
        <f>IF(G23&lt;48,"UF", IF(NOT(ISBLANK(CM:CM)), CM:CM, IF(BW:BW=1, BV:BV+Sheet2!B378, IF(Sheet1!BW:BW=2, Sheet1!BV:BV+Sheet2!B379, IF(Sheet1!BW:BW=7, Sheet1!BV:BV+Sheet2!B380,"")))))</f>
        <v>UF</v>
      </c>
      <c r="CQ23" s="69" t="str">
        <f t="shared" si="62"/>
        <v/>
      </c>
      <c r="CR23" s="5" t="s">
        <v>12</v>
      </c>
      <c r="CT23" s="5" t="str">
        <f t="shared" si="37"/>
        <v/>
      </c>
      <c r="CU23" s="80" t="str">
        <f t="shared" si="38"/>
        <v>UF</v>
      </c>
      <c r="CV23" s="80" t="str">
        <f t="shared" si="39"/>
        <v>UF</v>
      </c>
      <c r="CW23" s="20" t="str">
        <f>IF(G23&lt;48,"UF", IF(NOT(ISBLANK(CS23)), CS23, IF(CE23=5, CC23+Sheet2!B367, IF(CE23=6, CC23+Sheet2!B368, IF(CE23=7, CC23+Sheet2!B369,"")))))</f>
        <v>UF</v>
      </c>
      <c r="CX23" s="68" t="str">
        <f t="shared" si="63"/>
        <v/>
      </c>
      <c r="CY23" s="5" t="s">
        <v>12</v>
      </c>
      <c r="DA23" s="5" t="str">
        <f t="shared" si="40"/>
        <v>UF</v>
      </c>
      <c r="DB23" s="73" t="str">
        <f t="shared" si="41"/>
        <v>UF</v>
      </c>
      <c r="DC23" s="73" t="str">
        <f t="shared" si="42"/>
        <v>UF</v>
      </c>
      <c r="DD23" s="5" t="str">
        <f>IF(G23&lt;48,"UF", IF(NOT(ISBLANK(CZ:CZ)), CZ:CZ, IF(CL:CL=3, CK:CK+Sheet2!B372, IF(CL:CL=4, CK:CK+Sheet2!B373, IF(CL:CL=7, CK:CK+Sheet2!B374,"")))))</f>
        <v>UF</v>
      </c>
      <c r="DE23" s="69" t="str">
        <f t="shared" si="43"/>
        <v/>
      </c>
      <c r="DF23" s="2">
        <v>5</v>
      </c>
      <c r="DG23" s="2">
        <v>46</v>
      </c>
      <c r="DH23" s="2">
        <v>2</v>
      </c>
      <c r="DI23" s="2">
        <v>2</v>
      </c>
      <c r="DJ23" s="2">
        <v>2</v>
      </c>
      <c r="DK23" s="2">
        <v>125</v>
      </c>
      <c r="DL23" s="2">
        <v>69</v>
      </c>
      <c r="DM23" s="2" t="s">
        <v>12</v>
      </c>
      <c r="DN23" s="2" t="s">
        <v>12</v>
      </c>
      <c r="DO23" s="2" t="s">
        <v>12</v>
      </c>
      <c r="DP23" s="2" t="s">
        <v>12</v>
      </c>
      <c r="DQ23" s="2">
        <v>2</v>
      </c>
      <c r="DR23" s="2">
        <v>40</v>
      </c>
      <c r="DS23" s="2">
        <v>3</v>
      </c>
      <c r="DT23" s="2" t="s">
        <v>12</v>
      </c>
      <c r="DU23" s="2" t="s">
        <v>12</v>
      </c>
      <c r="DV23" s="2">
        <v>2</v>
      </c>
      <c r="DW23" s="2">
        <v>3</v>
      </c>
      <c r="DX23" s="2">
        <v>3</v>
      </c>
      <c r="DY23" s="2">
        <v>2</v>
      </c>
      <c r="DZ23" s="2">
        <v>35</v>
      </c>
      <c r="EA23" s="2">
        <v>37</v>
      </c>
      <c r="EB23" s="2" t="s">
        <v>12</v>
      </c>
      <c r="EC23" s="2">
        <v>1</v>
      </c>
      <c r="ED23" s="2" t="s">
        <v>12</v>
      </c>
    </row>
    <row r="24" spans="2:134" x14ac:dyDescent="0.25">
      <c r="C24" s="8" t="s">
        <v>209</v>
      </c>
      <c r="D24" s="4">
        <v>122620958</v>
      </c>
      <c r="E24" s="5">
        <v>7</v>
      </c>
      <c r="F24" s="2">
        <v>2</v>
      </c>
      <c r="G24" s="2">
        <v>32</v>
      </c>
      <c r="H24" s="2">
        <v>-1.221670565960459</v>
      </c>
      <c r="I24" s="2">
        <v>49</v>
      </c>
      <c r="J24" s="2">
        <v>-0.46706379753639199</v>
      </c>
      <c r="K24" s="1">
        <v>2870</v>
      </c>
      <c r="L24" s="2">
        <v>-1.024062172231414</v>
      </c>
      <c r="N24" s="2">
        <f t="shared" si="0"/>
        <v>0.27468528298022948</v>
      </c>
      <c r="O24" s="2">
        <f t="shared" si="1"/>
        <v>-0.94698528298022944</v>
      </c>
      <c r="P24" s="2" t="s">
        <v>12</v>
      </c>
      <c r="R24" s="5">
        <f t="shared" si="2"/>
        <v>0.28853189876819602</v>
      </c>
      <c r="S24" s="5">
        <f t="shared" si="3"/>
        <v>-0.17853189876819597</v>
      </c>
      <c r="T24" s="2" t="s">
        <v>12</v>
      </c>
      <c r="V24" s="2">
        <f t="shared" si="4"/>
        <v>0.29703108611570705</v>
      </c>
      <c r="W24" s="2">
        <f t="shared" si="5"/>
        <v>-0.72703108611570699</v>
      </c>
      <c r="X24" s="2">
        <v>-0.67230000000000001</v>
      </c>
      <c r="Y24" s="76">
        <f t="shared" si="44"/>
        <v>0.54937056596045897</v>
      </c>
      <c r="Z24" s="76">
        <f t="shared" si="45"/>
        <v>1</v>
      </c>
      <c r="AA24" s="2">
        <f t="shared" si="6"/>
        <v>0.186965949384098</v>
      </c>
      <c r="AB24" s="2">
        <f t="shared" si="7"/>
        <v>-0.67230000000000001</v>
      </c>
      <c r="AC24" s="2">
        <v>76</v>
      </c>
      <c r="AD24" s="2">
        <v>0.11</v>
      </c>
      <c r="AE24" s="79">
        <f t="shared" si="46"/>
        <v>0.57706379753639203</v>
      </c>
      <c r="AF24" s="79">
        <f t="shared" si="47"/>
        <v>1</v>
      </c>
      <c r="AG24" s="2">
        <f t="shared" si="8"/>
        <v>-0.60573405061590191</v>
      </c>
      <c r="AH24" s="2">
        <f t="shared" si="9"/>
        <v>0.11</v>
      </c>
      <c r="AI24" s="2">
        <v>9200</v>
      </c>
      <c r="AJ24" s="2">
        <v>-0.43</v>
      </c>
      <c r="AK24" s="76">
        <f t="shared" si="48"/>
        <v>0.59406217223141411</v>
      </c>
      <c r="AL24" s="76">
        <f t="shared" si="49"/>
        <v>1</v>
      </c>
      <c r="AM24" s="2">
        <f t="shared" si="10"/>
        <v>3.5155430578535096E-3</v>
      </c>
      <c r="AN24" s="2">
        <f t="shared" si="11"/>
        <v>-0.43</v>
      </c>
      <c r="AO24" s="2">
        <v>0.19539999999999999</v>
      </c>
      <c r="AP24" s="2">
        <f t="shared" si="12"/>
        <v>-0.26892878102399548</v>
      </c>
      <c r="AQ24" s="2">
        <f t="shared" si="13"/>
        <v>0.19539999999999999</v>
      </c>
      <c r="AR24" s="2">
        <v>78.5</v>
      </c>
      <c r="AS24" s="2">
        <v>-1.39</v>
      </c>
      <c r="AT24" s="2">
        <f t="shared" si="14"/>
        <v>-0.17777292729072516</v>
      </c>
      <c r="AU24" s="2">
        <f t="shared" si="15"/>
        <v>-1.39</v>
      </c>
      <c r="AV24" s="2">
        <v>10100</v>
      </c>
      <c r="AW24" s="2">
        <v>-0.72</v>
      </c>
      <c r="AX24" s="2">
        <f t="shared" si="16"/>
        <v>-0.38949231946146301</v>
      </c>
      <c r="AY24" s="2">
        <f t="shared" si="17"/>
        <v>-0.72</v>
      </c>
      <c r="AZ24" s="2">
        <v>-1.210157562047991</v>
      </c>
      <c r="BA24" s="78">
        <f t="shared" si="50"/>
        <v>-0.53785756204799096</v>
      </c>
      <c r="BB24" s="78">
        <f t="shared" si="51"/>
        <v>-1</v>
      </c>
      <c r="BC24" s="2" t="str">
        <f t="shared" si="18"/>
        <v/>
      </c>
      <c r="BD24" s="2">
        <f t="shared" si="19"/>
        <v>-1.210157562047991</v>
      </c>
      <c r="BE24" s="67">
        <f t="shared" si="52"/>
        <v>7</v>
      </c>
      <c r="BF24" s="2">
        <v>86</v>
      </c>
      <c r="BG24" s="2">
        <v>-0.24554585458145031</v>
      </c>
      <c r="BH24" s="2" t="str">
        <f t="shared" si="20"/>
        <v/>
      </c>
      <c r="BI24" s="2">
        <f t="shared" si="21"/>
        <v>-0.24554585458145031</v>
      </c>
      <c r="BJ24" s="67">
        <f t="shared" si="22"/>
        <v>7</v>
      </c>
      <c r="BK24" s="2">
        <v>11200</v>
      </c>
      <c r="BL24" s="2">
        <v>-1.208984638922926</v>
      </c>
      <c r="BM24" s="77">
        <f t="shared" si="53"/>
        <v>-0.77898463892292602</v>
      </c>
      <c r="BN24" s="77">
        <f t="shared" si="54"/>
        <v>-2</v>
      </c>
      <c r="BO24" s="2" t="str">
        <f t="shared" si="23"/>
        <v/>
      </c>
      <c r="BP24" s="2">
        <f t="shared" si="24"/>
        <v>-1.208984638922926</v>
      </c>
      <c r="BQ24" s="67">
        <f t="shared" si="55"/>
        <v>7</v>
      </c>
      <c r="BS24" s="75" t="str">
        <f t="shared" si="56"/>
        <v>UF</v>
      </c>
      <c r="BT24" s="75" t="str">
        <f t="shared" si="57"/>
        <v>UF</v>
      </c>
      <c r="BU24" s="5" t="str">
        <f t="shared" si="25"/>
        <v>UF</v>
      </c>
      <c r="BV24" s="5" t="str">
        <f t="shared" si="26"/>
        <v>UF</v>
      </c>
      <c r="BW24" s="69" t="str">
        <f t="shared" si="27"/>
        <v/>
      </c>
      <c r="BX24" s="2" t="s">
        <v>12</v>
      </c>
      <c r="BZ24" s="74" t="str">
        <f t="shared" si="58"/>
        <v>UF</v>
      </c>
      <c r="CA24" s="74" t="str">
        <f t="shared" si="59"/>
        <v>UF</v>
      </c>
      <c r="CB24" s="5" t="str">
        <f t="shared" si="28"/>
        <v>UF</v>
      </c>
      <c r="CC24" s="5" t="str">
        <f t="shared" si="29"/>
        <v>UF</v>
      </c>
      <c r="CD24" s="2" t="e">
        <f t="shared" si="30"/>
        <v>#VALUE!</v>
      </c>
      <c r="CE24" s="69" t="str">
        <f t="shared" si="31"/>
        <v/>
      </c>
      <c r="CF24" s="5" t="s">
        <v>12</v>
      </c>
      <c r="CH24" s="72" t="str">
        <f t="shared" si="60"/>
        <v>UF</v>
      </c>
      <c r="CI24" s="72" t="str">
        <f t="shared" si="61"/>
        <v>UF</v>
      </c>
      <c r="CJ24" s="5" t="str">
        <f t="shared" si="32"/>
        <v>UF</v>
      </c>
      <c r="CK24" s="5" t="str">
        <f t="shared" si="33"/>
        <v>UF</v>
      </c>
      <c r="CL24" s="69" t="str">
        <f t="shared" si="34"/>
        <v/>
      </c>
      <c r="CN24" s="70" t="str">
        <f t="shared" si="35"/>
        <v/>
      </c>
      <c r="CO24" s="5" t="str">
        <f t="shared" si="36"/>
        <v>UF</v>
      </c>
      <c r="CP24" s="5" t="str">
        <f>IF(G24&lt;48,"UF", IF(NOT(ISBLANK(CM:CM)), CM:CM, IF(BW:BW=1, BV:BV+Sheet2!B388, IF(Sheet1!BW:BW=2, Sheet1!BV:BV+Sheet2!B389, IF(Sheet1!BW:BW=7, Sheet1!BV:BV+Sheet2!B390,"")))))</f>
        <v>UF</v>
      </c>
      <c r="CQ24" s="69" t="str">
        <f t="shared" si="62"/>
        <v/>
      </c>
      <c r="CR24" s="5" t="s">
        <v>12</v>
      </c>
      <c r="CT24" s="5" t="str">
        <f t="shared" si="37"/>
        <v/>
      </c>
      <c r="CU24" s="80" t="str">
        <f t="shared" si="38"/>
        <v>UF</v>
      </c>
      <c r="CV24" s="80" t="str">
        <f t="shared" si="39"/>
        <v>UF</v>
      </c>
      <c r="CW24" s="20" t="str">
        <f>IF(G24&lt;48,"UF", IF(NOT(ISBLANK(CS24)), CS24, IF(CE24=5, CC24+Sheet2!B377, IF(CE24=6, CC24+Sheet2!B378, IF(CE24=7, CC24+Sheet2!B379,"")))))</f>
        <v>UF</v>
      </c>
      <c r="CX24" s="68" t="str">
        <f t="shared" si="63"/>
        <v/>
      </c>
      <c r="CY24" s="5" t="s">
        <v>12</v>
      </c>
      <c r="DA24" s="5" t="str">
        <f t="shared" si="40"/>
        <v>UF</v>
      </c>
      <c r="DB24" s="73" t="str">
        <f t="shared" si="41"/>
        <v>UF</v>
      </c>
      <c r="DC24" s="73" t="str">
        <f t="shared" si="42"/>
        <v>UF</v>
      </c>
      <c r="DD24" s="5" t="str">
        <f>IF(G24&lt;48,"UF", IF(NOT(ISBLANK(CZ:CZ)), CZ:CZ, IF(CL:CL=3, CK:CK+Sheet2!B382, IF(CL:CL=4, CK:CK+Sheet2!B383, IF(CL:CL=7, CK:CK+Sheet2!B384,"")))))</f>
        <v>UF</v>
      </c>
      <c r="DE24" s="69" t="str">
        <f t="shared" si="43"/>
        <v/>
      </c>
      <c r="DF24" s="2">
        <v>1</v>
      </c>
      <c r="DG24" s="2">
        <v>21</v>
      </c>
      <c r="DH24" s="2">
        <v>2</v>
      </c>
      <c r="DI24" s="2">
        <v>1</v>
      </c>
      <c r="DJ24" s="2">
        <v>2</v>
      </c>
      <c r="DK24" s="2">
        <v>94</v>
      </c>
      <c r="DL24" s="2">
        <v>51</v>
      </c>
      <c r="DM24" s="2" t="s">
        <v>12</v>
      </c>
      <c r="DN24" s="2" t="s">
        <v>12</v>
      </c>
      <c r="DO24" s="2">
        <v>95</v>
      </c>
      <c r="DP24" s="2">
        <v>53</v>
      </c>
      <c r="DQ24" s="2">
        <v>2</v>
      </c>
      <c r="DR24" s="2">
        <v>40</v>
      </c>
      <c r="DS24" s="2">
        <v>2</v>
      </c>
      <c r="DT24" s="2">
        <v>71.5</v>
      </c>
      <c r="DU24" s="2">
        <v>81</v>
      </c>
      <c r="DV24" s="2">
        <v>2</v>
      </c>
      <c r="DW24" s="2">
        <v>3</v>
      </c>
      <c r="DX24" s="2">
        <v>2</v>
      </c>
      <c r="DY24" s="2">
        <v>2</v>
      </c>
      <c r="DZ24" s="2">
        <v>34.5</v>
      </c>
      <c r="EA24" s="2">
        <v>36</v>
      </c>
      <c r="EB24" s="2">
        <v>44.5</v>
      </c>
      <c r="EC24" s="2">
        <v>1</v>
      </c>
      <c r="ED24" s="2">
        <v>1</v>
      </c>
    </row>
    <row r="25" spans="2:134" x14ac:dyDescent="0.25">
      <c r="C25" s="8" t="s">
        <v>202</v>
      </c>
      <c r="D25" s="4">
        <v>122624149</v>
      </c>
      <c r="E25" s="5">
        <v>7</v>
      </c>
      <c r="F25" s="2">
        <v>1</v>
      </c>
      <c r="G25" s="2">
        <v>32</v>
      </c>
      <c r="H25" s="2">
        <v>-1.609418875583692</v>
      </c>
      <c r="I25" s="2">
        <v>51</v>
      </c>
      <c r="J25" s="2">
        <v>0.99441714029262385</v>
      </c>
      <c r="K25" s="1">
        <v>2990</v>
      </c>
      <c r="L25" s="2">
        <v>-0.54156747389798177</v>
      </c>
      <c r="M25" s="2">
        <v>-0.73370000000000002</v>
      </c>
      <c r="N25" s="2">
        <f t="shared" si="0"/>
        <v>0.49355943779184602</v>
      </c>
      <c r="O25" s="2">
        <f t="shared" si="1"/>
        <v>-0.73370000000000002</v>
      </c>
      <c r="P25" s="2">
        <v>66.5</v>
      </c>
      <c r="Q25" s="2">
        <v>0.33</v>
      </c>
      <c r="R25" s="5">
        <f t="shared" si="2"/>
        <v>-0.40220857014631195</v>
      </c>
      <c r="S25" s="5">
        <f t="shared" si="3"/>
        <v>0.33</v>
      </c>
      <c r="T25" s="1">
        <v>7000</v>
      </c>
      <c r="U25" s="2">
        <v>-0.35</v>
      </c>
      <c r="V25" s="2">
        <f t="shared" si="4"/>
        <v>0.11078373694899088</v>
      </c>
      <c r="W25" s="2">
        <f t="shared" si="5"/>
        <v>-0.35</v>
      </c>
      <c r="X25" s="2">
        <v>-0.62229999999999996</v>
      </c>
      <c r="Y25" s="76">
        <f t="shared" si="44"/>
        <v>0.98711887558369205</v>
      </c>
      <c r="Z25" s="76">
        <f t="shared" si="45"/>
        <v>2</v>
      </c>
      <c r="AA25" s="2">
        <f t="shared" si="6"/>
        <v>-0.69790000000000008</v>
      </c>
      <c r="AB25" s="2">
        <f t="shared" si="7"/>
        <v>-0.62229999999999996</v>
      </c>
      <c r="AC25" s="2">
        <v>74.5</v>
      </c>
      <c r="AD25" s="2">
        <v>0.19</v>
      </c>
      <c r="AE25" s="79">
        <f t="shared" si="46"/>
        <v>-0.8044171402926239</v>
      </c>
      <c r="AF25" s="79">
        <f t="shared" si="47"/>
        <v>-2</v>
      </c>
      <c r="AG25" s="2">
        <f t="shared" si="8"/>
        <v>0.23</v>
      </c>
      <c r="AH25" s="2">
        <f t="shared" si="9"/>
        <v>0.19</v>
      </c>
      <c r="AI25" s="2">
        <v>8600</v>
      </c>
      <c r="AJ25" s="2">
        <v>-0.32</v>
      </c>
      <c r="AK25" s="76">
        <f t="shared" si="48"/>
        <v>0.22156747389798176</v>
      </c>
      <c r="AL25" s="76">
        <f t="shared" si="49"/>
        <v>1</v>
      </c>
      <c r="AM25" s="2">
        <f t="shared" si="10"/>
        <v>3.999999999999998E-2</v>
      </c>
      <c r="AN25" s="2">
        <f t="shared" si="11"/>
        <v>-0.32</v>
      </c>
      <c r="AO25" s="2">
        <v>-1.0658000000000001</v>
      </c>
      <c r="AP25" s="2" t="str">
        <f t="shared" si="12"/>
        <v/>
      </c>
      <c r="AQ25" s="2">
        <f t="shared" si="13"/>
        <v>-1.0658000000000001</v>
      </c>
      <c r="AR25" s="2">
        <v>83</v>
      </c>
      <c r="AS25" s="2">
        <v>0.79</v>
      </c>
      <c r="AT25" s="2" t="str">
        <f t="shared" si="14"/>
        <v/>
      </c>
      <c r="AU25" s="2">
        <f t="shared" si="15"/>
        <v>0.79</v>
      </c>
      <c r="AV25" s="2">
        <v>9900</v>
      </c>
      <c r="AW25" s="2">
        <v>-0.27</v>
      </c>
      <c r="AX25" s="2" t="str">
        <f t="shared" si="16"/>
        <v/>
      </c>
      <c r="AY25" s="2">
        <f t="shared" si="17"/>
        <v>-0.27</v>
      </c>
      <c r="BA25" s="78" t="e">
        <f t="shared" si="50"/>
        <v>#VALUE!</v>
      </c>
      <c r="BB25" s="78" t="e">
        <f t="shared" si="51"/>
        <v>#VALUE!</v>
      </c>
      <c r="BC25" s="2" t="str">
        <f t="shared" si="18"/>
        <v/>
      </c>
      <c r="BD25" s="2" t="e">
        <f t="shared" si="19"/>
        <v>#VALUE!</v>
      </c>
      <c r="BE25" s="67" t="e">
        <f t="shared" si="52"/>
        <v>#VALUE!</v>
      </c>
      <c r="BF25" s="2" t="s">
        <v>12</v>
      </c>
      <c r="BH25" s="2" t="str">
        <f t="shared" si="20"/>
        <v/>
      </c>
      <c r="BI25" s="2" t="e">
        <f t="shared" si="21"/>
        <v>#VALUE!</v>
      </c>
      <c r="BJ25" s="67" t="e">
        <f t="shared" si="22"/>
        <v>#VALUE!</v>
      </c>
      <c r="BK25" s="2" t="s">
        <v>12</v>
      </c>
      <c r="BM25" s="77" t="e">
        <f t="shared" si="53"/>
        <v>#VALUE!</v>
      </c>
      <c r="BN25" s="77" t="e">
        <f t="shared" si="54"/>
        <v>#VALUE!</v>
      </c>
      <c r="BO25" s="2" t="str">
        <f t="shared" si="23"/>
        <v/>
      </c>
      <c r="BP25" s="2" t="e">
        <f t="shared" si="24"/>
        <v>#VALUE!</v>
      </c>
      <c r="BQ25" s="67" t="e">
        <f t="shared" si="55"/>
        <v>#VALUE!</v>
      </c>
      <c r="BS25" s="75" t="str">
        <f t="shared" si="56"/>
        <v>UF</v>
      </c>
      <c r="BT25" s="75" t="str">
        <f t="shared" si="57"/>
        <v>UF</v>
      </c>
      <c r="BU25" s="5" t="str">
        <f t="shared" si="25"/>
        <v>UF</v>
      </c>
      <c r="BV25" s="5" t="str">
        <f t="shared" si="26"/>
        <v>UF</v>
      </c>
      <c r="BW25" s="69" t="str">
        <f t="shared" si="27"/>
        <v/>
      </c>
      <c r="BX25" s="2" t="s">
        <v>12</v>
      </c>
      <c r="BZ25" s="74" t="str">
        <f t="shared" si="58"/>
        <v>UF</v>
      </c>
      <c r="CA25" s="74" t="str">
        <f t="shared" si="59"/>
        <v>UF</v>
      </c>
      <c r="CB25" s="5" t="str">
        <f t="shared" si="28"/>
        <v>UF</v>
      </c>
      <c r="CC25" s="5" t="str">
        <f t="shared" si="29"/>
        <v>UF</v>
      </c>
      <c r="CD25" s="2" t="e">
        <f t="shared" si="30"/>
        <v>#VALUE!</v>
      </c>
      <c r="CE25" s="69" t="str">
        <f t="shared" si="31"/>
        <v/>
      </c>
      <c r="CF25" s="5" t="s">
        <v>12</v>
      </c>
      <c r="CH25" s="72" t="str">
        <f t="shared" si="60"/>
        <v>UF</v>
      </c>
      <c r="CI25" s="72" t="str">
        <f t="shared" si="61"/>
        <v>UF</v>
      </c>
      <c r="CJ25" s="5" t="str">
        <f t="shared" si="32"/>
        <v>UF</v>
      </c>
      <c r="CK25" s="5" t="str">
        <f t="shared" si="33"/>
        <v>UF</v>
      </c>
      <c r="CL25" s="69" t="str">
        <f t="shared" si="34"/>
        <v/>
      </c>
      <c r="CN25" s="70" t="str">
        <f t="shared" si="35"/>
        <v/>
      </c>
      <c r="CO25" s="5" t="str">
        <f t="shared" si="36"/>
        <v>UF</v>
      </c>
      <c r="CP25" s="5" t="str">
        <f>IF(G25&lt;48,"UF", IF(NOT(ISBLANK(CM:CM)), CM:CM, IF(BW:BW=1, BV:BV+Sheet2!B377, IF(Sheet1!BW:BW=2, Sheet1!BV:BV+Sheet2!B378, IF(Sheet1!BW:BW=7, Sheet1!BV:BV+Sheet2!B379,"")))))</f>
        <v>UF</v>
      </c>
      <c r="CQ25" s="69" t="str">
        <f t="shared" si="62"/>
        <v/>
      </c>
      <c r="CR25" s="5" t="s">
        <v>12</v>
      </c>
      <c r="CT25" s="5" t="str">
        <f t="shared" si="37"/>
        <v/>
      </c>
      <c r="CU25" s="80" t="str">
        <f t="shared" si="38"/>
        <v>UF</v>
      </c>
      <c r="CV25" s="80" t="str">
        <f t="shared" si="39"/>
        <v>UF</v>
      </c>
      <c r="CW25" s="20" t="str">
        <f>IF(G25&lt;48,"UF", IF(NOT(ISBLANK(CS25)), CS25, IF(CE25=5, CC25+Sheet2!B366, IF(CE25=6, CC25+Sheet2!B367, IF(CE25=7, CC25+Sheet2!B368,"")))))</f>
        <v>UF</v>
      </c>
      <c r="CX25" s="68" t="str">
        <f t="shared" si="63"/>
        <v/>
      </c>
      <c r="CY25" s="5" t="s">
        <v>12</v>
      </c>
      <c r="DA25" s="5" t="str">
        <f t="shared" si="40"/>
        <v>UF</v>
      </c>
      <c r="DB25" s="73" t="str">
        <f t="shared" si="41"/>
        <v>UF</v>
      </c>
      <c r="DC25" s="73" t="str">
        <f t="shared" si="42"/>
        <v>UF</v>
      </c>
      <c r="DD25" s="5" t="str">
        <f>IF(G25&lt;48,"UF", IF(NOT(ISBLANK(CZ:CZ)), CZ:CZ, IF(CL:CL=3, CK:CK+Sheet2!B371, IF(CL:CL=4, CK:CK+Sheet2!B372, IF(CL:CL=7, CK:CK+Sheet2!B373,"")))))</f>
        <v>UF</v>
      </c>
      <c r="DE25" s="69" t="str">
        <f t="shared" si="43"/>
        <v/>
      </c>
      <c r="DF25" s="2">
        <v>2</v>
      </c>
      <c r="DG25" s="2">
        <v>28</v>
      </c>
      <c r="DH25" s="2">
        <v>2</v>
      </c>
      <c r="DI25" s="2">
        <v>2</v>
      </c>
      <c r="DJ25" s="2">
        <v>2</v>
      </c>
      <c r="DK25" s="2">
        <v>110</v>
      </c>
      <c r="DL25" s="2">
        <v>63</v>
      </c>
      <c r="DM25" s="2" t="s">
        <v>12</v>
      </c>
      <c r="DN25" s="2" t="s">
        <v>12</v>
      </c>
      <c r="DO25" s="2">
        <v>102</v>
      </c>
      <c r="DP25" s="2">
        <v>55</v>
      </c>
      <c r="DQ25" s="2">
        <v>2</v>
      </c>
      <c r="DR25" s="2">
        <v>40</v>
      </c>
      <c r="DS25" s="2">
        <v>2</v>
      </c>
      <c r="DT25" s="2">
        <v>63</v>
      </c>
      <c r="DU25" s="2">
        <v>73</v>
      </c>
      <c r="DV25" s="2">
        <v>2</v>
      </c>
      <c r="DW25" s="2">
        <v>2</v>
      </c>
      <c r="DX25" s="2">
        <v>2</v>
      </c>
      <c r="DY25" s="2">
        <v>1</v>
      </c>
      <c r="DZ25" s="2">
        <v>34</v>
      </c>
      <c r="EA25" s="2">
        <v>36</v>
      </c>
      <c r="EB25" s="2">
        <v>44</v>
      </c>
      <c r="EC25" s="2">
        <v>1</v>
      </c>
      <c r="ED25" s="2">
        <v>1</v>
      </c>
    </row>
    <row r="26" spans="2:134" x14ac:dyDescent="0.25">
      <c r="C26" s="8" t="s">
        <v>208</v>
      </c>
      <c r="D26" s="4">
        <v>122624313</v>
      </c>
      <c r="E26" s="5">
        <v>7</v>
      </c>
      <c r="F26" s="2">
        <v>2</v>
      </c>
      <c r="G26" s="2">
        <v>32</v>
      </c>
      <c r="H26" s="2">
        <v>-1.2702901383293801</v>
      </c>
      <c r="I26" s="2">
        <v>54</v>
      </c>
      <c r="J26" s="2">
        <v>2.1740990784834611</v>
      </c>
      <c r="K26" s="1">
        <v>3470</v>
      </c>
      <c r="L26" s="2">
        <v>0.24996418227014741</v>
      </c>
      <c r="M26" s="2">
        <v>-0.78610000000000002</v>
      </c>
      <c r="N26" s="2">
        <f t="shared" si="0"/>
        <v>1.42824506916469</v>
      </c>
      <c r="O26" s="2">
        <f t="shared" si="1"/>
        <v>-0.78610000000000002</v>
      </c>
      <c r="P26" s="2">
        <v>67</v>
      </c>
      <c r="Q26" s="2">
        <v>-0.3</v>
      </c>
      <c r="R26" s="5">
        <f t="shared" si="2"/>
        <v>-1.6620495392417305</v>
      </c>
      <c r="S26" s="5">
        <f t="shared" si="3"/>
        <v>-0.3</v>
      </c>
      <c r="T26" s="2">
        <v>7300</v>
      </c>
      <c r="U26" s="2">
        <v>-0.76</v>
      </c>
      <c r="V26" s="2">
        <f t="shared" si="4"/>
        <v>0.13001790886492631</v>
      </c>
      <c r="W26" s="2">
        <f t="shared" si="5"/>
        <v>-0.76</v>
      </c>
      <c r="X26" s="2">
        <v>1.5862000000000001</v>
      </c>
      <c r="Y26" s="76">
        <f t="shared" si="44"/>
        <v>2.8564901383293799</v>
      </c>
      <c r="Z26" s="76">
        <f t="shared" si="45"/>
        <v>2</v>
      </c>
      <c r="AA26" s="2">
        <f t="shared" si="6"/>
        <v>0.87065000000000003</v>
      </c>
      <c r="AB26" s="2">
        <f t="shared" si="7"/>
        <v>1.5862000000000001</v>
      </c>
      <c r="AC26" s="2">
        <v>73</v>
      </c>
      <c r="AD26" s="2">
        <v>-1.1499999999999999</v>
      </c>
      <c r="AE26" s="79">
        <f t="shared" si="46"/>
        <v>-3.324099078483461</v>
      </c>
      <c r="AF26" s="79">
        <f t="shared" si="47"/>
        <v>-2</v>
      </c>
      <c r="AG26" s="2">
        <f t="shared" si="8"/>
        <v>0.28500000000000003</v>
      </c>
      <c r="AH26" s="2">
        <f t="shared" si="9"/>
        <v>-1.1499999999999999</v>
      </c>
      <c r="AI26" s="2">
        <v>10200</v>
      </c>
      <c r="AJ26" s="2">
        <v>0.51</v>
      </c>
      <c r="AK26" s="76">
        <f t="shared" si="48"/>
        <v>0.26003581772985263</v>
      </c>
      <c r="AL26" s="76">
        <f t="shared" si="49"/>
        <v>1</v>
      </c>
      <c r="AM26" s="2">
        <f t="shared" si="10"/>
        <v>0.98</v>
      </c>
      <c r="AN26" s="2">
        <f t="shared" si="11"/>
        <v>0.51</v>
      </c>
      <c r="AO26" s="2">
        <v>1.4413</v>
      </c>
      <c r="AP26" s="2">
        <f t="shared" si="12"/>
        <v>-0.4026244861455372</v>
      </c>
      <c r="AQ26" s="2">
        <f t="shared" si="13"/>
        <v>1.4413</v>
      </c>
      <c r="AR26" s="2">
        <v>83</v>
      </c>
      <c r="AS26" s="2">
        <v>0.27</v>
      </c>
      <c r="AT26" s="2">
        <f t="shared" si="14"/>
        <v>0.73722565580973676</v>
      </c>
      <c r="AU26" s="2">
        <f t="shared" si="15"/>
        <v>0.27</v>
      </c>
      <c r="AV26" s="2">
        <v>12500</v>
      </c>
      <c r="AW26" s="2">
        <v>1.2</v>
      </c>
      <c r="AX26" s="2">
        <f t="shared" si="16"/>
        <v>7.7643959621993774E-2</v>
      </c>
      <c r="AY26" s="2">
        <f t="shared" si="17"/>
        <v>1.2</v>
      </c>
      <c r="AZ26" s="2">
        <v>0.78095102770892566</v>
      </c>
      <c r="BA26" s="78">
        <f t="shared" si="50"/>
        <v>-0.80524897229107439</v>
      </c>
      <c r="BB26" s="78">
        <f t="shared" si="51"/>
        <v>-2</v>
      </c>
      <c r="BC26" s="2" t="str">
        <f t="shared" si="18"/>
        <v/>
      </c>
      <c r="BD26" s="2">
        <f t="shared" si="19"/>
        <v>0.78095102770892566</v>
      </c>
      <c r="BE26" s="67">
        <f t="shared" si="52"/>
        <v>7</v>
      </c>
      <c r="BF26" s="2">
        <v>88</v>
      </c>
      <c r="BG26" s="2">
        <v>0.32445131161947349</v>
      </c>
      <c r="BH26" s="2" t="str">
        <f t="shared" si="20"/>
        <v/>
      </c>
      <c r="BI26" s="2">
        <f t="shared" si="21"/>
        <v>0.32445131161947349</v>
      </c>
      <c r="BJ26" s="67">
        <f t="shared" si="22"/>
        <v>7</v>
      </c>
      <c r="BK26" s="2">
        <v>13700</v>
      </c>
      <c r="BL26" s="2">
        <v>0.66528791924398756</v>
      </c>
      <c r="BM26" s="77">
        <f t="shared" si="53"/>
        <v>0.15528791924398755</v>
      </c>
      <c r="BN26" s="77">
        <f t="shared" si="54"/>
        <v>1</v>
      </c>
      <c r="BO26" s="2" t="str">
        <f t="shared" si="23"/>
        <v/>
      </c>
      <c r="BP26" s="2">
        <f t="shared" si="24"/>
        <v>0.66528791924398756</v>
      </c>
      <c r="BQ26" s="67">
        <f t="shared" si="55"/>
        <v>7</v>
      </c>
      <c r="BS26" s="75" t="str">
        <f t="shared" si="56"/>
        <v>UF</v>
      </c>
      <c r="BT26" s="75" t="str">
        <f t="shared" si="57"/>
        <v>UF</v>
      </c>
      <c r="BU26" s="5" t="str">
        <f t="shared" si="25"/>
        <v>UF</v>
      </c>
      <c r="BV26" s="5" t="str">
        <f t="shared" si="26"/>
        <v>UF</v>
      </c>
      <c r="BW26" s="69" t="str">
        <f t="shared" si="27"/>
        <v/>
      </c>
      <c r="BX26" s="2" t="s">
        <v>12</v>
      </c>
      <c r="BZ26" s="74" t="str">
        <f t="shared" si="58"/>
        <v>UF</v>
      </c>
      <c r="CA26" s="74" t="str">
        <f t="shared" si="59"/>
        <v>UF</v>
      </c>
      <c r="CB26" s="5" t="str">
        <f t="shared" si="28"/>
        <v>UF</v>
      </c>
      <c r="CC26" s="5" t="str">
        <f t="shared" si="29"/>
        <v>UF</v>
      </c>
      <c r="CD26" s="2" t="e">
        <f t="shared" si="30"/>
        <v>#VALUE!</v>
      </c>
      <c r="CE26" s="69" t="str">
        <f t="shared" si="31"/>
        <v/>
      </c>
      <c r="CF26" s="5" t="s">
        <v>12</v>
      </c>
      <c r="CH26" s="72" t="str">
        <f t="shared" si="60"/>
        <v>UF</v>
      </c>
      <c r="CI26" s="72" t="str">
        <f t="shared" si="61"/>
        <v>UF</v>
      </c>
      <c r="CJ26" s="5" t="str">
        <f t="shared" si="32"/>
        <v>UF</v>
      </c>
      <c r="CK26" s="5" t="str">
        <f t="shared" si="33"/>
        <v>UF</v>
      </c>
      <c r="CL26" s="69" t="str">
        <f t="shared" si="34"/>
        <v/>
      </c>
      <c r="CN26" s="70" t="str">
        <f t="shared" si="35"/>
        <v/>
      </c>
      <c r="CO26" s="5" t="str">
        <f t="shared" si="36"/>
        <v>UF</v>
      </c>
      <c r="CP26" s="5" t="str">
        <f>IF(G26&lt;48,"UF", IF(NOT(ISBLANK(CM:CM)), CM:CM, IF(BW:BW=1, BV:BV+Sheet2!B387, IF(Sheet1!BW:BW=2, Sheet1!BV:BV+Sheet2!B388, IF(Sheet1!BW:BW=7, Sheet1!BV:BV+Sheet2!B389,"")))))</f>
        <v>UF</v>
      </c>
      <c r="CQ26" s="69" t="str">
        <f t="shared" si="62"/>
        <v/>
      </c>
      <c r="CR26" s="5" t="s">
        <v>12</v>
      </c>
      <c r="CT26" s="5" t="str">
        <f t="shared" si="37"/>
        <v/>
      </c>
      <c r="CU26" s="80" t="str">
        <f t="shared" si="38"/>
        <v>UF</v>
      </c>
      <c r="CV26" s="80" t="str">
        <f t="shared" si="39"/>
        <v>UF</v>
      </c>
      <c r="CW26" s="20" t="str">
        <f>IF(G26&lt;48,"UF", IF(NOT(ISBLANK(CS26)), CS26, IF(CE26=5, CC26+Sheet2!B376, IF(CE26=6, CC26+Sheet2!B377, IF(CE26=7, CC26+Sheet2!B378,"")))))</f>
        <v>UF</v>
      </c>
      <c r="CX26" s="68" t="str">
        <f t="shared" si="63"/>
        <v/>
      </c>
      <c r="CY26" s="5" t="s">
        <v>12</v>
      </c>
      <c r="DA26" s="5" t="str">
        <f t="shared" si="40"/>
        <v>UF</v>
      </c>
      <c r="DB26" s="73" t="str">
        <f t="shared" si="41"/>
        <v>UF</v>
      </c>
      <c r="DC26" s="73" t="str">
        <f t="shared" si="42"/>
        <v>UF</v>
      </c>
      <c r="DD26" s="5" t="str">
        <f>IF(G26&lt;48,"UF", IF(NOT(ISBLANK(CZ:CZ)), CZ:CZ, IF(CL:CL=3, CK:CK+Sheet2!B381, IF(CL:CL=4, CK:CK+Sheet2!B382, IF(CL:CL=7, CK:CK+Sheet2!B383,"")))))</f>
        <v>UF</v>
      </c>
      <c r="DE26" s="69" t="str">
        <f t="shared" si="43"/>
        <v/>
      </c>
      <c r="DF26" s="2">
        <v>3</v>
      </c>
      <c r="DG26" s="2">
        <v>26</v>
      </c>
      <c r="DH26" s="2">
        <v>2</v>
      </c>
      <c r="DI26" s="2">
        <v>2</v>
      </c>
      <c r="DJ26" s="2">
        <v>3</v>
      </c>
      <c r="DK26" s="2" t="s">
        <v>12</v>
      </c>
      <c r="DL26" s="2" t="s">
        <v>12</v>
      </c>
      <c r="DM26" s="2" t="s">
        <v>12</v>
      </c>
      <c r="DN26" s="2" t="s">
        <v>12</v>
      </c>
      <c r="DO26" s="2" t="s">
        <v>12</v>
      </c>
      <c r="DP26" s="2" t="s">
        <v>12</v>
      </c>
      <c r="DQ26" s="2">
        <v>2</v>
      </c>
      <c r="DR26" s="2">
        <v>38</v>
      </c>
      <c r="DS26" s="2">
        <v>2</v>
      </c>
      <c r="DT26" s="2">
        <v>77</v>
      </c>
      <c r="DU26" s="2">
        <v>68</v>
      </c>
      <c r="DV26" s="2">
        <v>2</v>
      </c>
      <c r="DW26" s="2">
        <v>2</v>
      </c>
      <c r="DX26" s="2">
        <v>2</v>
      </c>
      <c r="DY26" s="2">
        <v>2</v>
      </c>
      <c r="DZ26" s="2">
        <v>35.5</v>
      </c>
      <c r="EA26" s="2">
        <v>36.5</v>
      </c>
      <c r="EB26" s="2">
        <v>46.5</v>
      </c>
      <c r="EC26" s="2">
        <v>1</v>
      </c>
      <c r="ED26" s="2">
        <v>1</v>
      </c>
    </row>
    <row r="27" spans="2:134" x14ac:dyDescent="0.25">
      <c r="C27" s="8" t="s">
        <v>208</v>
      </c>
      <c r="D27" s="4">
        <v>122624353</v>
      </c>
      <c r="E27" s="5">
        <v>7</v>
      </c>
      <c r="F27" s="2">
        <v>2</v>
      </c>
      <c r="G27" s="2">
        <v>32</v>
      </c>
      <c r="H27" s="2">
        <v>2.7615493459586369</v>
      </c>
      <c r="I27" s="2">
        <v>47</v>
      </c>
      <c r="J27" s="2">
        <v>-1.5235289479443319</v>
      </c>
      <c r="K27" s="2">
        <v>3900</v>
      </c>
      <c r="L27" s="2">
        <v>1.0769164505933739</v>
      </c>
      <c r="N27" s="2">
        <f t="shared" si="0"/>
        <v>-0.72672467297931842</v>
      </c>
      <c r="O27" s="2">
        <f t="shared" si="1"/>
        <v>2.0348246729793185</v>
      </c>
      <c r="P27" s="2" t="s">
        <v>12</v>
      </c>
      <c r="R27" s="5">
        <f t="shared" si="2"/>
        <v>0.81676447397216601</v>
      </c>
      <c r="S27" s="5">
        <f t="shared" si="3"/>
        <v>-0.70676447397216591</v>
      </c>
      <c r="T27" s="2" t="s">
        <v>12</v>
      </c>
      <c r="V27" s="2">
        <f t="shared" si="4"/>
        <v>-1.8458225296686948E-2</v>
      </c>
      <c r="W27" s="2">
        <f t="shared" si="5"/>
        <v>1.058458225296687</v>
      </c>
      <c r="X27" s="2">
        <v>1.3081</v>
      </c>
      <c r="Y27" s="76">
        <f t="shared" si="44"/>
        <v>-1.4534493459586368</v>
      </c>
      <c r="Z27" s="76">
        <f t="shared" si="45"/>
        <v>-2</v>
      </c>
      <c r="AA27" s="2">
        <f t="shared" si="6"/>
        <v>1.1704322369860831</v>
      </c>
      <c r="AB27" s="2">
        <f t="shared" si="7"/>
        <v>1.3081</v>
      </c>
      <c r="AC27" s="2">
        <v>76</v>
      </c>
      <c r="AD27" s="2">
        <v>0.11</v>
      </c>
      <c r="AE27" s="79">
        <f t="shared" si="46"/>
        <v>1.633528947944332</v>
      </c>
      <c r="AF27" s="79">
        <f t="shared" si="47"/>
        <v>2</v>
      </c>
      <c r="AG27" s="2">
        <f t="shared" si="8"/>
        <v>0.11838223698608297</v>
      </c>
      <c r="AH27" s="2">
        <f t="shared" si="9"/>
        <v>0.11</v>
      </c>
      <c r="AI27" s="2">
        <v>10800</v>
      </c>
      <c r="AJ27" s="2">
        <v>1.04</v>
      </c>
      <c r="AK27" s="76">
        <f t="shared" si="48"/>
        <v>-3.6916450593373895E-2</v>
      </c>
      <c r="AL27" s="76">
        <f t="shared" si="49"/>
        <v>-1</v>
      </c>
      <c r="AM27" s="2">
        <f t="shared" si="10"/>
        <v>-7.4229112648343476E-2</v>
      </c>
      <c r="AN27" s="2">
        <f t="shared" si="11"/>
        <v>1.04</v>
      </c>
      <c r="AO27" s="2">
        <v>1.6341000000000001</v>
      </c>
      <c r="AP27" s="2">
        <f t="shared" si="12"/>
        <v>0.17606980674327799</v>
      </c>
      <c r="AQ27" s="2">
        <f t="shared" si="13"/>
        <v>1.6341000000000001</v>
      </c>
      <c r="AR27" s="2">
        <v>81</v>
      </c>
      <c r="AS27" s="2">
        <v>-0.47</v>
      </c>
      <c r="AT27" s="2">
        <f t="shared" si="14"/>
        <v>-0.74762564068848358</v>
      </c>
      <c r="AU27" s="2">
        <f t="shared" si="15"/>
        <v>-0.47</v>
      </c>
      <c r="AV27" s="2">
        <v>12100</v>
      </c>
      <c r="AW27" s="2">
        <v>0.91</v>
      </c>
      <c r="AX27" s="2">
        <f t="shared" si="16"/>
        <v>-0.42737416181749849</v>
      </c>
      <c r="AY27" s="2">
        <f t="shared" si="17"/>
        <v>0.91</v>
      </c>
      <c r="AZ27" s="2">
        <v>1.660239613486556</v>
      </c>
      <c r="BA27" s="78">
        <f t="shared" si="50"/>
        <v>0.35213961348655598</v>
      </c>
      <c r="BB27" s="78">
        <f t="shared" si="51"/>
        <v>1</v>
      </c>
      <c r="BC27" s="2" t="str">
        <f t="shared" si="18"/>
        <v/>
      </c>
      <c r="BD27" s="2">
        <f t="shared" si="19"/>
        <v>1.660239613486556</v>
      </c>
      <c r="BE27" s="67">
        <f t="shared" si="52"/>
        <v>7</v>
      </c>
      <c r="BF27" s="2">
        <v>82</v>
      </c>
      <c r="BG27" s="2">
        <v>-1.3852512813769671</v>
      </c>
      <c r="BH27" s="2" t="str">
        <f t="shared" si="20"/>
        <v/>
      </c>
      <c r="BI27" s="2">
        <f t="shared" si="21"/>
        <v>-1.3852512813769671</v>
      </c>
      <c r="BJ27" s="67">
        <f t="shared" si="22"/>
        <v>7</v>
      </c>
      <c r="BK27" s="2">
        <v>13000</v>
      </c>
      <c r="BL27" s="2">
        <v>0.18525167636500309</v>
      </c>
      <c r="BM27" s="77">
        <f t="shared" si="53"/>
        <v>-0.85474832363499698</v>
      </c>
      <c r="BN27" s="77">
        <f t="shared" si="54"/>
        <v>-2</v>
      </c>
      <c r="BO27" s="2" t="str">
        <f t="shared" si="23"/>
        <v/>
      </c>
      <c r="BP27" s="2">
        <f t="shared" si="24"/>
        <v>0.18525167636500309</v>
      </c>
      <c r="BQ27" s="67">
        <f t="shared" si="55"/>
        <v>7</v>
      </c>
      <c r="BS27" s="75" t="str">
        <f t="shared" si="56"/>
        <v>UF</v>
      </c>
      <c r="BT27" s="75" t="str">
        <f t="shared" si="57"/>
        <v>UF</v>
      </c>
      <c r="BU27" s="5" t="str">
        <f t="shared" si="25"/>
        <v>UF</v>
      </c>
      <c r="BV27" s="5" t="str">
        <f t="shared" si="26"/>
        <v>UF</v>
      </c>
      <c r="BW27" s="69" t="str">
        <f t="shared" si="27"/>
        <v/>
      </c>
      <c r="BX27" s="2" t="s">
        <v>12</v>
      </c>
      <c r="BZ27" s="74" t="str">
        <f t="shared" si="58"/>
        <v>UF</v>
      </c>
      <c r="CA27" s="74" t="str">
        <f t="shared" si="59"/>
        <v>UF</v>
      </c>
      <c r="CB27" s="5" t="str">
        <f t="shared" si="28"/>
        <v>UF</v>
      </c>
      <c r="CC27" s="5" t="str">
        <f t="shared" si="29"/>
        <v>UF</v>
      </c>
      <c r="CD27" s="2" t="e">
        <f t="shared" si="30"/>
        <v>#VALUE!</v>
      </c>
      <c r="CE27" s="69" t="str">
        <f t="shared" si="31"/>
        <v/>
      </c>
      <c r="CF27" s="5" t="s">
        <v>12</v>
      </c>
      <c r="CH27" s="72" t="str">
        <f t="shared" si="60"/>
        <v>UF</v>
      </c>
      <c r="CI27" s="72" t="str">
        <f t="shared" si="61"/>
        <v>UF</v>
      </c>
      <c r="CJ27" s="5" t="str">
        <f t="shared" si="32"/>
        <v>UF</v>
      </c>
      <c r="CK27" s="5" t="str">
        <f t="shared" si="33"/>
        <v>UF</v>
      </c>
      <c r="CL27" s="69" t="str">
        <f t="shared" si="34"/>
        <v/>
      </c>
      <c r="CN27" s="70" t="str">
        <f t="shared" si="35"/>
        <v/>
      </c>
      <c r="CO27" s="5" t="str">
        <f t="shared" si="36"/>
        <v>UF</v>
      </c>
      <c r="CP27" s="5" t="str">
        <f>IF(G27&lt;48,"UF", IF(NOT(ISBLANK(CM:CM)), CM:CM, IF(BW:BW=1, BV:BV+Sheet2!B412, IF(Sheet1!BW:BW=2, Sheet1!BV:BV+Sheet2!B413, IF(Sheet1!BW:BW=7, Sheet1!BV:BV+Sheet2!B414,"")))))</f>
        <v>UF</v>
      </c>
      <c r="CQ27" s="69" t="str">
        <f t="shared" si="62"/>
        <v/>
      </c>
      <c r="CR27" s="5" t="s">
        <v>12</v>
      </c>
      <c r="CT27" s="5" t="str">
        <f t="shared" si="37"/>
        <v/>
      </c>
      <c r="CU27" s="80" t="str">
        <f t="shared" si="38"/>
        <v>UF</v>
      </c>
      <c r="CV27" s="80" t="str">
        <f t="shared" si="39"/>
        <v>UF</v>
      </c>
      <c r="CW27" s="20" t="str">
        <f>IF(G27&lt;48,"UF", IF(NOT(ISBLANK(CS27)), CS27, IF(CE27=5, CC27+Sheet2!B401, IF(CE27=6, CC27+Sheet2!B402, IF(CE27=7, CC27+Sheet2!B403,"")))))</f>
        <v>UF</v>
      </c>
      <c r="CX27" s="68" t="str">
        <f t="shared" si="63"/>
        <v/>
      </c>
      <c r="CY27" s="5" t="s">
        <v>12</v>
      </c>
      <c r="DA27" s="5" t="str">
        <f t="shared" si="40"/>
        <v>UF</v>
      </c>
      <c r="DB27" s="73" t="str">
        <f t="shared" si="41"/>
        <v>UF</v>
      </c>
      <c r="DC27" s="73" t="str">
        <f t="shared" si="42"/>
        <v>UF</v>
      </c>
      <c r="DD27" s="5" t="str">
        <f>IF(G27&lt;48,"UF", IF(NOT(ISBLANK(CZ:CZ)), CZ:CZ, IF(CL:CL=3, CK:CK+Sheet2!B406, IF(CL:CL=4, CK:CK+Sheet2!B407, IF(CL:CL=7, CK:CK+Sheet2!B408,"")))))</f>
        <v>UF</v>
      </c>
      <c r="DE27" s="69" t="str">
        <f t="shared" si="43"/>
        <v/>
      </c>
      <c r="DF27" s="2">
        <v>7</v>
      </c>
      <c r="DG27" s="2">
        <v>33</v>
      </c>
      <c r="DH27" s="2">
        <v>2</v>
      </c>
      <c r="DI27" s="2">
        <v>2</v>
      </c>
      <c r="DJ27" s="2">
        <v>2</v>
      </c>
      <c r="DK27" s="2">
        <v>98</v>
      </c>
      <c r="DL27" s="2">
        <v>55</v>
      </c>
      <c r="DM27" s="2">
        <v>95</v>
      </c>
      <c r="DN27" s="2">
        <v>65</v>
      </c>
      <c r="DO27" s="2" t="s">
        <v>12</v>
      </c>
      <c r="DP27" s="2" t="s">
        <v>12</v>
      </c>
      <c r="DQ27" s="2">
        <v>2</v>
      </c>
      <c r="DR27" s="2">
        <v>40</v>
      </c>
      <c r="DS27" s="2">
        <v>1</v>
      </c>
      <c r="DT27" s="2" t="s">
        <v>12</v>
      </c>
      <c r="DU27" s="2">
        <v>92</v>
      </c>
      <c r="DV27" s="2">
        <v>3</v>
      </c>
      <c r="DW27" s="2">
        <v>3</v>
      </c>
      <c r="DX27" s="2">
        <v>2</v>
      </c>
      <c r="DY27" s="2">
        <v>2</v>
      </c>
      <c r="DZ27" s="2">
        <v>34</v>
      </c>
      <c r="EA27" s="2">
        <v>36</v>
      </c>
      <c r="EB27" s="2">
        <v>46</v>
      </c>
      <c r="EC27" s="2">
        <v>1</v>
      </c>
      <c r="ED27" s="2">
        <v>1</v>
      </c>
    </row>
    <row r="28" spans="2:134" x14ac:dyDescent="0.25">
      <c r="C28" s="8" t="s">
        <v>237</v>
      </c>
      <c r="D28" s="8">
        <v>122624805</v>
      </c>
      <c r="E28" s="5">
        <v>7</v>
      </c>
      <c r="F28" s="2">
        <v>2</v>
      </c>
      <c r="G28" s="2">
        <v>32</v>
      </c>
      <c r="H28" s="2">
        <v>3.8498698294258588E-2</v>
      </c>
      <c r="I28" s="2">
        <v>51</v>
      </c>
      <c r="J28" s="2">
        <v>0.58940135287155082</v>
      </c>
      <c r="K28" s="2">
        <v>3500</v>
      </c>
      <c r="L28" s="2">
        <v>0.30975760258732121</v>
      </c>
      <c r="M28" s="2">
        <v>-8.7800000000000003E-2</v>
      </c>
      <c r="N28" s="2">
        <f t="shared" si="0"/>
        <v>-8.7099349147129287E-2</v>
      </c>
      <c r="O28" s="2">
        <f t="shared" si="1"/>
        <v>-8.7800000000000003E-2</v>
      </c>
      <c r="P28" s="2">
        <v>66</v>
      </c>
      <c r="Q28" s="2">
        <v>-0.77</v>
      </c>
      <c r="R28" s="5">
        <f t="shared" si="2"/>
        <v>-0.65970067643577535</v>
      </c>
      <c r="S28" s="5">
        <f t="shared" si="3"/>
        <v>-0.77</v>
      </c>
      <c r="T28" s="2">
        <v>7500</v>
      </c>
      <c r="U28" s="2">
        <v>-0.52</v>
      </c>
      <c r="V28" s="2">
        <f t="shared" si="4"/>
        <v>-0.41987880129366062</v>
      </c>
      <c r="W28" s="2">
        <f t="shared" si="5"/>
        <v>-0.52</v>
      </c>
      <c r="X28" s="2">
        <v>-0.13569999999999999</v>
      </c>
      <c r="Y28" s="76">
        <f t="shared" si="44"/>
        <v>-0.17419869829425857</v>
      </c>
      <c r="Z28" s="76">
        <f t="shared" si="45"/>
        <v>-1</v>
      </c>
      <c r="AA28" s="2">
        <f t="shared" si="6"/>
        <v>-0.30799999999999994</v>
      </c>
      <c r="AB28" s="2">
        <f t="shared" si="7"/>
        <v>-0.13569999999999999</v>
      </c>
      <c r="AC28" s="2">
        <v>74</v>
      </c>
      <c r="AD28" s="2">
        <v>-0.73</v>
      </c>
      <c r="AE28" s="79">
        <f t="shared" si="46"/>
        <v>-1.3194013528715507</v>
      </c>
      <c r="AF28" s="79">
        <f t="shared" si="47"/>
        <v>-2</v>
      </c>
      <c r="AG28" s="2">
        <f t="shared" si="8"/>
        <v>0.52</v>
      </c>
      <c r="AH28" s="2">
        <f t="shared" si="9"/>
        <v>-0.73</v>
      </c>
      <c r="AI28" s="2">
        <v>9100</v>
      </c>
      <c r="AJ28" s="2">
        <v>-0.53</v>
      </c>
      <c r="AK28" s="76">
        <f t="shared" si="48"/>
        <v>-0.83975760258732124</v>
      </c>
      <c r="AL28" s="76">
        <f t="shared" si="49"/>
        <v>-2</v>
      </c>
      <c r="AM28" s="2">
        <f t="shared" si="10"/>
        <v>-0.14500000000000002</v>
      </c>
      <c r="AN28" s="2">
        <f t="shared" si="11"/>
        <v>-0.53</v>
      </c>
      <c r="AO28" s="2">
        <v>-1.3859999999999999</v>
      </c>
      <c r="AP28" s="2">
        <f t="shared" si="12"/>
        <v>-0.34564067547564659</v>
      </c>
      <c r="AQ28" s="2">
        <f t="shared" si="13"/>
        <v>-1.3859999999999999</v>
      </c>
      <c r="AR28" s="2">
        <v>83</v>
      </c>
      <c r="AS28" s="2">
        <v>0.27</v>
      </c>
      <c r="AT28" s="2">
        <f t="shared" si="14"/>
        <v>0.24222707270927485</v>
      </c>
      <c r="AU28" s="2">
        <f t="shared" si="15"/>
        <v>0.27</v>
      </c>
      <c r="AV28" s="2">
        <v>10000</v>
      </c>
      <c r="AW28" s="2">
        <v>-0.81</v>
      </c>
      <c r="AX28" s="2">
        <f t="shared" si="16"/>
        <v>-0.21420338178308168</v>
      </c>
      <c r="AY28" s="2">
        <f t="shared" si="17"/>
        <v>-0.81</v>
      </c>
      <c r="AZ28" s="2">
        <v>-0.82698135095129321</v>
      </c>
      <c r="BA28" s="78">
        <f t="shared" si="50"/>
        <v>-0.69128135095129317</v>
      </c>
      <c r="BB28" s="78">
        <f t="shared" si="51"/>
        <v>-2</v>
      </c>
      <c r="BC28" s="2" t="str">
        <f t="shared" si="18"/>
        <v/>
      </c>
      <c r="BD28" s="2">
        <f t="shared" si="19"/>
        <v>-0.82698135095129321</v>
      </c>
      <c r="BE28" s="67">
        <f t="shared" si="52"/>
        <v>7</v>
      </c>
      <c r="BF28" s="2">
        <v>86</v>
      </c>
      <c r="BG28" s="2">
        <v>-0.24554585458145031</v>
      </c>
      <c r="BH28" s="2" t="str">
        <f t="shared" si="20"/>
        <v/>
      </c>
      <c r="BI28" s="2">
        <f t="shared" si="21"/>
        <v>-0.24554585458145031</v>
      </c>
      <c r="BJ28" s="67">
        <f t="shared" si="22"/>
        <v>7</v>
      </c>
      <c r="BK28" s="2">
        <v>11500</v>
      </c>
      <c r="BL28" s="2">
        <v>-0.95840676356616339</v>
      </c>
      <c r="BM28" s="77">
        <f t="shared" si="53"/>
        <v>-0.42840676356616336</v>
      </c>
      <c r="BN28" s="77">
        <f t="shared" si="54"/>
        <v>-1</v>
      </c>
      <c r="BO28" s="2" t="str">
        <f t="shared" si="23"/>
        <v/>
      </c>
      <c r="BP28" s="2">
        <f t="shared" si="24"/>
        <v>-0.95840676356616339</v>
      </c>
      <c r="BQ28" s="67">
        <f t="shared" si="55"/>
        <v>7</v>
      </c>
      <c r="BS28" s="75" t="str">
        <f t="shared" si="56"/>
        <v>UF</v>
      </c>
      <c r="BT28" s="75" t="str">
        <f t="shared" si="57"/>
        <v>UF</v>
      </c>
      <c r="BU28" s="5" t="str">
        <f t="shared" si="25"/>
        <v>UF</v>
      </c>
      <c r="BV28" s="5" t="str">
        <f t="shared" si="26"/>
        <v>UF</v>
      </c>
      <c r="BW28" s="69" t="str">
        <f t="shared" si="27"/>
        <v/>
      </c>
      <c r="BX28" s="2" t="s">
        <v>12</v>
      </c>
      <c r="BZ28" s="74" t="str">
        <f t="shared" si="58"/>
        <v>UF</v>
      </c>
      <c r="CA28" s="74" t="str">
        <f t="shared" si="59"/>
        <v>UF</v>
      </c>
      <c r="CB28" s="5" t="str">
        <f t="shared" si="28"/>
        <v>UF</v>
      </c>
      <c r="CC28" s="5" t="str">
        <f t="shared" si="29"/>
        <v>UF</v>
      </c>
      <c r="CD28" s="2" t="e">
        <f t="shared" si="30"/>
        <v>#VALUE!</v>
      </c>
      <c r="CE28" s="69" t="str">
        <f t="shared" si="31"/>
        <v/>
      </c>
      <c r="CF28" s="5" t="s">
        <v>12</v>
      </c>
      <c r="CH28" s="72" t="str">
        <f t="shared" si="60"/>
        <v>UF</v>
      </c>
      <c r="CI28" s="72" t="str">
        <f t="shared" si="61"/>
        <v>UF</v>
      </c>
      <c r="CJ28" s="5" t="str">
        <f t="shared" si="32"/>
        <v>UF</v>
      </c>
      <c r="CK28" s="5" t="str">
        <f t="shared" si="33"/>
        <v>UF</v>
      </c>
      <c r="CL28" s="69" t="str">
        <f t="shared" si="34"/>
        <v/>
      </c>
      <c r="CN28" s="70" t="str">
        <f t="shared" si="35"/>
        <v/>
      </c>
      <c r="CO28" s="5" t="str">
        <f t="shared" si="36"/>
        <v>UF</v>
      </c>
      <c r="CP28" s="5" t="str">
        <f>IF(G28&lt;48,"UF", IF(NOT(ISBLANK(CM:CM)), CM:CM, IF(BW:BW=1, BV:BV+Sheet2!B424, IF(Sheet1!BW:BW=2, Sheet1!BV:BV+Sheet2!B425, IF(Sheet1!BW:BW=7, Sheet1!BV:BV+Sheet2!B426,"")))))</f>
        <v>UF</v>
      </c>
      <c r="CQ28" s="69" t="str">
        <f t="shared" si="62"/>
        <v/>
      </c>
      <c r="CR28" s="5" t="s">
        <v>12</v>
      </c>
      <c r="CT28" s="5" t="str">
        <f t="shared" si="37"/>
        <v/>
      </c>
      <c r="CU28" s="80" t="str">
        <f t="shared" si="38"/>
        <v>UF</v>
      </c>
      <c r="CV28" s="80" t="str">
        <f t="shared" si="39"/>
        <v>UF</v>
      </c>
      <c r="CW28" s="20" t="str">
        <f>IF(G28&lt;48,"UF", IF(NOT(ISBLANK(CS28)), CS28, IF(CE28=5, CC28+Sheet2!B413, IF(CE28=6, CC28+Sheet2!B414, IF(CE28=7, CC28+Sheet2!B415,"")))))</f>
        <v>UF</v>
      </c>
      <c r="CX28" s="68" t="str">
        <f t="shared" si="63"/>
        <v/>
      </c>
      <c r="CY28" s="5" t="s">
        <v>12</v>
      </c>
      <c r="DA28" s="5" t="str">
        <f t="shared" si="40"/>
        <v>UF</v>
      </c>
      <c r="DB28" s="73" t="str">
        <f t="shared" si="41"/>
        <v>UF</v>
      </c>
      <c r="DC28" s="73" t="str">
        <f t="shared" si="42"/>
        <v>UF</v>
      </c>
      <c r="DD28" s="5" t="str">
        <f>IF(G28&lt;48,"UF", IF(NOT(ISBLANK(CZ:CZ)), CZ:CZ, IF(CL:CL=3, CK:CK+Sheet2!B418, IF(CL:CL=4, CK:CK+Sheet2!B419, IF(CL:CL=7, CK:CK+Sheet2!B420,"")))))</f>
        <v>UF</v>
      </c>
      <c r="DE28" s="69" t="str">
        <f t="shared" si="43"/>
        <v/>
      </c>
      <c r="DF28" s="2">
        <v>6</v>
      </c>
      <c r="DG28" s="2">
        <v>41</v>
      </c>
      <c r="DH28" s="2">
        <v>2</v>
      </c>
      <c r="DI28" s="2">
        <v>2</v>
      </c>
      <c r="DJ28" s="2">
        <v>2</v>
      </c>
      <c r="DK28" s="2">
        <v>100</v>
      </c>
      <c r="DL28" s="2">
        <v>60</v>
      </c>
      <c r="DM28" s="2">
        <v>120</v>
      </c>
      <c r="DN28" s="2">
        <v>70</v>
      </c>
      <c r="DO28" s="2">
        <v>110</v>
      </c>
      <c r="DP28" s="2">
        <v>60</v>
      </c>
      <c r="DQ28" s="2">
        <v>2</v>
      </c>
      <c r="DR28" s="2">
        <v>40</v>
      </c>
      <c r="DS28" s="2">
        <v>1</v>
      </c>
      <c r="DT28" s="2">
        <v>79</v>
      </c>
      <c r="DU28" s="2">
        <v>79</v>
      </c>
      <c r="DV28" s="2">
        <v>2</v>
      </c>
      <c r="DW28" s="2">
        <v>2</v>
      </c>
      <c r="DX28" s="2">
        <v>2</v>
      </c>
      <c r="DY28" s="2">
        <v>1</v>
      </c>
      <c r="DZ28" s="2">
        <v>35</v>
      </c>
      <c r="EA28" s="2">
        <v>35.5</v>
      </c>
      <c r="EB28" s="2">
        <v>45.5</v>
      </c>
      <c r="EC28" s="2">
        <v>1</v>
      </c>
      <c r="ED28" s="2">
        <v>1</v>
      </c>
    </row>
    <row r="29" spans="2:134" x14ac:dyDescent="0.25">
      <c r="B29" s="2"/>
      <c r="C29" t="s">
        <v>421</v>
      </c>
      <c r="D29" s="3">
        <v>122628177</v>
      </c>
      <c r="E29" s="3">
        <v>7</v>
      </c>
      <c r="F29" s="2">
        <v>2</v>
      </c>
      <c r="G29" s="2">
        <v>35</v>
      </c>
      <c r="H29">
        <v>-0.13341879985644059</v>
      </c>
      <c r="I29" s="2">
        <v>54</v>
      </c>
      <c r="J29">
        <v>2.1740990784834611</v>
      </c>
      <c r="K29" s="2">
        <v>3860</v>
      </c>
      <c r="L29" s="2">
        <v>1.002576318523247</v>
      </c>
      <c r="M29" s="2">
        <v>2.2225166573143409</v>
      </c>
      <c r="N29" s="2" t="str">
        <f t="shared" si="0"/>
        <v/>
      </c>
      <c r="O29" s="2">
        <f t="shared" si="1"/>
        <v>2.2225166573143409</v>
      </c>
      <c r="P29" s="2">
        <v>66</v>
      </c>
      <c r="Q29" s="2">
        <v>-1.0990844501356909</v>
      </c>
      <c r="R29" s="5" t="str">
        <f t="shared" si="2"/>
        <v/>
      </c>
      <c r="S29" s="5">
        <f t="shared" si="3"/>
        <v>-1.0990844501356909</v>
      </c>
      <c r="T29" s="2">
        <v>9100</v>
      </c>
      <c r="U29" s="2">
        <v>1.0592594695198549</v>
      </c>
      <c r="V29" s="2" t="str">
        <f t="shared" si="4"/>
        <v/>
      </c>
      <c r="W29" s="2">
        <f t="shared" si="5"/>
        <v>1.0592594695198549</v>
      </c>
      <c r="Y29" s="76">
        <f t="shared" si="44"/>
        <v>3.3269458042489788</v>
      </c>
      <c r="Z29" s="76">
        <f t="shared" si="45"/>
        <v>2</v>
      </c>
      <c r="AA29" s="2">
        <f t="shared" si="6"/>
        <v>0.97101034707819767</v>
      </c>
      <c r="AB29" s="2">
        <f t="shared" si="7"/>
        <v>3.1935270043925383</v>
      </c>
      <c r="AC29" s="2" t="s">
        <v>12</v>
      </c>
      <c r="AE29" s="79">
        <f t="shared" si="46"/>
        <v>-3.0390335851272487</v>
      </c>
      <c r="AF29" s="79">
        <f t="shared" si="47"/>
        <v>-2</v>
      </c>
      <c r="AG29" s="2">
        <f t="shared" si="8"/>
        <v>0.23414994349190321</v>
      </c>
      <c r="AH29" s="2">
        <f t="shared" si="9"/>
        <v>-0.86493450664378768</v>
      </c>
      <c r="AI29" s="2" t="s">
        <v>12</v>
      </c>
      <c r="AK29" s="76">
        <f t="shared" si="48"/>
        <v>-0.36583316334815286</v>
      </c>
      <c r="AL29" s="76">
        <f t="shared" si="49"/>
        <v>-1</v>
      </c>
      <c r="AM29" s="2">
        <f t="shared" si="10"/>
        <v>-0.42251631434476083</v>
      </c>
      <c r="AN29" s="2">
        <f t="shared" si="11"/>
        <v>0.63674315517509417</v>
      </c>
      <c r="AO29" s="2">
        <v>0.84293624402070433</v>
      </c>
      <c r="AP29" s="2">
        <f t="shared" si="12"/>
        <v>-1.430572294999523</v>
      </c>
      <c r="AQ29" s="2">
        <f t="shared" si="13"/>
        <v>0.84293624402070433</v>
      </c>
      <c r="AR29" s="2">
        <v>81</v>
      </c>
      <c r="AS29" s="2">
        <v>-0.63078456315188447</v>
      </c>
      <c r="AT29" s="2">
        <f t="shared" si="14"/>
        <v>2.4743517397670667E-2</v>
      </c>
      <c r="AU29" s="2">
        <f t="shared" si="15"/>
        <v>-0.63078456315188447</v>
      </c>
      <c r="AV29" s="2">
        <v>11300</v>
      </c>
      <c r="AW29" s="2">
        <v>0.2142268408303333</v>
      </c>
      <c r="AX29" s="2">
        <f t="shared" si="16"/>
        <v>-0.59735049589668554</v>
      </c>
      <c r="AY29" s="2">
        <f t="shared" si="17"/>
        <v>0.2142268408303333</v>
      </c>
      <c r="AZ29" s="2">
        <v>0.33238241439349248</v>
      </c>
      <c r="BA29" s="78">
        <f t="shared" si="50"/>
        <v>-2.861144589999046</v>
      </c>
      <c r="BB29" s="78">
        <f t="shared" si="51"/>
        <v>-2</v>
      </c>
      <c r="BC29" s="2" t="str">
        <f t="shared" si="18"/>
        <v/>
      </c>
      <c r="BD29" s="2">
        <f t="shared" si="19"/>
        <v>0.33238241439349248</v>
      </c>
      <c r="BE29" s="67">
        <f t="shared" si="52"/>
        <v>7</v>
      </c>
      <c r="BF29" s="2">
        <v>84</v>
      </c>
      <c r="BG29" s="2">
        <v>-0.81544747184844635</v>
      </c>
      <c r="BH29" s="2" t="str">
        <f t="shared" si="20"/>
        <v/>
      </c>
      <c r="BI29" s="2">
        <f t="shared" si="21"/>
        <v>-0.81544747184844635</v>
      </c>
      <c r="BJ29" s="67">
        <f t="shared" si="22"/>
        <v>7</v>
      </c>
      <c r="BK29" s="2">
        <v>12000</v>
      </c>
      <c r="BL29" s="2">
        <v>-0.5579578366182768</v>
      </c>
      <c r="BM29" s="77">
        <f t="shared" si="53"/>
        <v>-1.1947009917933711</v>
      </c>
      <c r="BN29" s="77">
        <f t="shared" si="54"/>
        <v>-2</v>
      </c>
      <c r="BO29" s="2" t="str">
        <f t="shared" si="23"/>
        <v/>
      </c>
      <c r="BP29" s="2">
        <f t="shared" si="24"/>
        <v>-0.5579578366182768</v>
      </c>
      <c r="BQ29" s="67">
        <f t="shared" si="55"/>
        <v>7</v>
      </c>
      <c r="BR29" s="2"/>
      <c r="BS29" s="75" t="str">
        <f t="shared" si="56"/>
        <v>UF</v>
      </c>
      <c r="BT29" s="75" t="str">
        <f t="shared" si="57"/>
        <v>UF</v>
      </c>
      <c r="BU29" s="5" t="str">
        <f t="shared" si="25"/>
        <v>UF</v>
      </c>
      <c r="BV29" s="5" t="str">
        <f t="shared" si="26"/>
        <v>UF</v>
      </c>
      <c r="BW29" s="69" t="str">
        <f t="shared" si="27"/>
        <v/>
      </c>
      <c r="BX29" s="2" t="s">
        <v>12</v>
      </c>
      <c r="BY29" s="2"/>
      <c r="BZ29" s="74" t="str">
        <f t="shared" si="58"/>
        <v>UF</v>
      </c>
      <c r="CA29" s="74" t="str">
        <f t="shared" si="59"/>
        <v>UF</v>
      </c>
      <c r="CB29" s="5" t="str">
        <f t="shared" si="28"/>
        <v>UF</v>
      </c>
      <c r="CC29" s="5" t="str">
        <f t="shared" si="29"/>
        <v>UF</v>
      </c>
      <c r="CD29" s="2" t="e">
        <f t="shared" si="30"/>
        <v>#VALUE!</v>
      </c>
      <c r="CE29" s="69" t="str">
        <f t="shared" si="31"/>
        <v/>
      </c>
      <c r="CF29" s="5" t="s">
        <v>12</v>
      </c>
      <c r="CG29" s="2"/>
      <c r="CH29" s="72" t="str">
        <f t="shared" si="60"/>
        <v>UF</v>
      </c>
      <c r="CI29" s="72" t="str">
        <f t="shared" si="61"/>
        <v>UF</v>
      </c>
      <c r="CJ29" s="5" t="str">
        <f t="shared" si="32"/>
        <v>UF</v>
      </c>
      <c r="CK29" s="5" t="str">
        <f t="shared" si="33"/>
        <v>UF</v>
      </c>
      <c r="CL29" s="69" t="str">
        <f t="shared" si="34"/>
        <v/>
      </c>
      <c r="CM29" s="2"/>
      <c r="CN29" s="70" t="str">
        <f t="shared" si="35"/>
        <v/>
      </c>
      <c r="CO29" s="5" t="str">
        <f t="shared" si="36"/>
        <v>UF</v>
      </c>
      <c r="CP29" s="5" t="str">
        <f>IF(G29&lt;48,"UF", IF(NOT(ISBLANK(CM:CM)), CM:CM, IF(BW:BW=1, BV:BV+Sheet2!B641, IF(Sheet1!BW:BW=2, Sheet1!BV:BV+Sheet2!B642, IF(Sheet1!BW:BW=7, Sheet1!BV:BV+Sheet2!B643,"")))))</f>
        <v>UF</v>
      </c>
      <c r="CQ29" s="69" t="str">
        <f t="shared" si="62"/>
        <v/>
      </c>
      <c r="CR29" s="5" t="s">
        <v>12</v>
      </c>
      <c r="CS29" s="2"/>
      <c r="CT29" s="5" t="str">
        <f t="shared" si="37"/>
        <v/>
      </c>
      <c r="CU29" s="80" t="str">
        <f t="shared" si="38"/>
        <v>UF</v>
      </c>
      <c r="CV29" s="80" t="str">
        <f t="shared" si="39"/>
        <v>UF</v>
      </c>
      <c r="CW29" s="20" t="str">
        <f>IF(G29&lt;48,"UF", IF(NOT(ISBLANK(CS29)), CS29, IF(CE29=5, CC29+Sheet2!B630, IF(CE29=6, CC29+Sheet2!B631, IF(CE29=7, CC29+Sheet2!B632,"")))))</f>
        <v>UF</v>
      </c>
      <c r="CX29" s="68" t="str">
        <f t="shared" si="63"/>
        <v/>
      </c>
      <c r="CY29" s="5" t="s">
        <v>12</v>
      </c>
      <c r="DA29" s="5" t="str">
        <f t="shared" si="40"/>
        <v>UF</v>
      </c>
      <c r="DB29" s="73" t="str">
        <f t="shared" si="41"/>
        <v>UF</v>
      </c>
      <c r="DC29" s="73" t="str">
        <f t="shared" si="42"/>
        <v>UF</v>
      </c>
      <c r="DD29" s="5" t="str">
        <f>IF(G29&lt;48,"UF", IF(NOT(ISBLANK(CZ:CZ)), CZ:CZ, IF(CL:CL=3, CK:CK+Sheet2!B635, IF(CL:CL=4, CK:CK+Sheet2!B636, IF(CL:CL=7, CK:CK+Sheet2!B637,"")))))</f>
        <v>UF</v>
      </c>
      <c r="DE29" s="69" t="str">
        <f t="shared" si="43"/>
        <v/>
      </c>
      <c r="DF29" s="2">
        <v>2</v>
      </c>
      <c r="DG29" s="2">
        <v>29</v>
      </c>
      <c r="DH29" s="2">
        <v>2</v>
      </c>
      <c r="DI29" s="2">
        <v>2</v>
      </c>
      <c r="DJ29" s="2">
        <v>2</v>
      </c>
      <c r="DK29" s="2">
        <v>110</v>
      </c>
      <c r="DL29" s="2">
        <v>70</v>
      </c>
      <c r="DM29" s="2" t="s">
        <v>12</v>
      </c>
      <c r="DN29" s="2" t="s">
        <v>12</v>
      </c>
      <c r="DO29" s="2">
        <v>125</v>
      </c>
      <c r="DP29" s="2">
        <v>70</v>
      </c>
      <c r="DQ29" s="2">
        <v>2</v>
      </c>
      <c r="DR29" s="2">
        <v>40</v>
      </c>
      <c r="DS29" s="2">
        <v>2</v>
      </c>
      <c r="DT29" s="2">
        <v>81</v>
      </c>
      <c r="DU29" s="2">
        <v>78</v>
      </c>
      <c r="DV29" s="2">
        <v>2</v>
      </c>
      <c r="DW29" s="2">
        <v>2</v>
      </c>
      <c r="DX29" s="2">
        <v>2</v>
      </c>
      <c r="DY29" s="2">
        <v>3</v>
      </c>
      <c r="DZ29" s="2">
        <v>37</v>
      </c>
      <c r="EA29" s="2">
        <v>37.5</v>
      </c>
      <c r="EB29" s="2" t="s">
        <v>12</v>
      </c>
      <c r="EC29" s="2">
        <v>1</v>
      </c>
      <c r="ED29" s="2" t="s">
        <v>12</v>
      </c>
    </row>
    <row r="30" spans="2:134" x14ac:dyDescent="0.25">
      <c r="C30" s="8" t="s">
        <v>42</v>
      </c>
      <c r="D30" s="4">
        <v>122629322</v>
      </c>
      <c r="E30" s="5">
        <v>7</v>
      </c>
      <c r="F30" s="2">
        <v>1</v>
      </c>
      <c r="G30" s="2">
        <v>31</v>
      </c>
      <c r="H30" s="2">
        <v>-1.7561058207983939</v>
      </c>
      <c r="I30" s="2">
        <v>51</v>
      </c>
      <c r="J30" s="2">
        <v>0.99441714029262385</v>
      </c>
      <c r="K30" s="1">
        <v>2950</v>
      </c>
      <c r="L30" s="2">
        <v>-0.63359365535275136</v>
      </c>
      <c r="N30" s="2" t="str">
        <f t="shared" si="0"/>
        <v/>
      </c>
      <c r="O30" s="2" t="e">
        <f t="shared" si="1"/>
        <v>#VALUE!</v>
      </c>
      <c r="P30" s="2" t="s">
        <v>12</v>
      </c>
      <c r="R30" s="5" t="str">
        <f t="shared" si="2"/>
        <v/>
      </c>
      <c r="S30" s="5" t="e">
        <f t="shared" si="3"/>
        <v>#VALUE!</v>
      </c>
      <c r="T30" s="2" t="s">
        <v>12</v>
      </c>
      <c r="V30" s="2" t="str">
        <f t="shared" si="4"/>
        <v/>
      </c>
      <c r="W30" s="2" t="e">
        <f t="shared" si="5"/>
        <v>#VALUE!</v>
      </c>
      <c r="Y30" s="76" t="e">
        <f t="shared" si="44"/>
        <v>#VALUE!</v>
      </c>
      <c r="Z30" s="76" t="e">
        <f t="shared" si="45"/>
        <v>#VALUE!</v>
      </c>
      <c r="AA30" s="2" t="str">
        <f t="shared" si="6"/>
        <v/>
      </c>
      <c r="AB30" s="2" t="e">
        <f t="shared" si="7"/>
        <v>#VALUE!</v>
      </c>
      <c r="AC30" s="2" t="s">
        <v>12</v>
      </c>
      <c r="AE30" s="79" t="e">
        <f t="shared" si="46"/>
        <v>#VALUE!</v>
      </c>
      <c r="AF30" s="79" t="e">
        <f t="shared" si="47"/>
        <v>#VALUE!</v>
      </c>
      <c r="AG30" s="2" t="str">
        <f t="shared" si="8"/>
        <v/>
      </c>
      <c r="AH30" s="2" t="e">
        <f t="shared" si="9"/>
        <v>#VALUE!</v>
      </c>
      <c r="AI30" s="2" t="s">
        <v>12</v>
      </c>
      <c r="AK30" s="76" t="e">
        <f t="shared" si="48"/>
        <v>#VALUE!</v>
      </c>
      <c r="AL30" s="76" t="e">
        <f t="shared" si="49"/>
        <v>#VALUE!</v>
      </c>
      <c r="AM30" s="2" t="str">
        <f t="shared" si="10"/>
        <v/>
      </c>
      <c r="AN30" s="2" t="e">
        <f t="shared" si="11"/>
        <v>#VALUE!</v>
      </c>
      <c r="AP30" s="2" t="str">
        <f t="shared" si="12"/>
        <v/>
      </c>
      <c r="AQ30" s="2" t="e">
        <f t="shared" si="13"/>
        <v>#VALUE!</v>
      </c>
      <c r="AR30" s="2" t="s">
        <v>12</v>
      </c>
      <c r="AT30" s="2" t="str">
        <f t="shared" si="14"/>
        <v/>
      </c>
      <c r="AU30" s="2" t="e">
        <f t="shared" si="15"/>
        <v>#VALUE!</v>
      </c>
      <c r="AV30" s="2" t="s">
        <v>12</v>
      </c>
      <c r="AX30" s="2" t="str">
        <f t="shared" si="16"/>
        <v/>
      </c>
      <c r="AY30" s="2" t="e">
        <f t="shared" si="17"/>
        <v>#VALUE!</v>
      </c>
      <c r="BA30" s="78" t="e">
        <f t="shared" si="50"/>
        <v>#VALUE!</v>
      </c>
      <c r="BB30" s="78" t="e">
        <f t="shared" si="51"/>
        <v>#VALUE!</v>
      </c>
      <c r="BC30" s="2" t="str">
        <f t="shared" si="18"/>
        <v/>
      </c>
      <c r="BD30" s="2" t="e">
        <f t="shared" si="19"/>
        <v>#VALUE!</v>
      </c>
      <c r="BE30" s="67" t="e">
        <f t="shared" si="52"/>
        <v>#VALUE!</v>
      </c>
      <c r="BF30" s="2" t="s">
        <v>12</v>
      </c>
      <c r="BH30" s="2" t="str">
        <f t="shared" si="20"/>
        <v/>
      </c>
      <c r="BI30" s="2" t="e">
        <f t="shared" si="21"/>
        <v>#VALUE!</v>
      </c>
      <c r="BJ30" s="67" t="e">
        <f t="shared" si="22"/>
        <v>#VALUE!</v>
      </c>
      <c r="BK30" s="2" t="s">
        <v>12</v>
      </c>
      <c r="BM30" s="77" t="e">
        <f t="shared" si="53"/>
        <v>#VALUE!</v>
      </c>
      <c r="BN30" s="77" t="e">
        <f t="shared" si="54"/>
        <v>#VALUE!</v>
      </c>
      <c r="BO30" s="2" t="str">
        <f t="shared" si="23"/>
        <v/>
      </c>
      <c r="BP30" s="2" t="e">
        <f t="shared" si="24"/>
        <v>#VALUE!</v>
      </c>
      <c r="BQ30" s="67" t="e">
        <f t="shared" si="55"/>
        <v>#VALUE!</v>
      </c>
      <c r="BS30" s="75" t="str">
        <f t="shared" si="56"/>
        <v>UF</v>
      </c>
      <c r="BT30" s="75" t="str">
        <f t="shared" si="57"/>
        <v>UF</v>
      </c>
      <c r="BU30" s="5" t="str">
        <f t="shared" si="25"/>
        <v>UF</v>
      </c>
      <c r="BV30" s="5" t="str">
        <f t="shared" si="26"/>
        <v>UF</v>
      </c>
      <c r="BW30" s="69" t="str">
        <f t="shared" si="27"/>
        <v/>
      </c>
      <c r="BX30" s="2" t="s">
        <v>12</v>
      </c>
      <c r="BZ30" s="74" t="str">
        <f t="shared" si="58"/>
        <v>UF</v>
      </c>
      <c r="CA30" s="74" t="str">
        <f t="shared" si="59"/>
        <v>UF</v>
      </c>
      <c r="CB30" s="5" t="str">
        <f t="shared" si="28"/>
        <v>UF</v>
      </c>
      <c r="CC30" s="5" t="str">
        <f t="shared" si="29"/>
        <v>UF</v>
      </c>
      <c r="CD30" s="2" t="e">
        <f t="shared" si="30"/>
        <v>#VALUE!</v>
      </c>
      <c r="CE30" s="69" t="str">
        <f t="shared" si="31"/>
        <v/>
      </c>
      <c r="CF30" s="5" t="s">
        <v>12</v>
      </c>
      <c r="CH30" s="72" t="str">
        <f t="shared" si="60"/>
        <v>UF</v>
      </c>
      <c r="CI30" s="72" t="str">
        <f t="shared" si="61"/>
        <v>UF</v>
      </c>
      <c r="CJ30" s="5" t="str">
        <f t="shared" si="32"/>
        <v>UF</v>
      </c>
      <c r="CK30" s="5" t="str">
        <f t="shared" si="33"/>
        <v>UF</v>
      </c>
      <c r="CL30" s="69" t="str">
        <f t="shared" si="34"/>
        <v/>
      </c>
      <c r="CN30" s="70" t="str">
        <f t="shared" si="35"/>
        <v/>
      </c>
      <c r="CO30" s="5" t="str">
        <f t="shared" si="36"/>
        <v>UF</v>
      </c>
      <c r="CP30" s="5" t="str">
        <f>IF(G30&lt;48,"UF", IF(NOT(ISBLANK(CM:CM)), CM:CM, IF(BW:BW=1, BV:BV+Sheet2!B385, IF(Sheet1!BW:BW=2, Sheet1!BV:BV+Sheet2!B386, IF(Sheet1!BW:BW=7, Sheet1!BV:BV+Sheet2!B387,"")))))</f>
        <v>UF</v>
      </c>
      <c r="CQ30" s="69" t="str">
        <f t="shared" si="62"/>
        <v/>
      </c>
      <c r="CR30" s="5" t="s">
        <v>12</v>
      </c>
      <c r="CT30" s="5" t="str">
        <f t="shared" si="37"/>
        <v/>
      </c>
      <c r="CU30" s="80" t="str">
        <f t="shared" si="38"/>
        <v>UF</v>
      </c>
      <c r="CV30" s="80" t="str">
        <f t="shared" si="39"/>
        <v>UF</v>
      </c>
      <c r="CW30" s="20" t="str">
        <f>IF(G30&lt;48,"UF", IF(NOT(ISBLANK(CS30)), CS30, IF(CE30=5, CC30+Sheet2!B374, IF(CE30=6, CC30+Sheet2!B375, IF(CE30=7, CC30+Sheet2!B376,"")))))</f>
        <v>UF</v>
      </c>
      <c r="CX30" s="68" t="str">
        <f t="shared" si="63"/>
        <v/>
      </c>
      <c r="CY30" s="5" t="s">
        <v>12</v>
      </c>
      <c r="DA30" s="5" t="str">
        <f t="shared" si="40"/>
        <v>UF</v>
      </c>
      <c r="DB30" s="73" t="str">
        <f t="shared" si="41"/>
        <v>UF</v>
      </c>
      <c r="DC30" s="73" t="str">
        <f t="shared" si="42"/>
        <v>UF</v>
      </c>
      <c r="DD30" s="5" t="str">
        <f>IF(G30&lt;48,"UF", IF(NOT(ISBLANK(CZ:CZ)), CZ:CZ, IF(CL:CL=3, CK:CK+Sheet2!B379, IF(CL:CL=4, CK:CK+Sheet2!B380, IF(CL:CL=7, CK:CK+Sheet2!B381,"")))))</f>
        <v>UF</v>
      </c>
      <c r="DE30" s="69" t="str">
        <f t="shared" si="43"/>
        <v/>
      </c>
      <c r="DF30" s="2">
        <v>1</v>
      </c>
      <c r="DG30" s="2">
        <v>23</v>
      </c>
      <c r="DH30" s="2">
        <v>2</v>
      </c>
      <c r="DI30" s="2">
        <v>1</v>
      </c>
      <c r="DJ30" s="2">
        <v>2</v>
      </c>
      <c r="DK30" s="2">
        <v>100</v>
      </c>
      <c r="DL30" s="2">
        <v>60</v>
      </c>
      <c r="DM30" s="2" t="s">
        <v>12</v>
      </c>
      <c r="DN30" s="2" t="s">
        <v>12</v>
      </c>
      <c r="DO30" s="2">
        <v>87</v>
      </c>
      <c r="DP30" s="2">
        <v>55</v>
      </c>
      <c r="DQ30" s="2">
        <v>2</v>
      </c>
      <c r="DR30" s="2">
        <v>39</v>
      </c>
      <c r="DS30" s="2">
        <v>2</v>
      </c>
      <c r="DT30" s="2">
        <v>78</v>
      </c>
      <c r="DU30" s="2">
        <v>78</v>
      </c>
      <c r="DV30" s="2">
        <v>3</v>
      </c>
      <c r="DW30" s="2">
        <v>3</v>
      </c>
      <c r="DX30" s="2">
        <v>3</v>
      </c>
      <c r="DY30" s="2">
        <v>2</v>
      </c>
      <c r="DZ30" s="2">
        <v>32.5</v>
      </c>
      <c r="EA30" s="2" t="s">
        <v>12</v>
      </c>
      <c r="EB30" s="2" t="s">
        <v>12</v>
      </c>
      <c r="EC30" s="2" t="s">
        <v>12</v>
      </c>
      <c r="ED30" s="2" t="s">
        <v>12</v>
      </c>
    </row>
    <row r="31" spans="2:134" x14ac:dyDescent="0.25">
      <c r="C31" s="8" t="s">
        <v>229</v>
      </c>
      <c r="D31" s="53">
        <v>122630564</v>
      </c>
      <c r="E31" s="5">
        <v>7</v>
      </c>
      <c r="F31" s="2">
        <v>2</v>
      </c>
      <c r="G31" s="2">
        <v>31</v>
      </c>
      <c r="H31" s="2">
        <v>-0.77772426883292234</v>
      </c>
      <c r="I31" s="2">
        <v>48</v>
      </c>
      <c r="J31" s="2">
        <v>-0.99529637274036198</v>
      </c>
      <c r="K31" s="2">
        <v>2870</v>
      </c>
      <c r="L31" s="2">
        <v>-1.024062172231414</v>
      </c>
      <c r="N31" s="2" t="str">
        <f t="shared" si="0"/>
        <v/>
      </c>
      <c r="O31" s="2" t="e">
        <f t="shared" si="1"/>
        <v>#VALUE!</v>
      </c>
      <c r="P31" s="2" t="s">
        <v>12</v>
      </c>
      <c r="R31" s="5" t="str">
        <f t="shared" si="2"/>
        <v/>
      </c>
      <c r="S31" s="5" t="e">
        <f t="shared" si="3"/>
        <v>#VALUE!</v>
      </c>
      <c r="T31" s="2" t="s">
        <v>12</v>
      </c>
      <c r="V31" s="2" t="str">
        <f t="shared" si="4"/>
        <v/>
      </c>
      <c r="W31" s="2" t="e">
        <f t="shared" si="5"/>
        <v>#VALUE!</v>
      </c>
      <c r="Y31" s="76" t="e">
        <f t="shared" si="44"/>
        <v>#VALUE!</v>
      </c>
      <c r="Z31" s="76" t="e">
        <f t="shared" si="45"/>
        <v>#VALUE!</v>
      </c>
      <c r="AA31" s="2" t="str">
        <f t="shared" si="6"/>
        <v/>
      </c>
      <c r="AB31" s="2" t="e">
        <f t="shared" si="7"/>
        <v>#VALUE!</v>
      </c>
      <c r="AC31" s="2" t="s">
        <v>12</v>
      </c>
      <c r="AE31" s="79" t="e">
        <f t="shared" si="46"/>
        <v>#VALUE!</v>
      </c>
      <c r="AF31" s="79" t="e">
        <f t="shared" si="47"/>
        <v>#VALUE!</v>
      </c>
      <c r="AG31" s="2" t="str">
        <f t="shared" si="8"/>
        <v/>
      </c>
      <c r="AH31" s="2" t="e">
        <f t="shared" si="9"/>
        <v>#VALUE!</v>
      </c>
      <c r="AI31" s="2" t="s">
        <v>12</v>
      </c>
      <c r="AK31" s="76" t="e">
        <f t="shared" si="48"/>
        <v>#VALUE!</v>
      </c>
      <c r="AL31" s="76" t="e">
        <f t="shared" si="49"/>
        <v>#VALUE!</v>
      </c>
      <c r="AM31" s="2" t="str">
        <f t="shared" si="10"/>
        <v/>
      </c>
      <c r="AN31" s="2" t="e">
        <f t="shared" si="11"/>
        <v>#VALUE!</v>
      </c>
      <c r="AP31" s="2" t="str">
        <f t="shared" si="12"/>
        <v/>
      </c>
      <c r="AQ31" s="2" t="e">
        <f t="shared" si="13"/>
        <v>#VALUE!</v>
      </c>
      <c r="AR31" s="2" t="s">
        <v>12</v>
      </c>
      <c r="AT31" s="2" t="str">
        <f t="shared" si="14"/>
        <v/>
      </c>
      <c r="AU31" s="2" t="e">
        <f t="shared" si="15"/>
        <v>#VALUE!</v>
      </c>
      <c r="AV31" s="2" t="s">
        <v>12</v>
      </c>
      <c r="AX31" s="2" t="str">
        <f t="shared" si="16"/>
        <v/>
      </c>
      <c r="AY31" s="2" t="e">
        <f t="shared" si="17"/>
        <v>#VALUE!</v>
      </c>
      <c r="BA31" s="78" t="e">
        <f t="shared" si="50"/>
        <v>#VALUE!</v>
      </c>
      <c r="BB31" s="78" t="e">
        <f t="shared" si="51"/>
        <v>#VALUE!</v>
      </c>
      <c r="BC31" s="2" t="str">
        <f t="shared" si="18"/>
        <v/>
      </c>
      <c r="BD31" s="2" t="e">
        <f t="shared" si="19"/>
        <v>#VALUE!</v>
      </c>
      <c r="BE31" s="67" t="e">
        <f t="shared" si="52"/>
        <v>#VALUE!</v>
      </c>
      <c r="BF31" s="2" t="s">
        <v>12</v>
      </c>
      <c r="BH31" s="2" t="str">
        <f t="shared" si="20"/>
        <v/>
      </c>
      <c r="BI31" s="2" t="e">
        <f t="shared" si="21"/>
        <v>#VALUE!</v>
      </c>
      <c r="BJ31" s="67" t="e">
        <f t="shared" si="22"/>
        <v>#VALUE!</v>
      </c>
      <c r="BK31" s="2" t="s">
        <v>12</v>
      </c>
      <c r="BM31" s="77" t="e">
        <f t="shared" si="53"/>
        <v>#VALUE!</v>
      </c>
      <c r="BN31" s="77" t="e">
        <f t="shared" si="54"/>
        <v>#VALUE!</v>
      </c>
      <c r="BO31" s="2" t="str">
        <f t="shared" si="23"/>
        <v/>
      </c>
      <c r="BP31" s="2" t="e">
        <f t="shared" si="24"/>
        <v>#VALUE!</v>
      </c>
      <c r="BQ31" s="67" t="e">
        <f t="shared" si="55"/>
        <v>#VALUE!</v>
      </c>
      <c r="BS31" s="75" t="str">
        <f t="shared" si="56"/>
        <v>UF</v>
      </c>
      <c r="BT31" s="75" t="str">
        <f t="shared" si="57"/>
        <v>UF</v>
      </c>
      <c r="BU31" s="5" t="str">
        <f t="shared" si="25"/>
        <v>UF</v>
      </c>
      <c r="BV31" s="5" t="str">
        <f t="shared" si="26"/>
        <v>UF</v>
      </c>
      <c r="BW31" s="69" t="str">
        <f t="shared" si="27"/>
        <v/>
      </c>
      <c r="BX31" s="2" t="s">
        <v>12</v>
      </c>
      <c r="BZ31" s="74" t="str">
        <f t="shared" si="58"/>
        <v>UF</v>
      </c>
      <c r="CA31" s="74" t="str">
        <f t="shared" si="59"/>
        <v>UF</v>
      </c>
      <c r="CB31" s="5" t="str">
        <f t="shared" si="28"/>
        <v>UF</v>
      </c>
      <c r="CC31" s="5" t="str">
        <f t="shared" si="29"/>
        <v>UF</v>
      </c>
      <c r="CD31" s="2" t="e">
        <f t="shared" si="30"/>
        <v>#VALUE!</v>
      </c>
      <c r="CE31" s="69" t="str">
        <f t="shared" si="31"/>
        <v/>
      </c>
      <c r="CF31" s="5" t="s">
        <v>12</v>
      </c>
      <c r="CH31" s="72" t="str">
        <f t="shared" si="60"/>
        <v>UF</v>
      </c>
      <c r="CI31" s="72" t="str">
        <f t="shared" si="61"/>
        <v>UF</v>
      </c>
      <c r="CJ31" s="5" t="str">
        <f t="shared" si="32"/>
        <v>UF</v>
      </c>
      <c r="CK31" s="5" t="str">
        <f t="shared" si="33"/>
        <v>UF</v>
      </c>
      <c r="CL31" s="69" t="str">
        <f t="shared" si="34"/>
        <v/>
      </c>
      <c r="CN31" s="70" t="str">
        <f t="shared" si="35"/>
        <v/>
      </c>
      <c r="CO31" s="5" t="str">
        <f t="shared" si="36"/>
        <v>UF</v>
      </c>
      <c r="CP31" s="5" t="str">
        <f>IF(G31&lt;48,"UF", IF(NOT(ISBLANK(CM:CM)), CM:CM, IF(BW:BW=1, BV:BV+Sheet2!B413, IF(Sheet1!BW:BW=2, Sheet1!BV:BV+Sheet2!B414, IF(Sheet1!BW:BW=7, Sheet1!BV:BV+Sheet2!B415,"")))))</f>
        <v>UF</v>
      </c>
      <c r="CQ31" s="69" t="str">
        <f t="shared" si="62"/>
        <v/>
      </c>
      <c r="CR31" s="5" t="s">
        <v>12</v>
      </c>
      <c r="CT31" s="5" t="str">
        <f t="shared" si="37"/>
        <v/>
      </c>
      <c r="CU31" s="80" t="str">
        <f t="shared" si="38"/>
        <v>UF</v>
      </c>
      <c r="CV31" s="80" t="str">
        <f t="shared" si="39"/>
        <v>UF</v>
      </c>
      <c r="CW31" s="20" t="str">
        <f>IF(G31&lt;48,"UF", IF(NOT(ISBLANK(CS31)), CS31, IF(CE31=5, CC31+Sheet2!B402, IF(CE31=6, CC31+Sheet2!B403, IF(CE31=7, CC31+Sheet2!B404,"")))))</f>
        <v>UF</v>
      </c>
      <c r="CX31" s="68" t="str">
        <f t="shared" si="63"/>
        <v/>
      </c>
      <c r="CY31" s="5" t="s">
        <v>12</v>
      </c>
      <c r="DA31" s="5" t="str">
        <f t="shared" si="40"/>
        <v>UF</v>
      </c>
      <c r="DB31" s="73" t="str">
        <f t="shared" si="41"/>
        <v>UF</v>
      </c>
      <c r="DC31" s="73" t="str">
        <f t="shared" si="42"/>
        <v>UF</v>
      </c>
      <c r="DD31" s="5" t="str">
        <f>IF(G31&lt;48,"UF", IF(NOT(ISBLANK(CZ:CZ)), CZ:CZ, IF(CL:CL=3, CK:CK+Sheet2!B407, IF(CL:CL=4, CK:CK+Sheet2!B408, IF(CL:CL=7, CK:CK+Sheet2!B409,"")))))</f>
        <v>UF</v>
      </c>
      <c r="DE31" s="69" t="str">
        <f t="shared" si="43"/>
        <v/>
      </c>
      <c r="DF31" s="2">
        <v>6</v>
      </c>
      <c r="DG31" s="2">
        <v>36</v>
      </c>
      <c r="DH31" s="2">
        <v>2</v>
      </c>
      <c r="DI31" s="2">
        <v>2</v>
      </c>
      <c r="DJ31" s="2">
        <v>2</v>
      </c>
      <c r="DK31" s="2" t="s">
        <v>12</v>
      </c>
      <c r="DL31" s="2" t="s">
        <v>12</v>
      </c>
      <c r="DM31" s="2" t="s">
        <v>12</v>
      </c>
      <c r="DN31" s="2" t="s">
        <v>12</v>
      </c>
      <c r="DO31" s="2">
        <v>114</v>
      </c>
      <c r="DP31" s="2">
        <v>71</v>
      </c>
      <c r="DQ31" s="2">
        <v>2</v>
      </c>
      <c r="DR31" s="2">
        <v>39</v>
      </c>
      <c r="DS31" s="2">
        <v>2</v>
      </c>
      <c r="DT31" s="2" t="s">
        <v>12</v>
      </c>
      <c r="DU31" s="2">
        <v>90</v>
      </c>
      <c r="DV31" s="2">
        <v>2</v>
      </c>
      <c r="DW31" s="2">
        <v>2</v>
      </c>
      <c r="DX31" s="2">
        <v>2</v>
      </c>
      <c r="DY31" s="2">
        <v>2</v>
      </c>
      <c r="DZ31" s="2">
        <v>34</v>
      </c>
      <c r="EA31" s="2" t="s">
        <v>12</v>
      </c>
      <c r="EB31" s="2" t="s">
        <v>12</v>
      </c>
      <c r="EC31" s="2" t="s">
        <v>12</v>
      </c>
      <c r="ED31" s="2" t="s">
        <v>12</v>
      </c>
    </row>
    <row r="32" spans="2:134" x14ac:dyDescent="0.25">
      <c r="C32" s="8" t="s">
        <v>228</v>
      </c>
      <c r="D32" s="4">
        <v>122633123</v>
      </c>
      <c r="E32" s="5">
        <v>7</v>
      </c>
      <c r="F32" s="2">
        <v>1</v>
      </c>
      <c r="G32" s="2">
        <v>30</v>
      </c>
      <c r="H32" s="2">
        <v>0.52300852935087727</v>
      </c>
      <c r="I32" s="2">
        <v>50</v>
      </c>
      <c r="J32" s="2">
        <v>0.45756143734440202</v>
      </c>
      <c r="K32" s="2">
        <v>3500</v>
      </c>
      <c r="L32" s="2">
        <v>0.57031252552855893</v>
      </c>
      <c r="M32" s="2">
        <v>1.1476</v>
      </c>
      <c r="N32" s="2">
        <f t="shared" si="0"/>
        <v>-8.1004264675438642E-2</v>
      </c>
      <c r="O32" s="2">
        <f t="shared" si="1"/>
        <v>1.1476</v>
      </c>
      <c r="P32" s="2">
        <v>63</v>
      </c>
      <c r="Q32" s="2">
        <v>-1.21</v>
      </c>
      <c r="R32" s="5">
        <f t="shared" si="2"/>
        <v>-0.42378071867220102</v>
      </c>
      <c r="S32" s="5">
        <f t="shared" si="3"/>
        <v>-1.21</v>
      </c>
      <c r="T32" s="2">
        <v>7450</v>
      </c>
      <c r="U32" s="2">
        <v>0.16</v>
      </c>
      <c r="V32" s="2">
        <f t="shared" si="4"/>
        <v>-0.26015626276427944</v>
      </c>
      <c r="W32" s="2">
        <f t="shared" si="5"/>
        <v>0.16</v>
      </c>
      <c r="X32" s="2">
        <v>0.36099999999999999</v>
      </c>
      <c r="Y32" s="76">
        <f t="shared" si="44"/>
        <v>-0.16200852935087728</v>
      </c>
      <c r="Z32" s="76">
        <f t="shared" si="45"/>
        <v>-1</v>
      </c>
      <c r="AA32" s="2">
        <f t="shared" si="6"/>
        <v>1.36145</v>
      </c>
      <c r="AB32" s="2">
        <f t="shared" si="7"/>
        <v>0.36099999999999999</v>
      </c>
      <c r="AC32" s="2">
        <v>73</v>
      </c>
      <c r="AD32" s="2">
        <v>-0.39</v>
      </c>
      <c r="AE32" s="79">
        <f t="shared" si="46"/>
        <v>-0.84756143734440204</v>
      </c>
      <c r="AF32" s="79">
        <f t="shared" si="47"/>
        <v>-2</v>
      </c>
      <c r="AG32" s="2">
        <f t="shared" si="8"/>
        <v>-0.20500000000000007</v>
      </c>
      <c r="AH32" s="2">
        <f t="shared" si="9"/>
        <v>-0.39</v>
      </c>
      <c r="AI32" s="2">
        <v>9000</v>
      </c>
      <c r="AJ32" s="2">
        <v>0.05</v>
      </c>
      <c r="AK32" s="76">
        <f t="shared" si="48"/>
        <v>-0.52031252552855889</v>
      </c>
      <c r="AL32" s="76">
        <f t="shared" si="49"/>
        <v>-1</v>
      </c>
      <c r="AM32" s="2">
        <f t="shared" si="10"/>
        <v>-1.4999999999999999E-2</v>
      </c>
      <c r="AN32" s="2">
        <f t="shared" si="11"/>
        <v>0.05</v>
      </c>
      <c r="AO32" s="2">
        <v>1.5128999999999999</v>
      </c>
      <c r="AP32" s="2" t="str">
        <f t="shared" si="12"/>
        <v/>
      </c>
      <c r="AQ32" s="2">
        <f t="shared" si="13"/>
        <v>1.5128999999999999</v>
      </c>
      <c r="AR32" s="2">
        <v>76</v>
      </c>
      <c r="AS32" s="2">
        <v>-1.62</v>
      </c>
      <c r="AT32" s="2" t="str">
        <f t="shared" si="14"/>
        <v/>
      </c>
      <c r="AU32" s="2">
        <f t="shared" si="15"/>
        <v>-1.62</v>
      </c>
      <c r="AV32" s="2">
        <v>10400</v>
      </c>
      <c r="AW32" s="2">
        <v>0.13</v>
      </c>
      <c r="AX32" s="2" t="str">
        <f t="shared" si="16"/>
        <v/>
      </c>
      <c r="AY32" s="2">
        <f t="shared" si="17"/>
        <v>0.13</v>
      </c>
      <c r="BA32" s="78" t="e">
        <f t="shared" si="50"/>
        <v>#VALUE!</v>
      </c>
      <c r="BB32" s="78" t="e">
        <f t="shared" si="51"/>
        <v>#VALUE!</v>
      </c>
      <c r="BC32" s="2" t="str">
        <f t="shared" si="18"/>
        <v/>
      </c>
      <c r="BD32" s="2" t="e">
        <f t="shared" si="19"/>
        <v>#VALUE!</v>
      </c>
      <c r="BE32" s="67" t="e">
        <f t="shared" si="52"/>
        <v>#VALUE!</v>
      </c>
      <c r="BF32" s="2" t="s">
        <v>12</v>
      </c>
      <c r="BH32" s="2" t="str">
        <f t="shared" si="20"/>
        <v/>
      </c>
      <c r="BI32" s="2" t="e">
        <f t="shared" si="21"/>
        <v>#VALUE!</v>
      </c>
      <c r="BJ32" s="67" t="e">
        <f t="shared" si="22"/>
        <v>#VALUE!</v>
      </c>
      <c r="BK32" s="2" t="s">
        <v>12</v>
      </c>
      <c r="BM32" s="77" t="e">
        <f t="shared" si="53"/>
        <v>#VALUE!</v>
      </c>
      <c r="BN32" s="77" t="e">
        <f t="shared" si="54"/>
        <v>#VALUE!</v>
      </c>
      <c r="BO32" s="2" t="str">
        <f t="shared" si="23"/>
        <v/>
      </c>
      <c r="BP32" s="2" t="e">
        <f t="shared" si="24"/>
        <v>#VALUE!</v>
      </c>
      <c r="BQ32" s="67" t="e">
        <f t="shared" si="55"/>
        <v>#VALUE!</v>
      </c>
      <c r="BS32" s="75" t="str">
        <f t="shared" si="56"/>
        <v>UF</v>
      </c>
      <c r="BT32" s="75" t="str">
        <f t="shared" si="57"/>
        <v>UF</v>
      </c>
      <c r="BU32" s="5" t="str">
        <f t="shared" si="25"/>
        <v>UF</v>
      </c>
      <c r="BV32" s="5" t="str">
        <f t="shared" si="26"/>
        <v>UF</v>
      </c>
      <c r="BW32" s="69" t="str">
        <f t="shared" si="27"/>
        <v/>
      </c>
      <c r="BX32" s="2" t="s">
        <v>12</v>
      </c>
      <c r="BZ32" s="74" t="str">
        <f t="shared" si="58"/>
        <v>UF</v>
      </c>
      <c r="CA32" s="74" t="str">
        <f t="shared" si="59"/>
        <v>UF</v>
      </c>
      <c r="CB32" s="5" t="str">
        <f t="shared" si="28"/>
        <v>UF</v>
      </c>
      <c r="CC32" s="5" t="str">
        <f t="shared" si="29"/>
        <v>UF</v>
      </c>
      <c r="CD32" s="2" t="e">
        <f t="shared" si="30"/>
        <v>#VALUE!</v>
      </c>
      <c r="CE32" s="69" t="str">
        <f t="shared" si="31"/>
        <v/>
      </c>
      <c r="CF32" s="5" t="s">
        <v>12</v>
      </c>
      <c r="CH32" s="72" t="str">
        <f t="shared" si="60"/>
        <v>UF</v>
      </c>
      <c r="CI32" s="72" t="str">
        <f t="shared" si="61"/>
        <v>UF</v>
      </c>
      <c r="CJ32" s="5" t="str">
        <f t="shared" si="32"/>
        <v>UF</v>
      </c>
      <c r="CK32" s="5" t="str">
        <f t="shared" si="33"/>
        <v>UF</v>
      </c>
      <c r="CL32" s="69" t="str">
        <f t="shared" si="34"/>
        <v/>
      </c>
      <c r="CN32" s="70" t="str">
        <f t="shared" si="35"/>
        <v/>
      </c>
      <c r="CO32" s="5" t="str">
        <f t="shared" si="36"/>
        <v>UF</v>
      </c>
      <c r="CP32" s="5" t="str">
        <f>IF(G32&lt;48,"UF", IF(NOT(ISBLANK(CM:CM)), CM:CM, IF(BW:BW=1, BV:BV+Sheet2!B409, IF(Sheet1!BW:BW=2, Sheet1!BV:BV+Sheet2!B410, IF(Sheet1!BW:BW=7, Sheet1!BV:BV+Sheet2!B411,"")))))</f>
        <v>UF</v>
      </c>
      <c r="CQ32" s="69" t="str">
        <f t="shared" si="62"/>
        <v/>
      </c>
      <c r="CR32" s="5" t="s">
        <v>12</v>
      </c>
      <c r="CT32" s="5" t="str">
        <f t="shared" si="37"/>
        <v/>
      </c>
      <c r="CU32" s="80" t="str">
        <f t="shared" si="38"/>
        <v>UF</v>
      </c>
      <c r="CV32" s="80" t="str">
        <f t="shared" si="39"/>
        <v>UF</v>
      </c>
      <c r="CW32" s="20" t="str">
        <f>IF(G32&lt;48,"UF", IF(NOT(ISBLANK(CS32)), CS32, IF(CE32=5, CC32+Sheet2!B398, IF(CE32=6, CC32+Sheet2!B399, IF(CE32=7, CC32+Sheet2!B400,"")))))</f>
        <v>UF</v>
      </c>
      <c r="CX32" s="68" t="str">
        <f t="shared" si="63"/>
        <v/>
      </c>
      <c r="CY32" s="5" t="s">
        <v>12</v>
      </c>
      <c r="DA32" s="5" t="str">
        <f t="shared" si="40"/>
        <v>UF</v>
      </c>
      <c r="DB32" s="73" t="str">
        <f t="shared" si="41"/>
        <v>UF</v>
      </c>
      <c r="DC32" s="73" t="str">
        <f t="shared" si="42"/>
        <v>UF</v>
      </c>
      <c r="DD32" s="5" t="str">
        <f>IF(G32&lt;48,"UF", IF(NOT(ISBLANK(CZ:CZ)), CZ:CZ, IF(CL:CL=3, CK:CK+Sheet2!B403, IF(CL:CL=4, CK:CK+Sheet2!B404, IF(CL:CL=7, CK:CK+Sheet2!B405,"")))))</f>
        <v>UF</v>
      </c>
      <c r="DE32" s="69" t="str">
        <f t="shared" si="43"/>
        <v/>
      </c>
      <c r="DF32" s="2">
        <v>3</v>
      </c>
      <c r="DG32" s="2">
        <v>30</v>
      </c>
      <c r="DH32" s="2">
        <v>2</v>
      </c>
      <c r="DI32" s="2">
        <v>2</v>
      </c>
      <c r="DJ32" s="2">
        <v>2</v>
      </c>
      <c r="DK32" s="2">
        <v>100</v>
      </c>
      <c r="DL32" s="2">
        <v>50</v>
      </c>
      <c r="DM32" s="2">
        <v>110</v>
      </c>
      <c r="DN32" s="2">
        <v>60</v>
      </c>
      <c r="DO32" s="2">
        <v>100</v>
      </c>
      <c r="DP32" s="2">
        <v>50</v>
      </c>
      <c r="DQ32" s="2">
        <v>2</v>
      </c>
      <c r="DR32" s="2">
        <v>41</v>
      </c>
      <c r="DS32" s="2">
        <v>2</v>
      </c>
      <c r="DT32" s="2">
        <v>77</v>
      </c>
      <c r="DU32" s="2">
        <v>68</v>
      </c>
      <c r="DV32" s="2">
        <v>2</v>
      </c>
      <c r="DW32" s="2">
        <v>2</v>
      </c>
      <c r="DX32" s="2">
        <v>2</v>
      </c>
      <c r="DY32" s="2">
        <v>2</v>
      </c>
      <c r="DZ32" s="2">
        <v>35</v>
      </c>
      <c r="EA32" s="2">
        <v>36</v>
      </c>
      <c r="EB32" s="2">
        <v>44.5</v>
      </c>
      <c r="EC32" s="2">
        <v>1</v>
      </c>
      <c r="ED32" s="2">
        <v>1</v>
      </c>
    </row>
    <row r="33" spans="3:134" x14ac:dyDescent="0.25">
      <c r="C33" s="5" t="s">
        <v>387</v>
      </c>
      <c r="D33" s="8">
        <v>122635096</v>
      </c>
      <c r="E33" s="3">
        <v>7</v>
      </c>
      <c r="F33" s="2">
        <v>1</v>
      </c>
      <c r="G33" s="2">
        <v>34</v>
      </c>
      <c r="H33" s="2">
        <v>-0.70405099931509474</v>
      </c>
      <c r="I33" s="2">
        <v>51</v>
      </c>
      <c r="J33" s="2">
        <v>0.99441714029262385</v>
      </c>
      <c r="K33" s="5">
        <v>3250</v>
      </c>
      <c r="L33" s="2">
        <v>3.8795805092995343E-2</v>
      </c>
      <c r="M33" s="2">
        <v>1.0450999999999999</v>
      </c>
      <c r="N33" s="2">
        <f t="shared" si="0"/>
        <v>1.0413754996575473</v>
      </c>
      <c r="O33" s="2">
        <f t="shared" si="1"/>
        <v>1.0450999999999999</v>
      </c>
      <c r="P33" s="2">
        <v>66</v>
      </c>
      <c r="Q33" s="2">
        <v>0.11</v>
      </c>
      <c r="R33" s="5">
        <f t="shared" si="2"/>
        <v>-0.88720857014631194</v>
      </c>
      <c r="S33" s="5">
        <f t="shared" si="3"/>
        <v>0.11</v>
      </c>
      <c r="T33" s="1">
        <v>8100</v>
      </c>
      <c r="U33" s="2">
        <v>0.85</v>
      </c>
      <c r="V33" s="2">
        <f t="shared" si="4"/>
        <v>0.26560209745350233</v>
      </c>
      <c r="W33" s="2">
        <f t="shared" si="5"/>
        <v>0.85</v>
      </c>
      <c r="X33" s="2">
        <v>1.3787</v>
      </c>
      <c r="Y33" s="76">
        <f t="shared" si="44"/>
        <v>2.0827509993150946</v>
      </c>
      <c r="Z33" s="76">
        <f t="shared" si="45"/>
        <v>2</v>
      </c>
      <c r="AA33" s="2">
        <f t="shared" si="6"/>
        <v>0.40765000000000001</v>
      </c>
      <c r="AB33" s="2">
        <f t="shared" si="7"/>
        <v>1.3787</v>
      </c>
      <c r="AC33" s="2">
        <v>72</v>
      </c>
      <c r="AD33" s="2">
        <v>-0.78</v>
      </c>
      <c r="AE33" s="79">
        <f t="shared" si="46"/>
        <v>-1.7744171402926239</v>
      </c>
      <c r="AF33" s="79">
        <f t="shared" si="47"/>
        <v>-2</v>
      </c>
      <c r="AG33" s="2">
        <f t="shared" si="8"/>
        <v>-0.35</v>
      </c>
      <c r="AH33" s="2">
        <f t="shared" si="9"/>
        <v>-0.78</v>
      </c>
      <c r="AI33" s="2">
        <v>9600</v>
      </c>
      <c r="AJ33" s="2">
        <v>0.56999999999999995</v>
      </c>
      <c r="AK33" s="76">
        <f t="shared" si="48"/>
        <v>0.53120419490700466</v>
      </c>
      <c r="AL33" s="76">
        <f t="shared" si="49"/>
        <v>1</v>
      </c>
      <c r="AM33" s="2">
        <f t="shared" si="10"/>
        <v>-0.26500000000000001</v>
      </c>
      <c r="AN33" s="2">
        <f t="shared" si="11"/>
        <v>0.56999999999999995</v>
      </c>
      <c r="AO33" s="2">
        <v>0.92530000000000001</v>
      </c>
      <c r="AP33" s="2">
        <f t="shared" si="12"/>
        <v>-1.0281572857156944</v>
      </c>
      <c r="AQ33" s="2">
        <f t="shared" si="13"/>
        <v>0.92530000000000001</v>
      </c>
      <c r="AR33" s="2">
        <v>79</v>
      </c>
      <c r="AS33" s="2">
        <v>-0.59</v>
      </c>
      <c r="AT33" s="2">
        <f t="shared" si="14"/>
        <v>0.7632394879512131</v>
      </c>
      <c r="AU33" s="2">
        <f t="shared" si="15"/>
        <v>-0.59</v>
      </c>
      <c r="AV33" s="2">
        <v>10650</v>
      </c>
      <c r="AW33" s="2">
        <v>0.32</v>
      </c>
      <c r="AX33" s="2">
        <f t="shared" si="16"/>
        <v>-0.33696489070164365</v>
      </c>
      <c r="AY33" s="2">
        <f t="shared" si="17"/>
        <v>0.32</v>
      </c>
      <c r="AZ33" s="2">
        <v>-0.67761457143138892</v>
      </c>
      <c r="BA33" s="78">
        <f t="shared" si="50"/>
        <v>-2.0563145714313888</v>
      </c>
      <c r="BB33" s="78">
        <f t="shared" si="51"/>
        <v>-2</v>
      </c>
      <c r="BC33" s="2" t="str">
        <f t="shared" si="18"/>
        <v/>
      </c>
      <c r="BD33" s="2">
        <f t="shared" si="19"/>
        <v>-0.67761457143138892</v>
      </c>
      <c r="BE33" s="67">
        <f t="shared" si="52"/>
        <v>7</v>
      </c>
      <c r="BF33" s="2">
        <v>88</v>
      </c>
      <c r="BG33" s="2">
        <v>0.74647897590242618</v>
      </c>
      <c r="BH33" s="2" t="str">
        <f t="shared" si="20"/>
        <v/>
      </c>
      <c r="BI33" s="2">
        <f t="shared" si="21"/>
        <v>0.74647897590242618</v>
      </c>
      <c r="BJ33" s="67">
        <f t="shared" si="22"/>
        <v>7</v>
      </c>
      <c r="BK33" s="2">
        <v>12000</v>
      </c>
      <c r="BL33" s="2">
        <v>-0.10392978140328731</v>
      </c>
      <c r="BM33" s="77">
        <f t="shared" si="53"/>
        <v>-0.6739297814032873</v>
      </c>
      <c r="BN33" s="77">
        <f t="shared" si="54"/>
        <v>-2</v>
      </c>
      <c r="BO33" s="2" t="str">
        <f t="shared" si="23"/>
        <v/>
      </c>
      <c r="BP33" s="2">
        <f t="shared" si="24"/>
        <v>-0.10392978140328731</v>
      </c>
      <c r="BQ33" s="67">
        <f t="shared" si="55"/>
        <v>7</v>
      </c>
      <c r="BS33" s="75" t="str">
        <f t="shared" si="56"/>
        <v>UF</v>
      </c>
      <c r="BT33" s="75" t="str">
        <f t="shared" si="57"/>
        <v>UF</v>
      </c>
      <c r="BU33" s="5" t="str">
        <f t="shared" si="25"/>
        <v>UF</v>
      </c>
      <c r="BV33" s="5" t="str">
        <f t="shared" si="26"/>
        <v>UF</v>
      </c>
      <c r="BW33" s="69" t="str">
        <f t="shared" si="27"/>
        <v/>
      </c>
      <c r="BX33" s="2" t="s">
        <v>12</v>
      </c>
      <c r="BZ33" s="74" t="str">
        <f t="shared" si="58"/>
        <v>UF</v>
      </c>
      <c r="CA33" s="74" t="str">
        <f t="shared" si="59"/>
        <v>UF</v>
      </c>
      <c r="CB33" s="5" t="str">
        <f t="shared" si="28"/>
        <v>UF</v>
      </c>
      <c r="CC33" s="5" t="str">
        <f t="shared" si="29"/>
        <v>UF</v>
      </c>
      <c r="CD33" s="2" t="e">
        <f t="shared" si="30"/>
        <v>#VALUE!</v>
      </c>
      <c r="CE33" s="69" t="str">
        <f t="shared" si="31"/>
        <v/>
      </c>
      <c r="CF33" s="5" t="s">
        <v>12</v>
      </c>
      <c r="CH33" s="72" t="str">
        <f t="shared" si="60"/>
        <v>UF</v>
      </c>
      <c r="CI33" s="72" t="str">
        <f t="shared" si="61"/>
        <v>UF</v>
      </c>
      <c r="CJ33" s="5" t="str">
        <f t="shared" si="32"/>
        <v>UF</v>
      </c>
      <c r="CK33" s="5" t="str">
        <f t="shared" si="33"/>
        <v>UF</v>
      </c>
      <c r="CL33" s="69" t="str">
        <f t="shared" si="34"/>
        <v/>
      </c>
      <c r="CN33" s="70" t="str">
        <f t="shared" si="35"/>
        <v/>
      </c>
      <c r="CO33" s="5" t="str">
        <f t="shared" si="36"/>
        <v>UF</v>
      </c>
      <c r="CP33" s="5" t="str">
        <f>IF(G33&lt;48,"UF", IF(NOT(ISBLANK(CM:CM)), CM:CM, IF(BW:BW=1, BV:BV+Sheet2!B603, IF(Sheet1!BW:BW=2, Sheet1!BV:BV+Sheet2!B604, IF(Sheet1!BW:BW=7, Sheet1!BV:BV+Sheet2!B605,"")))))</f>
        <v>UF</v>
      </c>
      <c r="CQ33" s="69" t="str">
        <f t="shared" si="62"/>
        <v/>
      </c>
      <c r="CR33" s="5" t="s">
        <v>12</v>
      </c>
      <c r="CT33" s="5" t="str">
        <f t="shared" si="37"/>
        <v/>
      </c>
      <c r="CU33" s="80" t="str">
        <f t="shared" si="38"/>
        <v>UF</v>
      </c>
      <c r="CV33" s="80" t="str">
        <f t="shared" si="39"/>
        <v>UF</v>
      </c>
      <c r="CW33" s="20" t="str">
        <f>IF(G33&lt;48,"UF", IF(NOT(ISBLANK(CS33)), CS33, IF(CE33=5, CC33+Sheet2!B592, IF(CE33=6, CC33+Sheet2!B593, IF(CE33=7, CC33+Sheet2!B594,"")))))</f>
        <v>UF</v>
      </c>
      <c r="CX33" s="68" t="str">
        <f t="shared" si="63"/>
        <v/>
      </c>
      <c r="CY33" s="5" t="s">
        <v>12</v>
      </c>
      <c r="DA33" s="5" t="str">
        <f t="shared" si="40"/>
        <v>UF</v>
      </c>
      <c r="DB33" s="73" t="str">
        <f t="shared" si="41"/>
        <v>UF</v>
      </c>
      <c r="DC33" s="73" t="str">
        <f t="shared" si="42"/>
        <v>UF</v>
      </c>
      <c r="DD33" s="5" t="str">
        <f>IF(G33&lt;48,"UF", IF(NOT(ISBLANK(CZ:CZ)), CZ:CZ, IF(CL:CL=3, CK:CK+Sheet2!B597, IF(CL:CL=4, CK:CK+Sheet2!B598, IF(CL:CL=7, CK:CK+Sheet2!B599,"")))))</f>
        <v>UF</v>
      </c>
      <c r="DE33" s="69" t="str">
        <f t="shared" si="43"/>
        <v/>
      </c>
      <c r="DF33" s="2">
        <v>1</v>
      </c>
      <c r="DG33" s="2">
        <v>18</v>
      </c>
      <c r="DH33" s="2">
        <v>2</v>
      </c>
      <c r="DI33" s="2">
        <v>2</v>
      </c>
      <c r="DJ33" s="2">
        <v>2</v>
      </c>
      <c r="DK33" s="2" t="s">
        <v>12</v>
      </c>
      <c r="DL33" s="2" t="s">
        <v>12</v>
      </c>
      <c r="DM33" s="2">
        <v>100</v>
      </c>
      <c r="DN33" s="2">
        <v>58</v>
      </c>
      <c r="DO33" s="2">
        <v>108</v>
      </c>
      <c r="DP33" s="2">
        <v>62</v>
      </c>
      <c r="DQ33" s="2">
        <v>2</v>
      </c>
      <c r="DR33" s="2">
        <v>41</v>
      </c>
      <c r="DS33" s="2">
        <v>2</v>
      </c>
      <c r="DT33" s="2">
        <v>82</v>
      </c>
      <c r="DU33" s="2">
        <v>82</v>
      </c>
      <c r="DV33" s="2">
        <v>1</v>
      </c>
      <c r="DW33" s="2">
        <v>3</v>
      </c>
      <c r="DX33" s="2">
        <v>2</v>
      </c>
      <c r="DY33" s="2">
        <v>2</v>
      </c>
      <c r="DZ33" s="2">
        <v>34</v>
      </c>
      <c r="EA33" s="2">
        <v>35.5</v>
      </c>
      <c r="EB33" s="2">
        <v>43.5</v>
      </c>
      <c r="EC33" s="2">
        <v>1</v>
      </c>
      <c r="ED33" s="2">
        <v>1</v>
      </c>
    </row>
    <row r="34" spans="3:134" x14ac:dyDescent="0.25">
      <c r="C34" s="8" t="s">
        <v>313</v>
      </c>
      <c r="D34" s="8">
        <v>122636556</v>
      </c>
      <c r="E34" s="5">
        <v>7</v>
      </c>
      <c r="F34" s="2">
        <v>2</v>
      </c>
      <c r="G34" s="2">
        <v>31</v>
      </c>
      <c r="H34" s="2">
        <v>-1.889354224442154</v>
      </c>
      <c r="I34" s="2">
        <v>49</v>
      </c>
      <c r="J34" s="2">
        <v>-0.46706379753639199</v>
      </c>
      <c r="K34" s="2">
        <v>2700</v>
      </c>
      <c r="L34" s="2">
        <v>-1.4162320057858351</v>
      </c>
      <c r="M34" s="2">
        <v>0.33</v>
      </c>
      <c r="N34" s="2" t="str">
        <f t="shared" si="0"/>
        <v/>
      </c>
      <c r="O34" s="2">
        <f t="shared" si="1"/>
        <v>0.33</v>
      </c>
      <c r="P34" s="2">
        <v>67</v>
      </c>
      <c r="Q34" s="2">
        <v>-0.3</v>
      </c>
      <c r="R34" s="5" t="str">
        <f t="shared" si="2"/>
        <v/>
      </c>
      <c r="S34" s="5">
        <f t="shared" si="3"/>
        <v>-0.3</v>
      </c>
      <c r="T34" s="2">
        <v>8000</v>
      </c>
      <c r="U34" s="2">
        <v>7.0000000000000007E-2</v>
      </c>
      <c r="V34" s="2" t="str">
        <f t="shared" si="4"/>
        <v/>
      </c>
      <c r="W34" s="2">
        <f t="shared" si="5"/>
        <v>7.0000000000000007E-2</v>
      </c>
      <c r="Y34" s="76">
        <f t="shared" si="44"/>
        <v>1.802904224442154</v>
      </c>
      <c r="Z34" s="76">
        <f t="shared" si="45"/>
        <v>2</v>
      </c>
      <c r="AA34" s="2">
        <f t="shared" si="6"/>
        <v>-0.41644999999999999</v>
      </c>
      <c r="AB34" s="2">
        <f t="shared" si="7"/>
        <v>-8.6449999999999971E-2</v>
      </c>
      <c r="AC34" s="2" t="s">
        <v>12</v>
      </c>
      <c r="AE34" s="79">
        <f t="shared" si="46"/>
        <v>-0.47293620246360796</v>
      </c>
      <c r="AF34" s="79">
        <f t="shared" si="47"/>
        <v>-1</v>
      </c>
      <c r="AG34" s="2">
        <f t="shared" ref="AG34:AG65" si="64">IF(AND(NOT(ISBLANK(S34)), NOT(ISBLANK(AS34))), (AS34 - S34)/2, "")</f>
        <v>-0.64</v>
      </c>
      <c r="AH34" s="2">
        <f t="shared" si="9"/>
        <v>-0.94</v>
      </c>
      <c r="AI34" s="2" t="s">
        <v>12</v>
      </c>
      <c r="AK34" s="76">
        <f t="shared" si="48"/>
        <v>0.576232005785835</v>
      </c>
      <c r="AL34" s="76">
        <f t="shared" si="49"/>
        <v>1</v>
      </c>
      <c r="AM34" s="2">
        <f t="shared" si="10"/>
        <v>-0.91</v>
      </c>
      <c r="AN34" s="2">
        <f t="shared" si="11"/>
        <v>-0.84000000000000008</v>
      </c>
      <c r="AO34" s="2">
        <v>-1.1329</v>
      </c>
      <c r="AP34" s="2" t="str">
        <f t="shared" si="12"/>
        <v/>
      </c>
      <c r="AQ34" s="2">
        <f t="shared" si="13"/>
        <v>-1.1329</v>
      </c>
      <c r="AR34" s="2">
        <v>78</v>
      </c>
      <c r="AS34" s="2">
        <v>-1.58</v>
      </c>
      <c r="AT34" s="2" t="str">
        <f t="shared" si="14"/>
        <v/>
      </c>
      <c r="AU34" s="2">
        <f t="shared" si="15"/>
        <v>-1.58</v>
      </c>
      <c r="AV34" s="2">
        <v>9000</v>
      </c>
      <c r="AW34" s="2">
        <v>-1.75</v>
      </c>
      <c r="AX34" s="2" t="str">
        <f t="shared" si="16"/>
        <v/>
      </c>
      <c r="AY34" s="2">
        <f t="shared" si="17"/>
        <v>-1.75</v>
      </c>
      <c r="BA34" s="78" t="e">
        <f t="shared" si="50"/>
        <v>#VALUE!</v>
      </c>
      <c r="BB34" s="78" t="e">
        <f t="shared" si="51"/>
        <v>#VALUE!</v>
      </c>
      <c r="BC34" s="2" t="str">
        <f t="shared" si="18"/>
        <v/>
      </c>
      <c r="BD34" s="2" t="e">
        <f t="shared" si="19"/>
        <v>#VALUE!</v>
      </c>
      <c r="BE34" s="67" t="e">
        <f t="shared" si="52"/>
        <v>#VALUE!</v>
      </c>
      <c r="BF34" s="2" t="s">
        <v>12</v>
      </c>
      <c r="BH34" s="2" t="str">
        <f t="shared" si="20"/>
        <v/>
      </c>
      <c r="BI34" s="2" t="e">
        <f t="shared" si="21"/>
        <v>#VALUE!</v>
      </c>
      <c r="BJ34" s="67" t="e">
        <f t="shared" ref="BJ34:BJ65" si="65">IF(BI:BI&lt;-3,5,IF(AND(BI:BI&gt;=-3,BI:BI&lt;-2),6,IF(AND(BI:BI&gt;=-2,BI:BI&lt;=2),7,"")))</f>
        <v>#VALUE!</v>
      </c>
      <c r="BK34" s="2" t="s">
        <v>12</v>
      </c>
      <c r="BM34" s="77" t="e">
        <f t="shared" si="53"/>
        <v>#VALUE!</v>
      </c>
      <c r="BN34" s="77" t="e">
        <f t="shared" si="54"/>
        <v>#VALUE!</v>
      </c>
      <c r="BO34" s="2" t="str">
        <f t="shared" si="23"/>
        <v/>
      </c>
      <c r="BP34" s="2" t="e">
        <f t="shared" si="24"/>
        <v>#VALUE!</v>
      </c>
      <c r="BQ34" s="67" t="e">
        <f t="shared" si="55"/>
        <v>#VALUE!</v>
      </c>
      <c r="BS34" s="75" t="str">
        <f t="shared" si="56"/>
        <v>UF</v>
      </c>
      <c r="BT34" s="75" t="str">
        <f t="shared" si="57"/>
        <v>UF</v>
      </c>
      <c r="BU34" s="5" t="str">
        <f t="shared" si="25"/>
        <v>UF</v>
      </c>
      <c r="BV34" s="5" t="str">
        <f t="shared" si="26"/>
        <v>UF</v>
      </c>
      <c r="BW34" s="69" t="str">
        <f t="shared" ref="BW34:BW65" si="66">IF(BV:BV&lt;-3,1,IF(AND(BV:BV&gt;=-3,BV:BV&lt;-2),2,IF(AND(BV:BV&gt;=-2,BV:BV&lt;=2),7,"")))</f>
        <v/>
      </c>
      <c r="BX34" s="2" t="s">
        <v>12</v>
      </c>
      <c r="BZ34" s="74" t="str">
        <f t="shared" si="58"/>
        <v>UF</v>
      </c>
      <c r="CA34" s="74" t="str">
        <f t="shared" si="59"/>
        <v>UF</v>
      </c>
      <c r="CB34" s="5" t="str">
        <f t="shared" si="28"/>
        <v>UF</v>
      </c>
      <c r="CC34" s="5" t="str">
        <f t="shared" si="29"/>
        <v>UF</v>
      </c>
      <c r="CD34" s="2" t="e">
        <f t="shared" si="30"/>
        <v>#VALUE!</v>
      </c>
      <c r="CE34" s="69" t="str">
        <f t="shared" si="31"/>
        <v/>
      </c>
      <c r="CF34" s="5" t="s">
        <v>12</v>
      </c>
      <c r="CH34" s="72" t="str">
        <f t="shared" si="60"/>
        <v>UF</v>
      </c>
      <c r="CI34" s="72" t="str">
        <f t="shared" si="61"/>
        <v>UF</v>
      </c>
      <c r="CJ34" s="5" t="str">
        <f t="shared" si="32"/>
        <v>UF</v>
      </c>
      <c r="CK34" s="5" t="str">
        <f t="shared" si="33"/>
        <v>UF</v>
      </c>
      <c r="CL34" s="69" t="str">
        <f t="shared" ref="CL34:CL65" si="67">IF(CK:CK&lt;-3,3,IF(AND(CK:CK&gt;=-3,CK:CK&lt;-2),4,IF(AND(CK:CK&gt;=-2,CK:CK&lt;=2),7,"")))</f>
        <v/>
      </c>
      <c r="CN34" s="70" t="str">
        <f t="shared" si="35"/>
        <v/>
      </c>
      <c r="CO34" s="5" t="str">
        <f t="shared" si="36"/>
        <v>UF</v>
      </c>
      <c r="CP34" s="5" t="str">
        <f>IF(G34&lt;48,"UF", IF(NOT(ISBLANK(CM:CM)), CM:CM, IF(BW:BW=1, BV:BV+Sheet2!B531, IF(Sheet1!BW:BW=2, Sheet1!BV:BV+Sheet2!B532, IF(Sheet1!BW:BW=7, Sheet1!BV:BV+Sheet2!B533,"")))))</f>
        <v>UF</v>
      </c>
      <c r="CQ34" s="69" t="str">
        <f t="shared" si="62"/>
        <v/>
      </c>
      <c r="CR34" s="5" t="s">
        <v>12</v>
      </c>
      <c r="CT34" s="5" t="str">
        <f t="shared" si="37"/>
        <v/>
      </c>
      <c r="CU34" s="80" t="str">
        <f t="shared" si="38"/>
        <v>UF</v>
      </c>
      <c r="CV34" s="80" t="str">
        <f t="shared" si="39"/>
        <v>UF</v>
      </c>
      <c r="CW34" s="20" t="str">
        <f>IF(G34&lt;48,"UF", IF(NOT(ISBLANK(CS34)), CS34, IF(CE34=5, CC34+Sheet2!B520, IF(CE34=6, CC34+Sheet2!B521, IF(CE34=7, CC34+Sheet2!B522,"")))))</f>
        <v>UF</v>
      </c>
      <c r="CX34" s="68" t="str">
        <f t="shared" si="63"/>
        <v/>
      </c>
      <c r="CY34" s="5" t="s">
        <v>12</v>
      </c>
      <c r="DA34" s="5" t="str">
        <f t="shared" si="40"/>
        <v>UF</v>
      </c>
      <c r="DB34" s="73" t="str">
        <f t="shared" si="41"/>
        <v>UF</v>
      </c>
      <c r="DC34" s="73" t="str">
        <f t="shared" si="42"/>
        <v>UF</v>
      </c>
      <c r="DD34" s="5" t="str">
        <f>IF(G34&lt;48,"UF", IF(NOT(ISBLANK(CZ:CZ)), CZ:CZ, IF(CL:CL=3, CK:CK+Sheet2!B525, IF(CL:CL=4, CK:CK+Sheet2!B526, IF(CL:CL=7, CK:CK+Sheet2!B527,"")))))</f>
        <v>UF</v>
      </c>
      <c r="DE34" s="69" t="str">
        <f t="shared" si="43"/>
        <v/>
      </c>
      <c r="DF34" s="2">
        <v>1</v>
      </c>
      <c r="DG34" s="2">
        <v>25</v>
      </c>
      <c r="DH34" s="2">
        <v>2</v>
      </c>
      <c r="DI34" s="2">
        <v>2</v>
      </c>
      <c r="DJ34" s="2">
        <v>2</v>
      </c>
      <c r="DK34" s="2">
        <v>112</v>
      </c>
      <c r="DL34" s="2">
        <v>72</v>
      </c>
      <c r="DM34" s="2">
        <v>108</v>
      </c>
      <c r="DN34" s="2">
        <v>66</v>
      </c>
      <c r="DO34" s="2">
        <v>100</v>
      </c>
      <c r="DP34" s="2">
        <v>60</v>
      </c>
      <c r="DQ34" s="2">
        <v>2</v>
      </c>
      <c r="DR34" s="2">
        <v>39</v>
      </c>
      <c r="DS34" s="2">
        <v>2</v>
      </c>
      <c r="DT34" s="2">
        <v>83</v>
      </c>
      <c r="DU34" s="2">
        <v>67</v>
      </c>
      <c r="DV34" s="2">
        <v>2</v>
      </c>
      <c r="DW34" s="2">
        <v>3</v>
      </c>
      <c r="DX34" s="2">
        <v>2</v>
      </c>
      <c r="DY34" s="2">
        <v>2</v>
      </c>
      <c r="DZ34" s="2">
        <v>34</v>
      </c>
      <c r="EA34" s="2" t="s">
        <v>12</v>
      </c>
      <c r="EB34" s="2" t="s">
        <v>12</v>
      </c>
      <c r="EC34" s="2" t="s">
        <v>12</v>
      </c>
      <c r="ED34" s="2" t="s">
        <v>12</v>
      </c>
    </row>
    <row r="35" spans="3:134" x14ac:dyDescent="0.25">
      <c r="C35" s="8" t="s">
        <v>51</v>
      </c>
      <c r="D35" s="4">
        <v>122637741</v>
      </c>
      <c r="E35" s="5">
        <v>7</v>
      </c>
      <c r="F35" s="2">
        <v>2</v>
      </c>
      <c r="G35" s="2">
        <v>29</v>
      </c>
      <c r="H35" s="2">
        <v>-2.4631828255545778</v>
      </c>
      <c r="I35" s="2">
        <v>53</v>
      </c>
      <c r="J35" s="2">
        <v>1.645866503279491</v>
      </c>
      <c r="K35" s="1">
        <v>3000</v>
      </c>
      <c r="L35" s="2">
        <v>-0.73426392472567259</v>
      </c>
      <c r="M35" s="2">
        <v>-0.14069999999999999</v>
      </c>
      <c r="N35" s="2">
        <f t="shared" si="0"/>
        <v>1.031291412777289</v>
      </c>
      <c r="O35" s="2">
        <f t="shared" si="1"/>
        <v>-0.14069999999999999</v>
      </c>
      <c r="P35" s="2">
        <v>70</v>
      </c>
      <c r="Q35" s="2">
        <v>1.1000000000000001</v>
      </c>
      <c r="R35" s="5">
        <f t="shared" si="2"/>
        <v>-0.34793325163974553</v>
      </c>
      <c r="S35" s="5">
        <f t="shared" si="3"/>
        <v>1.1000000000000001</v>
      </c>
      <c r="T35" s="2">
        <v>8400</v>
      </c>
      <c r="U35" s="2">
        <v>0.52</v>
      </c>
      <c r="V35" s="2">
        <f t="shared" si="4"/>
        <v>0.48713196236283629</v>
      </c>
      <c r="W35" s="2">
        <f t="shared" si="5"/>
        <v>0.52</v>
      </c>
      <c r="X35" s="2">
        <v>-0.40060000000000001</v>
      </c>
      <c r="Y35" s="76">
        <f t="shared" si="44"/>
        <v>2.0625828255545779</v>
      </c>
      <c r="Z35" s="76">
        <f t="shared" si="45"/>
        <v>2</v>
      </c>
      <c r="AA35" s="2" t="str">
        <f t="shared" si="6"/>
        <v/>
      </c>
      <c r="AB35" s="2">
        <f t="shared" si="7"/>
        <v>-0.40060000000000001</v>
      </c>
      <c r="AC35" s="2">
        <v>78</v>
      </c>
      <c r="AD35" s="2">
        <v>0.95</v>
      </c>
      <c r="AE35" s="79">
        <f t="shared" si="46"/>
        <v>-0.69586650327949107</v>
      </c>
      <c r="AF35" s="79">
        <f t="shared" si="47"/>
        <v>-2</v>
      </c>
      <c r="AG35" s="2" t="str">
        <f t="shared" si="64"/>
        <v/>
      </c>
      <c r="AH35" s="2">
        <f t="shared" si="9"/>
        <v>0.95</v>
      </c>
      <c r="AI35" s="2">
        <v>9900</v>
      </c>
      <c r="AJ35" s="2">
        <v>0.24</v>
      </c>
      <c r="AK35" s="76">
        <f t="shared" si="48"/>
        <v>0.97426392472567258</v>
      </c>
      <c r="AL35" s="76">
        <f t="shared" si="49"/>
        <v>2</v>
      </c>
      <c r="AM35" s="2" t="str">
        <f t="shared" si="10"/>
        <v/>
      </c>
      <c r="AN35" s="2">
        <f t="shared" si="11"/>
        <v>0.24</v>
      </c>
      <c r="AP35" s="2" t="str">
        <f t="shared" si="12"/>
        <v/>
      </c>
      <c r="AQ35" s="2" t="e">
        <f t="shared" si="13"/>
        <v>#VALUE!</v>
      </c>
      <c r="AR35" s="2" t="s">
        <v>12</v>
      </c>
      <c r="AT35" s="2" t="str">
        <f t="shared" si="14"/>
        <v/>
      </c>
      <c r="AU35" s="2" t="e">
        <f t="shared" si="15"/>
        <v>#VALUE!</v>
      </c>
      <c r="AV35" s="2" t="s">
        <v>12</v>
      </c>
      <c r="AX35" s="2" t="str">
        <f t="shared" si="16"/>
        <v/>
      </c>
      <c r="AY35" s="2" t="e">
        <f t="shared" si="17"/>
        <v>#VALUE!</v>
      </c>
      <c r="BA35" s="78" t="e">
        <f t="shared" si="50"/>
        <v>#VALUE!</v>
      </c>
      <c r="BB35" s="78" t="e">
        <f t="shared" si="51"/>
        <v>#VALUE!</v>
      </c>
      <c r="BC35" s="2" t="str">
        <f t="shared" si="18"/>
        <v/>
      </c>
      <c r="BD35" s="2" t="e">
        <f t="shared" si="19"/>
        <v>#VALUE!</v>
      </c>
      <c r="BE35" s="67" t="e">
        <f t="shared" si="52"/>
        <v>#VALUE!</v>
      </c>
      <c r="BF35" s="2" t="s">
        <v>12</v>
      </c>
      <c r="BH35" s="2" t="str">
        <f t="shared" si="20"/>
        <v/>
      </c>
      <c r="BI35" s="2" t="e">
        <f t="shared" si="21"/>
        <v>#VALUE!</v>
      </c>
      <c r="BJ35" s="67" t="e">
        <f t="shared" si="65"/>
        <v>#VALUE!</v>
      </c>
      <c r="BK35" s="2" t="s">
        <v>12</v>
      </c>
      <c r="BM35" s="77" t="e">
        <f t="shared" si="53"/>
        <v>#VALUE!</v>
      </c>
      <c r="BN35" s="77" t="e">
        <f t="shared" si="54"/>
        <v>#VALUE!</v>
      </c>
      <c r="BO35" s="2" t="str">
        <f t="shared" si="23"/>
        <v/>
      </c>
      <c r="BP35" s="2" t="e">
        <f t="shared" si="24"/>
        <v>#VALUE!</v>
      </c>
      <c r="BQ35" s="67" t="e">
        <f t="shared" si="55"/>
        <v>#VALUE!</v>
      </c>
      <c r="BS35" s="75" t="str">
        <f t="shared" si="56"/>
        <v>UF</v>
      </c>
      <c r="BT35" s="75" t="str">
        <f t="shared" si="57"/>
        <v>UF</v>
      </c>
      <c r="BU35" s="5" t="str">
        <f t="shared" si="25"/>
        <v>UF</v>
      </c>
      <c r="BV35" s="5" t="str">
        <f t="shared" si="26"/>
        <v>UF</v>
      </c>
      <c r="BW35" s="69" t="str">
        <f t="shared" si="66"/>
        <v/>
      </c>
      <c r="BX35" s="2" t="s">
        <v>12</v>
      </c>
      <c r="BZ35" s="74" t="str">
        <f t="shared" si="58"/>
        <v>UF</v>
      </c>
      <c r="CA35" s="74" t="str">
        <f t="shared" si="59"/>
        <v>UF</v>
      </c>
      <c r="CB35" s="5" t="str">
        <f t="shared" si="28"/>
        <v>UF</v>
      </c>
      <c r="CC35" s="5" t="str">
        <f t="shared" si="29"/>
        <v>UF</v>
      </c>
      <c r="CD35" s="2" t="e">
        <f t="shared" si="30"/>
        <v>#VALUE!</v>
      </c>
      <c r="CE35" s="69" t="str">
        <f t="shared" si="31"/>
        <v/>
      </c>
      <c r="CF35" s="5" t="s">
        <v>12</v>
      </c>
      <c r="CH35" s="72" t="str">
        <f t="shared" si="60"/>
        <v>UF</v>
      </c>
      <c r="CI35" s="72" t="str">
        <f t="shared" si="61"/>
        <v>UF</v>
      </c>
      <c r="CJ35" s="5" t="str">
        <f t="shared" si="32"/>
        <v>UF</v>
      </c>
      <c r="CK35" s="5" t="str">
        <f t="shared" si="33"/>
        <v>UF</v>
      </c>
      <c r="CL35" s="69" t="str">
        <f t="shared" si="67"/>
        <v/>
      </c>
      <c r="CN35" s="70" t="str">
        <f t="shared" si="35"/>
        <v/>
      </c>
      <c r="CO35" s="5" t="str">
        <f t="shared" si="36"/>
        <v>UF</v>
      </c>
      <c r="CP35" s="5" t="str">
        <f>IF(G35&lt;48,"UF", IF(NOT(ISBLANK(CM:CM)), CM:CM, IF(BW:BW=1, BV:BV+Sheet2!B384, IF(Sheet1!BW:BW=2, Sheet1!BV:BV+Sheet2!B385, IF(Sheet1!BW:BW=7, Sheet1!BV:BV+Sheet2!B386,"")))))</f>
        <v>UF</v>
      </c>
      <c r="CQ35" s="69" t="str">
        <f t="shared" si="62"/>
        <v/>
      </c>
      <c r="CR35" s="5" t="s">
        <v>12</v>
      </c>
      <c r="CT35" s="5" t="str">
        <f t="shared" si="37"/>
        <v/>
      </c>
      <c r="CU35" s="80" t="str">
        <f t="shared" si="38"/>
        <v>UF</v>
      </c>
      <c r="CV35" s="80" t="str">
        <f t="shared" si="39"/>
        <v>UF</v>
      </c>
      <c r="CW35" s="20" t="str">
        <f>IF(G35&lt;48,"UF", IF(NOT(ISBLANK(CS35)), CS35, IF(CE35=5, CC35+Sheet2!B373, IF(CE35=6, CC35+Sheet2!B374, IF(CE35=7, CC35+Sheet2!B375,"")))))</f>
        <v>UF</v>
      </c>
      <c r="CX35" s="68" t="str">
        <f t="shared" si="63"/>
        <v/>
      </c>
      <c r="CY35" s="5" t="s">
        <v>12</v>
      </c>
      <c r="DA35" s="5" t="str">
        <f t="shared" si="40"/>
        <v>UF</v>
      </c>
      <c r="DB35" s="73" t="str">
        <f t="shared" si="41"/>
        <v>UF</v>
      </c>
      <c r="DC35" s="73" t="str">
        <f t="shared" si="42"/>
        <v>UF</v>
      </c>
      <c r="DD35" s="5" t="str">
        <f>IF(G35&lt;48,"UF", IF(NOT(ISBLANK(CZ:CZ)), CZ:CZ, IF(CL:CL=3, CK:CK+Sheet2!B378, IF(CL:CL=4, CK:CK+Sheet2!B379, IF(CL:CL=7, CK:CK+Sheet2!B380,"")))))</f>
        <v>UF</v>
      </c>
      <c r="DE35" s="69" t="str">
        <f t="shared" si="43"/>
        <v/>
      </c>
      <c r="DF35" s="2">
        <v>3</v>
      </c>
      <c r="DG35" s="2">
        <v>28</v>
      </c>
      <c r="DH35" s="2">
        <v>2</v>
      </c>
      <c r="DI35" s="2">
        <v>2</v>
      </c>
      <c r="DJ35" s="2">
        <v>2</v>
      </c>
      <c r="DK35" s="2" t="s">
        <v>12</v>
      </c>
      <c r="DL35" s="2" t="s">
        <v>12</v>
      </c>
      <c r="DM35" s="2">
        <v>94</v>
      </c>
      <c r="DN35" s="2">
        <v>49</v>
      </c>
      <c r="DO35" s="2" t="s">
        <v>12</v>
      </c>
      <c r="DP35" s="2" t="s">
        <v>12</v>
      </c>
      <c r="DQ35" s="2">
        <v>2</v>
      </c>
      <c r="DR35" s="2">
        <v>40</v>
      </c>
      <c r="DS35" s="2">
        <v>2</v>
      </c>
      <c r="DT35" s="2">
        <v>90</v>
      </c>
      <c r="DU35" s="2">
        <v>84</v>
      </c>
      <c r="DV35" s="2">
        <v>2</v>
      </c>
      <c r="DW35" s="2">
        <v>4</v>
      </c>
      <c r="DX35" s="2">
        <v>3</v>
      </c>
      <c r="DY35" s="2">
        <v>1</v>
      </c>
      <c r="DZ35" s="2">
        <v>32</v>
      </c>
      <c r="EA35" s="2" t="s">
        <v>12</v>
      </c>
      <c r="EB35" s="2">
        <v>47</v>
      </c>
      <c r="EC35" s="2" t="s">
        <v>12</v>
      </c>
      <c r="ED35" s="2">
        <v>1</v>
      </c>
    </row>
    <row r="36" spans="3:134" x14ac:dyDescent="0.25">
      <c r="C36" s="8" t="s">
        <v>219</v>
      </c>
      <c r="D36" s="4">
        <v>122641551</v>
      </c>
      <c r="E36" s="5">
        <v>7</v>
      </c>
      <c r="F36" s="2">
        <v>2</v>
      </c>
      <c r="G36" s="2">
        <v>29</v>
      </c>
      <c r="H36" s="2">
        <v>-0.32830724386160648</v>
      </c>
      <c r="I36" s="2">
        <v>49</v>
      </c>
      <c r="J36" s="2">
        <v>-0.46706379753639199</v>
      </c>
      <c r="K36" s="2">
        <v>3120</v>
      </c>
      <c r="L36" s="2">
        <v>-0.47393154530059262</v>
      </c>
      <c r="M36" s="2">
        <v>-1.8502000000000001</v>
      </c>
      <c r="N36" s="2" t="str">
        <f t="shared" si="0"/>
        <v/>
      </c>
      <c r="O36" s="2">
        <f t="shared" si="1"/>
        <v>-1.8502000000000001</v>
      </c>
      <c r="P36" s="2">
        <v>67.5</v>
      </c>
      <c r="Q36" s="2">
        <v>-7.0000000000000007E-2</v>
      </c>
      <c r="R36" s="5" t="str">
        <f t="shared" si="2"/>
        <v/>
      </c>
      <c r="S36" s="5">
        <f t="shared" si="3"/>
        <v>-7.0000000000000007E-2</v>
      </c>
      <c r="T36" s="2">
        <v>6800</v>
      </c>
      <c r="U36" s="2">
        <v>-1.4</v>
      </c>
      <c r="V36" s="2" t="str">
        <f t="shared" si="4"/>
        <v/>
      </c>
      <c r="W36" s="2">
        <f t="shared" si="5"/>
        <v>-1.4</v>
      </c>
      <c r="Y36" s="76" t="e">
        <f t="shared" si="44"/>
        <v>#VALUE!</v>
      </c>
      <c r="Z36" s="76" t="e">
        <f t="shared" si="45"/>
        <v>#VALUE!</v>
      </c>
      <c r="AA36" s="2" t="str">
        <f t="shared" si="6"/>
        <v/>
      </c>
      <c r="AB36" s="2" t="e">
        <f t="shared" si="7"/>
        <v>#VALUE!</v>
      </c>
      <c r="AC36" s="2" t="s">
        <v>12</v>
      </c>
      <c r="AE36" s="79" t="e">
        <f t="shared" si="46"/>
        <v>#VALUE!</v>
      </c>
      <c r="AF36" s="79" t="e">
        <f t="shared" si="47"/>
        <v>#VALUE!</v>
      </c>
      <c r="AG36" s="2" t="str">
        <f t="shared" si="64"/>
        <v/>
      </c>
      <c r="AH36" s="2" t="e">
        <f t="shared" si="9"/>
        <v>#VALUE!</v>
      </c>
      <c r="AI36" s="2" t="s">
        <v>12</v>
      </c>
      <c r="AK36" s="76" t="e">
        <f t="shared" si="48"/>
        <v>#VALUE!</v>
      </c>
      <c r="AL36" s="76" t="e">
        <f t="shared" si="49"/>
        <v>#VALUE!</v>
      </c>
      <c r="AM36" s="2" t="str">
        <f t="shared" si="10"/>
        <v/>
      </c>
      <c r="AN36" s="2" t="e">
        <f t="shared" si="11"/>
        <v>#VALUE!</v>
      </c>
      <c r="AP36" s="2" t="e">
        <f t="shared" si="12"/>
        <v>#VALUE!</v>
      </c>
      <c r="AQ36" s="2" t="e">
        <f t="shared" si="13"/>
        <v>#VALUE!</v>
      </c>
      <c r="AR36" s="2" t="s">
        <v>12</v>
      </c>
      <c r="AT36" s="2" t="e">
        <f t="shared" si="14"/>
        <v>#VALUE!</v>
      </c>
      <c r="AU36" s="2" t="e">
        <f t="shared" si="15"/>
        <v>#VALUE!</v>
      </c>
      <c r="AV36" s="2" t="s">
        <v>12</v>
      </c>
      <c r="AX36" s="2" t="e">
        <f t="shared" si="16"/>
        <v>#VALUE!</v>
      </c>
      <c r="AY36" s="2" t="e">
        <f t="shared" si="17"/>
        <v>#VALUE!</v>
      </c>
      <c r="AZ36" s="2">
        <v>-2.3635320528298678</v>
      </c>
      <c r="BA36" s="78" t="e">
        <f t="shared" si="50"/>
        <v>#VALUE!</v>
      </c>
      <c r="BB36" s="78" t="e">
        <f t="shared" si="51"/>
        <v>#VALUE!</v>
      </c>
      <c r="BC36" s="2" t="str">
        <f t="shared" si="18"/>
        <v/>
      </c>
      <c r="BD36" s="2">
        <f t="shared" si="19"/>
        <v>-2.3635320528298678</v>
      </c>
      <c r="BE36" s="67">
        <f t="shared" si="52"/>
        <v>2</v>
      </c>
      <c r="BF36" s="2">
        <v>85.5</v>
      </c>
      <c r="BG36" s="2">
        <v>-0.3880303030413601</v>
      </c>
      <c r="BH36" s="2" t="str">
        <f t="shared" si="20"/>
        <v/>
      </c>
      <c r="BI36" s="2">
        <f t="shared" si="21"/>
        <v>-0.3880303030413601</v>
      </c>
      <c r="BJ36" s="67">
        <f t="shared" si="65"/>
        <v>7</v>
      </c>
      <c r="BK36" s="2">
        <v>10300</v>
      </c>
      <c r="BL36" s="2">
        <v>-2.012633349587639</v>
      </c>
      <c r="BM36" s="77" t="e">
        <f t="shared" si="53"/>
        <v>#VALUE!</v>
      </c>
      <c r="BN36" s="77" t="e">
        <f t="shared" si="54"/>
        <v>#VALUE!</v>
      </c>
      <c r="BO36" s="2" t="str">
        <f t="shared" si="23"/>
        <v/>
      </c>
      <c r="BP36" s="2">
        <f t="shared" si="24"/>
        <v>-2.012633349587639</v>
      </c>
      <c r="BQ36" s="67">
        <f t="shared" si="55"/>
        <v>4</v>
      </c>
      <c r="BS36" s="75" t="str">
        <f t="shared" si="56"/>
        <v>UF</v>
      </c>
      <c r="BT36" s="75" t="str">
        <f t="shared" si="57"/>
        <v>UF</v>
      </c>
      <c r="BU36" s="5" t="str">
        <f t="shared" si="25"/>
        <v>UF</v>
      </c>
      <c r="BV36" s="5" t="str">
        <f t="shared" si="26"/>
        <v>UF</v>
      </c>
      <c r="BW36" s="69" t="str">
        <f t="shared" si="66"/>
        <v/>
      </c>
      <c r="BX36" s="2" t="s">
        <v>12</v>
      </c>
      <c r="BZ36" s="74" t="str">
        <f t="shared" si="58"/>
        <v>UF</v>
      </c>
      <c r="CA36" s="74" t="str">
        <f t="shared" si="59"/>
        <v>UF</v>
      </c>
      <c r="CB36" s="5" t="str">
        <f t="shared" si="28"/>
        <v>UF</v>
      </c>
      <c r="CC36" s="5" t="str">
        <f t="shared" si="29"/>
        <v>UF</v>
      </c>
      <c r="CD36" s="2" t="e">
        <f t="shared" si="30"/>
        <v>#VALUE!</v>
      </c>
      <c r="CE36" s="69" t="str">
        <f t="shared" si="31"/>
        <v/>
      </c>
      <c r="CF36" s="5" t="s">
        <v>12</v>
      </c>
      <c r="CH36" s="72" t="str">
        <f t="shared" si="60"/>
        <v>UF</v>
      </c>
      <c r="CI36" s="72" t="str">
        <f t="shared" si="61"/>
        <v>UF</v>
      </c>
      <c r="CJ36" s="5" t="str">
        <f t="shared" si="32"/>
        <v>UF</v>
      </c>
      <c r="CK36" s="5" t="str">
        <f t="shared" si="33"/>
        <v>UF</v>
      </c>
      <c r="CL36" s="69" t="str">
        <f t="shared" si="67"/>
        <v/>
      </c>
      <c r="CN36" s="70" t="str">
        <f t="shared" si="35"/>
        <v/>
      </c>
      <c r="CO36" s="5" t="str">
        <f t="shared" si="36"/>
        <v>UF</v>
      </c>
      <c r="CP36" s="5" t="str">
        <f>IF(G36&lt;48,"UF", IF(NOT(ISBLANK(CM:CM)), CM:CM, IF(BW:BW=1, BV:BV+Sheet2!B400, IF(Sheet1!BW:BW=2, Sheet1!BV:BV+Sheet2!B401, IF(Sheet1!BW:BW=7, Sheet1!BV:BV+Sheet2!B402,"")))))</f>
        <v>UF</v>
      </c>
      <c r="CQ36" s="69" t="str">
        <f t="shared" si="62"/>
        <v/>
      </c>
      <c r="CR36" s="5" t="s">
        <v>12</v>
      </c>
      <c r="CT36" s="5" t="str">
        <f t="shared" si="37"/>
        <v/>
      </c>
      <c r="CU36" s="80" t="str">
        <f t="shared" si="38"/>
        <v>UF</v>
      </c>
      <c r="CV36" s="80" t="str">
        <f t="shared" si="39"/>
        <v>UF</v>
      </c>
      <c r="CW36" s="20" t="str">
        <f>IF(G36&lt;48,"UF", IF(NOT(ISBLANK(CS36)), CS36, IF(CE36=5, CC36+Sheet2!B389, IF(CE36=6, CC36+Sheet2!B390, IF(CE36=7, CC36+Sheet2!B391,"")))))</f>
        <v>UF</v>
      </c>
      <c r="CX36" s="68" t="str">
        <f t="shared" si="63"/>
        <v/>
      </c>
      <c r="CY36" s="5" t="s">
        <v>12</v>
      </c>
      <c r="DA36" s="5" t="str">
        <f t="shared" si="40"/>
        <v>UF</v>
      </c>
      <c r="DB36" s="73" t="str">
        <f t="shared" si="41"/>
        <v>UF</v>
      </c>
      <c r="DC36" s="73" t="str">
        <f t="shared" si="42"/>
        <v>UF</v>
      </c>
      <c r="DD36" s="5" t="str">
        <f>IF(G36&lt;48,"UF", IF(NOT(ISBLANK(CZ:CZ)), CZ:CZ, IF(CL:CL=3, CK:CK+Sheet2!B394, IF(CL:CL=4, CK:CK+Sheet2!B395, IF(CL:CL=7, CK:CK+Sheet2!B396,"")))))</f>
        <v>UF</v>
      </c>
      <c r="DE36" s="69" t="str">
        <f t="shared" si="43"/>
        <v/>
      </c>
      <c r="DF36" s="2">
        <v>2</v>
      </c>
      <c r="DG36" s="2">
        <v>24</v>
      </c>
      <c r="DH36" s="2">
        <v>2</v>
      </c>
      <c r="DI36" s="2">
        <v>2</v>
      </c>
      <c r="DJ36" s="2">
        <v>2</v>
      </c>
      <c r="DK36" s="2">
        <v>121</v>
      </c>
      <c r="DL36" s="2">
        <v>64</v>
      </c>
      <c r="DM36" s="2" t="s">
        <v>12</v>
      </c>
      <c r="DN36" s="2" t="s">
        <v>12</v>
      </c>
      <c r="DO36" s="2">
        <v>120</v>
      </c>
      <c r="DP36" s="2">
        <v>80</v>
      </c>
      <c r="DQ36" s="2">
        <v>2</v>
      </c>
      <c r="DR36" s="2">
        <v>40</v>
      </c>
      <c r="DS36" s="2">
        <v>2</v>
      </c>
      <c r="DT36" s="2">
        <v>75</v>
      </c>
      <c r="DU36" s="2">
        <v>81</v>
      </c>
      <c r="DV36" s="2">
        <v>2</v>
      </c>
      <c r="DW36" s="2">
        <v>3</v>
      </c>
      <c r="DX36" s="2">
        <v>4</v>
      </c>
      <c r="DY36" s="2">
        <v>2</v>
      </c>
      <c r="DZ36" s="2">
        <v>33.5</v>
      </c>
      <c r="EA36" s="2">
        <v>35.5</v>
      </c>
      <c r="EB36" s="2" t="s">
        <v>12</v>
      </c>
      <c r="EC36" s="2">
        <v>4</v>
      </c>
      <c r="ED36" s="2" t="s">
        <v>12</v>
      </c>
    </row>
    <row r="37" spans="3:134" x14ac:dyDescent="0.25">
      <c r="C37" s="8" t="s">
        <v>206</v>
      </c>
      <c r="D37" s="4">
        <v>122641797</v>
      </c>
      <c r="E37" s="5">
        <v>7</v>
      </c>
      <c r="F37" s="2">
        <v>1</v>
      </c>
      <c r="G37" s="2">
        <v>29</v>
      </c>
      <c r="H37" s="2">
        <v>-1.645894167605424</v>
      </c>
      <c r="I37" s="2">
        <v>51</v>
      </c>
      <c r="J37" s="2">
        <v>0.99441714029262385</v>
      </c>
      <c r="K37" s="1">
        <v>2980</v>
      </c>
      <c r="L37" s="2">
        <v>-0.56450221296557834</v>
      </c>
      <c r="M37" s="2">
        <v>-0.50929999999999997</v>
      </c>
      <c r="N37" s="2">
        <f t="shared" si="0"/>
        <v>0.90269708380271196</v>
      </c>
      <c r="O37" s="2">
        <f t="shared" si="1"/>
        <v>-0.50929999999999997</v>
      </c>
      <c r="P37" s="2">
        <v>67</v>
      </c>
      <c r="Q37" s="2">
        <v>0.55000000000000004</v>
      </c>
      <c r="R37" s="5">
        <f t="shared" si="2"/>
        <v>-0.88720857014631194</v>
      </c>
      <c r="S37" s="5">
        <f t="shared" si="3"/>
        <v>0.55000000000000004</v>
      </c>
      <c r="T37" s="2">
        <v>7250</v>
      </c>
      <c r="U37" s="2">
        <v>-0.06</v>
      </c>
      <c r="V37" s="2">
        <f t="shared" si="4"/>
        <v>0.12225110648278917</v>
      </c>
      <c r="W37" s="2">
        <f t="shared" si="5"/>
        <v>-0.06</v>
      </c>
      <c r="X37" s="2">
        <v>0.1595</v>
      </c>
      <c r="Y37" s="76">
        <f t="shared" si="44"/>
        <v>1.8053941676054239</v>
      </c>
      <c r="Z37" s="76">
        <f t="shared" si="45"/>
        <v>2</v>
      </c>
      <c r="AA37" s="2">
        <f t="shared" si="6"/>
        <v>-0.65369999999999995</v>
      </c>
      <c r="AB37" s="2">
        <f t="shared" si="7"/>
        <v>0.1595</v>
      </c>
      <c r="AC37" s="2">
        <v>72</v>
      </c>
      <c r="AD37" s="2">
        <v>-0.78</v>
      </c>
      <c r="AE37" s="79">
        <f t="shared" si="46"/>
        <v>-1.7744171402926239</v>
      </c>
      <c r="AF37" s="79">
        <f t="shared" si="47"/>
        <v>-2</v>
      </c>
      <c r="AG37" s="2">
        <f t="shared" si="64"/>
        <v>-0.20500000000000002</v>
      </c>
      <c r="AH37" s="2">
        <f t="shared" si="9"/>
        <v>-0.78</v>
      </c>
      <c r="AI37" s="2">
        <v>8600</v>
      </c>
      <c r="AJ37" s="2">
        <v>-0.32</v>
      </c>
      <c r="AK37" s="76">
        <f t="shared" si="48"/>
        <v>0.24450221296557834</v>
      </c>
      <c r="AL37" s="76">
        <f t="shared" si="49"/>
        <v>1</v>
      </c>
      <c r="AM37" s="2">
        <f t="shared" si="10"/>
        <v>-0.19</v>
      </c>
      <c r="AN37" s="2">
        <f t="shared" si="11"/>
        <v>-0.32</v>
      </c>
      <c r="AO37" s="2">
        <v>-0.75739999999999996</v>
      </c>
      <c r="AP37" s="2">
        <f t="shared" si="12"/>
        <v>-0.4722917492794374</v>
      </c>
      <c r="AQ37" s="2">
        <f t="shared" si="13"/>
        <v>-0.75739999999999996</v>
      </c>
      <c r="AR37" s="2">
        <v>81.11</v>
      </c>
      <c r="AS37" s="2">
        <v>0.14000000000000001</v>
      </c>
      <c r="AT37" s="2">
        <f t="shared" si="14"/>
        <v>0.33307336982548003</v>
      </c>
      <c r="AU37" s="2">
        <f t="shared" si="15"/>
        <v>0.14000000000000001</v>
      </c>
      <c r="AV37" s="2">
        <v>9700</v>
      </c>
      <c r="AW37" s="2">
        <v>-0.44</v>
      </c>
      <c r="AX37" s="2">
        <f t="shared" si="16"/>
        <v>-0.26772540616647189</v>
      </c>
      <c r="AY37" s="2">
        <f t="shared" si="17"/>
        <v>-0.44</v>
      </c>
      <c r="AZ37" s="2">
        <v>-0.78508349855887483</v>
      </c>
      <c r="BA37" s="78">
        <f t="shared" si="50"/>
        <v>-0.9445834985588748</v>
      </c>
      <c r="BB37" s="78">
        <f t="shared" si="51"/>
        <v>-2</v>
      </c>
      <c r="BC37" s="2" t="str">
        <f t="shared" si="18"/>
        <v/>
      </c>
      <c r="BD37" s="2">
        <f t="shared" si="19"/>
        <v>-0.78508349855887483</v>
      </c>
      <c r="BE37" s="67">
        <f t="shared" si="52"/>
        <v>7</v>
      </c>
      <c r="BF37" s="2">
        <v>85</v>
      </c>
      <c r="BG37" s="2">
        <v>-0.11385326034904</v>
      </c>
      <c r="BH37" s="2" t="str">
        <f t="shared" si="20"/>
        <v/>
      </c>
      <c r="BI37" s="2">
        <f t="shared" si="21"/>
        <v>-0.11385326034904</v>
      </c>
      <c r="BJ37" s="67">
        <f t="shared" si="65"/>
        <v>7</v>
      </c>
      <c r="BK37" s="2">
        <v>11100</v>
      </c>
      <c r="BL37" s="2">
        <v>-0.85545081233294373</v>
      </c>
      <c r="BM37" s="77">
        <f t="shared" si="53"/>
        <v>-0.53545081233294378</v>
      </c>
      <c r="BN37" s="77">
        <f t="shared" si="54"/>
        <v>-1</v>
      </c>
      <c r="BO37" s="2" t="str">
        <f t="shared" si="23"/>
        <v/>
      </c>
      <c r="BP37" s="2">
        <f t="shared" si="24"/>
        <v>-0.85545081233294373</v>
      </c>
      <c r="BQ37" s="67">
        <f t="shared" si="55"/>
        <v>7</v>
      </c>
      <c r="BS37" s="75" t="str">
        <f t="shared" si="56"/>
        <v>UF</v>
      </c>
      <c r="BT37" s="75" t="str">
        <f t="shared" si="57"/>
        <v>UF</v>
      </c>
      <c r="BU37" s="5" t="str">
        <f t="shared" si="25"/>
        <v>UF</v>
      </c>
      <c r="BV37" s="5" t="str">
        <f t="shared" si="26"/>
        <v>UF</v>
      </c>
      <c r="BW37" s="69" t="str">
        <f t="shared" si="66"/>
        <v/>
      </c>
      <c r="BX37" s="2" t="s">
        <v>12</v>
      </c>
      <c r="BZ37" s="74" t="str">
        <f t="shared" si="58"/>
        <v>UF</v>
      </c>
      <c r="CA37" s="74" t="str">
        <f t="shared" si="59"/>
        <v>UF</v>
      </c>
      <c r="CB37" s="5" t="str">
        <f t="shared" si="28"/>
        <v>UF</v>
      </c>
      <c r="CC37" s="5" t="str">
        <f t="shared" si="29"/>
        <v>UF</v>
      </c>
      <c r="CD37" s="2" t="e">
        <f t="shared" si="30"/>
        <v>#VALUE!</v>
      </c>
      <c r="CE37" s="69" t="str">
        <f t="shared" si="31"/>
        <v/>
      </c>
      <c r="CF37" s="5" t="s">
        <v>12</v>
      </c>
      <c r="CH37" s="72" t="str">
        <f t="shared" si="60"/>
        <v>UF</v>
      </c>
      <c r="CI37" s="72" t="str">
        <f t="shared" si="61"/>
        <v>UF</v>
      </c>
      <c r="CJ37" s="5" t="str">
        <f t="shared" si="32"/>
        <v>UF</v>
      </c>
      <c r="CK37" s="5" t="str">
        <f t="shared" si="33"/>
        <v>UF</v>
      </c>
      <c r="CL37" s="69" t="str">
        <f t="shared" si="67"/>
        <v/>
      </c>
      <c r="CN37" s="70" t="str">
        <f t="shared" si="35"/>
        <v/>
      </c>
      <c r="CO37" s="5" t="str">
        <f t="shared" si="36"/>
        <v>UF</v>
      </c>
      <c r="CP37" s="5" t="str">
        <f>IF(G37&lt;48,"UF", IF(NOT(ISBLANK(CM:CM)), CM:CM, IF(BW:BW=1, BV:BV+Sheet2!B383, IF(Sheet1!BW:BW=2, Sheet1!BV:BV+Sheet2!B384, IF(Sheet1!BW:BW=7, Sheet1!BV:BV+Sheet2!B385,"")))))</f>
        <v>UF</v>
      </c>
      <c r="CQ37" s="69" t="str">
        <f t="shared" si="62"/>
        <v/>
      </c>
      <c r="CR37" s="5" t="s">
        <v>12</v>
      </c>
      <c r="CT37" s="5" t="str">
        <f t="shared" si="37"/>
        <v/>
      </c>
      <c r="CU37" s="80" t="str">
        <f t="shared" si="38"/>
        <v>UF</v>
      </c>
      <c r="CV37" s="80" t="str">
        <f t="shared" si="39"/>
        <v>UF</v>
      </c>
      <c r="CW37" s="20" t="str">
        <f>IF(G37&lt;48,"UF", IF(NOT(ISBLANK(CS37)), CS37, IF(CE37=5, CC37+Sheet2!B372, IF(CE37=6, CC37+Sheet2!B373, IF(CE37=7, CC37+Sheet2!B374,"")))))</f>
        <v>UF</v>
      </c>
      <c r="CX37" s="68" t="str">
        <f t="shared" si="63"/>
        <v/>
      </c>
      <c r="CY37" s="5" t="s">
        <v>12</v>
      </c>
      <c r="DA37" s="5" t="str">
        <f t="shared" si="40"/>
        <v>UF</v>
      </c>
      <c r="DB37" s="73" t="str">
        <f t="shared" si="41"/>
        <v>UF</v>
      </c>
      <c r="DC37" s="73" t="str">
        <f t="shared" si="42"/>
        <v>UF</v>
      </c>
      <c r="DD37" s="5" t="str">
        <f>IF(G37&lt;48,"UF", IF(NOT(ISBLANK(CZ:CZ)), CZ:CZ, IF(CL:CL=3, CK:CK+Sheet2!B377, IF(CL:CL=4, CK:CK+Sheet2!B378, IF(CL:CL=7, CK:CK+Sheet2!B379,"")))))</f>
        <v>UF</v>
      </c>
      <c r="DE37" s="69" t="str">
        <f t="shared" si="43"/>
        <v/>
      </c>
      <c r="DF37" s="2">
        <v>5</v>
      </c>
      <c r="DG37" s="2">
        <v>32</v>
      </c>
      <c r="DH37" s="2">
        <v>2</v>
      </c>
      <c r="DI37" s="2">
        <v>2</v>
      </c>
      <c r="DJ37" s="2">
        <v>2</v>
      </c>
      <c r="DK37" s="2">
        <v>105</v>
      </c>
      <c r="DL37" s="2">
        <v>61</v>
      </c>
      <c r="DM37" s="2">
        <v>110</v>
      </c>
      <c r="DN37" s="2">
        <v>68</v>
      </c>
      <c r="DO37" s="2">
        <v>118</v>
      </c>
      <c r="DP37" s="2">
        <v>72</v>
      </c>
      <c r="DQ37" s="2">
        <v>2</v>
      </c>
      <c r="DR37" s="2">
        <v>40</v>
      </c>
      <c r="DS37" s="2">
        <v>2</v>
      </c>
      <c r="DT37" s="2">
        <v>85.5</v>
      </c>
      <c r="DU37" s="2">
        <v>86</v>
      </c>
      <c r="DV37" s="2">
        <v>2</v>
      </c>
      <c r="DW37" s="2">
        <v>2</v>
      </c>
      <c r="DX37" s="2">
        <v>2</v>
      </c>
      <c r="DY37" s="2">
        <v>1</v>
      </c>
      <c r="DZ37" s="2">
        <v>33</v>
      </c>
      <c r="EA37" s="2">
        <v>34.5</v>
      </c>
      <c r="EB37" s="2">
        <v>43.5</v>
      </c>
      <c r="EC37" s="2">
        <v>1</v>
      </c>
      <c r="ED37" s="2">
        <v>4</v>
      </c>
    </row>
    <row r="38" spans="3:134" x14ac:dyDescent="0.25">
      <c r="C38" s="8" t="s">
        <v>212</v>
      </c>
      <c r="D38" s="4">
        <v>122647696</v>
      </c>
      <c r="E38" s="5">
        <v>7</v>
      </c>
      <c r="F38" s="2">
        <v>1</v>
      </c>
      <c r="G38" s="2">
        <v>28</v>
      </c>
      <c r="H38" s="2">
        <v>-1.4203760946326209</v>
      </c>
      <c r="I38" s="2">
        <v>48</v>
      </c>
      <c r="J38" s="2">
        <v>-0.61614996855203885</v>
      </c>
      <c r="K38" s="1">
        <v>2695</v>
      </c>
      <c r="L38" s="2">
        <v>-1.239258703096765</v>
      </c>
      <c r="M38" s="2">
        <v>-0.34399999999999997</v>
      </c>
      <c r="N38" s="2">
        <f t="shared" si="0"/>
        <v>0.73358804731631044</v>
      </c>
      <c r="O38" s="2">
        <f t="shared" si="1"/>
        <v>-0.34399999999999997</v>
      </c>
      <c r="P38" s="2">
        <v>60.5</v>
      </c>
      <c r="Q38" s="2">
        <v>-2.3199999999999998</v>
      </c>
      <c r="R38" s="5">
        <f t="shared" si="2"/>
        <v>-0.27692501572398054</v>
      </c>
      <c r="S38" s="5">
        <f t="shared" si="3"/>
        <v>-2.3199999999999998</v>
      </c>
      <c r="T38" s="2">
        <v>6000</v>
      </c>
      <c r="U38" s="2">
        <v>-1.62</v>
      </c>
      <c r="V38" s="2">
        <f t="shared" si="4"/>
        <v>0.29962935154838249</v>
      </c>
      <c r="W38" s="2">
        <f t="shared" si="5"/>
        <v>-1.62</v>
      </c>
      <c r="X38" s="2">
        <v>4.6800000000000001E-2</v>
      </c>
      <c r="Y38" s="76">
        <f t="shared" si="44"/>
        <v>1.4671760946326209</v>
      </c>
      <c r="Z38" s="76">
        <f t="shared" si="45"/>
        <v>2</v>
      </c>
      <c r="AA38" s="2" t="str">
        <f t="shared" si="6"/>
        <v/>
      </c>
      <c r="AB38" s="2">
        <f t="shared" si="7"/>
        <v>4.6800000000000001E-2</v>
      </c>
      <c r="AC38" s="2">
        <v>71</v>
      </c>
      <c r="AD38" s="2">
        <v>-1.17</v>
      </c>
      <c r="AE38" s="79">
        <f t="shared" si="46"/>
        <v>-0.55385003144796108</v>
      </c>
      <c r="AF38" s="79">
        <f t="shared" si="47"/>
        <v>-1</v>
      </c>
      <c r="AG38" s="2" t="str">
        <f t="shared" si="64"/>
        <v/>
      </c>
      <c r="AH38" s="2">
        <f t="shared" si="9"/>
        <v>-1.17</v>
      </c>
      <c r="AI38" s="2">
        <v>8280</v>
      </c>
      <c r="AJ38" s="2">
        <v>-0.64</v>
      </c>
      <c r="AK38" s="76">
        <f t="shared" si="48"/>
        <v>0.59925870309676499</v>
      </c>
      <c r="AL38" s="76">
        <f t="shared" si="49"/>
        <v>1</v>
      </c>
      <c r="AM38" s="2" t="str">
        <f t="shared" si="10"/>
        <v/>
      </c>
      <c r="AN38" s="2">
        <f t="shared" si="11"/>
        <v>-0.64</v>
      </c>
      <c r="AP38" s="2" t="str">
        <f t="shared" si="12"/>
        <v/>
      </c>
      <c r="AQ38" s="2" t="e">
        <f t="shared" si="13"/>
        <v>#VALUE!</v>
      </c>
      <c r="AR38" s="2" t="s">
        <v>12</v>
      </c>
      <c r="AT38" s="2" t="str">
        <f t="shared" si="14"/>
        <v/>
      </c>
      <c r="AU38" s="2" t="e">
        <f t="shared" si="15"/>
        <v>#VALUE!</v>
      </c>
      <c r="AV38" s="2" t="s">
        <v>12</v>
      </c>
      <c r="AX38" s="2" t="str">
        <f t="shared" si="16"/>
        <v/>
      </c>
      <c r="AY38" s="2" t="e">
        <f t="shared" si="17"/>
        <v>#VALUE!</v>
      </c>
      <c r="BA38" s="78" t="e">
        <f t="shared" si="50"/>
        <v>#VALUE!</v>
      </c>
      <c r="BB38" s="78" t="e">
        <f t="shared" si="51"/>
        <v>#VALUE!</v>
      </c>
      <c r="BC38" s="2" t="str">
        <f t="shared" si="18"/>
        <v/>
      </c>
      <c r="BD38" s="2" t="e">
        <f t="shared" si="19"/>
        <v>#VALUE!</v>
      </c>
      <c r="BE38" s="67" t="e">
        <f t="shared" si="52"/>
        <v>#VALUE!</v>
      </c>
      <c r="BF38" s="2" t="s">
        <v>12</v>
      </c>
      <c r="BH38" s="2" t="str">
        <f t="shared" si="20"/>
        <v/>
      </c>
      <c r="BI38" s="2" t="e">
        <f t="shared" si="21"/>
        <v>#VALUE!</v>
      </c>
      <c r="BJ38" s="67" t="e">
        <f t="shared" si="65"/>
        <v>#VALUE!</v>
      </c>
      <c r="BK38" s="2" t="s">
        <v>12</v>
      </c>
      <c r="BM38" s="77" t="e">
        <f t="shared" si="53"/>
        <v>#VALUE!</v>
      </c>
      <c r="BN38" s="77" t="e">
        <f t="shared" si="54"/>
        <v>#VALUE!</v>
      </c>
      <c r="BO38" s="2" t="str">
        <f t="shared" si="23"/>
        <v/>
      </c>
      <c r="BP38" s="2" t="e">
        <f t="shared" si="24"/>
        <v>#VALUE!</v>
      </c>
      <c r="BQ38" s="67" t="e">
        <f t="shared" si="55"/>
        <v>#VALUE!</v>
      </c>
      <c r="BS38" s="75" t="str">
        <f t="shared" si="56"/>
        <v>UF</v>
      </c>
      <c r="BT38" s="75" t="str">
        <f t="shared" si="57"/>
        <v>UF</v>
      </c>
      <c r="BU38" s="5" t="str">
        <f t="shared" si="25"/>
        <v>UF</v>
      </c>
      <c r="BV38" s="5" t="str">
        <f t="shared" si="26"/>
        <v>UF</v>
      </c>
      <c r="BW38" s="69" t="str">
        <f t="shared" si="66"/>
        <v/>
      </c>
      <c r="BX38" s="2" t="s">
        <v>12</v>
      </c>
      <c r="BZ38" s="74" t="str">
        <f t="shared" si="58"/>
        <v>UF</v>
      </c>
      <c r="CA38" s="74" t="str">
        <f t="shared" si="59"/>
        <v>UF</v>
      </c>
      <c r="CB38" s="5" t="str">
        <f t="shared" si="28"/>
        <v>UF</v>
      </c>
      <c r="CC38" s="5" t="str">
        <f t="shared" si="29"/>
        <v>UF</v>
      </c>
      <c r="CD38" s="2" t="e">
        <f t="shared" si="30"/>
        <v>#VALUE!</v>
      </c>
      <c r="CE38" s="69" t="str">
        <f t="shared" si="31"/>
        <v/>
      </c>
      <c r="CF38" s="5" t="s">
        <v>12</v>
      </c>
      <c r="CH38" s="72" t="str">
        <f t="shared" si="60"/>
        <v>UF</v>
      </c>
      <c r="CI38" s="72" t="str">
        <f t="shared" si="61"/>
        <v>UF</v>
      </c>
      <c r="CJ38" s="5" t="str">
        <f t="shared" si="32"/>
        <v>UF</v>
      </c>
      <c r="CK38" s="5" t="str">
        <f t="shared" si="33"/>
        <v>UF</v>
      </c>
      <c r="CL38" s="69" t="str">
        <f t="shared" si="67"/>
        <v/>
      </c>
      <c r="CN38" s="70" t="str">
        <f t="shared" si="35"/>
        <v/>
      </c>
      <c r="CO38" s="5" t="str">
        <f t="shared" si="36"/>
        <v>UF</v>
      </c>
      <c r="CP38" s="5" t="str">
        <f>IF(G38&lt;48,"UF", IF(NOT(ISBLANK(CM:CM)), CM:CM, IF(BW:BW=1, BV:BV+Sheet2!B393, IF(Sheet1!BW:BW=2, Sheet1!BV:BV+Sheet2!B394, IF(Sheet1!BW:BW=7, Sheet1!BV:BV+Sheet2!B395,"")))))</f>
        <v>UF</v>
      </c>
      <c r="CQ38" s="69" t="str">
        <f t="shared" si="62"/>
        <v/>
      </c>
      <c r="CR38" s="5" t="s">
        <v>12</v>
      </c>
      <c r="CT38" s="5" t="str">
        <f t="shared" si="37"/>
        <v/>
      </c>
      <c r="CU38" s="80" t="str">
        <f t="shared" si="38"/>
        <v>UF</v>
      </c>
      <c r="CV38" s="80" t="str">
        <f t="shared" si="39"/>
        <v>UF</v>
      </c>
      <c r="CW38" s="20" t="str">
        <f>IF(G38&lt;48,"UF", IF(NOT(ISBLANK(CS38)), CS38, IF(CE38=5, CC38+Sheet2!B382, IF(CE38=6, CC38+Sheet2!B383, IF(CE38=7, CC38+Sheet2!B384,"")))))</f>
        <v>UF</v>
      </c>
      <c r="CX38" s="68" t="str">
        <f t="shared" si="63"/>
        <v/>
      </c>
      <c r="CY38" s="5" t="s">
        <v>12</v>
      </c>
      <c r="DA38" s="5" t="str">
        <f t="shared" si="40"/>
        <v>UF</v>
      </c>
      <c r="DB38" s="73" t="str">
        <f t="shared" si="41"/>
        <v>UF</v>
      </c>
      <c r="DC38" s="73" t="str">
        <f t="shared" si="42"/>
        <v>UF</v>
      </c>
      <c r="DD38" s="5" t="str">
        <f>IF(G38&lt;48,"UF", IF(NOT(ISBLANK(CZ:CZ)), CZ:CZ, IF(CL:CL=3, CK:CK+Sheet2!B387, IF(CL:CL=4, CK:CK+Sheet2!B388, IF(CL:CL=7, CK:CK+Sheet2!B389,"")))))</f>
        <v>UF</v>
      </c>
      <c r="DE38" s="69" t="str">
        <f t="shared" si="43"/>
        <v/>
      </c>
      <c r="DF38" s="2">
        <v>4</v>
      </c>
      <c r="DG38" s="2">
        <v>46</v>
      </c>
      <c r="DH38" s="2">
        <v>1</v>
      </c>
      <c r="DI38" s="2">
        <v>2</v>
      </c>
      <c r="DJ38" s="2">
        <v>2</v>
      </c>
      <c r="DK38" s="2">
        <v>120</v>
      </c>
      <c r="DL38" s="2">
        <v>71</v>
      </c>
      <c r="DM38" s="2">
        <v>90</v>
      </c>
      <c r="DN38" s="2">
        <v>50</v>
      </c>
      <c r="DO38" s="2" t="s">
        <v>12</v>
      </c>
      <c r="DP38" s="2" t="s">
        <v>12</v>
      </c>
      <c r="DQ38" s="2">
        <v>1</v>
      </c>
      <c r="DR38" s="2">
        <v>37</v>
      </c>
      <c r="DS38" s="2">
        <v>1</v>
      </c>
      <c r="DT38" s="2">
        <v>90</v>
      </c>
      <c r="DU38" s="2">
        <v>81</v>
      </c>
      <c r="DV38" s="2">
        <v>2</v>
      </c>
      <c r="DW38" s="2">
        <v>2</v>
      </c>
      <c r="DX38" s="2">
        <v>2</v>
      </c>
      <c r="DY38" s="2">
        <v>2</v>
      </c>
      <c r="DZ38" s="2">
        <v>33</v>
      </c>
      <c r="EA38" s="2">
        <v>32.799999999999997</v>
      </c>
      <c r="EB38" s="2">
        <v>42</v>
      </c>
      <c r="EC38" s="2">
        <v>1</v>
      </c>
      <c r="ED38" s="2">
        <v>1</v>
      </c>
    </row>
    <row r="39" spans="3:134" x14ac:dyDescent="0.25">
      <c r="C39" s="8" t="s">
        <v>102</v>
      </c>
      <c r="D39" s="4">
        <v>122648437</v>
      </c>
      <c r="E39" s="5">
        <v>7</v>
      </c>
      <c r="F39" s="2">
        <v>2</v>
      </c>
      <c r="G39" s="2">
        <v>27</v>
      </c>
      <c r="H39" s="2">
        <v>0.67597197215433547</v>
      </c>
      <c r="I39" s="2">
        <v>53</v>
      </c>
      <c r="J39" s="2">
        <v>1.645866503279491</v>
      </c>
      <c r="K39" s="1">
        <v>4020</v>
      </c>
      <c r="L39" s="2">
        <v>1.297000017224448</v>
      </c>
      <c r="N39" s="2" t="str">
        <f t="shared" si="0"/>
        <v/>
      </c>
      <c r="O39" s="2" t="e">
        <f t="shared" si="1"/>
        <v>#VALUE!</v>
      </c>
      <c r="P39" s="2" t="s">
        <v>12</v>
      </c>
      <c r="R39" s="5" t="str">
        <f t="shared" si="2"/>
        <v/>
      </c>
      <c r="S39" s="5" t="e">
        <f t="shared" si="3"/>
        <v>#VALUE!</v>
      </c>
      <c r="T39" s="2" t="s">
        <v>12</v>
      </c>
      <c r="V39" s="2" t="str">
        <f t="shared" si="4"/>
        <v/>
      </c>
      <c r="W39" s="2" t="e">
        <f t="shared" si="5"/>
        <v>#VALUE!</v>
      </c>
      <c r="Y39" s="76" t="e">
        <f t="shared" si="44"/>
        <v>#VALUE!</v>
      </c>
      <c r="Z39" s="76" t="e">
        <f t="shared" si="45"/>
        <v>#VALUE!</v>
      </c>
      <c r="AA39" s="2" t="str">
        <f t="shared" si="6"/>
        <v/>
      </c>
      <c r="AB39" s="2" t="e">
        <f t="shared" si="7"/>
        <v>#VALUE!</v>
      </c>
      <c r="AC39" s="2" t="s">
        <v>12</v>
      </c>
      <c r="AE39" s="79" t="e">
        <f t="shared" si="46"/>
        <v>#VALUE!</v>
      </c>
      <c r="AF39" s="79" t="e">
        <f t="shared" si="47"/>
        <v>#VALUE!</v>
      </c>
      <c r="AG39" s="2" t="str">
        <f t="shared" si="64"/>
        <v/>
      </c>
      <c r="AH39" s="2" t="e">
        <f t="shared" si="9"/>
        <v>#VALUE!</v>
      </c>
      <c r="AI39" s="2" t="s">
        <v>12</v>
      </c>
      <c r="AK39" s="76" t="e">
        <f t="shared" si="48"/>
        <v>#VALUE!</v>
      </c>
      <c r="AL39" s="76" t="e">
        <f t="shared" si="49"/>
        <v>#VALUE!</v>
      </c>
      <c r="AM39" s="2" t="str">
        <f t="shared" si="10"/>
        <v/>
      </c>
      <c r="AN39" s="2" t="e">
        <f t="shared" si="11"/>
        <v>#VALUE!</v>
      </c>
      <c r="AP39" s="2" t="e">
        <f t="shared" si="12"/>
        <v>#VALUE!</v>
      </c>
      <c r="AQ39" s="2" t="e">
        <f t="shared" si="13"/>
        <v>#VALUE!</v>
      </c>
      <c r="AR39" s="2" t="s">
        <v>12</v>
      </c>
      <c r="AT39" s="2" t="e">
        <f t="shared" si="14"/>
        <v>#VALUE!</v>
      </c>
      <c r="AU39" s="2" t="e">
        <f t="shared" si="15"/>
        <v>#VALUE!</v>
      </c>
      <c r="AV39" s="2" t="s">
        <v>12</v>
      </c>
      <c r="AX39" s="2" t="e">
        <f t="shared" si="16"/>
        <v>#VALUE!</v>
      </c>
      <c r="AY39" s="2" t="e">
        <f t="shared" si="17"/>
        <v>#VALUE!</v>
      </c>
      <c r="AZ39" s="2">
        <v>-1.5093572659851009</v>
      </c>
      <c r="BA39" s="78" t="e">
        <f t="shared" si="50"/>
        <v>#VALUE!</v>
      </c>
      <c r="BB39" s="78" t="e">
        <f t="shared" si="51"/>
        <v>#VALUE!</v>
      </c>
      <c r="BC39" s="2" t="str">
        <f t="shared" si="18"/>
        <v/>
      </c>
      <c r="BD39" s="2">
        <f t="shared" si="19"/>
        <v>-1.5093572659851009</v>
      </c>
      <c r="BE39" s="67">
        <f t="shared" si="52"/>
        <v>7</v>
      </c>
      <c r="BF39" s="2">
        <v>95</v>
      </c>
      <c r="BG39" s="2">
        <v>2.3201635524885171</v>
      </c>
      <c r="BH39" s="2" t="str">
        <f t="shared" si="20"/>
        <v/>
      </c>
      <c r="BI39" s="2">
        <f t="shared" si="21"/>
        <v>2.3201635524885171</v>
      </c>
      <c r="BJ39" s="67" t="str">
        <f t="shared" si="65"/>
        <v/>
      </c>
      <c r="BK39" s="2">
        <v>13400</v>
      </c>
      <c r="BL39" s="2">
        <v>0.4632975002113901</v>
      </c>
      <c r="BM39" s="77" t="e">
        <f t="shared" si="53"/>
        <v>#VALUE!</v>
      </c>
      <c r="BN39" s="77" t="e">
        <f t="shared" si="54"/>
        <v>#VALUE!</v>
      </c>
      <c r="BO39" s="2" t="str">
        <f t="shared" si="23"/>
        <v/>
      </c>
      <c r="BP39" s="2">
        <f t="shared" si="24"/>
        <v>0.4632975002113901</v>
      </c>
      <c r="BQ39" s="67">
        <f t="shared" si="55"/>
        <v>7</v>
      </c>
      <c r="BS39" s="75" t="str">
        <f t="shared" si="56"/>
        <v>UF</v>
      </c>
      <c r="BT39" s="75" t="str">
        <f t="shared" si="57"/>
        <v>UF</v>
      </c>
      <c r="BU39" s="5" t="str">
        <f t="shared" si="25"/>
        <v>UF</v>
      </c>
      <c r="BV39" s="5" t="str">
        <f t="shared" si="26"/>
        <v>UF</v>
      </c>
      <c r="BW39" s="69" t="str">
        <f t="shared" si="66"/>
        <v/>
      </c>
      <c r="BX39" s="2" t="s">
        <v>12</v>
      </c>
      <c r="BZ39" s="74" t="str">
        <f t="shared" si="58"/>
        <v>UF</v>
      </c>
      <c r="CA39" s="74" t="str">
        <f t="shared" si="59"/>
        <v>UF</v>
      </c>
      <c r="CB39" s="5" t="str">
        <f t="shared" si="28"/>
        <v>UF</v>
      </c>
      <c r="CC39" s="5" t="str">
        <f t="shared" si="29"/>
        <v>UF</v>
      </c>
      <c r="CD39" s="2" t="e">
        <f t="shared" si="30"/>
        <v>#VALUE!</v>
      </c>
      <c r="CE39" s="69" t="str">
        <f t="shared" si="31"/>
        <v/>
      </c>
      <c r="CF39" s="5" t="s">
        <v>12</v>
      </c>
      <c r="CH39" s="72" t="str">
        <f t="shared" si="60"/>
        <v>UF</v>
      </c>
      <c r="CI39" s="72" t="str">
        <f t="shared" si="61"/>
        <v>UF</v>
      </c>
      <c r="CJ39" s="5" t="str">
        <f t="shared" si="32"/>
        <v>UF</v>
      </c>
      <c r="CK39" s="5" t="str">
        <f t="shared" si="33"/>
        <v>UF</v>
      </c>
      <c r="CL39" s="69" t="str">
        <f t="shared" si="67"/>
        <v/>
      </c>
      <c r="CN39" s="70" t="str">
        <f t="shared" si="35"/>
        <v/>
      </c>
      <c r="CO39" s="5" t="str">
        <f t="shared" si="36"/>
        <v>UF</v>
      </c>
      <c r="CP39" s="5" t="str">
        <f>IF(G39&lt;48,"UF", IF(NOT(ISBLANK(CM:CM)), CM:CM, IF(BW:BW=1, BV:BV+Sheet2!B390, IF(Sheet1!BW:BW=2, Sheet1!BV:BV+Sheet2!B391, IF(Sheet1!BW:BW=7, Sheet1!BV:BV+Sheet2!B392,"")))))</f>
        <v>UF</v>
      </c>
      <c r="CQ39" s="69" t="str">
        <f t="shared" si="62"/>
        <v/>
      </c>
      <c r="CR39" s="5" t="s">
        <v>12</v>
      </c>
      <c r="CT39" s="5" t="str">
        <f t="shared" si="37"/>
        <v/>
      </c>
      <c r="CU39" s="80" t="str">
        <f t="shared" si="38"/>
        <v>UF</v>
      </c>
      <c r="CV39" s="80" t="str">
        <f t="shared" si="39"/>
        <v>UF</v>
      </c>
      <c r="CW39" s="20" t="str">
        <f>IF(G39&lt;48,"UF", IF(NOT(ISBLANK(CS39)), CS39, IF(CE39=5, CC39+Sheet2!B379, IF(CE39=6, CC39+Sheet2!B380, IF(CE39=7, CC39+Sheet2!B381,"")))))</f>
        <v>UF</v>
      </c>
      <c r="CX39" s="68" t="str">
        <f t="shared" si="63"/>
        <v/>
      </c>
      <c r="CY39" s="5" t="s">
        <v>12</v>
      </c>
      <c r="DA39" s="5" t="str">
        <f t="shared" si="40"/>
        <v>UF</v>
      </c>
      <c r="DB39" s="73" t="str">
        <f t="shared" si="41"/>
        <v>UF</v>
      </c>
      <c r="DC39" s="73" t="str">
        <f t="shared" si="42"/>
        <v>UF</v>
      </c>
      <c r="DD39" s="5" t="str">
        <f>IF(G39&lt;48,"UF", IF(NOT(ISBLANK(CZ:CZ)), CZ:CZ, IF(CL:CL=3, CK:CK+Sheet2!B384, IF(CL:CL=4, CK:CK+Sheet2!B385, IF(CL:CL=7, CK:CK+Sheet2!B386,"")))))</f>
        <v>UF</v>
      </c>
      <c r="DE39" s="69" t="str">
        <f t="shared" si="43"/>
        <v/>
      </c>
      <c r="DF39" s="2">
        <v>6</v>
      </c>
      <c r="DG39" s="2">
        <v>32</v>
      </c>
      <c r="DH39" s="2">
        <v>2</v>
      </c>
      <c r="DI39" s="2">
        <v>2</v>
      </c>
      <c r="DJ39" s="2">
        <v>2</v>
      </c>
      <c r="DK39" s="2">
        <v>110</v>
      </c>
      <c r="DL39" s="2">
        <v>60</v>
      </c>
      <c r="DM39" s="2" t="s">
        <v>12</v>
      </c>
      <c r="DN39" s="2" t="s">
        <v>12</v>
      </c>
      <c r="DO39" s="2">
        <v>94</v>
      </c>
      <c r="DP39" s="2">
        <v>58</v>
      </c>
      <c r="DQ39" s="2">
        <v>2</v>
      </c>
      <c r="DR39" s="2">
        <v>40</v>
      </c>
      <c r="DS39" s="2">
        <v>1</v>
      </c>
      <c r="DT39" s="2">
        <v>73</v>
      </c>
      <c r="DU39" s="2">
        <v>85</v>
      </c>
      <c r="DV39" s="2">
        <v>2</v>
      </c>
      <c r="DW39" s="2">
        <v>3</v>
      </c>
      <c r="DX39" s="2">
        <v>2</v>
      </c>
      <c r="DY39" s="2">
        <v>2</v>
      </c>
      <c r="DZ39" s="2">
        <v>38</v>
      </c>
      <c r="EA39" s="2" t="s">
        <v>12</v>
      </c>
      <c r="EB39" s="2" t="s">
        <v>12</v>
      </c>
      <c r="EC39" s="2" t="s">
        <v>12</v>
      </c>
      <c r="ED39" s="2" t="s">
        <v>12</v>
      </c>
    </row>
    <row r="40" spans="3:134" x14ac:dyDescent="0.25">
      <c r="C40" s="8" t="s">
        <v>114</v>
      </c>
      <c r="D40" s="8">
        <v>122649396</v>
      </c>
      <c r="E40" s="5">
        <v>7</v>
      </c>
      <c r="F40" s="2">
        <v>1</v>
      </c>
      <c r="G40" s="2">
        <v>27</v>
      </c>
      <c r="H40" s="2">
        <v>-0.71722829365099938</v>
      </c>
      <c r="I40" s="2">
        <v>50</v>
      </c>
      <c r="J40" s="2">
        <v>0.45756143734440202</v>
      </c>
      <c r="K40" s="2">
        <v>3120</v>
      </c>
      <c r="L40" s="2">
        <v>-0.24764188413464491</v>
      </c>
      <c r="N40" s="2">
        <f t="shared" si="0"/>
        <v>0.93336414682549962</v>
      </c>
      <c r="O40" s="2">
        <f t="shared" si="1"/>
        <v>0.21613585317450024</v>
      </c>
      <c r="P40" s="2" t="s">
        <v>12</v>
      </c>
      <c r="R40" s="5">
        <f t="shared" si="2"/>
        <v>-3.3780718672201004E-2</v>
      </c>
      <c r="S40" s="5">
        <f t="shared" si="3"/>
        <v>0.42378071867220102</v>
      </c>
      <c r="T40" s="2" t="s">
        <v>12</v>
      </c>
      <c r="V40" s="2">
        <f t="shared" si="4"/>
        <v>0.65382094206732244</v>
      </c>
      <c r="W40" s="2">
        <f t="shared" si="5"/>
        <v>0.4061790579326775</v>
      </c>
      <c r="X40" s="2">
        <v>1.1495</v>
      </c>
      <c r="Y40" s="76">
        <f t="shared" si="44"/>
        <v>1.8667282936509992</v>
      </c>
      <c r="Z40" s="76">
        <f t="shared" si="45"/>
        <v>2</v>
      </c>
      <c r="AA40" s="2">
        <f t="shared" si="6"/>
        <v>4.0759640663899477E-2</v>
      </c>
      <c r="AB40" s="2">
        <f t="shared" si="7"/>
        <v>1.1495</v>
      </c>
      <c r="AC40" s="2">
        <v>75</v>
      </c>
      <c r="AD40" s="2">
        <v>0.39</v>
      </c>
      <c r="AE40" s="79">
        <f t="shared" si="46"/>
        <v>-6.7561437344402009E-2</v>
      </c>
      <c r="AF40" s="79">
        <f t="shared" si="47"/>
        <v>-1</v>
      </c>
      <c r="AG40" s="2">
        <f t="shared" si="64"/>
        <v>-0.67689035933610053</v>
      </c>
      <c r="AH40" s="2">
        <f t="shared" si="9"/>
        <v>0.39</v>
      </c>
      <c r="AI40" s="2">
        <v>10200</v>
      </c>
      <c r="AJ40" s="2">
        <v>1.06</v>
      </c>
      <c r="AK40" s="76">
        <f t="shared" si="48"/>
        <v>1.3076418841346449</v>
      </c>
      <c r="AL40" s="76">
        <f t="shared" si="49"/>
        <v>2</v>
      </c>
      <c r="AM40" s="2">
        <f t="shared" si="10"/>
        <v>-0.29808952896633878</v>
      </c>
      <c r="AN40" s="2">
        <f t="shared" si="11"/>
        <v>1.06</v>
      </c>
      <c r="AO40" s="2">
        <v>0.50529999999999997</v>
      </c>
      <c r="AP40" s="2">
        <f t="shared" si="12"/>
        <v>-0.32058763080161029</v>
      </c>
      <c r="AQ40" s="2">
        <f t="shared" si="13"/>
        <v>0.50529999999999997</v>
      </c>
      <c r="AR40" s="2">
        <v>78</v>
      </c>
      <c r="AS40" s="2">
        <v>-0.93</v>
      </c>
      <c r="AT40" s="2">
        <f t="shared" si="14"/>
        <v>-0.53827350475836799</v>
      </c>
      <c r="AU40" s="2">
        <f t="shared" si="15"/>
        <v>-0.93</v>
      </c>
      <c r="AV40" s="2">
        <v>10000</v>
      </c>
      <c r="AW40" s="2">
        <v>-0.19</v>
      </c>
      <c r="AX40" s="2">
        <f t="shared" si="16"/>
        <v>-0.66111940853839135</v>
      </c>
      <c r="AY40" s="2">
        <f t="shared" si="17"/>
        <v>-0.19</v>
      </c>
      <c r="AZ40" s="2">
        <v>0.50832473839677939</v>
      </c>
      <c r="BA40" s="78">
        <f t="shared" si="50"/>
        <v>-0.64117526160322058</v>
      </c>
      <c r="BB40" s="78">
        <f t="shared" si="51"/>
        <v>-1</v>
      </c>
      <c r="BC40" s="2" t="str">
        <f t="shared" si="18"/>
        <v/>
      </c>
      <c r="BD40" s="2">
        <f t="shared" si="19"/>
        <v>0.50832473839677939</v>
      </c>
      <c r="BE40" s="67">
        <f t="shared" si="52"/>
        <v>7</v>
      </c>
      <c r="BF40" s="2">
        <v>83</v>
      </c>
      <c r="BG40" s="2">
        <v>-0.68654700951673608</v>
      </c>
      <c r="BH40" s="2" t="str">
        <f t="shared" si="20"/>
        <v/>
      </c>
      <c r="BI40" s="2">
        <f t="shared" si="21"/>
        <v>-0.68654700951673608</v>
      </c>
      <c r="BJ40" s="67">
        <f t="shared" si="65"/>
        <v>7</v>
      </c>
      <c r="BK40" s="2">
        <v>11800</v>
      </c>
      <c r="BL40" s="2">
        <v>-0.2622388170767827</v>
      </c>
      <c r="BM40" s="77">
        <f t="shared" si="53"/>
        <v>-1.3222388170767827</v>
      </c>
      <c r="BN40" s="77">
        <f t="shared" si="54"/>
        <v>-2</v>
      </c>
      <c r="BO40" s="2" t="str">
        <f t="shared" si="23"/>
        <v/>
      </c>
      <c r="BP40" s="2">
        <f t="shared" si="24"/>
        <v>-0.2622388170767827</v>
      </c>
      <c r="BQ40" s="67">
        <f t="shared" si="55"/>
        <v>7</v>
      </c>
      <c r="BS40" s="75" t="str">
        <f t="shared" si="56"/>
        <v>UF</v>
      </c>
      <c r="BT40" s="75" t="str">
        <f t="shared" si="57"/>
        <v>UF</v>
      </c>
      <c r="BU40" s="5" t="str">
        <f t="shared" si="25"/>
        <v>UF</v>
      </c>
      <c r="BV40" s="5" t="str">
        <f t="shared" si="26"/>
        <v>UF</v>
      </c>
      <c r="BW40" s="69" t="str">
        <f t="shared" si="66"/>
        <v/>
      </c>
      <c r="BX40" s="2" t="s">
        <v>12</v>
      </c>
      <c r="BZ40" s="74" t="str">
        <f t="shared" si="58"/>
        <v>UF</v>
      </c>
      <c r="CA40" s="74" t="str">
        <f t="shared" si="59"/>
        <v>UF</v>
      </c>
      <c r="CB40" s="5" t="str">
        <f t="shared" si="28"/>
        <v>UF</v>
      </c>
      <c r="CC40" s="5" t="str">
        <f t="shared" si="29"/>
        <v>UF</v>
      </c>
      <c r="CD40" s="2" t="e">
        <f t="shared" si="30"/>
        <v>#VALUE!</v>
      </c>
      <c r="CE40" s="69" t="str">
        <f t="shared" si="31"/>
        <v/>
      </c>
      <c r="CF40" s="5" t="s">
        <v>12</v>
      </c>
      <c r="CH40" s="72" t="str">
        <f t="shared" si="60"/>
        <v>UF</v>
      </c>
      <c r="CI40" s="72" t="str">
        <f t="shared" si="61"/>
        <v>UF</v>
      </c>
      <c r="CJ40" s="5" t="str">
        <f t="shared" si="32"/>
        <v>UF</v>
      </c>
      <c r="CK40" s="5" t="str">
        <f t="shared" si="33"/>
        <v>UF</v>
      </c>
      <c r="CL40" s="69" t="str">
        <f t="shared" si="67"/>
        <v/>
      </c>
      <c r="CN40" s="70" t="str">
        <f t="shared" si="35"/>
        <v/>
      </c>
      <c r="CO40" s="5" t="str">
        <f t="shared" si="36"/>
        <v>UF</v>
      </c>
      <c r="CP40" s="5" t="str">
        <f>IF(G40&lt;48,"UF", IF(NOT(ISBLANK(CM:CM)), CM:CM, IF(BW:BW=1, BV:BV+Sheet2!B436, IF(Sheet1!BW:BW=2, Sheet1!BV:BV+Sheet2!B437, IF(Sheet1!BW:BW=7, Sheet1!BV:BV+Sheet2!B438,"")))))</f>
        <v>UF</v>
      </c>
      <c r="CQ40" s="69" t="str">
        <f t="shared" si="62"/>
        <v/>
      </c>
      <c r="CR40" s="5" t="s">
        <v>12</v>
      </c>
      <c r="CT40" s="5" t="str">
        <f t="shared" si="37"/>
        <v/>
      </c>
      <c r="CU40" s="80" t="str">
        <f t="shared" si="38"/>
        <v>UF</v>
      </c>
      <c r="CV40" s="80" t="str">
        <f t="shared" si="39"/>
        <v>UF</v>
      </c>
      <c r="CW40" s="20" t="str">
        <f>IF(G40&lt;48,"UF", IF(NOT(ISBLANK(CS40)), CS40, IF(CE40=5, CC40+Sheet2!B425, IF(CE40=6, CC40+Sheet2!B426, IF(CE40=7, CC40+Sheet2!B427,"")))))</f>
        <v>UF</v>
      </c>
      <c r="CX40" s="68" t="str">
        <f t="shared" si="63"/>
        <v/>
      </c>
      <c r="CY40" s="5" t="s">
        <v>12</v>
      </c>
      <c r="DA40" s="5" t="str">
        <f t="shared" si="40"/>
        <v>UF</v>
      </c>
      <c r="DB40" s="73" t="str">
        <f t="shared" si="41"/>
        <v>UF</v>
      </c>
      <c r="DC40" s="73" t="str">
        <f t="shared" si="42"/>
        <v>UF</v>
      </c>
      <c r="DD40" s="5" t="str">
        <f>IF(G40&lt;48,"UF", IF(NOT(ISBLANK(CZ:CZ)), CZ:CZ, IF(CL:CL=3, CK:CK+Sheet2!B430, IF(CL:CL=4, CK:CK+Sheet2!B431, IF(CL:CL=7, CK:CK+Sheet2!B432,"")))))</f>
        <v>UF</v>
      </c>
      <c r="DE40" s="69" t="str">
        <f t="shared" si="43"/>
        <v/>
      </c>
      <c r="DF40" s="2">
        <v>1</v>
      </c>
      <c r="DG40" s="2">
        <v>22</v>
      </c>
      <c r="DH40" s="2">
        <v>2</v>
      </c>
      <c r="DI40" s="2">
        <v>2</v>
      </c>
      <c r="DJ40" s="2">
        <v>2</v>
      </c>
      <c r="DK40" s="2">
        <v>117</v>
      </c>
      <c r="DL40" s="2">
        <v>74</v>
      </c>
      <c r="DM40" s="2">
        <v>111</v>
      </c>
      <c r="DN40" s="2">
        <v>65</v>
      </c>
      <c r="DO40" s="2">
        <v>115</v>
      </c>
      <c r="DP40" s="2">
        <v>70</v>
      </c>
      <c r="DQ40" s="2">
        <v>2</v>
      </c>
      <c r="DR40" s="2">
        <v>39</v>
      </c>
      <c r="DS40" s="2">
        <v>2</v>
      </c>
      <c r="DT40" s="2">
        <v>73</v>
      </c>
      <c r="DU40" s="2">
        <v>69</v>
      </c>
      <c r="DV40" s="2">
        <v>2</v>
      </c>
      <c r="DW40" s="2">
        <v>3</v>
      </c>
      <c r="DX40" s="2">
        <v>2</v>
      </c>
      <c r="DY40" s="2">
        <v>2</v>
      </c>
      <c r="DZ40" s="2">
        <v>34</v>
      </c>
      <c r="EA40" s="2">
        <v>36.5</v>
      </c>
      <c r="EB40" s="2">
        <v>47</v>
      </c>
      <c r="EC40" s="2">
        <v>1</v>
      </c>
      <c r="ED40" s="2">
        <v>1</v>
      </c>
    </row>
    <row r="41" spans="3:134" x14ac:dyDescent="0.25">
      <c r="C41" s="8" t="s">
        <v>35</v>
      </c>
      <c r="D41" s="4">
        <v>122649738</v>
      </c>
      <c r="E41" s="5">
        <v>7</v>
      </c>
      <c r="F41" s="2">
        <v>1</v>
      </c>
      <c r="G41" s="2">
        <v>29</v>
      </c>
      <c r="H41" s="2">
        <v>-2.0014796591983961</v>
      </c>
      <c r="I41" s="2">
        <v>48</v>
      </c>
      <c r="J41" s="2">
        <v>-0.61614996855203885</v>
      </c>
      <c r="K41" s="2">
        <v>2555</v>
      </c>
      <c r="L41" s="2">
        <v>-1.586977628249286</v>
      </c>
      <c r="M41" s="2">
        <v>0.99360000000000004</v>
      </c>
      <c r="N41" s="2" t="str">
        <f t="shared" si="0"/>
        <v/>
      </c>
      <c r="O41" s="2">
        <f t="shared" si="1"/>
        <v>0.99360000000000004</v>
      </c>
      <c r="P41" s="2">
        <v>61.5</v>
      </c>
      <c r="Q41" s="2">
        <v>-1.88</v>
      </c>
      <c r="R41" s="5" t="str">
        <f t="shared" si="2"/>
        <v/>
      </c>
      <c r="S41" s="5">
        <f t="shared" si="3"/>
        <v>-1.88</v>
      </c>
      <c r="T41" s="2">
        <v>7000</v>
      </c>
      <c r="U41" s="2">
        <v>-0.35</v>
      </c>
      <c r="V41" s="2" t="str">
        <f t="shared" si="4"/>
        <v/>
      </c>
      <c r="W41" s="2">
        <f t="shared" si="5"/>
        <v>-0.35</v>
      </c>
      <c r="Y41" s="76" t="e">
        <f t="shared" si="44"/>
        <v>#VALUE!</v>
      </c>
      <c r="Z41" s="76" t="e">
        <f t="shared" si="45"/>
        <v>#VALUE!</v>
      </c>
      <c r="AA41" s="2" t="str">
        <f t="shared" si="6"/>
        <v/>
      </c>
      <c r="AB41" s="2" t="e">
        <f t="shared" si="7"/>
        <v>#VALUE!</v>
      </c>
      <c r="AC41" s="2" t="s">
        <v>12</v>
      </c>
      <c r="AE41" s="79" t="e">
        <f t="shared" si="46"/>
        <v>#VALUE!</v>
      </c>
      <c r="AF41" s="79" t="e">
        <f t="shared" si="47"/>
        <v>#VALUE!</v>
      </c>
      <c r="AG41" s="2" t="str">
        <f t="shared" si="64"/>
        <v/>
      </c>
      <c r="AH41" s="2" t="e">
        <f t="shared" si="9"/>
        <v>#VALUE!</v>
      </c>
      <c r="AI41" s="2" t="s">
        <v>12</v>
      </c>
      <c r="AK41" s="76" t="e">
        <f t="shared" si="48"/>
        <v>#VALUE!</v>
      </c>
      <c r="AL41" s="76" t="e">
        <f t="shared" si="49"/>
        <v>#VALUE!</v>
      </c>
      <c r="AM41" s="2" t="str">
        <f t="shared" si="10"/>
        <v/>
      </c>
      <c r="AN41" s="2" t="e">
        <f t="shared" si="11"/>
        <v>#VALUE!</v>
      </c>
      <c r="AP41" s="2" t="str">
        <f t="shared" si="12"/>
        <v/>
      </c>
      <c r="AQ41" s="2" t="e">
        <f t="shared" si="13"/>
        <v>#VALUE!</v>
      </c>
      <c r="AR41" s="2" t="s">
        <v>12</v>
      </c>
      <c r="AT41" s="2" t="str">
        <f t="shared" si="14"/>
        <v/>
      </c>
      <c r="AU41" s="2" t="e">
        <f t="shared" si="15"/>
        <v>#VALUE!</v>
      </c>
      <c r="AV41" s="2" t="s">
        <v>12</v>
      </c>
      <c r="AX41" s="2" t="str">
        <f t="shared" si="16"/>
        <v/>
      </c>
      <c r="AY41" s="2" t="e">
        <f t="shared" si="17"/>
        <v>#VALUE!</v>
      </c>
      <c r="BA41" s="78" t="e">
        <f t="shared" si="50"/>
        <v>#VALUE!</v>
      </c>
      <c r="BB41" s="78" t="e">
        <f t="shared" si="51"/>
        <v>#VALUE!</v>
      </c>
      <c r="BC41" s="2" t="str">
        <f t="shared" si="18"/>
        <v/>
      </c>
      <c r="BD41" s="2" t="e">
        <f t="shared" si="19"/>
        <v>#VALUE!</v>
      </c>
      <c r="BE41" s="67" t="e">
        <f t="shared" si="52"/>
        <v>#VALUE!</v>
      </c>
      <c r="BF41" s="2" t="s">
        <v>12</v>
      </c>
      <c r="BH41" s="2" t="str">
        <f t="shared" si="20"/>
        <v/>
      </c>
      <c r="BI41" s="2" t="e">
        <f t="shared" si="21"/>
        <v>#VALUE!</v>
      </c>
      <c r="BJ41" s="67" t="e">
        <f t="shared" si="65"/>
        <v>#VALUE!</v>
      </c>
      <c r="BK41" s="2" t="s">
        <v>12</v>
      </c>
      <c r="BM41" s="77" t="e">
        <f t="shared" si="53"/>
        <v>#VALUE!</v>
      </c>
      <c r="BN41" s="77" t="e">
        <f t="shared" si="54"/>
        <v>#VALUE!</v>
      </c>
      <c r="BO41" s="2" t="str">
        <f t="shared" si="23"/>
        <v/>
      </c>
      <c r="BP41" s="2" t="e">
        <f t="shared" si="24"/>
        <v>#VALUE!</v>
      </c>
      <c r="BQ41" s="67" t="e">
        <f t="shared" si="55"/>
        <v>#VALUE!</v>
      </c>
      <c r="BS41" s="75" t="str">
        <f t="shared" si="56"/>
        <v>UF</v>
      </c>
      <c r="BT41" s="75" t="str">
        <f t="shared" si="57"/>
        <v>UF</v>
      </c>
      <c r="BU41" s="5" t="str">
        <f t="shared" si="25"/>
        <v>UF</v>
      </c>
      <c r="BV41" s="5" t="str">
        <f t="shared" si="26"/>
        <v>UF</v>
      </c>
      <c r="BW41" s="69" t="str">
        <f t="shared" si="66"/>
        <v/>
      </c>
      <c r="BX41" s="2" t="s">
        <v>12</v>
      </c>
      <c r="BZ41" s="74" t="str">
        <f t="shared" si="58"/>
        <v>UF</v>
      </c>
      <c r="CA41" s="74" t="str">
        <f t="shared" si="59"/>
        <v>UF</v>
      </c>
      <c r="CB41" s="5" t="str">
        <f t="shared" si="28"/>
        <v>UF</v>
      </c>
      <c r="CC41" s="5" t="str">
        <f t="shared" si="29"/>
        <v>UF</v>
      </c>
      <c r="CD41" s="2" t="e">
        <f t="shared" si="30"/>
        <v>#VALUE!</v>
      </c>
      <c r="CE41" s="69" t="str">
        <f t="shared" si="31"/>
        <v/>
      </c>
      <c r="CF41" s="5" t="s">
        <v>12</v>
      </c>
      <c r="CH41" s="72" t="str">
        <f t="shared" si="60"/>
        <v>UF</v>
      </c>
      <c r="CI41" s="72" t="str">
        <f t="shared" si="61"/>
        <v>UF</v>
      </c>
      <c r="CJ41" s="5" t="str">
        <f t="shared" si="32"/>
        <v>UF</v>
      </c>
      <c r="CK41" s="5" t="str">
        <f t="shared" si="33"/>
        <v>UF</v>
      </c>
      <c r="CL41" s="69" t="str">
        <f t="shared" si="67"/>
        <v/>
      </c>
      <c r="CN41" s="70" t="str">
        <f t="shared" si="35"/>
        <v/>
      </c>
      <c r="CO41" s="5" t="str">
        <f t="shared" si="36"/>
        <v>UF</v>
      </c>
      <c r="CP41" s="5" t="str">
        <f>IF(G41&lt;48,"UF", IF(NOT(ISBLANK(CM:CM)), CM:CM, IF(BW:BW=1, BV:BV+Sheet2!B410, IF(Sheet1!BW:BW=2, Sheet1!BV:BV+Sheet2!B411, IF(Sheet1!BW:BW=7, Sheet1!BV:BV+Sheet2!B412,"")))))</f>
        <v>UF</v>
      </c>
      <c r="CQ41" s="69" t="str">
        <f t="shared" si="62"/>
        <v/>
      </c>
      <c r="CR41" s="5" t="s">
        <v>12</v>
      </c>
      <c r="CT41" s="5" t="str">
        <f t="shared" si="37"/>
        <v/>
      </c>
      <c r="CU41" s="80" t="str">
        <f t="shared" si="38"/>
        <v>UF</v>
      </c>
      <c r="CV41" s="80" t="str">
        <f t="shared" si="39"/>
        <v>UF</v>
      </c>
      <c r="CW41" s="20" t="str">
        <f>IF(G41&lt;48,"UF", IF(NOT(ISBLANK(CS41)), CS41, IF(CE41=5, CC41+Sheet2!B399, IF(CE41=6, CC41+Sheet2!B400, IF(CE41=7, CC41+Sheet2!B401,"")))))</f>
        <v>UF</v>
      </c>
      <c r="CX41" s="68" t="str">
        <f t="shared" si="63"/>
        <v/>
      </c>
      <c r="CY41" s="5" t="s">
        <v>12</v>
      </c>
      <c r="DA41" s="5" t="str">
        <f t="shared" si="40"/>
        <v>UF</v>
      </c>
      <c r="DB41" s="73" t="str">
        <f t="shared" si="41"/>
        <v>UF</v>
      </c>
      <c r="DC41" s="73" t="str">
        <f t="shared" si="42"/>
        <v>UF</v>
      </c>
      <c r="DD41" s="5" t="str">
        <f>IF(G41&lt;48,"UF", IF(NOT(ISBLANK(CZ:CZ)), CZ:CZ, IF(CL:CL=3, CK:CK+Sheet2!B404, IF(CL:CL=4, CK:CK+Sheet2!B405, IF(CL:CL=7, CK:CK+Sheet2!B406,"")))))</f>
        <v>UF</v>
      </c>
      <c r="DE41" s="69" t="str">
        <f t="shared" si="43"/>
        <v/>
      </c>
      <c r="DF41" s="2">
        <v>2</v>
      </c>
      <c r="DG41" s="2">
        <v>26</v>
      </c>
      <c r="DH41" s="2">
        <v>2</v>
      </c>
      <c r="DI41" s="2">
        <v>1</v>
      </c>
      <c r="DJ41" s="2">
        <v>3</v>
      </c>
      <c r="DK41" s="2" t="s">
        <v>12</v>
      </c>
      <c r="DL41" s="2" t="s">
        <v>12</v>
      </c>
      <c r="DM41" s="2" t="s">
        <v>12</v>
      </c>
      <c r="DN41" s="2" t="s">
        <v>12</v>
      </c>
      <c r="DO41" s="2" t="s">
        <v>12</v>
      </c>
      <c r="DP41" s="2" t="s">
        <v>12</v>
      </c>
      <c r="DQ41" s="2">
        <v>2</v>
      </c>
      <c r="DR41" s="2">
        <v>38</v>
      </c>
      <c r="DS41" s="2">
        <v>3</v>
      </c>
      <c r="DT41" s="2" t="s">
        <v>12</v>
      </c>
      <c r="DU41" s="2" t="s">
        <v>12</v>
      </c>
      <c r="DV41" s="2">
        <v>2</v>
      </c>
      <c r="DW41" s="2">
        <v>3</v>
      </c>
      <c r="DX41" s="2">
        <v>3</v>
      </c>
      <c r="DY41" s="2">
        <v>3</v>
      </c>
      <c r="DZ41" s="2">
        <v>33</v>
      </c>
      <c r="EA41" s="2" t="s">
        <v>12</v>
      </c>
      <c r="EB41" s="2" t="s">
        <v>12</v>
      </c>
      <c r="EC41" s="2" t="s">
        <v>12</v>
      </c>
      <c r="ED41" s="2" t="s">
        <v>12</v>
      </c>
    </row>
    <row r="42" spans="3:134" x14ac:dyDescent="0.25">
      <c r="C42" s="8" t="s">
        <v>176</v>
      </c>
      <c r="D42" s="53">
        <v>122650684</v>
      </c>
      <c r="E42" s="5">
        <v>7</v>
      </c>
      <c r="F42" s="2">
        <v>1</v>
      </c>
      <c r="G42" s="2">
        <v>29</v>
      </c>
      <c r="H42" s="2">
        <v>1.648304193227996</v>
      </c>
      <c r="I42" s="2">
        <v>47</v>
      </c>
      <c r="J42" s="2">
        <v>-1.153005671500261</v>
      </c>
      <c r="K42" s="2">
        <v>3435</v>
      </c>
      <c r="L42" s="2">
        <v>0.43444140033150019</v>
      </c>
      <c r="N42" s="2" t="str">
        <f t="shared" si="0"/>
        <v/>
      </c>
      <c r="O42" s="2" t="e">
        <f t="shared" si="1"/>
        <v>#VALUE!</v>
      </c>
      <c r="P42" s="2" t="s">
        <v>12</v>
      </c>
      <c r="R42" s="5" t="str">
        <f t="shared" si="2"/>
        <v/>
      </c>
      <c r="S42" s="5" t="e">
        <f t="shared" si="3"/>
        <v>#VALUE!</v>
      </c>
      <c r="T42" s="2" t="s">
        <v>12</v>
      </c>
      <c r="V42" s="2" t="str">
        <f t="shared" si="4"/>
        <v/>
      </c>
      <c r="W42" s="2" t="e">
        <f t="shared" si="5"/>
        <v>#VALUE!</v>
      </c>
      <c r="Y42" s="76" t="e">
        <f t="shared" si="44"/>
        <v>#VALUE!</v>
      </c>
      <c r="Z42" s="76" t="e">
        <f t="shared" si="45"/>
        <v>#VALUE!</v>
      </c>
      <c r="AA42" s="2" t="str">
        <f t="shared" si="6"/>
        <v/>
      </c>
      <c r="AB42" s="2" t="e">
        <f t="shared" si="7"/>
        <v>#VALUE!</v>
      </c>
      <c r="AC42" s="2" t="s">
        <v>12</v>
      </c>
      <c r="AE42" s="79" t="e">
        <f t="shared" si="46"/>
        <v>#VALUE!</v>
      </c>
      <c r="AF42" s="79" t="e">
        <f t="shared" si="47"/>
        <v>#VALUE!</v>
      </c>
      <c r="AG42" s="2" t="str">
        <f t="shared" si="64"/>
        <v/>
      </c>
      <c r="AH42" s="2" t="e">
        <f t="shared" si="9"/>
        <v>#VALUE!</v>
      </c>
      <c r="AI42" s="2" t="s">
        <v>12</v>
      </c>
      <c r="AK42" s="76" t="e">
        <f t="shared" si="48"/>
        <v>#VALUE!</v>
      </c>
      <c r="AL42" s="76" t="e">
        <f t="shared" si="49"/>
        <v>#VALUE!</v>
      </c>
      <c r="AM42" s="2" t="str">
        <f t="shared" si="10"/>
        <v/>
      </c>
      <c r="AN42" s="2" t="e">
        <f t="shared" si="11"/>
        <v>#VALUE!</v>
      </c>
      <c r="AP42" s="2" t="e">
        <f t="shared" si="12"/>
        <v>#VALUE!</v>
      </c>
      <c r="AQ42" s="2" t="e">
        <f t="shared" si="13"/>
        <v>#VALUE!</v>
      </c>
      <c r="AR42" s="2" t="s">
        <v>12</v>
      </c>
      <c r="AT42" s="2" t="e">
        <f t="shared" si="14"/>
        <v>#VALUE!</v>
      </c>
      <c r="AU42" s="2" t="e">
        <f t="shared" si="15"/>
        <v>#VALUE!</v>
      </c>
      <c r="AV42" s="2" t="s">
        <v>12</v>
      </c>
      <c r="AX42" s="2" t="e">
        <f t="shared" si="16"/>
        <v>#VALUE!</v>
      </c>
      <c r="AY42" s="2" t="e">
        <f t="shared" si="17"/>
        <v>#VALUE!</v>
      </c>
      <c r="AZ42" s="2">
        <v>-0.84865100092882928</v>
      </c>
      <c r="BA42" s="78" t="e">
        <f t="shared" si="50"/>
        <v>#VALUE!</v>
      </c>
      <c r="BB42" s="78" t="e">
        <f t="shared" si="51"/>
        <v>#VALUE!</v>
      </c>
      <c r="BC42" s="2" t="str">
        <f t="shared" si="18"/>
        <v/>
      </c>
      <c r="BD42" s="2">
        <f t="shared" si="19"/>
        <v>-0.84865100092882928</v>
      </c>
      <c r="BE42" s="67">
        <f t="shared" si="52"/>
        <v>7</v>
      </c>
      <c r="BF42" s="2">
        <v>78</v>
      </c>
      <c r="BG42" s="2">
        <v>-2.1151509896496981</v>
      </c>
      <c r="BH42" s="2" t="str">
        <f t="shared" si="20"/>
        <v/>
      </c>
      <c r="BI42" s="2">
        <f t="shared" si="21"/>
        <v>-2.1151509896496981</v>
      </c>
      <c r="BJ42" s="67">
        <f t="shared" si="65"/>
        <v>6</v>
      </c>
      <c r="BK42" s="2">
        <v>9300</v>
      </c>
      <c r="BL42" s="2">
        <v>-2.7337128136412572</v>
      </c>
      <c r="BM42" s="77" t="e">
        <f t="shared" si="53"/>
        <v>#VALUE!</v>
      </c>
      <c r="BN42" s="77" t="e">
        <f t="shared" si="54"/>
        <v>#VALUE!</v>
      </c>
      <c r="BO42" s="2" t="str">
        <f t="shared" si="23"/>
        <v/>
      </c>
      <c r="BP42" s="2">
        <f t="shared" si="24"/>
        <v>-2.7337128136412572</v>
      </c>
      <c r="BQ42" s="67">
        <f t="shared" si="55"/>
        <v>4</v>
      </c>
      <c r="BS42" s="75" t="str">
        <f t="shared" si="56"/>
        <v>UF</v>
      </c>
      <c r="BT42" s="75" t="str">
        <f t="shared" si="57"/>
        <v>UF</v>
      </c>
      <c r="BU42" s="5" t="str">
        <f t="shared" si="25"/>
        <v>UF</v>
      </c>
      <c r="BV42" s="5" t="str">
        <f t="shared" si="26"/>
        <v>UF</v>
      </c>
      <c r="BW42" s="69" t="str">
        <f t="shared" si="66"/>
        <v/>
      </c>
      <c r="BX42" s="2" t="s">
        <v>12</v>
      </c>
      <c r="BZ42" s="74" t="str">
        <f t="shared" si="58"/>
        <v>UF</v>
      </c>
      <c r="CA42" s="74" t="str">
        <f t="shared" si="59"/>
        <v>UF</v>
      </c>
      <c r="CB42" s="5" t="str">
        <f t="shared" si="28"/>
        <v>UF</v>
      </c>
      <c r="CC42" s="5" t="str">
        <f t="shared" si="29"/>
        <v>UF</v>
      </c>
      <c r="CD42" s="2" t="e">
        <f t="shared" si="30"/>
        <v>#VALUE!</v>
      </c>
      <c r="CE42" s="69" t="str">
        <f t="shared" si="31"/>
        <v/>
      </c>
      <c r="CF42" s="5" t="s">
        <v>12</v>
      </c>
      <c r="CH42" s="72" t="str">
        <f t="shared" si="60"/>
        <v>UF</v>
      </c>
      <c r="CI42" s="72" t="str">
        <f t="shared" si="61"/>
        <v>UF</v>
      </c>
      <c r="CJ42" s="5" t="str">
        <f t="shared" si="32"/>
        <v>UF</v>
      </c>
      <c r="CK42" s="5" t="str">
        <f t="shared" si="33"/>
        <v>UF</v>
      </c>
      <c r="CL42" s="69" t="str">
        <f t="shared" si="67"/>
        <v/>
      </c>
      <c r="CN42" s="70" t="str">
        <f t="shared" si="35"/>
        <v/>
      </c>
      <c r="CO42" s="5" t="str">
        <f t="shared" si="36"/>
        <v>UF</v>
      </c>
      <c r="CP42" s="5" t="str">
        <f>IF(G42&lt;48,"UF", IF(NOT(ISBLANK(CM:CM)), CM:CM, IF(BW:BW=1, BV:BV+Sheet2!B422, IF(Sheet1!BW:BW=2, Sheet1!BV:BV+Sheet2!B423, IF(Sheet1!BW:BW=7, Sheet1!BV:BV+Sheet2!B424,"")))))</f>
        <v>UF</v>
      </c>
      <c r="CQ42" s="69" t="str">
        <f t="shared" si="62"/>
        <v/>
      </c>
      <c r="CR42" s="5" t="s">
        <v>12</v>
      </c>
      <c r="CT42" s="5" t="str">
        <f t="shared" si="37"/>
        <v/>
      </c>
      <c r="CU42" s="80" t="str">
        <f t="shared" si="38"/>
        <v>UF</v>
      </c>
      <c r="CV42" s="80" t="str">
        <f t="shared" si="39"/>
        <v>UF</v>
      </c>
      <c r="CW42" s="20" t="str">
        <f>IF(G42&lt;48,"UF", IF(NOT(ISBLANK(CS42)), CS42, IF(CE42=5, CC42+Sheet2!B411, IF(CE42=6, CC42+Sheet2!B412, IF(CE42=7, CC42+Sheet2!B413,"")))))</f>
        <v>UF</v>
      </c>
      <c r="CX42" s="68" t="str">
        <f t="shared" si="63"/>
        <v/>
      </c>
      <c r="CY42" s="5" t="s">
        <v>12</v>
      </c>
      <c r="DA42" s="5" t="str">
        <f t="shared" si="40"/>
        <v>UF</v>
      </c>
      <c r="DB42" s="73" t="str">
        <f t="shared" si="41"/>
        <v>UF</v>
      </c>
      <c r="DC42" s="73" t="str">
        <f t="shared" si="42"/>
        <v>UF</v>
      </c>
      <c r="DD42" s="5" t="str">
        <f>IF(G42&lt;48,"UF", IF(NOT(ISBLANK(CZ:CZ)), CZ:CZ, IF(CL:CL=3, CK:CK+Sheet2!B416, IF(CL:CL=4, CK:CK+Sheet2!B417, IF(CL:CL=7, CK:CK+Sheet2!B418,"")))))</f>
        <v>UF</v>
      </c>
      <c r="DE42" s="69" t="str">
        <f t="shared" si="43"/>
        <v/>
      </c>
      <c r="DF42" s="2">
        <v>3</v>
      </c>
      <c r="DG42" s="2">
        <v>27</v>
      </c>
      <c r="DH42" s="2">
        <v>2</v>
      </c>
      <c r="DI42" s="2">
        <v>2</v>
      </c>
      <c r="DJ42" s="2">
        <v>2</v>
      </c>
      <c r="DK42" s="2" t="s">
        <v>12</v>
      </c>
      <c r="DL42" s="2" t="s">
        <v>12</v>
      </c>
      <c r="DM42" s="2">
        <v>108</v>
      </c>
      <c r="DN42" s="2">
        <v>65</v>
      </c>
      <c r="DO42" s="2">
        <v>118</v>
      </c>
      <c r="DP42" s="2">
        <v>66</v>
      </c>
      <c r="DQ42" s="2">
        <v>1</v>
      </c>
      <c r="DR42" s="2">
        <v>39</v>
      </c>
      <c r="DS42" s="2">
        <v>2</v>
      </c>
      <c r="DT42" s="2">
        <v>73</v>
      </c>
      <c r="DU42" s="2">
        <v>76</v>
      </c>
      <c r="DV42" s="2">
        <v>2</v>
      </c>
      <c r="DW42" s="2">
        <v>4</v>
      </c>
      <c r="DX42" s="2">
        <v>4</v>
      </c>
      <c r="DY42" s="2">
        <v>3</v>
      </c>
      <c r="DZ42" s="2">
        <v>32</v>
      </c>
      <c r="EA42" s="2" t="s">
        <v>12</v>
      </c>
      <c r="EB42" s="2" t="s">
        <v>12</v>
      </c>
      <c r="EC42" s="2" t="s">
        <v>12</v>
      </c>
      <c r="ED42" s="2" t="s">
        <v>12</v>
      </c>
    </row>
    <row r="43" spans="3:134" x14ac:dyDescent="0.25">
      <c r="C43" s="8" t="s">
        <v>215</v>
      </c>
      <c r="D43" s="4">
        <v>122651862</v>
      </c>
      <c r="E43" s="5">
        <v>7</v>
      </c>
      <c r="F43" s="2">
        <v>2</v>
      </c>
      <c r="G43" s="2">
        <v>27</v>
      </c>
      <c r="H43" s="2">
        <v>-0.14466823943256049</v>
      </c>
      <c r="I43" s="2">
        <v>55</v>
      </c>
      <c r="J43" s="2">
        <v>2.7023316536874251</v>
      </c>
      <c r="K43" s="1">
        <v>4000</v>
      </c>
      <c r="L43" s="2">
        <v>1.2606194118768299</v>
      </c>
      <c r="N43" s="2" t="str">
        <f t="shared" si="0"/>
        <v/>
      </c>
      <c r="O43" s="2" t="e">
        <f t="shared" si="1"/>
        <v>#VALUE!</v>
      </c>
      <c r="P43" s="2" t="s">
        <v>12</v>
      </c>
      <c r="R43" s="5" t="str">
        <f t="shared" si="2"/>
        <v/>
      </c>
      <c r="S43" s="5" t="e">
        <f t="shared" si="3"/>
        <v>#VALUE!</v>
      </c>
      <c r="T43" s="2" t="s">
        <v>12</v>
      </c>
      <c r="V43" s="2" t="str">
        <f t="shared" si="4"/>
        <v/>
      </c>
      <c r="W43" s="2" t="e">
        <f t="shared" si="5"/>
        <v>#VALUE!</v>
      </c>
      <c r="Y43" s="76" t="e">
        <f t="shared" si="44"/>
        <v>#VALUE!</v>
      </c>
      <c r="Z43" s="76" t="e">
        <f t="shared" si="45"/>
        <v>#VALUE!</v>
      </c>
      <c r="AA43" s="2" t="str">
        <f t="shared" si="6"/>
        <v/>
      </c>
      <c r="AB43" s="2" t="e">
        <f t="shared" si="7"/>
        <v>#VALUE!</v>
      </c>
      <c r="AC43" s="2" t="s">
        <v>12</v>
      </c>
      <c r="AE43" s="79" t="e">
        <f t="shared" si="46"/>
        <v>#VALUE!</v>
      </c>
      <c r="AF43" s="79" t="e">
        <f t="shared" si="47"/>
        <v>#VALUE!</v>
      </c>
      <c r="AG43" s="2" t="str">
        <f t="shared" si="64"/>
        <v/>
      </c>
      <c r="AH43" s="2" t="e">
        <f t="shared" si="9"/>
        <v>#VALUE!</v>
      </c>
      <c r="AI43" s="2" t="s">
        <v>12</v>
      </c>
      <c r="AK43" s="76" t="e">
        <f t="shared" si="48"/>
        <v>#VALUE!</v>
      </c>
      <c r="AL43" s="76" t="e">
        <f t="shared" si="49"/>
        <v>#VALUE!</v>
      </c>
      <c r="AM43" s="2" t="str">
        <f t="shared" si="10"/>
        <v/>
      </c>
      <c r="AN43" s="2" t="e">
        <f t="shared" si="11"/>
        <v>#VALUE!</v>
      </c>
      <c r="AP43" s="2" t="str">
        <f t="shared" si="12"/>
        <v/>
      </c>
      <c r="AQ43" s="2" t="e">
        <f t="shared" si="13"/>
        <v>#VALUE!</v>
      </c>
      <c r="AR43" s="2" t="s">
        <v>12</v>
      </c>
      <c r="AT43" s="2" t="str">
        <f t="shared" si="14"/>
        <v/>
      </c>
      <c r="AU43" s="2" t="e">
        <f t="shared" si="15"/>
        <v>#VALUE!</v>
      </c>
      <c r="AV43" s="2" t="s">
        <v>12</v>
      </c>
      <c r="AX43" s="2" t="str">
        <f t="shared" si="16"/>
        <v/>
      </c>
      <c r="AY43" s="2" t="e">
        <f t="shared" si="17"/>
        <v>#VALUE!</v>
      </c>
      <c r="BA43" s="78" t="e">
        <f t="shared" si="50"/>
        <v>#VALUE!</v>
      </c>
      <c r="BB43" s="78" t="e">
        <f t="shared" si="51"/>
        <v>#VALUE!</v>
      </c>
      <c r="BC43" s="2" t="str">
        <f t="shared" si="18"/>
        <v/>
      </c>
      <c r="BD43" s="2" t="e">
        <f t="shared" si="19"/>
        <v>#VALUE!</v>
      </c>
      <c r="BE43" s="67" t="e">
        <f t="shared" si="52"/>
        <v>#VALUE!</v>
      </c>
      <c r="BF43" s="2" t="s">
        <v>12</v>
      </c>
      <c r="BH43" s="2" t="str">
        <f t="shared" si="20"/>
        <v/>
      </c>
      <c r="BI43" s="2" t="e">
        <f t="shared" si="21"/>
        <v>#VALUE!</v>
      </c>
      <c r="BJ43" s="67" t="e">
        <f t="shared" si="65"/>
        <v>#VALUE!</v>
      </c>
      <c r="BK43" s="2" t="s">
        <v>12</v>
      </c>
      <c r="BM43" s="77" t="e">
        <f t="shared" si="53"/>
        <v>#VALUE!</v>
      </c>
      <c r="BN43" s="77" t="e">
        <f t="shared" si="54"/>
        <v>#VALUE!</v>
      </c>
      <c r="BO43" s="2" t="str">
        <f t="shared" si="23"/>
        <v/>
      </c>
      <c r="BP43" s="2" t="e">
        <f t="shared" si="24"/>
        <v>#VALUE!</v>
      </c>
      <c r="BQ43" s="67" t="e">
        <f t="shared" si="55"/>
        <v>#VALUE!</v>
      </c>
      <c r="BS43" s="75" t="str">
        <f t="shared" si="56"/>
        <v>UF</v>
      </c>
      <c r="BT43" s="75" t="str">
        <f t="shared" si="57"/>
        <v>UF</v>
      </c>
      <c r="BU43" s="5" t="str">
        <f t="shared" si="25"/>
        <v>UF</v>
      </c>
      <c r="BV43" s="5" t="str">
        <f t="shared" si="26"/>
        <v>UF</v>
      </c>
      <c r="BW43" s="69" t="str">
        <f t="shared" si="66"/>
        <v/>
      </c>
      <c r="BX43" s="2" t="s">
        <v>12</v>
      </c>
      <c r="BZ43" s="74" t="str">
        <f t="shared" si="58"/>
        <v>UF</v>
      </c>
      <c r="CA43" s="74" t="str">
        <f t="shared" si="59"/>
        <v>UF</v>
      </c>
      <c r="CB43" s="5" t="str">
        <f t="shared" si="28"/>
        <v>UF</v>
      </c>
      <c r="CC43" s="5" t="str">
        <f t="shared" si="29"/>
        <v>UF</v>
      </c>
      <c r="CD43" s="2" t="e">
        <f t="shared" si="30"/>
        <v>#VALUE!</v>
      </c>
      <c r="CE43" s="69" t="str">
        <f t="shared" si="31"/>
        <v/>
      </c>
      <c r="CF43" s="5" t="s">
        <v>12</v>
      </c>
      <c r="CH43" s="72" t="str">
        <f t="shared" si="60"/>
        <v>UF</v>
      </c>
      <c r="CI43" s="72" t="str">
        <f t="shared" si="61"/>
        <v>UF</v>
      </c>
      <c r="CJ43" s="5" t="str">
        <f t="shared" si="32"/>
        <v>UF</v>
      </c>
      <c r="CK43" s="5" t="str">
        <f t="shared" si="33"/>
        <v>UF</v>
      </c>
      <c r="CL43" s="69" t="str">
        <f t="shared" si="67"/>
        <v/>
      </c>
      <c r="CN43" s="70" t="str">
        <f t="shared" si="35"/>
        <v/>
      </c>
      <c r="CO43" s="5" t="str">
        <f t="shared" si="36"/>
        <v>UF</v>
      </c>
      <c r="CP43" s="5" t="str">
        <f>IF(G43&lt;48,"UF", IF(NOT(ISBLANK(CM:CM)), CM:CM, IF(BW:BW=1, BV:BV+Sheet2!B396, IF(Sheet1!BW:BW=2, Sheet1!BV:BV+Sheet2!B397, IF(Sheet1!BW:BW=7, Sheet1!BV:BV+Sheet2!B398,"")))))</f>
        <v>UF</v>
      </c>
      <c r="CQ43" s="69" t="str">
        <f t="shared" si="62"/>
        <v/>
      </c>
      <c r="CR43" s="5" t="s">
        <v>12</v>
      </c>
      <c r="CT43" s="5" t="str">
        <f t="shared" si="37"/>
        <v/>
      </c>
      <c r="CU43" s="80" t="str">
        <f t="shared" si="38"/>
        <v>UF</v>
      </c>
      <c r="CV43" s="80" t="str">
        <f t="shared" si="39"/>
        <v>UF</v>
      </c>
      <c r="CW43" s="20" t="str">
        <f>IF(G43&lt;48,"UF", IF(NOT(ISBLANK(CS43)), CS43, IF(CE43=5, CC43+Sheet2!B385, IF(CE43=6, CC43+Sheet2!B386, IF(CE43=7, CC43+Sheet2!B387,"")))))</f>
        <v>UF</v>
      </c>
      <c r="CX43" s="68" t="str">
        <f t="shared" si="63"/>
        <v/>
      </c>
      <c r="CY43" s="5" t="s">
        <v>12</v>
      </c>
      <c r="DA43" s="5" t="str">
        <f t="shared" si="40"/>
        <v>UF</v>
      </c>
      <c r="DB43" s="73" t="str">
        <f t="shared" si="41"/>
        <v>UF</v>
      </c>
      <c r="DC43" s="73" t="str">
        <f t="shared" si="42"/>
        <v>UF</v>
      </c>
      <c r="DD43" s="5" t="str">
        <f>IF(G43&lt;48,"UF", IF(NOT(ISBLANK(CZ:CZ)), CZ:CZ, IF(CL:CL=3, CK:CK+Sheet2!B390, IF(CL:CL=4, CK:CK+Sheet2!B391, IF(CL:CL=7, CK:CK+Sheet2!B392,"")))))</f>
        <v>UF</v>
      </c>
      <c r="DE43" s="69" t="str">
        <f t="shared" si="43"/>
        <v/>
      </c>
      <c r="DF43" s="2">
        <v>1</v>
      </c>
      <c r="DG43" s="2">
        <v>20</v>
      </c>
      <c r="DH43" s="2">
        <v>2</v>
      </c>
      <c r="DI43" s="2">
        <v>2</v>
      </c>
      <c r="DJ43" s="2">
        <v>2</v>
      </c>
      <c r="DK43" s="2" t="s">
        <v>12</v>
      </c>
      <c r="DL43" s="2" t="s">
        <v>12</v>
      </c>
      <c r="DM43" s="2">
        <v>100</v>
      </c>
      <c r="DN43" s="2">
        <v>60</v>
      </c>
      <c r="DO43" s="2" t="s">
        <v>12</v>
      </c>
      <c r="DP43" s="2" t="s">
        <v>12</v>
      </c>
      <c r="DQ43" s="2">
        <v>2</v>
      </c>
      <c r="DR43" s="2">
        <v>40</v>
      </c>
      <c r="DS43" s="2">
        <v>1</v>
      </c>
      <c r="DT43" s="2">
        <v>99</v>
      </c>
      <c r="DU43" s="2">
        <v>75</v>
      </c>
      <c r="DV43" s="2">
        <v>2</v>
      </c>
      <c r="DW43" s="2">
        <v>2</v>
      </c>
      <c r="DX43" s="2">
        <v>2</v>
      </c>
      <c r="DY43" s="2">
        <v>3</v>
      </c>
      <c r="DZ43" s="2">
        <v>35</v>
      </c>
      <c r="EA43" s="2">
        <v>36</v>
      </c>
      <c r="EB43" s="2" t="s">
        <v>12</v>
      </c>
      <c r="EC43" s="2">
        <v>1</v>
      </c>
      <c r="ED43" s="2" t="s">
        <v>12</v>
      </c>
    </row>
    <row r="44" spans="3:134" x14ac:dyDescent="0.25">
      <c r="C44" s="8" t="s">
        <v>47</v>
      </c>
      <c r="D44" s="2">
        <v>122654074</v>
      </c>
      <c r="E44" s="5">
        <v>7</v>
      </c>
      <c r="F44" s="2">
        <v>1</v>
      </c>
      <c r="G44" s="2">
        <v>30</v>
      </c>
      <c r="H44" s="2">
        <v>-0.93528053233333042</v>
      </c>
      <c r="I44" s="2">
        <v>55</v>
      </c>
      <c r="J44" s="2">
        <v>3.141839952085506</v>
      </c>
      <c r="K44" s="2">
        <v>3700</v>
      </c>
      <c r="L44" s="2">
        <v>0.97883011041566159</v>
      </c>
      <c r="M44" s="2">
        <v>1.6617</v>
      </c>
      <c r="N44" s="2">
        <f t="shared" si="0"/>
        <v>0.79354026616666529</v>
      </c>
      <c r="O44" s="2">
        <f t="shared" si="1"/>
        <v>1.6617</v>
      </c>
      <c r="P44" s="2">
        <v>68</v>
      </c>
      <c r="Q44" s="2">
        <v>0.99</v>
      </c>
      <c r="R44" s="5">
        <f t="shared" si="2"/>
        <v>-0.75591997604275307</v>
      </c>
      <c r="S44" s="5">
        <f t="shared" si="3"/>
        <v>0.99</v>
      </c>
      <c r="T44" s="2">
        <v>9100</v>
      </c>
      <c r="U44" s="2">
        <v>1.79</v>
      </c>
      <c r="V44" s="2">
        <f t="shared" si="4"/>
        <v>0.19058494479216925</v>
      </c>
      <c r="W44" s="2">
        <f t="shared" si="5"/>
        <v>1.79</v>
      </c>
      <c r="X44" s="2">
        <v>0.65180000000000005</v>
      </c>
      <c r="Y44" s="76">
        <f t="shared" si="44"/>
        <v>1.5870805323333306</v>
      </c>
      <c r="Z44" s="76">
        <f t="shared" si="45"/>
        <v>2</v>
      </c>
      <c r="AA44" s="2">
        <f t="shared" si="6"/>
        <v>-0.93154999999999999</v>
      </c>
      <c r="AB44" s="2">
        <f t="shared" si="7"/>
        <v>0.65180000000000005</v>
      </c>
      <c r="AC44" s="2">
        <v>78.2</v>
      </c>
      <c r="AD44" s="2">
        <v>1.63</v>
      </c>
      <c r="AE44" s="79">
        <f t="shared" si="46"/>
        <v>-1.5118399520855061</v>
      </c>
      <c r="AF44" s="79">
        <f t="shared" si="47"/>
        <v>-2</v>
      </c>
      <c r="AG44" s="2">
        <f t="shared" si="64"/>
        <v>0.41500000000000004</v>
      </c>
      <c r="AH44" s="2">
        <f t="shared" si="9"/>
        <v>1.63</v>
      </c>
      <c r="AI44" s="2">
        <v>10600</v>
      </c>
      <c r="AJ44" s="2">
        <v>1.36</v>
      </c>
      <c r="AK44" s="76">
        <f t="shared" si="48"/>
        <v>0.38116988958433851</v>
      </c>
      <c r="AL44" s="76">
        <f t="shared" si="49"/>
        <v>1</v>
      </c>
      <c r="AM44" s="2">
        <f t="shared" si="10"/>
        <v>-0.67500000000000004</v>
      </c>
      <c r="AN44" s="2">
        <f t="shared" si="11"/>
        <v>1.36</v>
      </c>
      <c r="AO44" s="2">
        <v>-0.87309999999999999</v>
      </c>
      <c r="AP44" s="2" t="str">
        <f t="shared" si="12"/>
        <v/>
      </c>
      <c r="AQ44" s="2">
        <f t="shared" si="13"/>
        <v>-0.87309999999999999</v>
      </c>
      <c r="AR44" s="2">
        <v>86</v>
      </c>
      <c r="AS44" s="2">
        <v>1.82</v>
      </c>
      <c r="AT44" s="2" t="str">
        <f t="shared" si="14"/>
        <v/>
      </c>
      <c r="AU44" s="2">
        <f t="shared" si="15"/>
        <v>1.82</v>
      </c>
      <c r="AV44" s="2">
        <v>10800</v>
      </c>
      <c r="AW44" s="2">
        <v>0.44</v>
      </c>
      <c r="AX44" s="2" t="str">
        <f t="shared" si="16"/>
        <v/>
      </c>
      <c r="AY44" s="2">
        <f t="shared" si="17"/>
        <v>0.44</v>
      </c>
      <c r="BA44" s="78" t="e">
        <f t="shared" si="50"/>
        <v>#VALUE!</v>
      </c>
      <c r="BB44" s="78" t="e">
        <f t="shared" si="51"/>
        <v>#VALUE!</v>
      </c>
      <c r="BC44" s="2" t="str">
        <f t="shared" si="18"/>
        <v/>
      </c>
      <c r="BD44" s="2" t="e">
        <f t="shared" si="19"/>
        <v>#VALUE!</v>
      </c>
      <c r="BE44" s="67" t="e">
        <f t="shared" si="52"/>
        <v>#VALUE!</v>
      </c>
      <c r="BF44" s="2" t="s">
        <v>12</v>
      </c>
      <c r="BH44" s="2" t="str">
        <f t="shared" si="20"/>
        <v/>
      </c>
      <c r="BI44" s="2" t="e">
        <f t="shared" si="21"/>
        <v>#VALUE!</v>
      </c>
      <c r="BJ44" s="67" t="e">
        <f t="shared" si="65"/>
        <v>#VALUE!</v>
      </c>
      <c r="BK44" s="2" t="s">
        <v>12</v>
      </c>
      <c r="BM44" s="77" t="e">
        <f t="shared" si="53"/>
        <v>#VALUE!</v>
      </c>
      <c r="BN44" s="77" t="e">
        <f t="shared" si="54"/>
        <v>#VALUE!</v>
      </c>
      <c r="BO44" s="2" t="str">
        <f t="shared" si="23"/>
        <v/>
      </c>
      <c r="BP44" s="2" t="e">
        <f t="shared" si="24"/>
        <v>#VALUE!</v>
      </c>
      <c r="BQ44" s="67" t="e">
        <f t="shared" si="55"/>
        <v>#VALUE!</v>
      </c>
      <c r="BS44" s="75" t="str">
        <f t="shared" si="56"/>
        <v>UF</v>
      </c>
      <c r="BT44" s="75" t="str">
        <f t="shared" si="57"/>
        <v>UF</v>
      </c>
      <c r="BU44" s="5" t="str">
        <f t="shared" si="25"/>
        <v>UF</v>
      </c>
      <c r="BV44" s="5" t="str">
        <f t="shared" si="26"/>
        <v>UF</v>
      </c>
      <c r="BW44" s="69" t="str">
        <f t="shared" si="66"/>
        <v/>
      </c>
      <c r="BX44" s="2" t="s">
        <v>12</v>
      </c>
      <c r="BZ44" s="74" t="str">
        <f t="shared" si="58"/>
        <v>UF</v>
      </c>
      <c r="CA44" s="74" t="str">
        <f t="shared" si="59"/>
        <v>UF</v>
      </c>
      <c r="CB44" s="5" t="str">
        <f t="shared" si="28"/>
        <v>UF</v>
      </c>
      <c r="CC44" s="5" t="str">
        <f t="shared" si="29"/>
        <v>UF</v>
      </c>
      <c r="CD44" s="2" t="e">
        <f t="shared" si="30"/>
        <v>#VALUE!</v>
      </c>
      <c r="CE44" s="69" t="str">
        <f t="shared" si="31"/>
        <v/>
      </c>
      <c r="CF44" s="5" t="s">
        <v>12</v>
      </c>
      <c r="CH44" s="72" t="str">
        <f t="shared" si="60"/>
        <v>UF</v>
      </c>
      <c r="CI44" s="72" t="str">
        <f t="shared" si="61"/>
        <v>UF</v>
      </c>
      <c r="CJ44" s="5" t="str">
        <f t="shared" si="32"/>
        <v>UF</v>
      </c>
      <c r="CK44" s="5" t="str">
        <f t="shared" si="33"/>
        <v>UF</v>
      </c>
      <c r="CL44" s="69" t="str">
        <f t="shared" si="67"/>
        <v/>
      </c>
      <c r="CN44" s="70" t="str">
        <f t="shared" si="35"/>
        <v/>
      </c>
      <c r="CO44" s="5" t="str">
        <f t="shared" si="36"/>
        <v>UF</v>
      </c>
      <c r="CP44" s="5" t="str">
        <f>IF(G44&lt;48,"UF", IF(NOT(ISBLANK(CM:CM)), CM:CM, IF(BW:BW=1, BV:BV+Sheet2!B586, IF(Sheet1!BW:BW=2, Sheet1!BV:BV+Sheet2!B587, IF(Sheet1!BW:BW=7, Sheet1!BV:BV+Sheet2!B588,"")))))</f>
        <v>UF</v>
      </c>
      <c r="CQ44" s="69" t="str">
        <f t="shared" si="62"/>
        <v/>
      </c>
      <c r="CR44" s="5" t="s">
        <v>12</v>
      </c>
      <c r="CT44" s="5" t="str">
        <f t="shared" si="37"/>
        <v/>
      </c>
      <c r="CU44" s="80" t="str">
        <f t="shared" si="38"/>
        <v>UF</v>
      </c>
      <c r="CV44" s="80" t="str">
        <f t="shared" si="39"/>
        <v>UF</v>
      </c>
      <c r="CW44" s="20" t="str">
        <f>IF(G44&lt;48,"UF", IF(NOT(ISBLANK(CS44)), CS44, IF(CE44=5, CC44+Sheet2!B575, IF(CE44=6, CC44+Sheet2!B576, IF(CE44=7, CC44+Sheet2!B577,"")))))</f>
        <v>UF</v>
      </c>
      <c r="CX44" s="68" t="str">
        <f t="shared" si="63"/>
        <v/>
      </c>
      <c r="CY44" s="5" t="s">
        <v>12</v>
      </c>
      <c r="DA44" s="5" t="str">
        <f t="shared" si="40"/>
        <v>UF</v>
      </c>
      <c r="DB44" s="73" t="str">
        <f t="shared" si="41"/>
        <v>UF</v>
      </c>
      <c r="DC44" s="73" t="str">
        <f t="shared" si="42"/>
        <v>UF</v>
      </c>
      <c r="DD44" s="5" t="str">
        <f>IF(G44&lt;48,"UF", IF(NOT(ISBLANK(CZ:CZ)), CZ:CZ, IF(CL:CL=3, CK:CK+Sheet2!B580, IF(CL:CL=4, CK:CK+Sheet2!B581, IF(CL:CL=7, CK:CK+Sheet2!B582,"")))))</f>
        <v>UF</v>
      </c>
      <c r="DE44" s="69" t="str">
        <f t="shared" si="43"/>
        <v/>
      </c>
      <c r="DF44" s="2">
        <v>1</v>
      </c>
      <c r="DG44" s="2">
        <v>22</v>
      </c>
      <c r="DH44" s="2">
        <v>2</v>
      </c>
      <c r="DI44" s="2">
        <v>1</v>
      </c>
      <c r="DJ44" s="2">
        <v>2</v>
      </c>
      <c r="DK44" s="2">
        <v>123</v>
      </c>
      <c r="DL44" s="2">
        <v>63</v>
      </c>
      <c r="DM44" s="2">
        <v>124</v>
      </c>
      <c r="DN44" s="2">
        <v>65</v>
      </c>
      <c r="DO44" s="2">
        <v>134</v>
      </c>
      <c r="DP44" s="2">
        <v>76</v>
      </c>
      <c r="DQ44" s="2">
        <v>2</v>
      </c>
      <c r="DR44" s="2">
        <v>38</v>
      </c>
      <c r="DS44" s="2">
        <v>2</v>
      </c>
      <c r="DT44" s="2">
        <v>90</v>
      </c>
      <c r="DU44" s="2">
        <v>63.5</v>
      </c>
      <c r="DV44" s="2">
        <v>2</v>
      </c>
      <c r="DW44" s="2">
        <v>2</v>
      </c>
      <c r="DX44" s="2">
        <v>2</v>
      </c>
      <c r="DY44" s="2">
        <v>2</v>
      </c>
      <c r="DZ44" s="2">
        <v>35</v>
      </c>
      <c r="EA44" s="2">
        <v>34.299999999999997</v>
      </c>
      <c r="EB44" s="2">
        <v>44.5</v>
      </c>
      <c r="EC44" s="2">
        <v>4</v>
      </c>
      <c r="ED44" s="2">
        <v>1</v>
      </c>
    </row>
    <row r="45" spans="3:134" x14ac:dyDescent="0.25">
      <c r="C45" s="8" t="s">
        <v>224</v>
      </c>
      <c r="D45" s="53">
        <v>122659568</v>
      </c>
      <c r="E45" s="5">
        <v>7</v>
      </c>
      <c r="F45" s="2">
        <v>1</v>
      </c>
      <c r="G45" s="2">
        <v>26</v>
      </c>
      <c r="H45" s="2">
        <v>-0.99878430987205713</v>
      </c>
      <c r="I45" s="2">
        <v>50</v>
      </c>
      <c r="J45" s="2">
        <v>0.45756143734440202</v>
      </c>
      <c r="K45" s="2">
        <v>3040</v>
      </c>
      <c r="L45" s="2">
        <v>-0.42760028049282411</v>
      </c>
      <c r="M45" s="2">
        <v>-0.40720000000000001</v>
      </c>
      <c r="N45" s="2">
        <f t="shared" si="0"/>
        <v>0.75689215493602857</v>
      </c>
      <c r="O45" s="2">
        <f t="shared" si="1"/>
        <v>-0.40720000000000001</v>
      </c>
      <c r="P45" s="2">
        <v>66</v>
      </c>
      <c r="Q45" s="2">
        <v>0.11</v>
      </c>
      <c r="R45" s="5">
        <f t="shared" si="2"/>
        <v>-0.51878071867220099</v>
      </c>
      <c r="S45" s="5">
        <f t="shared" si="3"/>
        <v>0.11</v>
      </c>
      <c r="T45" s="2">
        <v>7100</v>
      </c>
      <c r="U45" s="2">
        <v>-0.23</v>
      </c>
      <c r="V45" s="2">
        <f t="shared" si="4"/>
        <v>0.23880014024641205</v>
      </c>
      <c r="W45" s="2">
        <f t="shared" si="5"/>
        <v>-0.23</v>
      </c>
      <c r="X45" s="2">
        <v>0.51500000000000001</v>
      </c>
      <c r="Y45" s="76">
        <f t="shared" si="44"/>
        <v>1.5137843098720571</v>
      </c>
      <c r="Z45" s="76">
        <f t="shared" si="45"/>
        <v>2</v>
      </c>
      <c r="AA45" s="2">
        <f t="shared" si="6"/>
        <v>0.52429999999999999</v>
      </c>
      <c r="AB45" s="2">
        <f t="shared" si="7"/>
        <v>0.51500000000000001</v>
      </c>
      <c r="AC45" s="2">
        <v>72.5</v>
      </c>
      <c r="AD45" s="2">
        <v>-0.57999999999999996</v>
      </c>
      <c r="AE45" s="79">
        <f t="shared" si="46"/>
        <v>-1.037561437344402</v>
      </c>
      <c r="AF45" s="79">
        <f t="shared" si="47"/>
        <v>-2</v>
      </c>
      <c r="AG45" s="2">
        <f t="shared" si="64"/>
        <v>-0.78</v>
      </c>
      <c r="AH45" s="2">
        <f t="shared" si="9"/>
        <v>-0.57999999999999996</v>
      </c>
      <c r="AI45" s="2">
        <v>9000</v>
      </c>
      <c r="AJ45" s="2">
        <v>0.05</v>
      </c>
      <c r="AK45" s="76">
        <f t="shared" si="48"/>
        <v>0.4776002804928241</v>
      </c>
      <c r="AL45" s="76">
        <f t="shared" si="49"/>
        <v>1</v>
      </c>
      <c r="AM45" s="2">
        <f t="shared" si="10"/>
        <v>0.1</v>
      </c>
      <c r="AN45" s="2">
        <f t="shared" si="11"/>
        <v>0.05</v>
      </c>
      <c r="AO45" s="2">
        <v>1.1586000000000001</v>
      </c>
      <c r="AP45" s="2" t="str">
        <f t="shared" si="12"/>
        <v/>
      </c>
      <c r="AQ45" s="2">
        <f t="shared" si="13"/>
        <v>1.1586000000000001</v>
      </c>
      <c r="AR45" s="2">
        <v>76.5</v>
      </c>
      <c r="AS45" s="2">
        <v>-1.45</v>
      </c>
      <c r="AT45" s="2" t="str">
        <f t="shared" si="14"/>
        <v/>
      </c>
      <c r="AU45" s="2">
        <f t="shared" si="15"/>
        <v>-1.45</v>
      </c>
      <c r="AV45" s="2">
        <v>10200</v>
      </c>
      <c r="AW45" s="2">
        <v>-0.03</v>
      </c>
      <c r="AX45" s="2" t="str">
        <f t="shared" si="16"/>
        <v/>
      </c>
      <c r="AY45" s="2">
        <f t="shared" si="17"/>
        <v>-0.03</v>
      </c>
      <c r="BA45" s="78" t="e">
        <f t="shared" si="50"/>
        <v>#VALUE!</v>
      </c>
      <c r="BB45" s="78" t="e">
        <f t="shared" si="51"/>
        <v>#VALUE!</v>
      </c>
      <c r="BC45" s="2" t="str">
        <f t="shared" si="18"/>
        <v/>
      </c>
      <c r="BD45" s="2" t="e">
        <f t="shared" si="19"/>
        <v>#VALUE!</v>
      </c>
      <c r="BE45" s="67" t="e">
        <f t="shared" si="52"/>
        <v>#VALUE!</v>
      </c>
      <c r="BF45" s="2" t="s">
        <v>12</v>
      </c>
      <c r="BH45" s="2" t="str">
        <f t="shared" si="20"/>
        <v/>
      </c>
      <c r="BI45" s="2" t="e">
        <f t="shared" si="21"/>
        <v>#VALUE!</v>
      </c>
      <c r="BJ45" s="67" t="e">
        <f t="shared" si="65"/>
        <v>#VALUE!</v>
      </c>
      <c r="BK45" s="2" t="s">
        <v>12</v>
      </c>
      <c r="BM45" s="77" t="e">
        <f t="shared" si="53"/>
        <v>#VALUE!</v>
      </c>
      <c r="BN45" s="77" t="e">
        <f t="shared" si="54"/>
        <v>#VALUE!</v>
      </c>
      <c r="BO45" s="2" t="str">
        <f t="shared" si="23"/>
        <v/>
      </c>
      <c r="BP45" s="2" t="e">
        <f t="shared" si="24"/>
        <v>#VALUE!</v>
      </c>
      <c r="BQ45" s="67" t="e">
        <f t="shared" si="55"/>
        <v>#VALUE!</v>
      </c>
      <c r="BS45" s="75" t="str">
        <f t="shared" si="56"/>
        <v>UF</v>
      </c>
      <c r="BT45" s="75" t="str">
        <f t="shared" si="57"/>
        <v>UF</v>
      </c>
      <c r="BU45" s="5" t="str">
        <f t="shared" si="25"/>
        <v>UF</v>
      </c>
      <c r="BV45" s="5" t="str">
        <f t="shared" si="26"/>
        <v>UF</v>
      </c>
      <c r="BW45" s="69" t="str">
        <f t="shared" si="66"/>
        <v/>
      </c>
      <c r="BX45" s="2" t="s">
        <v>12</v>
      </c>
      <c r="BZ45" s="74" t="str">
        <f t="shared" si="58"/>
        <v>UF</v>
      </c>
      <c r="CA45" s="74" t="str">
        <f t="shared" si="59"/>
        <v>UF</v>
      </c>
      <c r="CB45" s="5" t="str">
        <f t="shared" si="28"/>
        <v>UF</v>
      </c>
      <c r="CC45" s="5" t="str">
        <f t="shared" si="29"/>
        <v>UF</v>
      </c>
      <c r="CD45" s="2" t="e">
        <f t="shared" si="30"/>
        <v>#VALUE!</v>
      </c>
      <c r="CE45" s="69" t="str">
        <f t="shared" si="31"/>
        <v/>
      </c>
      <c r="CF45" s="5" t="s">
        <v>12</v>
      </c>
      <c r="CH45" s="72" t="str">
        <f t="shared" si="60"/>
        <v>UF</v>
      </c>
      <c r="CI45" s="72" t="str">
        <f t="shared" si="61"/>
        <v>UF</v>
      </c>
      <c r="CJ45" s="5" t="str">
        <f t="shared" si="32"/>
        <v>UF</v>
      </c>
      <c r="CK45" s="5" t="str">
        <f t="shared" si="33"/>
        <v>UF</v>
      </c>
      <c r="CL45" s="69" t="str">
        <f t="shared" si="67"/>
        <v/>
      </c>
      <c r="CN45" s="70" t="str">
        <f t="shared" si="35"/>
        <v/>
      </c>
      <c r="CO45" s="5" t="str">
        <f t="shared" si="36"/>
        <v>UF</v>
      </c>
      <c r="CP45" s="5" t="str">
        <f>IF(G45&lt;48,"UF", IF(NOT(ISBLANK(CM:CM)), CM:CM, IF(BW:BW=1, BV:BV+Sheet2!B405, IF(Sheet1!BW:BW=2, Sheet1!BV:BV+Sheet2!B406, IF(Sheet1!BW:BW=7, Sheet1!BV:BV+Sheet2!B407,"")))))</f>
        <v>UF</v>
      </c>
      <c r="CQ45" s="69" t="str">
        <f t="shared" si="62"/>
        <v/>
      </c>
      <c r="CR45" s="5" t="s">
        <v>12</v>
      </c>
      <c r="CT45" s="5" t="str">
        <f t="shared" si="37"/>
        <v/>
      </c>
      <c r="CU45" s="80" t="str">
        <f t="shared" si="38"/>
        <v>UF</v>
      </c>
      <c r="CV45" s="80" t="str">
        <f t="shared" si="39"/>
        <v>UF</v>
      </c>
      <c r="CW45" s="20" t="str">
        <f>IF(G45&lt;48,"UF", IF(NOT(ISBLANK(CS45)), CS45, IF(CE45=5, CC45+Sheet2!B394, IF(CE45=6, CC45+Sheet2!B395, IF(CE45=7, CC45+Sheet2!B396,"")))))</f>
        <v>UF</v>
      </c>
      <c r="CX45" s="68" t="str">
        <f t="shared" si="63"/>
        <v/>
      </c>
      <c r="CY45" s="5" t="s">
        <v>12</v>
      </c>
      <c r="DA45" s="5" t="str">
        <f t="shared" si="40"/>
        <v>UF</v>
      </c>
      <c r="DB45" s="73" t="str">
        <f t="shared" si="41"/>
        <v>UF</v>
      </c>
      <c r="DC45" s="73" t="str">
        <f t="shared" si="42"/>
        <v>UF</v>
      </c>
      <c r="DD45" s="5" t="str">
        <f>IF(G45&lt;48,"UF", IF(NOT(ISBLANK(CZ:CZ)), CZ:CZ, IF(CL:CL=3, CK:CK+Sheet2!B399, IF(CL:CL=4, CK:CK+Sheet2!B400, IF(CL:CL=7, CK:CK+Sheet2!B401,"")))))</f>
        <v>UF</v>
      </c>
      <c r="DE45" s="69" t="str">
        <f t="shared" si="43"/>
        <v/>
      </c>
      <c r="DF45" s="2">
        <v>2</v>
      </c>
      <c r="DG45" s="2">
        <v>20</v>
      </c>
      <c r="DH45" s="2">
        <v>2</v>
      </c>
      <c r="DI45" s="2">
        <v>2</v>
      </c>
      <c r="DJ45" s="2">
        <v>2</v>
      </c>
      <c r="DK45" s="2">
        <v>100</v>
      </c>
      <c r="DL45" s="2">
        <v>60</v>
      </c>
      <c r="DM45" s="2">
        <v>110</v>
      </c>
      <c r="DN45" s="2">
        <v>70</v>
      </c>
      <c r="DO45" s="2">
        <v>114</v>
      </c>
      <c r="DP45" s="2">
        <v>71</v>
      </c>
      <c r="DQ45" s="2">
        <v>2</v>
      </c>
      <c r="DR45" s="2">
        <v>40</v>
      </c>
      <c r="DS45" s="2">
        <v>2</v>
      </c>
      <c r="DT45" s="2">
        <v>79</v>
      </c>
      <c r="DU45" s="2">
        <v>70</v>
      </c>
      <c r="DV45" s="2">
        <v>2</v>
      </c>
      <c r="DW45" s="2">
        <v>3</v>
      </c>
      <c r="DX45" s="2">
        <v>2</v>
      </c>
      <c r="DY45" s="2">
        <v>2</v>
      </c>
      <c r="DZ45" s="2">
        <v>34</v>
      </c>
      <c r="EA45" s="2" t="s">
        <v>12</v>
      </c>
      <c r="EB45" s="2">
        <v>45</v>
      </c>
      <c r="EC45" s="2" t="s">
        <v>12</v>
      </c>
      <c r="ED45" s="2">
        <v>1</v>
      </c>
    </row>
    <row r="46" spans="3:134" x14ac:dyDescent="0.25">
      <c r="C46" s="8" t="s">
        <v>248</v>
      </c>
      <c r="D46" s="8">
        <v>122662931</v>
      </c>
      <c r="E46" s="5">
        <v>7</v>
      </c>
      <c r="F46" s="2">
        <v>2</v>
      </c>
      <c r="G46" s="2">
        <v>26</v>
      </c>
      <c r="H46" s="2">
        <v>0.14925827693482011</v>
      </c>
      <c r="I46" s="2">
        <v>50</v>
      </c>
      <c r="J46" s="2">
        <v>6.1168777667580831E-2</v>
      </c>
      <c r="K46" s="2">
        <v>3400</v>
      </c>
      <c r="L46" s="2">
        <v>0.1091247039083435</v>
      </c>
      <c r="M46" s="2">
        <v>-0.21299999999999999</v>
      </c>
      <c r="N46" s="2">
        <f t="shared" si="0"/>
        <v>-0.18212913846741005</v>
      </c>
      <c r="O46" s="2">
        <f t="shared" si="1"/>
        <v>-0.21299999999999999</v>
      </c>
      <c r="P46" s="2">
        <v>65</v>
      </c>
      <c r="Q46" s="2">
        <v>-1.23</v>
      </c>
      <c r="R46" s="5">
        <f t="shared" si="2"/>
        <v>-0.6055843888337904</v>
      </c>
      <c r="S46" s="5">
        <f t="shared" si="3"/>
        <v>-1.23</v>
      </c>
      <c r="T46" s="2">
        <v>7200</v>
      </c>
      <c r="U46" s="2">
        <v>-0.89</v>
      </c>
      <c r="V46" s="2">
        <f t="shared" si="4"/>
        <v>-0.47456235195417174</v>
      </c>
      <c r="W46" s="2">
        <f t="shared" si="5"/>
        <v>-0.89</v>
      </c>
      <c r="X46" s="2">
        <v>-0.215</v>
      </c>
      <c r="Y46" s="76">
        <f t="shared" si="44"/>
        <v>-0.3642582769348201</v>
      </c>
      <c r="Z46" s="76">
        <f t="shared" si="45"/>
        <v>-1</v>
      </c>
      <c r="AA46" s="2">
        <f t="shared" si="6"/>
        <v>0.56920000000000004</v>
      </c>
      <c r="AB46" s="2">
        <f t="shared" si="7"/>
        <v>-0.215</v>
      </c>
      <c r="AC46" s="2">
        <v>73</v>
      </c>
      <c r="AD46" s="2">
        <v>-1.1499999999999999</v>
      </c>
      <c r="AE46" s="79">
        <f t="shared" si="46"/>
        <v>-1.2111687776675808</v>
      </c>
      <c r="AF46" s="79">
        <f t="shared" si="47"/>
        <v>-2</v>
      </c>
      <c r="AG46" s="2">
        <f t="shared" si="64"/>
        <v>1.0000000000000009E-2</v>
      </c>
      <c r="AH46" s="2">
        <f t="shared" si="9"/>
        <v>-1.1499999999999999</v>
      </c>
      <c r="AI46" s="2">
        <v>8800</v>
      </c>
      <c r="AJ46" s="2">
        <v>-0.84</v>
      </c>
      <c r="AK46" s="76">
        <f t="shared" si="48"/>
        <v>-0.94912470390834347</v>
      </c>
      <c r="AL46" s="76">
        <f t="shared" si="49"/>
        <v>-2</v>
      </c>
      <c r="AM46" s="2">
        <f t="shared" si="10"/>
        <v>3.999999999999998E-2</v>
      </c>
      <c r="AN46" s="2">
        <f t="shared" si="11"/>
        <v>-0.84</v>
      </c>
      <c r="AO46" s="2">
        <v>-9.1600000000000001E-2</v>
      </c>
      <c r="AP46" s="2">
        <f t="shared" si="12"/>
        <v>-0.45781396621012299</v>
      </c>
      <c r="AQ46" s="2">
        <f t="shared" si="13"/>
        <v>-9.1600000000000001E-2</v>
      </c>
      <c r="AR46" s="2">
        <v>79</v>
      </c>
      <c r="AS46" s="2">
        <v>-1.21</v>
      </c>
      <c r="AT46" s="2">
        <f t="shared" si="14"/>
        <v>0.30974562723785998</v>
      </c>
      <c r="AU46" s="2">
        <f t="shared" si="15"/>
        <v>-1.21</v>
      </c>
      <c r="AV46" s="2">
        <v>10000</v>
      </c>
      <c r="AW46" s="2">
        <v>-0.81</v>
      </c>
      <c r="AX46" s="2">
        <f t="shared" si="16"/>
        <v>-0.27030871938501105</v>
      </c>
      <c r="AY46" s="2">
        <f t="shared" si="17"/>
        <v>-0.81</v>
      </c>
      <c r="AZ46" s="2">
        <v>-1.130627932420246</v>
      </c>
      <c r="BA46" s="78">
        <f t="shared" si="50"/>
        <v>-0.91562793242024598</v>
      </c>
      <c r="BB46" s="78">
        <f t="shared" si="51"/>
        <v>-2</v>
      </c>
      <c r="BC46" s="2" t="str">
        <f t="shared" si="18"/>
        <v/>
      </c>
      <c r="BD46" s="2">
        <f t="shared" si="19"/>
        <v>-1.130627932420246</v>
      </c>
      <c r="BE46" s="67">
        <f t="shared" si="52"/>
        <v>7</v>
      </c>
      <c r="BF46" s="2">
        <v>85</v>
      </c>
      <c r="BG46" s="2">
        <v>-0.53050874552427996</v>
      </c>
      <c r="BH46" s="2" t="str">
        <f t="shared" si="20"/>
        <v/>
      </c>
      <c r="BI46" s="2">
        <f t="shared" si="21"/>
        <v>-0.53050874552427996</v>
      </c>
      <c r="BJ46" s="67">
        <f t="shared" si="65"/>
        <v>7</v>
      </c>
      <c r="BK46" s="2">
        <v>11000</v>
      </c>
      <c r="BL46" s="2">
        <v>-1.3806174387700221</v>
      </c>
      <c r="BM46" s="77">
        <f t="shared" si="53"/>
        <v>-0.54061743877002211</v>
      </c>
      <c r="BN46" s="77">
        <f t="shared" si="54"/>
        <v>-1</v>
      </c>
      <c r="BO46" s="2" t="str">
        <f t="shared" si="23"/>
        <v/>
      </c>
      <c r="BP46" s="2">
        <f t="shared" si="24"/>
        <v>-1.3806174387700221</v>
      </c>
      <c r="BQ46" s="67">
        <f t="shared" si="55"/>
        <v>7</v>
      </c>
      <c r="BS46" s="75" t="str">
        <f t="shared" si="56"/>
        <v>UF</v>
      </c>
      <c r="BT46" s="75" t="str">
        <f t="shared" si="57"/>
        <v>UF</v>
      </c>
      <c r="BU46" s="5" t="str">
        <f t="shared" si="25"/>
        <v/>
      </c>
      <c r="BV46" s="5" t="str">
        <f t="shared" si="26"/>
        <v>UF</v>
      </c>
      <c r="BW46" s="69" t="str">
        <f t="shared" si="66"/>
        <v/>
      </c>
      <c r="BX46" s="2" t="s">
        <v>12</v>
      </c>
      <c r="BZ46" s="74" t="str">
        <f t="shared" si="58"/>
        <v>UF</v>
      </c>
      <c r="CA46" s="74" t="str">
        <f t="shared" si="59"/>
        <v>UF</v>
      </c>
      <c r="CB46" s="5" t="str">
        <f t="shared" si="28"/>
        <v>UF</v>
      </c>
      <c r="CC46" s="5" t="str">
        <f t="shared" si="29"/>
        <v>UF</v>
      </c>
      <c r="CD46" s="2" t="e">
        <f t="shared" si="30"/>
        <v>#VALUE!</v>
      </c>
      <c r="CE46" s="69" t="str">
        <f t="shared" si="31"/>
        <v/>
      </c>
      <c r="CF46" s="5" t="s">
        <v>12</v>
      </c>
      <c r="CH46" s="72" t="str">
        <f t="shared" si="60"/>
        <v>UF</v>
      </c>
      <c r="CI46" s="72" t="str">
        <f t="shared" si="61"/>
        <v>UF</v>
      </c>
      <c r="CJ46" s="5" t="str">
        <f t="shared" si="32"/>
        <v>UF</v>
      </c>
      <c r="CK46" s="5" t="str">
        <f t="shared" si="33"/>
        <v>UF</v>
      </c>
      <c r="CL46" s="69" t="str">
        <f t="shared" si="67"/>
        <v/>
      </c>
      <c r="CN46" s="70" t="str">
        <f t="shared" si="35"/>
        <v/>
      </c>
      <c r="CO46" s="5" t="str">
        <f t="shared" si="36"/>
        <v>UF</v>
      </c>
      <c r="CP46" s="5" t="str">
        <f>IF(G46&lt;48,"UF", IF(NOT(ISBLANK(CM:CM)), CM:CM, IF(BW:BW=1, BV:BV+Sheet2!B441, IF(Sheet1!BW:BW=2, Sheet1!BV:BV+Sheet2!B442, IF(Sheet1!BW:BW=7, Sheet1!BV:BV+Sheet2!B443,"")))))</f>
        <v>UF</v>
      </c>
      <c r="CQ46" s="69" t="str">
        <f t="shared" si="62"/>
        <v/>
      </c>
      <c r="CR46" s="5" t="s">
        <v>12</v>
      </c>
      <c r="CT46" s="5" t="str">
        <f t="shared" si="37"/>
        <v/>
      </c>
      <c r="CU46" s="80" t="str">
        <f t="shared" si="38"/>
        <v>UF</v>
      </c>
      <c r="CV46" s="80" t="str">
        <f t="shared" si="39"/>
        <v>UF</v>
      </c>
      <c r="CW46" s="20" t="str">
        <f>IF(G46&lt;48,"UF", IF(NOT(ISBLANK(CS46)), CS46, IF(CE46=5, CC46+Sheet2!B430, IF(CE46=6, CC46+Sheet2!B431, IF(CE46=7, CC46+Sheet2!B432,"")))))</f>
        <v>UF</v>
      </c>
      <c r="CX46" s="68" t="str">
        <f t="shared" si="63"/>
        <v/>
      </c>
      <c r="CY46" s="5" t="s">
        <v>12</v>
      </c>
      <c r="DA46" s="5" t="str">
        <f t="shared" si="40"/>
        <v>UF</v>
      </c>
      <c r="DB46" s="73" t="str">
        <f t="shared" si="41"/>
        <v>UF</v>
      </c>
      <c r="DC46" s="73" t="str">
        <f t="shared" si="42"/>
        <v>UF</v>
      </c>
      <c r="DD46" s="5" t="str">
        <f>IF(G46&lt;48,"UF", IF(NOT(ISBLANK(CZ:CZ)), CZ:CZ, IF(CL:CL=3, CK:CK+Sheet2!B435, IF(CL:CL=4, CK:CK+Sheet2!B436, IF(CL:CL=7, CK:CK+Sheet2!B437,"")))))</f>
        <v>UF</v>
      </c>
      <c r="DE46" s="69" t="str">
        <f t="shared" si="43"/>
        <v/>
      </c>
      <c r="DF46" s="2">
        <v>1</v>
      </c>
      <c r="DG46" s="2">
        <v>24</v>
      </c>
      <c r="DH46" s="2">
        <v>1</v>
      </c>
      <c r="DI46" s="2">
        <v>2</v>
      </c>
      <c r="DJ46" s="2">
        <v>2</v>
      </c>
      <c r="DK46" s="2">
        <v>100</v>
      </c>
      <c r="DL46" s="2">
        <v>60</v>
      </c>
      <c r="DM46" s="2">
        <v>110</v>
      </c>
      <c r="DN46" s="2">
        <v>70</v>
      </c>
      <c r="DO46" s="2" t="s">
        <v>12</v>
      </c>
      <c r="DP46" s="2" t="s">
        <v>12</v>
      </c>
      <c r="DQ46" s="2">
        <v>2</v>
      </c>
      <c r="DR46" s="2">
        <v>39</v>
      </c>
      <c r="DS46" s="2">
        <v>2</v>
      </c>
      <c r="DT46" s="2">
        <v>91</v>
      </c>
      <c r="DU46" s="2">
        <v>81</v>
      </c>
      <c r="DV46" s="2">
        <v>2</v>
      </c>
      <c r="DW46" s="2">
        <v>2</v>
      </c>
      <c r="DX46" s="2">
        <v>2</v>
      </c>
      <c r="DY46" s="2">
        <v>2</v>
      </c>
      <c r="DZ46" s="2">
        <v>34</v>
      </c>
      <c r="EA46" s="2">
        <v>36</v>
      </c>
      <c r="EB46" s="2">
        <v>47.5</v>
      </c>
      <c r="EC46" s="2">
        <v>1</v>
      </c>
      <c r="ED46" s="2">
        <v>1</v>
      </c>
    </row>
    <row r="47" spans="3:134" x14ac:dyDescent="0.25">
      <c r="C47" s="8" t="s">
        <v>169</v>
      </c>
      <c r="D47" s="4">
        <v>122663456</v>
      </c>
      <c r="E47" s="5">
        <v>7</v>
      </c>
      <c r="F47" s="2">
        <v>1</v>
      </c>
      <c r="G47" s="2">
        <v>25</v>
      </c>
      <c r="H47" s="2">
        <v>-0.93528053233333042</v>
      </c>
      <c r="I47" s="2">
        <v>55</v>
      </c>
      <c r="J47" s="2">
        <v>3.141839952085506</v>
      </c>
      <c r="K47" s="2">
        <v>3700</v>
      </c>
      <c r="L47" s="2">
        <v>0.97883011041566159</v>
      </c>
      <c r="M47" s="2">
        <v>0.59940000000000004</v>
      </c>
      <c r="N47" s="2">
        <f t="shared" si="0"/>
        <v>0.64064026616666525</v>
      </c>
      <c r="O47" s="2">
        <f t="shared" si="1"/>
        <v>0.59940000000000004</v>
      </c>
      <c r="P47" s="2">
        <v>69</v>
      </c>
      <c r="Q47" s="2">
        <v>1.43</v>
      </c>
      <c r="R47" s="5">
        <f t="shared" si="2"/>
        <v>-0.99091997604275306</v>
      </c>
      <c r="S47" s="5">
        <f t="shared" si="3"/>
        <v>1.43</v>
      </c>
      <c r="T47" s="2">
        <v>8500</v>
      </c>
      <c r="U47" s="2">
        <v>1.24</v>
      </c>
      <c r="V47" s="2">
        <f t="shared" si="4"/>
        <v>-3.9415055207830785E-2</v>
      </c>
      <c r="W47" s="2">
        <f t="shared" si="5"/>
        <v>1.24</v>
      </c>
      <c r="X47" s="2">
        <v>0.34599999999999997</v>
      </c>
      <c r="Y47" s="76">
        <f t="shared" si="44"/>
        <v>1.2812805323333305</v>
      </c>
      <c r="Z47" s="76">
        <f t="shared" si="45"/>
        <v>2</v>
      </c>
      <c r="AA47" s="2">
        <f t="shared" si="6"/>
        <v>-0.76549999999999996</v>
      </c>
      <c r="AB47" s="2">
        <f t="shared" si="7"/>
        <v>0.34599999999999997</v>
      </c>
      <c r="AC47" s="2">
        <v>77</v>
      </c>
      <c r="AD47" s="2">
        <v>1.1599999999999999</v>
      </c>
      <c r="AE47" s="79">
        <f t="shared" si="46"/>
        <v>-1.9818399520855061</v>
      </c>
      <c r="AF47" s="79">
        <f t="shared" si="47"/>
        <v>-2</v>
      </c>
      <c r="AG47" s="2">
        <f t="shared" si="64"/>
        <v>-0.15000000000000002</v>
      </c>
      <c r="AH47" s="2">
        <f t="shared" si="9"/>
        <v>1.1599999999999999</v>
      </c>
      <c r="AI47" s="2">
        <v>10000</v>
      </c>
      <c r="AJ47" s="2">
        <v>0.9</v>
      </c>
      <c r="AK47" s="76">
        <f t="shared" si="48"/>
        <v>-7.883011041566157E-2</v>
      </c>
      <c r="AL47" s="76">
        <f t="shared" si="49"/>
        <v>-1</v>
      </c>
      <c r="AM47" s="2">
        <f t="shared" si="10"/>
        <v>-0.33</v>
      </c>
      <c r="AN47" s="2">
        <f t="shared" si="11"/>
        <v>0.9</v>
      </c>
      <c r="AO47" s="2">
        <v>-0.10100000000000001</v>
      </c>
      <c r="AP47" s="2">
        <f t="shared" si="12"/>
        <v>9.6398850823691484E-2</v>
      </c>
      <c r="AQ47" s="2">
        <f t="shared" si="13"/>
        <v>-0.10100000000000001</v>
      </c>
      <c r="AR47" s="2">
        <v>84</v>
      </c>
      <c r="AS47" s="2">
        <v>1.1299999999999999</v>
      </c>
      <c r="AT47" s="2">
        <f t="shared" si="14"/>
        <v>-0.35023406100756882</v>
      </c>
      <c r="AU47" s="2">
        <f t="shared" si="15"/>
        <v>1.1299999999999999</v>
      </c>
      <c r="AV47" s="2">
        <v>11000</v>
      </c>
      <c r="AW47" s="2">
        <v>0.57999999999999996</v>
      </c>
      <c r="AX47" s="2">
        <f t="shared" si="16"/>
        <v>-0.13842881425978515</v>
      </c>
      <c r="AY47" s="2">
        <f t="shared" si="17"/>
        <v>0.57999999999999996</v>
      </c>
      <c r="AZ47" s="2">
        <v>0.53879770164738294</v>
      </c>
      <c r="BA47" s="78">
        <f t="shared" si="50"/>
        <v>0.19279770164738297</v>
      </c>
      <c r="BB47" s="78">
        <f t="shared" si="51"/>
        <v>1</v>
      </c>
      <c r="BC47" s="2" t="str">
        <f t="shared" si="18"/>
        <v/>
      </c>
      <c r="BD47" s="2">
        <f t="shared" si="19"/>
        <v>0.53879770164738294</v>
      </c>
      <c r="BE47" s="67">
        <f t="shared" si="52"/>
        <v>7</v>
      </c>
      <c r="BF47" s="2">
        <v>87</v>
      </c>
      <c r="BG47" s="2">
        <v>0.45953187798486228</v>
      </c>
      <c r="BH47" s="2" t="str">
        <f t="shared" si="20"/>
        <v/>
      </c>
      <c r="BI47" s="2">
        <f t="shared" si="21"/>
        <v>0.45953187798486228</v>
      </c>
      <c r="BJ47" s="67">
        <f t="shared" si="65"/>
        <v>7</v>
      </c>
      <c r="BK47" s="2">
        <v>13000</v>
      </c>
      <c r="BL47" s="2">
        <v>0.62314237148042972</v>
      </c>
      <c r="BM47" s="77">
        <f t="shared" si="53"/>
        <v>-0.2768576285195703</v>
      </c>
      <c r="BN47" s="77">
        <f t="shared" si="54"/>
        <v>-1</v>
      </c>
      <c r="BO47" s="2" t="str">
        <f t="shared" si="23"/>
        <v/>
      </c>
      <c r="BP47" s="2">
        <f t="shared" si="24"/>
        <v>0.62314237148042972</v>
      </c>
      <c r="BQ47" s="67">
        <f t="shared" si="55"/>
        <v>7</v>
      </c>
      <c r="BS47" s="75" t="str">
        <f t="shared" si="56"/>
        <v>UF</v>
      </c>
      <c r="BT47" s="75" t="str">
        <f t="shared" si="57"/>
        <v>UF</v>
      </c>
      <c r="BU47" s="5" t="e">
        <f>IF(#REF!&gt;=36, IF(AND(NOT(ISBLANK(CM:CM)), NOT(ISBLANK(BD:BD))), (CM:CM-BD:BD)/2, ""), "UF")</f>
        <v>#REF!</v>
      </c>
      <c r="BV47" s="5" t="str">
        <f t="shared" si="26"/>
        <v>UF</v>
      </c>
      <c r="BW47" s="69" t="str">
        <f t="shared" si="66"/>
        <v/>
      </c>
      <c r="BX47" s="2" t="s">
        <v>12</v>
      </c>
      <c r="BZ47" s="74" t="str">
        <f t="shared" si="58"/>
        <v>UF</v>
      </c>
      <c r="CA47" s="74" t="str">
        <f t="shared" si="59"/>
        <v>UF</v>
      </c>
      <c r="CB47" s="5" t="str">
        <f t="shared" si="28"/>
        <v>UF</v>
      </c>
      <c r="CC47" s="5" t="str">
        <f t="shared" si="29"/>
        <v>UF</v>
      </c>
      <c r="CD47" s="2" t="e">
        <f t="shared" si="30"/>
        <v>#VALUE!</v>
      </c>
      <c r="CE47" s="69" t="str">
        <f t="shared" si="31"/>
        <v/>
      </c>
      <c r="CF47" s="5" t="s">
        <v>12</v>
      </c>
      <c r="CH47" s="72" t="str">
        <f t="shared" si="60"/>
        <v>UF</v>
      </c>
      <c r="CI47" s="72" t="str">
        <f t="shared" si="61"/>
        <v>UF</v>
      </c>
      <c r="CJ47" s="5" t="str">
        <f t="shared" si="32"/>
        <v>UF</v>
      </c>
      <c r="CK47" s="5" t="str">
        <f t="shared" si="33"/>
        <v>UF</v>
      </c>
      <c r="CL47" s="69" t="str">
        <f t="shared" si="67"/>
        <v/>
      </c>
      <c r="CN47" s="70" t="str">
        <f t="shared" si="35"/>
        <v/>
      </c>
      <c r="CO47" s="5" t="str">
        <f t="shared" si="36"/>
        <v>UF</v>
      </c>
      <c r="CP47" s="5" t="str">
        <f>IF(G47&lt;48,"UF", IF(NOT(ISBLANK(CM:CM)), CM:CM, IF(BW:BW=1, BV:BV+Sheet2!B423, IF(Sheet1!BW:BW=2, Sheet1!BV:BV+Sheet2!B424, IF(Sheet1!BW:BW=7, Sheet1!BV:BV+Sheet2!B425,"")))))</f>
        <v>UF</v>
      </c>
      <c r="CQ47" s="69" t="str">
        <f t="shared" si="62"/>
        <v/>
      </c>
      <c r="CR47" s="5" t="s">
        <v>12</v>
      </c>
      <c r="CT47" s="5" t="str">
        <f t="shared" si="37"/>
        <v/>
      </c>
      <c r="CU47" s="80" t="str">
        <f t="shared" si="38"/>
        <v>UF</v>
      </c>
      <c r="CV47" s="80" t="str">
        <f t="shared" si="39"/>
        <v>UF</v>
      </c>
      <c r="CW47" s="20" t="str">
        <f>IF(G47&lt;48,"UF", IF(NOT(ISBLANK(CS47)), CS47, IF(CE47=5, CC47+Sheet2!B412, IF(CE47=6, CC47+Sheet2!B413, IF(CE47=7, CC47+Sheet2!B414,"")))))</f>
        <v>UF</v>
      </c>
      <c r="CX47" s="68" t="str">
        <f t="shared" si="63"/>
        <v/>
      </c>
      <c r="CY47" s="5" t="s">
        <v>12</v>
      </c>
      <c r="DA47" s="5" t="str">
        <f t="shared" si="40"/>
        <v>UF</v>
      </c>
      <c r="DB47" s="73" t="str">
        <f t="shared" si="41"/>
        <v>UF</v>
      </c>
      <c r="DC47" s="73" t="str">
        <f t="shared" si="42"/>
        <v>UF</v>
      </c>
      <c r="DD47" s="5" t="str">
        <f>IF(G47&lt;48,"UF", IF(NOT(ISBLANK(CZ:CZ)), CZ:CZ, IF(CL:CL=3, CK:CK+Sheet2!B417, IF(CL:CL=4, CK:CK+Sheet2!B418, IF(CL:CL=7, CK:CK+Sheet2!B419,"")))))</f>
        <v>UF</v>
      </c>
      <c r="DE47" s="69" t="str">
        <f t="shared" si="43"/>
        <v/>
      </c>
      <c r="DF47" s="2">
        <v>3</v>
      </c>
      <c r="DG47" s="2">
        <v>29</v>
      </c>
      <c r="DH47" s="2">
        <v>2</v>
      </c>
      <c r="DI47" s="2">
        <v>2</v>
      </c>
      <c r="DJ47" s="2">
        <v>2</v>
      </c>
      <c r="DK47" s="2">
        <v>100</v>
      </c>
      <c r="DL47" s="2">
        <v>60</v>
      </c>
      <c r="DM47" s="2">
        <v>95</v>
      </c>
      <c r="DN47" s="2">
        <v>60</v>
      </c>
      <c r="DO47" s="2">
        <v>106</v>
      </c>
      <c r="DP47" s="2">
        <v>60</v>
      </c>
      <c r="DQ47" s="2">
        <v>2</v>
      </c>
      <c r="DR47" s="2">
        <v>40</v>
      </c>
      <c r="DS47" s="2">
        <v>1</v>
      </c>
      <c r="DT47" s="2" t="s">
        <v>12</v>
      </c>
      <c r="DU47" s="2">
        <v>75</v>
      </c>
      <c r="DV47" s="2">
        <v>2</v>
      </c>
      <c r="DW47" s="2">
        <v>3</v>
      </c>
      <c r="DX47" s="2">
        <v>2</v>
      </c>
      <c r="DY47" s="2">
        <v>1</v>
      </c>
      <c r="DZ47" s="2">
        <v>36</v>
      </c>
      <c r="EA47" s="2">
        <v>37</v>
      </c>
      <c r="EB47" s="2">
        <v>46</v>
      </c>
      <c r="EC47" s="2">
        <v>1</v>
      </c>
      <c r="ED47" s="2">
        <v>1</v>
      </c>
    </row>
    <row r="48" spans="3:134" x14ac:dyDescent="0.25">
      <c r="C48" s="8" t="s">
        <v>178</v>
      </c>
      <c r="D48" s="4">
        <v>122670469</v>
      </c>
      <c r="E48" s="5">
        <v>7</v>
      </c>
      <c r="F48" s="2">
        <v>1</v>
      </c>
      <c r="G48" s="2">
        <v>24</v>
      </c>
      <c r="H48" s="2">
        <v>-2.5360630388217609</v>
      </c>
      <c r="I48" s="2">
        <v>50</v>
      </c>
      <c r="J48" s="2">
        <v>0.45756143734440202</v>
      </c>
      <c r="K48" s="1">
        <v>2640</v>
      </c>
      <c r="L48" s="2">
        <v>-1.3744973409421579</v>
      </c>
      <c r="M48" s="2">
        <v>1.2978000000000001</v>
      </c>
      <c r="N48" s="2">
        <f t="shared" si="0"/>
        <v>1.9335815194108803</v>
      </c>
      <c r="O48" s="2">
        <f t="shared" si="1"/>
        <v>1.2978000000000001</v>
      </c>
      <c r="P48" s="2">
        <v>68</v>
      </c>
      <c r="Q48" s="2">
        <v>0.99</v>
      </c>
      <c r="R48" s="5">
        <f t="shared" si="2"/>
        <v>0.93621928132779897</v>
      </c>
      <c r="S48" s="5">
        <f t="shared" si="3"/>
        <v>0.99</v>
      </c>
      <c r="T48" s="2">
        <v>8800</v>
      </c>
      <c r="U48" s="2">
        <v>1.52</v>
      </c>
      <c r="V48" s="2">
        <f t="shared" si="4"/>
        <v>1.787248670471079</v>
      </c>
      <c r="W48" s="2">
        <f t="shared" si="5"/>
        <v>1.52</v>
      </c>
      <c r="X48" s="2">
        <v>1.3310999999999999</v>
      </c>
      <c r="Y48" s="76">
        <f t="shared" si="44"/>
        <v>3.8671630388217606</v>
      </c>
      <c r="Z48" s="76">
        <f t="shared" si="45"/>
        <v>2</v>
      </c>
      <c r="AA48" s="2">
        <f t="shared" si="6"/>
        <v>1.1715499999999999</v>
      </c>
      <c r="AB48" s="2">
        <f t="shared" si="7"/>
        <v>1.3310999999999999</v>
      </c>
      <c r="AC48" s="2">
        <v>80</v>
      </c>
      <c r="AD48" s="2">
        <v>2.33</v>
      </c>
      <c r="AE48" s="79">
        <f t="shared" si="46"/>
        <v>1.8724385626555979</v>
      </c>
      <c r="AF48" s="79">
        <f t="shared" si="47"/>
        <v>2</v>
      </c>
      <c r="AG48" s="2">
        <f t="shared" si="64"/>
        <v>-0.62</v>
      </c>
      <c r="AH48" s="2">
        <f t="shared" si="9"/>
        <v>2.33</v>
      </c>
      <c r="AI48" s="2">
        <v>11800</v>
      </c>
      <c r="AJ48" s="2">
        <v>2.2000000000000002</v>
      </c>
      <c r="AK48" s="76">
        <f t="shared" si="48"/>
        <v>3.5744973409421581</v>
      </c>
      <c r="AL48" s="76">
        <f t="shared" si="49"/>
        <v>2</v>
      </c>
      <c r="AM48" s="2">
        <f t="shared" si="10"/>
        <v>0.37999999999999989</v>
      </c>
      <c r="AN48" s="2">
        <f t="shared" si="11"/>
        <v>2.2000000000000002</v>
      </c>
      <c r="AO48" s="2">
        <v>3.3331</v>
      </c>
      <c r="AP48" s="2" t="str">
        <f t="shared" si="12"/>
        <v/>
      </c>
      <c r="AQ48" s="2">
        <f t="shared" si="13"/>
        <v>3.3331</v>
      </c>
      <c r="AR48" s="2">
        <v>80</v>
      </c>
      <c r="AS48" s="2">
        <v>-0.25</v>
      </c>
      <c r="AT48" s="2" t="str">
        <f t="shared" si="14"/>
        <v/>
      </c>
      <c r="AU48" s="2">
        <f t="shared" si="15"/>
        <v>-0.25</v>
      </c>
      <c r="AV48" s="2">
        <v>13700</v>
      </c>
      <c r="AW48" s="2">
        <v>2.2799999999999998</v>
      </c>
      <c r="AX48" s="2" t="str">
        <f t="shared" si="16"/>
        <v/>
      </c>
      <c r="AY48" s="2">
        <f t="shared" si="17"/>
        <v>2.2799999999999998</v>
      </c>
      <c r="BA48" s="78" t="e">
        <f t="shared" si="50"/>
        <v>#VALUE!</v>
      </c>
      <c r="BB48" s="78" t="e">
        <f t="shared" si="51"/>
        <v>#VALUE!</v>
      </c>
      <c r="BC48" s="2" t="str">
        <f t="shared" si="18"/>
        <v/>
      </c>
      <c r="BD48" s="2" t="e">
        <f t="shared" si="19"/>
        <v>#VALUE!</v>
      </c>
      <c r="BE48" s="67" t="e">
        <f t="shared" si="52"/>
        <v>#VALUE!</v>
      </c>
      <c r="BF48" s="2" t="s">
        <v>12</v>
      </c>
      <c r="BH48" s="2" t="str">
        <f t="shared" si="20"/>
        <v/>
      </c>
      <c r="BI48" s="2" t="e">
        <f t="shared" si="21"/>
        <v>#VALUE!</v>
      </c>
      <c r="BJ48" s="67" t="e">
        <f t="shared" si="65"/>
        <v>#VALUE!</v>
      </c>
      <c r="BK48" s="2" t="s">
        <v>12</v>
      </c>
      <c r="BM48" s="77" t="e">
        <f t="shared" si="53"/>
        <v>#VALUE!</v>
      </c>
      <c r="BN48" s="77" t="e">
        <f t="shared" si="54"/>
        <v>#VALUE!</v>
      </c>
      <c r="BO48" s="2" t="str">
        <f t="shared" si="23"/>
        <v/>
      </c>
      <c r="BP48" s="2" t="e">
        <f t="shared" si="24"/>
        <v>#VALUE!</v>
      </c>
      <c r="BQ48" s="67" t="e">
        <f t="shared" si="55"/>
        <v>#VALUE!</v>
      </c>
      <c r="BS48" s="75" t="str">
        <f t="shared" si="56"/>
        <v>UF</v>
      </c>
      <c r="BT48" s="75" t="str">
        <f t="shared" si="57"/>
        <v>UF</v>
      </c>
      <c r="BU48" s="5" t="str">
        <f>IF(G56&gt;=36, IF(AND(NOT(ISBLANK(CM:CM)), NOT(ISBLANK(BD:BD))), (CM:CM-BD:BD)/2, ""), "UF")</f>
        <v/>
      </c>
      <c r="BV48" s="5" t="str">
        <f t="shared" si="26"/>
        <v>UF</v>
      </c>
      <c r="BW48" s="69" t="str">
        <f t="shared" si="66"/>
        <v/>
      </c>
      <c r="BX48" s="2" t="s">
        <v>12</v>
      </c>
      <c r="BZ48" s="74" t="str">
        <f t="shared" si="58"/>
        <v>UF</v>
      </c>
      <c r="CA48" s="74" t="str">
        <f t="shared" si="59"/>
        <v>UF</v>
      </c>
      <c r="CB48" s="5" t="str">
        <f t="shared" si="28"/>
        <v>UF</v>
      </c>
      <c r="CC48" s="5" t="str">
        <f t="shared" si="29"/>
        <v>UF</v>
      </c>
      <c r="CD48" s="2" t="e">
        <f t="shared" si="30"/>
        <v>#VALUE!</v>
      </c>
      <c r="CE48" s="69" t="str">
        <f t="shared" si="31"/>
        <v/>
      </c>
      <c r="CF48" s="5" t="s">
        <v>12</v>
      </c>
      <c r="CH48" s="72" t="str">
        <f t="shared" si="60"/>
        <v>UF</v>
      </c>
      <c r="CI48" s="72" t="str">
        <f t="shared" si="61"/>
        <v>UF</v>
      </c>
      <c r="CJ48" s="5" t="str">
        <f t="shared" si="32"/>
        <v>UF</v>
      </c>
      <c r="CK48" s="5" t="str">
        <f t="shared" si="33"/>
        <v>UF</v>
      </c>
      <c r="CL48" s="69" t="str">
        <f t="shared" si="67"/>
        <v/>
      </c>
      <c r="CN48" s="70" t="str">
        <f t="shared" si="35"/>
        <v/>
      </c>
      <c r="CO48" s="5" t="str">
        <f t="shared" si="36"/>
        <v>UF</v>
      </c>
      <c r="CP48" s="5" t="str">
        <f>IF(G48&lt;48,"UF", IF(NOT(ISBLANK(CM:CM)), CM:CM, IF(BW:BW=1, BV:BV+Sheet2!B381, IF(Sheet1!BW:BW=2, Sheet1!BV:BV+Sheet2!B382, IF(Sheet1!BW:BW=7, Sheet1!BV:BV+Sheet2!B383,"")))))</f>
        <v>UF</v>
      </c>
      <c r="CQ48" s="69" t="str">
        <f t="shared" si="62"/>
        <v/>
      </c>
      <c r="CR48" s="5" t="s">
        <v>12</v>
      </c>
      <c r="CT48" s="5" t="str">
        <f t="shared" si="37"/>
        <v/>
      </c>
      <c r="CU48" s="80" t="str">
        <f t="shared" si="38"/>
        <v>UF</v>
      </c>
      <c r="CV48" s="80" t="str">
        <f t="shared" si="39"/>
        <v>UF</v>
      </c>
      <c r="CW48" s="20" t="str">
        <f>IF(G48&lt;48,"UF", IF(NOT(ISBLANK(CS48)), CS48, IF(CE48=5, CC48+Sheet2!B370, IF(CE48=6, CC48+Sheet2!B371, IF(CE48=7, CC48+Sheet2!B372,"")))))</f>
        <v>UF</v>
      </c>
      <c r="CX48" s="68" t="str">
        <f t="shared" si="63"/>
        <v/>
      </c>
      <c r="CY48" s="5" t="s">
        <v>12</v>
      </c>
      <c r="DA48" s="5" t="str">
        <f t="shared" si="40"/>
        <v>UF</v>
      </c>
      <c r="DB48" s="73" t="str">
        <f t="shared" si="41"/>
        <v>UF</v>
      </c>
      <c r="DC48" s="73" t="str">
        <f t="shared" si="42"/>
        <v>UF</v>
      </c>
      <c r="DD48" s="5" t="str">
        <f>IF(G48&lt;48,"UF", IF(NOT(ISBLANK(CZ:CZ)), CZ:CZ, IF(CL:CL=3, CK:CK+Sheet2!B375, IF(CL:CL=4, CK:CK+Sheet2!B376, IF(CL:CL=7, CK:CK+Sheet2!B377,"")))))</f>
        <v>UF</v>
      </c>
      <c r="DE48" s="69" t="str">
        <f t="shared" si="43"/>
        <v/>
      </c>
      <c r="DF48" s="2">
        <v>5</v>
      </c>
      <c r="DG48" s="2">
        <v>39</v>
      </c>
      <c r="DH48" s="2">
        <v>2</v>
      </c>
      <c r="DI48" s="2">
        <v>2</v>
      </c>
      <c r="DJ48" s="2">
        <v>2</v>
      </c>
      <c r="DK48" s="2">
        <v>100</v>
      </c>
      <c r="DL48" s="2">
        <v>70</v>
      </c>
      <c r="DM48" s="2" t="s">
        <v>12</v>
      </c>
      <c r="DN48" s="2" t="s">
        <v>12</v>
      </c>
      <c r="DO48" s="2" t="s">
        <v>12</v>
      </c>
      <c r="DP48" s="2" t="s">
        <v>12</v>
      </c>
      <c r="DQ48" s="2">
        <v>2</v>
      </c>
      <c r="DR48" s="2">
        <v>40</v>
      </c>
      <c r="DS48" s="2">
        <v>2</v>
      </c>
      <c r="DT48" s="2" t="s">
        <v>12</v>
      </c>
      <c r="DU48" s="2">
        <v>74</v>
      </c>
      <c r="DV48" s="2">
        <v>2</v>
      </c>
      <c r="DW48" s="2">
        <v>3</v>
      </c>
      <c r="DX48" s="2">
        <v>2</v>
      </c>
      <c r="DY48" s="2">
        <v>2</v>
      </c>
      <c r="DZ48" s="2">
        <v>33</v>
      </c>
      <c r="EA48" s="2">
        <v>34.5</v>
      </c>
      <c r="EB48" s="2">
        <v>45</v>
      </c>
      <c r="EC48" s="2">
        <v>1</v>
      </c>
      <c r="ED48" s="2">
        <v>1</v>
      </c>
    </row>
    <row r="49" spans="1:134" x14ac:dyDescent="0.25">
      <c r="C49" s="8" t="s">
        <v>218</v>
      </c>
      <c r="D49" s="4">
        <v>122671621</v>
      </c>
      <c r="E49" s="5">
        <v>7</v>
      </c>
      <c r="F49" s="2">
        <v>1</v>
      </c>
      <c r="G49" s="2">
        <v>25</v>
      </c>
      <c r="H49" s="2">
        <v>-1.0704046501231601</v>
      </c>
      <c r="I49" s="2">
        <v>50</v>
      </c>
      <c r="J49" s="2">
        <v>0.45756143734440202</v>
      </c>
      <c r="K49" s="2">
        <v>3020</v>
      </c>
      <c r="L49" s="2">
        <v>-0.47304686947550512</v>
      </c>
      <c r="M49" s="2">
        <v>-1.0789</v>
      </c>
      <c r="N49" s="2">
        <f t="shared" si="0"/>
        <v>-8.4847674938419937E-2</v>
      </c>
      <c r="O49" s="2">
        <f t="shared" si="1"/>
        <v>-1.0789</v>
      </c>
      <c r="P49" s="2">
        <v>62</v>
      </c>
      <c r="Q49" s="2">
        <v>-1.65</v>
      </c>
      <c r="R49" s="5">
        <f t="shared" si="2"/>
        <v>-1.6837807186722011</v>
      </c>
      <c r="S49" s="5">
        <f t="shared" si="3"/>
        <v>-1.65</v>
      </c>
      <c r="T49" s="2">
        <v>5900</v>
      </c>
      <c r="U49" s="2">
        <v>-1.76</v>
      </c>
      <c r="V49" s="2">
        <f t="shared" si="4"/>
        <v>-1.1084765652622475</v>
      </c>
      <c r="W49" s="2">
        <f t="shared" si="5"/>
        <v>-1.76</v>
      </c>
      <c r="X49" s="2">
        <v>-1.2401</v>
      </c>
      <c r="Y49" s="76">
        <f t="shared" si="44"/>
        <v>-0.16969534987683987</v>
      </c>
      <c r="Z49" s="76">
        <f t="shared" si="45"/>
        <v>-1</v>
      </c>
      <c r="AA49" s="2" t="str">
        <f t="shared" si="6"/>
        <v/>
      </c>
      <c r="AB49" s="2">
        <f t="shared" si="7"/>
        <v>-1.2401</v>
      </c>
      <c r="AC49" s="2">
        <v>66.5</v>
      </c>
      <c r="AD49" s="2">
        <v>-2.91</v>
      </c>
      <c r="AE49" s="79">
        <f t="shared" si="46"/>
        <v>-3.3675614373444023</v>
      </c>
      <c r="AF49" s="79">
        <f t="shared" si="47"/>
        <v>-2</v>
      </c>
      <c r="AG49" s="2" t="str">
        <f t="shared" si="64"/>
        <v/>
      </c>
      <c r="AH49" s="2">
        <f t="shared" si="9"/>
        <v>-2.91</v>
      </c>
      <c r="AI49" s="2">
        <v>6500</v>
      </c>
      <c r="AJ49" s="2">
        <v>-2.69</v>
      </c>
      <c r="AK49" s="76">
        <f t="shared" si="48"/>
        <v>-2.2169531305244949</v>
      </c>
      <c r="AL49" s="76">
        <f t="shared" si="49"/>
        <v>-2</v>
      </c>
      <c r="AM49" s="2" t="str">
        <f t="shared" si="10"/>
        <v/>
      </c>
      <c r="AN49" s="2">
        <f t="shared" si="11"/>
        <v>-2.69</v>
      </c>
      <c r="AP49" s="2">
        <f t="shared" si="12"/>
        <v>-0.31083806619515797</v>
      </c>
      <c r="AQ49" s="2">
        <f t="shared" si="13"/>
        <v>-1.5509380661951579</v>
      </c>
      <c r="AR49" s="2" t="s">
        <v>12</v>
      </c>
      <c r="AT49" s="2">
        <f t="shared" si="14"/>
        <v>0.32612094229087507</v>
      </c>
      <c r="AU49" s="2">
        <f t="shared" si="15"/>
        <v>-2.5838790577091251</v>
      </c>
      <c r="AV49" s="2" t="s">
        <v>12</v>
      </c>
      <c r="AX49" s="2">
        <f t="shared" si="16"/>
        <v>-0.54941399458040951</v>
      </c>
      <c r="AY49" s="2">
        <f t="shared" si="17"/>
        <v>-3.2394139945804095</v>
      </c>
      <c r="AZ49" s="2">
        <v>-1.8617761323903159</v>
      </c>
      <c r="BA49" s="78">
        <f t="shared" si="50"/>
        <v>-0.62167613239031594</v>
      </c>
      <c r="BB49" s="78">
        <f t="shared" si="51"/>
        <v>-1</v>
      </c>
      <c r="BC49" s="2" t="str">
        <f t="shared" si="18"/>
        <v/>
      </c>
      <c r="BD49" s="2">
        <f t="shared" si="19"/>
        <v>-1.8617761323903159</v>
      </c>
      <c r="BE49" s="67">
        <f t="shared" si="52"/>
        <v>7</v>
      </c>
      <c r="BF49" s="2">
        <v>77.5</v>
      </c>
      <c r="BG49" s="2">
        <v>-2.25775811541825</v>
      </c>
      <c r="BH49" s="2" t="str">
        <f t="shared" si="20"/>
        <v/>
      </c>
      <c r="BI49" s="2">
        <f t="shared" si="21"/>
        <v>-2.25775811541825</v>
      </c>
      <c r="BJ49" s="67">
        <f t="shared" si="65"/>
        <v>6</v>
      </c>
      <c r="BK49" s="2">
        <v>8500</v>
      </c>
      <c r="BL49" s="2">
        <v>-3.788827989160819</v>
      </c>
      <c r="BM49" s="77">
        <f t="shared" si="53"/>
        <v>-1.098827989160819</v>
      </c>
      <c r="BN49" s="77">
        <f t="shared" si="54"/>
        <v>-2</v>
      </c>
      <c r="BO49" s="2" t="str">
        <f t="shared" si="23"/>
        <v/>
      </c>
      <c r="BP49" s="2">
        <f t="shared" si="24"/>
        <v>-3.788827989160819</v>
      </c>
      <c r="BQ49" s="67">
        <f t="shared" si="55"/>
        <v>3</v>
      </c>
      <c r="BS49" s="75" t="str">
        <f t="shared" si="56"/>
        <v>UF</v>
      </c>
      <c r="BT49" s="75" t="str">
        <f t="shared" si="57"/>
        <v>UF</v>
      </c>
      <c r="BU49" s="5" t="e">
        <f>IF(#REF!&gt;=36, IF(AND(NOT(ISBLANK(CM:CM)), NOT(ISBLANK(BD:BD))), (CM:CM-BD:BD)/2, ""), "UF")</f>
        <v>#REF!</v>
      </c>
      <c r="BV49" s="5" t="str">
        <f t="shared" si="26"/>
        <v>UF</v>
      </c>
      <c r="BW49" s="69" t="str">
        <f t="shared" si="66"/>
        <v/>
      </c>
      <c r="BX49" s="2" t="s">
        <v>12</v>
      </c>
      <c r="BZ49" s="74" t="str">
        <f t="shared" si="58"/>
        <v>UF</v>
      </c>
      <c r="CA49" s="74" t="str">
        <f t="shared" si="59"/>
        <v>UF</v>
      </c>
      <c r="CB49" s="5" t="str">
        <f t="shared" si="28"/>
        <v>UF</v>
      </c>
      <c r="CC49" s="5" t="str">
        <f t="shared" si="29"/>
        <v>UF</v>
      </c>
      <c r="CD49" s="2" t="e">
        <f t="shared" si="30"/>
        <v>#VALUE!</v>
      </c>
      <c r="CE49" s="69" t="str">
        <f t="shared" si="31"/>
        <v/>
      </c>
      <c r="CF49" s="5" t="s">
        <v>12</v>
      </c>
      <c r="CH49" s="72" t="str">
        <f t="shared" si="60"/>
        <v>UF</v>
      </c>
      <c r="CI49" s="72" t="str">
        <f t="shared" si="61"/>
        <v>UF</v>
      </c>
      <c r="CJ49" s="5" t="str">
        <f t="shared" si="32"/>
        <v>UF</v>
      </c>
      <c r="CK49" s="5" t="str">
        <f t="shared" si="33"/>
        <v>UF</v>
      </c>
      <c r="CL49" s="69" t="str">
        <f t="shared" si="67"/>
        <v/>
      </c>
      <c r="CN49" s="70" t="str">
        <f t="shared" si="35"/>
        <v/>
      </c>
      <c r="CO49" s="5" t="str">
        <f t="shared" si="36"/>
        <v>UF</v>
      </c>
      <c r="CP49" s="5" t="str">
        <f>IF(G49&lt;48,"UF", IF(NOT(ISBLANK(CM:CM)), CM:CM, IF(BW:BW=1, BV:BV+Sheet2!B399, IF(Sheet1!BW:BW=2, Sheet1!BV:BV+Sheet2!B400, IF(Sheet1!BW:BW=7, Sheet1!BV:BV+Sheet2!B401,"")))))</f>
        <v>UF</v>
      </c>
      <c r="CQ49" s="69" t="str">
        <f t="shared" si="62"/>
        <v/>
      </c>
      <c r="CR49" s="5" t="s">
        <v>12</v>
      </c>
      <c r="CT49" s="5" t="str">
        <f t="shared" si="37"/>
        <v/>
      </c>
      <c r="CU49" s="80" t="str">
        <f t="shared" si="38"/>
        <v>UF</v>
      </c>
      <c r="CV49" s="80" t="str">
        <f t="shared" si="39"/>
        <v>UF</v>
      </c>
      <c r="CW49" s="20" t="str">
        <f>IF(G49&lt;48,"UF", IF(NOT(ISBLANK(CS49)), CS49, IF(CE49=5, CC49+Sheet2!B388, IF(CE49=6, CC49+Sheet2!B389, IF(CE49=7, CC49+Sheet2!B390,"")))))</f>
        <v>UF</v>
      </c>
      <c r="CX49" s="68" t="str">
        <f t="shared" si="63"/>
        <v/>
      </c>
      <c r="CY49" s="5" t="s">
        <v>12</v>
      </c>
      <c r="DA49" s="5" t="str">
        <f t="shared" si="40"/>
        <v>UF</v>
      </c>
      <c r="DB49" s="73" t="str">
        <f t="shared" si="41"/>
        <v>UF</v>
      </c>
      <c r="DC49" s="73" t="str">
        <f t="shared" si="42"/>
        <v>UF</v>
      </c>
      <c r="DD49" s="5" t="str">
        <f>IF(G49&lt;48,"UF", IF(NOT(ISBLANK(CZ:CZ)), CZ:CZ, IF(CL:CL=3, CK:CK+Sheet2!B393, IF(CL:CL=4, CK:CK+Sheet2!B394, IF(CL:CL=7, CK:CK+Sheet2!B395,"")))))</f>
        <v>UF</v>
      </c>
      <c r="DE49" s="69" t="str">
        <f t="shared" si="43"/>
        <v/>
      </c>
      <c r="DF49" s="2">
        <v>3</v>
      </c>
      <c r="DG49" s="2">
        <v>27</v>
      </c>
      <c r="DH49" s="2">
        <v>2</v>
      </c>
      <c r="DI49" s="2">
        <v>2</v>
      </c>
      <c r="DJ49" s="2">
        <v>2</v>
      </c>
      <c r="DK49" s="2">
        <v>95</v>
      </c>
      <c r="DL49" s="2">
        <v>52</v>
      </c>
      <c r="DM49" s="2" t="s">
        <v>12</v>
      </c>
      <c r="DN49" s="2" t="s">
        <v>12</v>
      </c>
      <c r="DO49" s="2">
        <v>100</v>
      </c>
      <c r="DP49" s="2">
        <v>50</v>
      </c>
      <c r="DQ49" s="2">
        <v>2</v>
      </c>
      <c r="DR49" s="2">
        <v>40</v>
      </c>
      <c r="DS49" s="2">
        <v>2</v>
      </c>
      <c r="DT49" s="2">
        <v>69</v>
      </c>
      <c r="DU49" s="2">
        <v>63</v>
      </c>
      <c r="DV49" s="2">
        <v>2</v>
      </c>
      <c r="DW49" s="2">
        <v>3</v>
      </c>
      <c r="DX49" s="2">
        <v>2</v>
      </c>
      <c r="DY49" s="2">
        <v>3</v>
      </c>
      <c r="DZ49" s="2">
        <v>34</v>
      </c>
      <c r="EA49" s="2" t="s">
        <v>12</v>
      </c>
      <c r="EB49" s="2">
        <v>41.8</v>
      </c>
      <c r="EC49" s="2" t="s">
        <v>12</v>
      </c>
      <c r="ED49" s="2">
        <v>1</v>
      </c>
    </row>
    <row r="50" spans="1:134" x14ac:dyDescent="0.25">
      <c r="C50" s="8" t="s">
        <v>172</v>
      </c>
      <c r="D50" s="4">
        <v>122671955</v>
      </c>
      <c r="E50" s="5">
        <v>7</v>
      </c>
      <c r="F50" s="2">
        <v>1</v>
      </c>
      <c r="G50" s="2">
        <v>25</v>
      </c>
      <c r="H50" s="2">
        <v>-0.8922876533626346</v>
      </c>
      <c r="I50" s="2">
        <v>50</v>
      </c>
      <c r="J50" s="2">
        <v>0.45756143734440202</v>
      </c>
      <c r="K50" s="1">
        <v>3070</v>
      </c>
      <c r="L50" s="2">
        <v>-0.35977615561212423</v>
      </c>
      <c r="M50" s="2">
        <v>-1.8096000000000001</v>
      </c>
      <c r="N50" s="2">
        <f t="shared" si="0"/>
        <v>-0.84805617331868266</v>
      </c>
      <c r="O50" s="2">
        <f t="shared" si="1"/>
        <v>-1.8096000000000001</v>
      </c>
      <c r="P50" s="2">
        <v>68.5</v>
      </c>
      <c r="Q50" s="2">
        <v>1.21</v>
      </c>
      <c r="R50" s="5">
        <f t="shared" si="2"/>
        <v>0.64621928132779893</v>
      </c>
      <c r="S50" s="5">
        <f t="shared" si="3"/>
        <v>1.21</v>
      </c>
      <c r="T50" s="2">
        <v>6750</v>
      </c>
      <c r="U50" s="2">
        <v>-0.65</v>
      </c>
      <c r="V50" s="2">
        <f t="shared" si="4"/>
        <v>-0.23011192219393786</v>
      </c>
      <c r="W50" s="2">
        <f t="shared" si="5"/>
        <v>-0.65</v>
      </c>
      <c r="X50" s="2">
        <v>-2.5884</v>
      </c>
      <c r="Y50" s="76">
        <f t="shared" si="44"/>
        <v>-1.6961123466373653</v>
      </c>
      <c r="Z50" s="76">
        <f t="shared" si="45"/>
        <v>-2</v>
      </c>
      <c r="AA50" s="2">
        <f t="shared" si="6"/>
        <v>-1.3458999999999999</v>
      </c>
      <c r="AB50" s="2">
        <f t="shared" si="7"/>
        <v>-2.5884</v>
      </c>
      <c r="AC50" s="2">
        <v>78.5</v>
      </c>
      <c r="AD50" s="2">
        <v>1.75</v>
      </c>
      <c r="AE50" s="79">
        <f t="shared" si="46"/>
        <v>1.2924385626555979</v>
      </c>
      <c r="AF50" s="79">
        <f t="shared" si="47"/>
        <v>2</v>
      </c>
      <c r="AG50" s="2">
        <f t="shared" si="64"/>
        <v>-4.0000000000000036E-2</v>
      </c>
      <c r="AH50" s="2">
        <f t="shared" si="9"/>
        <v>1.75</v>
      </c>
      <c r="AI50" s="2">
        <v>8100</v>
      </c>
      <c r="AJ50" s="2">
        <v>-0.82</v>
      </c>
      <c r="AK50" s="76">
        <f t="shared" si="48"/>
        <v>-0.46022384438787572</v>
      </c>
      <c r="AL50" s="76">
        <f t="shared" si="49"/>
        <v>-1</v>
      </c>
      <c r="AM50" s="2">
        <f t="shared" si="10"/>
        <v>0.15000000000000002</v>
      </c>
      <c r="AN50" s="2">
        <f t="shared" si="11"/>
        <v>-0.82</v>
      </c>
      <c r="AO50" s="2">
        <v>-1.4818</v>
      </c>
      <c r="AP50" s="2">
        <f t="shared" si="12"/>
        <v>2.0325100532414098E-2</v>
      </c>
      <c r="AQ50" s="2">
        <f t="shared" si="13"/>
        <v>-1.4818</v>
      </c>
      <c r="AR50" s="2">
        <v>84</v>
      </c>
      <c r="AS50" s="2">
        <v>1.1299999999999999</v>
      </c>
      <c r="AT50" s="2">
        <f t="shared" si="14"/>
        <v>-0.64523406100756886</v>
      </c>
      <c r="AU50" s="2">
        <f t="shared" si="15"/>
        <v>1.1299999999999999</v>
      </c>
      <c r="AV50" s="2">
        <v>9800</v>
      </c>
      <c r="AW50" s="2">
        <v>-0.35</v>
      </c>
      <c r="AX50" s="2">
        <f t="shared" si="16"/>
        <v>-0.45097586695671849</v>
      </c>
      <c r="AY50" s="2">
        <f t="shared" si="17"/>
        <v>-0.35</v>
      </c>
      <c r="AZ50" s="2">
        <v>-2.5477497989351718</v>
      </c>
      <c r="BA50" s="78">
        <f t="shared" si="50"/>
        <v>4.0650201064828195E-2</v>
      </c>
      <c r="BB50" s="78">
        <f t="shared" si="51"/>
        <v>1</v>
      </c>
      <c r="BC50" s="2" t="str">
        <f t="shared" si="18"/>
        <v/>
      </c>
      <c r="BD50" s="2">
        <f t="shared" si="19"/>
        <v>-2.5477497989351718</v>
      </c>
      <c r="BE50" s="67">
        <f t="shared" si="52"/>
        <v>2</v>
      </c>
      <c r="BF50" s="2">
        <v>87</v>
      </c>
      <c r="BG50" s="2">
        <v>0.45953187798486228</v>
      </c>
      <c r="BH50" s="2" t="str">
        <f t="shared" si="20"/>
        <v/>
      </c>
      <c r="BI50" s="2">
        <f t="shared" si="21"/>
        <v>0.45953187798486228</v>
      </c>
      <c r="BJ50" s="67">
        <f t="shared" si="65"/>
        <v>7</v>
      </c>
      <c r="BK50" s="2">
        <v>10200</v>
      </c>
      <c r="BL50" s="2">
        <v>-1.7219517339134369</v>
      </c>
      <c r="BM50" s="77">
        <f t="shared" si="53"/>
        <v>-0.90195173391343697</v>
      </c>
      <c r="BN50" s="77">
        <f t="shared" si="54"/>
        <v>-2</v>
      </c>
      <c r="BO50" s="2" t="str">
        <f t="shared" si="23"/>
        <v/>
      </c>
      <c r="BP50" s="2">
        <f t="shared" si="24"/>
        <v>-1.7219517339134369</v>
      </c>
      <c r="BQ50" s="67">
        <f t="shared" si="55"/>
        <v>7</v>
      </c>
      <c r="BS50" s="75" t="str">
        <f t="shared" si="56"/>
        <v>UF</v>
      </c>
      <c r="BT50" s="75" t="str">
        <f t="shared" si="57"/>
        <v>UF</v>
      </c>
      <c r="BU50" s="5" t="str">
        <f t="shared" ref="BU50:BU55" si="68">IF(G57&gt;=36, IF(AND(NOT(ISBLANK(CM:CM)), NOT(ISBLANK(BD:BD))), (CM:CM-BD:BD)/2, ""), "UF")</f>
        <v/>
      </c>
      <c r="BV50" s="5" t="str">
        <f t="shared" si="26"/>
        <v>UF</v>
      </c>
      <c r="BW50" s="69" t="str">
        <f t="shared" si="66"/>
        <v/>
      </c>
      <c r="BX50" s="2" t="s">
        <v>12</v>
      </c>
      <c r="BZ50" s="74" t="str">
        <f t="shared" si="58"/>
        <v>UF</v>
      </c>
      <c r="CA50" s="74" t="str">
        <f t="shared" si="59"/>
        <v>UF</v>
      </c>
      <c r="CB50" s="5" t="str">
        <f t="shared" si="28"/>
        <v>UF</v>
      </c>
      <c r="CC50" s="5" t="str">
        <f t="shared" si="29"/>
        <v>UF</v>
      </c>
      <c r="CD50" s="2" t="e">
        <f t="shared" si="30"/>
        <v>#VALUE!</v>
      </c>
      <c r="CE50" s="69" t="str">
        <f t="shared" si="31"/>
        <v/>
      </c>
      <c r="CF50" s="5" t="s">
        <v>12</v>
      </c>
      <c r="CH50" s="72" t="str">
        <f t="shared" si="60"/>
        <v>UF</v>
      </c>
      <c r="CI50" s="72" t="str">
        <f t="shared" si="61"/>
        <v>UF</v>
      </c>
      <c r="CJ50" s="5" t="str">
        <f t="shared" si="32"/>
        <v>UF</v>
      </c>
      <c r="CK50" s="5" t="str">
        <f t="shared" si="33"/>
        <v>UF</v>
      </c>
      <c r="CL50" s="69" t="str">
        <f t="shared" si="67"/>
        <v/>
      </c>
      <c r="CN50" s="70" t="str">
        <f t="shared" si="35"/>
        <v/>
      </c>
      <c r="CO50" s="5" t="str">
        <f t="shared" si="36"/>
        <v>UF</v>
      </c>
      <c r="CP50" s="5" t="str">
        <f>IF(G50&lt;48,"UF", IF(NOT(ISBLANK(CM:CM)), CM:CM, IF(BW:BW=1, BV:BV+Sheet2!B382, IF(Sheet1!BW:BW=2, Sheet1!BV:BV+Sheet2!B383, IF(Sheet1!BW:BW=7, Sheet1!BV:BV+Sheet2!B384,"")))))</f>
        <v>UF</v>
      </c>
      <c r="CQ50" s="69" t="str">
        <f t="shared" si="62"/>
        <v/>
      </c>
      <c r="CR50" s="5" t="s">
        <v>12</v>
      </c>
      <c r="CT50" s="5" t="str">
        <f t="shared" si="37"/>
        <v/>
      </c>
      <c r="CU50" s="80" t="str">
        <f t="shared" si="38"/>
        <v>UF</v>
      </c>
      <c r="CV50" s="80" t="str">
        <f t="shared" si="39"/>
        <v>UF</v>
      </c>
      <c r="CW50" s="20" t="str">
        <f>IF(G50&lt;48,"UF", IF(NOT(ISBLANK(CS50)), CS50, IF(CE50=5, CC50+Sheet2!B371, IF(CE50=6, CC50+Sheet2!B372, IF(CE50=7, CC50+Sheet2!B373,"")))))</f>
        <v>UF</v>
      </c>
      <c r="CX50" s="68" t="str">
        <f t="shared" si="63"/>
        <v/>
      </c>
      <c r="CY50" s="5" t="s">
        <v>12</v>
      </c>
      <c r="DA50" s="5" t="str">
        <f t="shared" si="40"/>
        <v>UF</v>
      </c>
      <c r="DB50" s="73" t="str">
        <f t="shared" si="41"/>
        <v>UF</v>
      </c>
      <c r="DC50" s="73" t="str">
        <f t="shared" si="42"/>
        <v>UF</v>
      </c>
      <c r="DD50" s="5" t="str">
        <f>IF(G50&lt;48,"UF", IF(NOT(ISBLANK(CZ:CZ)), CZ:CZ, IF(CL:CL=3, CK:CK+Sheet2!B376, IF(CL:CL=4, CK:CK+Sheet2!B377, IF(CL:CL=7, CK:CK+Sheet2!B378,"")))))</f>
        <v>UF</v>
      </c>
      <c r="DE50" s="69" t="str">
        <f t="shared" si="43"/>
        <v/>
      </c>
      <c r="DF50" s="2">
        <v>1</v>
      </c>
      <c r="DG50" s="2">
        <v>37</v>
      </c>
      <c r="DH50" s="2">
        <v>1</v>
      </c>
      <c r="DI50" s="2">
        <v>2</v>
      </c>
      <c r="DJ50" s="2">
        <v>3</v>
      </c>
      <c r="DK50" s="2" t="s">
        <v>12</v>
      </c>
      <c r="DL50" s="2" t="s">
        <v>12</v>
      </c>
      <c r="DM50" s="2" t="s">
        <v>12</v>
      </c>
      <c r="DN50" s="2" t="s">
        <v>12</v>
      </c>
      <c r="DO50" s="2" t="s">
        <v>12</v>
      </c>
      <c r="DP50" s="2" t="s">
        <v>12</v>
      </c>
      <c r="DQ50" s="2">
        <v>2</v>
      </c>
      <c r="DR50" s="2">
        <v>39</v>
      </c>
      <c r="DS50" s="2">
        <v>3</v>
      </c>
      <c r="DT50" s="2" t="s">
        <v>12</v>
      </c>
      <c r="DU50" s="2" t="s">
        <v>12</v>
      </c>
      <c r="DV50" s="2">
        <v>2</v>
      </c>
      <c r="DW50" s="2">
        <v>2</v>
      </c>
      <c r="DX50" s="2">
        <v>2</v>
      </c>
      <c r="DZ50" s="2">
        <v>35</v>
      </c>
      <c r="EA50" s="2">
        <v>35</v>
      </c>
      <c r="EB50" s="2">
        <v>44.5</v>
      </c>
      <c r="EC50" s="2">
        <v>1</v>
      </c>
      <c r="ED50" s="2">
        <v>1</v>
      </c>
    </row>
    <row r="51" spans="1:134" x14ac:dyDescent="0.25">
      <c r="C51" s="8" t="s">
        <v>200</v>
      </c>
      <c r="D51" s="4">
        <v>122672128</v>
      </c>
      <c r="E51" s="5">
        <v>7</v>
      </c>
      <c r="F51" s="2">
        <v>2</v>
      </c>
      <c r="G51" s="2">
        <v>24</v>
      </c>
      <c r="H51" s="2">
        <v>-0.99161765224175213</v>
      </c>
      <c r="I51" s="2">
        <v>53</v>
      </c>
      <c r="J51" s="2">
        <v>1.645866503279491</v>
      </c>
      <c r="K51" s="1">
        <v>3430</v>
      </c>
      <c r="L51" s="2">
        <v>0.16971356104585739</v>
      </c>
      <c r="N51" s="2" t="str">
        <f t="shared" si="0"/>
        <v/>
      </c>
      <c r="O51" s="2" t="e">
        <f t="shared" si="1"/>
        <v>#VALUE!</v>
      </c>
      <c r="P51" s="2" t="s">
        <v>12</v>
      </c>
      <c r="R51" s="5" t="str">
        <f t="shared" si="2"/>
        <v/>
      </c>
      <c r="S51" s="5" t="e">
        <f t="shared" si="3"/>
        <v>#VALUE!</v>
      </c>
      <c r="T51" s="2" t="s">
        <v>12</v>
      </c>
      <c r="V51" s="2" t="str">
        <f t="shared" si="4"/>
        <v/>
      </c>
      <c r="W51" s="2" t="e">
        <f t="shared" si="5"/>
        <v>#VALUE!</v>
      </c>
      <c r="Y51" s="76" t="e">
        <f t="shared" si="44"/>
        <v>#VALUE!</v>
      </c>
      <c r="Z51" s="76" t="e">
        <f t="shared" si="45"/>
        <v>#VALUE!</v>
      </c>
      <c r="AA51" s="2" t="str">
        <f t="shared" si="6"/>
        <v/>
      </c>
      <c r="AB51" s="2" t="e">
        <f t="shared" si="7"/>
        <v>#VALUE!</v>
      </c>
      <c r="AC51" s="2" t="s">
        <v>12</v>
      </c>
      <c r="AE51" s="79" t="e">
        <f t="shared" si="46"/>
        <v>#VALUE!</v>
      </c>
      <c r="AF51" s="79" t="e">
        <f t="shared" si="47"/>
        <v>#VALUE!</v>
      </c>
      <c r="AG51" s="2" t="str">
        <f t="shared" si="64"/>
        <v/>
      </c>
      <c r="AH51" s="2" t="e">
        <f t="shared" si="9"/>
        <v>#VALUE!</v>
      </c>
      <c r="AI51" s="2" t="s">
        <v>12</v>
      </c>
      <c r="AK51" s="76" t="e">
        <f t="shared" si="48"/>
        <v>#VALUE!</v>
      </c>
      <c r="AL51" s="76" t="e">
        <f t="shared" si="49"/>
        <v>#VALUE!</v>
      </c>
      <c r="AM51" s="2" t="str">
        <f t="shared" si="10"/>
        <v/>
      </c>
      <c r="AN51" s="2" t="e">
        <f t="shared" si="11"/>
        <v>#VALUE!</v>
      </c>
      <c r="AP51" s="2" t="str">
        <f t="shared" si="12"/>
        <v/>
      </c>
      <c r="AQ51" s="2" t="e">
        <f t="shared" si="13"/>
        <v>#VALUE!</v>
      </c>
      <c r="AR51" s="2" t="s">
        <v>12</v>
      </c>
      <c r="AT51" s="2" t="str">
        <f t="shared" si="14"/>
        <v/>
      </c>
      <c r="AU51" s="2" t="e">
        <f t="shared" si="15"/>
        <v>#VALUE!</v>
      </c>
      <c r="AV51" s="2" t="s">
        <v>12</v>
      </c>
      <c r="AX51" s="2" t="str">
        <f t="shared" si="16"/>
        <v/>
      </c>
      <c r="AY51" s="2" t="e">
        <f t="shared" si="17"/>
        <v>#VALUE!</v>
      </c>
      <c r="BA51" s="78" t="e">
        <f t="shared" si="50"/>
        <v>#VALUE!</v>
      </c>
      <c r="BB51" s="78" t="e">
        <f t="shared" si="51"/>
        <v>#VALUE!</v>
      </c>
      <c r="BC51" s="2" t="str">
        <f t="shared" si="18"/>
        <v/>
      </c>
      <c r="BD51" s="2" t="e">
        <f t="shared" si="19"/>
        <v>#VALUE!</v>
      </c>
      <c r="BE51" s="67" t="e">
        <f t="shared" si="52"/>
        <v>#VALUE!</v>
      </c>
      <c r="BF51" s="2" t="s">
        <v>12</v>
      </c>
      <c r="BH51" s="2" t="str">
        <f t="shared" si="20"/>
        <v/>
      </c>
      <c r="BI51" s="2" t="e">
        <f t="shared" si="21"/>
        <v>#VALUE!</v>
      </c>
      <c r="BJ51" s="67" t="e">
        <f t="shared" si="65"/>
        <v>#VALUE!</v>
      </c>
      <c r="BK51" s="2" t="s">
        <v>12</v>
      </c>
      <c r="BM51" s="77" t="e">
        <f t="shared" si="53"/>
        <v>#VALUE!</v>
      </c>
      <c r="BN51" s="77" t="e">
        <f t="shared" si="54"/>
        <v>#VALUE!</v>
      </c>
      <c r="BO51" s="2" t="str">
        <f t="shared" si="23"/>
        <v/>
      </c>
      <c r="BP51" s="2" t="e">
        <f t="shared" si="24"/>
        <v>#VALUE!</v>
      </c>
      <c r="BQ51" s="67" t="e">
        <f t="shared" si="55"/>
        <v>#VALUE!</v>
      </c>
      <c r="BS51" s="75" t="str">
        <f t="shared" si="56"/>
        <v>UF</v>
      </c>
      <c r="BT51" s="75" t="str">
        <f t="shared" si="57"/>
        <v>UF</v>
      </c>
      <c r="BU51" s="5" t="str">
        <f t="shared" si="68"/>
        <v/>
      </c>
      <c r="BV51" s="5" t="str">
        <f t="shared" si="26"/>
        <v>UF</v>
      </c>
      <c r="BW51" s="69" t="str">
        <f t="shared" si="66"/>
        <v/>
      </c>
      <c r="BX51" s="2" t="s">
        <v>12</v>
      </c>
      <c r="BZ51" s="74" t="str">
        <f t="shared" si="58"/>
        <v>UF</v>
      </c>
      <c r="CA51" s="74" t="str">
        <f t="shared" si="59"/>
        <v>UF</v>
      </c>
      <c r="CB51" s="5" t="str">
        <f t="shared" si="28"/>
        <v>UF</v>
      </c>
      <c r="CC51" s="5" t="str">
        <f t="shared" si="29"/>
        <v>UF</v>
      </c>
      <c r="CD51" s="2" t="e">
        <f t="shared" si="30"/>
        <v>#VALUE!</v>
      </c>
      <c r="CE51" s="69" t="str">
        <f t="shared" si="31"/>
        <v/>
      </c>
      <c r="CF51" s="5" t="s">
        <v>12</v>
      </c>
      <c r="CH51" s="72" t="str">
        <f t="shared" si="60"/>
        <v>UF</v>
      </c>
      <c r="CI51" s="72" t="str">
        <f t="shared" si="61"/>
        <v>UF</v>
      </c>
      <c r="CJ51" s="5" t="str">
        <f t="shared" si="32"/>
        <v>UF</v>
      </c>
      <c r="CK51" s="5" t="str">
        <f t="shared" si="33"/>
        <v>UF</v>
      </c>
      <c r="CL51" s="69" t="str">
        <f t="shared" si="67"/>
        <v/>
      </c>
      <c r="CN51" s="70" t="str">
        <f t="shared" si="35"/>
        <v/>
      </c>
      <c r="CO51" s="5" t="str">
        <f t="shared" si="36"/>
        <v>UF</v>
      </c>
      <c r="CP51" s="5" t="str">
        <f>IF(G51&lt;48,"UF", IF(NOT(ISBLANK(CM:CM)), CM:CM, IF(BW:BW=1, BV:BV+Sheet2!B375, IF(Sheet1!BW:BW=2, Sheet1!BV:BV+Sheet2!B376, IF(Sheet1!BW:BW=7, Sheet1!BV:BV+Sheet2!B377,"")))))</f>
        <v>UF</v>
      </c>
      <c r="CQ51" s="69" t="str">
        <f t="shared" si="62"/>
        <v/>
      </c>
      <c r="CR51" s="5" t="s">
        <v>12</v>
      </c>
      <c r="CT51" s="5" t="str">
        <f t="shared" si="37"/>
        <v/>
      </c>
      <c r="CU51" s="80" t="str">
        <f t="shared" si="38"/>
        <v>UF</v>
      </c>
      <c r="CV51" s="80" t="str">
        <f t="shared" si="39"/>
        <v>UF</v>
      </c>
      <c r="CW51" s="20" t="str">
        <f>IF(G51&lt;48,"UF", IF(NOT(ISBLANK(CS51)), CS51, IF(CE51=5, CC51+Sheet2!B364, IF(CE51=6, CC51+Sheet2!B365, IF(CE51=7, CC51+Sheet2!B366,"")))))</f>
        <v>UF</v>
      </c>
      <c r="CX51" s="68" t="str">
        <f t="shared" si="63"/>
        <v/>
      </c>
      <c r="CY51" s="5" t="s">
        <v>12</v>
      </c>
      <c r="DA51" s="5" t="str">
        <f t="shared" si="40"/>
        <v>UF</v>
      </c>
      <c r="DB51" s="73" t="str">
        <f t="shared" si="41"/>
        <v>UF</v>
      </c>
      <c r="DC51" s="73" t="str">
        <f t="shared" si="42"/>
        <v>UF</v>
      </c>
      <c r="DD51" s="5" t="str">
        <f>IF(G51&lt;48,"UF", IF(NOT(ISBLANK(CZ:CZ)), CZ:CZ, IF(CL:CL=3, CK:CK+Sheet2!B369, IF(CL:CL=4, CK:CK+Sheet2!B370, IF(CL:CL=7, CK:CK+Sheet2!B371,"")))))</f>
        <v>UF</v>
      </c>
      <c r="DE51" s="69" t="str">
        <f t="shared" si="43"/>
        <v/>
      </c>
      <c r="DF51" s="2">
        <v>1</v>
      </c>
      <c r="DG51" s="2">
        <v>22</v>
      </c>
      <c r="DH51" s="2">
        <v>2</v>
      </c>
      <c r="DI51" s="2">
        <v>2</v>
      </c>
      <c r="DJ51" s="2">
        <v>2</v>
      </c>
      <c r="DK51" s="2" t="s">
        <v>12</v>
      </c>
      <c r="DL51" s="2" t="s">
        <v>12</v>
      </c>
      <c r="DM51" s="2" t="s">
        <v>12</v>
      </c>
      <c r="DN51" s="2" t="s">
        <v>12</v>
      </c>
      <c r="DO51" s="2">
        <v>100</v>
      </c>
      <c r="DP51" s="2">
        <v>60</v>
      </c>
      <c r="DQ51" s="2">
        <v>2</v>
      </c>
      <c r="DR51" s="2">
        <v>39</v>
      </c>
      <c r="DS51" s="2">
        <v>2</v>
      </c>
      <c r="DT51" s="2">
        <v>91</v>
      </c>
      <c r="DU51" s="2">
        <v>83</v>
      </c>
      <c r="DV51" s="2">
        <v>2</v>
      </c>
      <c r="DW51" s="2">
        <v>3</v>
      </c>
      <c r="DX51" s="2">
        <v>3</v>
      </c>
      <c r="DY51" s="2">
        <v>2</v>
      </c>
      <c r="DZ51" s="2">
        <v>37.5</v>
      </c>
      <c r="EA51" s="2" t="s">
        <v>12</v>
      </c>
      <c r="EB51" s="2" t="s">
        <v>12</v>
      </c>
      <c r="EC51" s="2" t="s">
        <v>12</v>
      </c>
      <c r="ED51" s="2" t="s">
        <v>12</v>
      </c>
    </row>
    <row r="52" spans="1:134" x14ac:dyDescent="0.25">
      <c r="C52" s="8" t="s">
        <v>222</v>
      </c>
      <c r="D52" s="4">
        <v>122675466</v>
      </c>
      <c r="E52" s="5">
        <v>7</v>
      </c>
      <c r="F52" s="2">
        <v>2</v>
      </c>
      <c r="G52" s="2">
        <v>24</v>
      </c>
      <c r="H52" s="2">
        <v>-1.1795019105887261</v>
      </c>
      <c r="I52" s="2">
        <v>50</v>
      </c>
      <c r="J52" s="2">
        <v>6.1168777667580831E-2</v>
      </c>
      <c r="K52" s="2">
        <v>3000</v>
      </c>
      <c r="L52" s="2">
        <v>-0.73426392472567259</v>
      </c>
      <c r="M52" s="2">
        <v>-0.2928</v>
      </c>
      <c r="N52" s="2" t="str">
        <f t="shared" si="0"/>
        <v/>
      </c>
      <c r="O52" s="2">
        <f t="shared" si="1"/>
        <v>-0.2928</v>
      </c>
      <c r="P52" s="2">
        <v>67</v>
      </c>
      <c r="Q52" s="2">
        <v>-0.3</v>
      </c>
      <c r="R52" s="5" t="str">
        <f t="shared" si="2"/>
        <v/>
      </c>
      <c r="S52" s="5">
        <f t="shared" si="3"/>
        <v>-0.3</v>
      </c>
      <c r="T52" s="2">
        <v>7600</v>
      </c>
      <c r="U52" s="2">
        <v>-0.4</v>
      </c>
      <c r="V52" s="2" t="str">
        <f t="shared" si="4"/>
        <v/>
      </c>
      <c r="W52" s="2">
        <f t="shared" si="5"/>
        <v>-0.4</v>
      </c>
      <c r="Y52" s="76">
        <f t="shared" si="44"/>
        <v>0.47625191058872618</v>
      </c>
      <c r="Z52" s="76">
        <f t="shared" si="45"/>
        <v>1</v>
      </c>
      <c r="AA52" s="2">
        <f t="shared" si="6"/>
        <v>-0.41044999999999998</v>
      </c>
      <c r="AB52" s="2">
        <f t="shared" si="7"/>
        <v>-0.70324999999999993</v>
      </c>
      <c r="AC52" s="2" t="s">
        <v>12</v>
      </c>
      <c r="AE52" s="79">
        <f t="shared" si="46"/>
        <v>-7.6168777667580789E-2</v>
      </c>
      <c r="AF52" s="79">
        <f t="shared" si="47"/>
        <v>-1</v>
      </c>
      <c r="AG52" s="2">
        <f t="shared" si="64"/>
        <v>0.28500000000000003</v>
      </c>
      <c r="AH52" s="2">
        <f t="shared" si="9"/>
        <v>-1.4999999999999958E-2</v>
      </c>
      <c r="AI52" s="2" t="s">
        <v>12</v>
      </c>
      <c r="AK52" s="76">
        <f t="shared" si="48"/>
        <v>0.21926392472567258</v>
      </c>
      <c r="AL52" s="76">
        <f t="shared" si="49"/>
        <v>1</v>
      </c>
      <c r="AM52" s="2">
        <f t="shared" si="10"/>
        <v>-0.11499999999999999</v>
      </c>
      <c r="AN52" s="2">
        <f t="shared" si="11"/>
        <v>-0.51500000000000001</v>
      </c>
      <c r="AO52" s="2">
        <v>-1.1209</v>
      </c>
      <c r="AP52" s="2" t="str">
        <f t="shared" si="12"/>
        <v/>
      </c>
      <c r="AQ52" s="2">
        <f t="shared" si="13"/>
        <v>-1.1209</v>
      </c>
      <c r="AR52" s="2">
        <v>83</v>
      </c>
      <c r="AS52" s="2">
        <v>0.27</v>
      </c>
      <c r="AT52" s="2" t="str">
        <f t="shared" si="14"/>
        <v/>
      </c>
      <c r="AU52" s="2">
        <f t="shared" si="15"/>
        <v>0.27</v>
      </c>
      <c r="AV52" s="2">
        <v>10200</v>
      </c>
      <c r="AW52" s="2">
        <v>-0.63</v>
      </c>
      <c r="AX52" s="2" t="str">
        <f t="shared" si="16"/>
        <v/>
      </c>
      <c r="AY52" s="2">
        <f t="shared" si="17"/>
        <v>-0.63</v>
      </c>
      <c r="BA52" s="78" t="e">
        <f t="shared" si="50"/>
        <v>#VALUE!</v>
      </c>
      <c r="BB52" s="78" t="e">
        <f t="shared" si="51"/>
        <v>#VALUE!</v>
      </c>
      <c r="BC52" s="2" t="str">
        <f t="shared" si="18"/>
        <v/>
      </c>
      <c r="BD52" s="2" t="e">
        <f t="shared" si="19"/>
        <v>#VALUE!</v>
      </c>
      <c r="BE52" s="67" t="e">
        <f t="shared" si="52"/>
        <v>#VALUE!</v>
      </c>
      <c r="BF52" s="2" t="s">
        <v>12</v>
      </c>
      <c r="BH52" s="2" t="str">
        <f t="shared" si="20"/>
        <v/>
      </c>
      <c r="BI52" s="2" t="e">
        <f t="shared" si="21"/>
        <v>#VALUE!</v>
      </c>
      <c r="BJ52" s="67" t="e">
        <f t="shared" si="65"/>
        <v>#VALUE!</v>
      </c>
      <c r="BK52" s="2" t="s">
        <v>12</v>
      </c>
      <c r="BM52" s="77" t="e">
        <f t="shared" si="53"/>
        <v>#VALUE!</v>
      </c>
      <c r="BN52" s="77" t="e">
        <f t="shared" si="54"/>
        <v>#VALUE!</v>
      </c>
      <c r="BO52" s="2" t="str">
        <f t="shared" si="23"/>
        <v/>
      </c>
      <c r="BP52" s="2" t="e">
        <f t="shared" si="24"/>
        <v>#VALUE!</v>
      </c>
      <c r="BQ52" s="67" t="e">
        <f t="shared" si="55"/>
        <v>#VALUE!</v>
      </c>
      <c r="BS52" s="75" t="str">
        <f t="shared" si="56"/>
        <v>UF</v>
      </c>
      <c r="BT52" s="75" t="str">
        <f t="shared" si="57"/>
        <v>UF</v>
      </c>
      <c r="BU52" s="5" t="str">
        <f t="shared" si="68"/>
        <v/>
      </c>
      <c r="BV52" s="5" t="str">
        <f t="shared" si="26"/>
        <v>UF</v>
      </c>
      <c r="BW52" s="69" t="str">
        <f t="shared" si="66"/>
        <v/>
      </c>
      <c r="BX52" s="2" t="s">
        <v>12</v>
      </c>
      <c r="BZ52" s="74" t="str">
        <f t="shared" si="58"/>
        <v>UF</v>
      </c>
      <c r="CA52" s="74" t="str">
        <f t="shared" si="59"/>
        <v>UF</v>
      </c>
      <c r="CB52" s="5" t="str">
        <f t="shared" si="28"/>
        <v>UF</v>
      </c>
      <c r="CC52" s="5" t="str">
        <f t="shared" si="29"/>
        <v>UF</v>
      </c>
      <c r="CD52" s="2" t="e">
        <f t="shared" si="30"/>
        <v>#VALUE!</v>
      </c>
      <c r="CE52" s="69" t="str">
        <f t="shared" si="31"/>
        <v/>
      </c>
      <c r="CF52" s="5" t="s">
        <v>12</v>
      </c>
      <c r="CH52" s="72" t="str">
        <f t="shared" si="60"/>
        <v>UF</v>
      </c>
      <c r="CI52" s="72" t="str">
        <f t="shared" si="61"/>
        <v>UF</v>
      </c>
      <c r="CJ52" s="5" t="str">
        <f t="shared" si="32"/>
        <v>UF</v>
      </c>
      <c r="CK52" s="5" t="str">
        <f t="shared" si="33"/>
        <v>UF</v>
      </c>
      <c r="CL52" s="69" t="str">
        <f t="shared" si="67"/>
        <v/>
      </c>
      <c r="CN52" s="70" t="str">
        <f t="shared" si="35"/>
        <v/>
      </c>
      <c r="CO52" s="5" t="str">
        <f t="shared" si="36"/>
        <v>UF</v>
      </c>
      <c r="CP52" s="5" t="str">
        <f>IF(G52&lt;48,"UF", IF(NOT(ISBLANK(CM:CM)), CM:CM, IF(BW:BW=1, BV:BV+Sheet2!B403, IF(Sheet1!BW:BW=2, Sheet1!BV:BV+Sheet2!B404, IF(Sheet1!BW:BW=7, Sheet1!BV:BV+Sheet2!B405,"")))))</f>
        <v>UF</v>
      </c>
      <c r="CQ52" s="69" t="str">
        <f t="shared" si="62"/>
        <v/>
      </c>
      <c r="CR52" s="5" t="s">
        <v>12</v>
      </c>
      <c r="CT52" s="5" t="str">
        <f t="shared" si="37"/>
        <v/>
      </c>
      <c r="CU52" s="80" t="str">
        <f t="shared" si="38"/>
        <v>UF</v>
      </c>
      <c r="CV52" s="80" t="str">
        <f t="shared" si="39"/>
        <v>UF</v>
      </c>
      <c r="CW52" s="20" t="str">
        <f>IF(G52&lt;48,"UF", IF(NOT(ISBLANK(CS52)), CS52, IF(CE52=5, CC52+Sheet2!B392, IF(CE52=6, CC52+Sheet2!B393, IF(CE52=7, CC52+Sheet2!B394,"")))))</f>
        <v>UF</v>
      </c>
      <c r="CX52" s="68" t="str">
        <f t="shared" si="63"/>
        <v/>
      </c>
      <c r="CY52" s="5" t="s">
        <v>12</v>
      </c>
      <c r="DA52" s="5" t="str">
        <f t="shared" si="40"/>
        <v>UF</v>
      </c>
      <c r="DB52" s="73" t="str">
        <f t="shared" si="41"/>
        <v>UF</v>
      </c>
      <c r="DC52" s="73" t="str">
        <f t="shared" si="42"/>
        <v>UF</v>
      </c>
      <c r="DD52" s="5" t="str">
        <f>IF(G52&lt;48,"UF", IF(NOT(ISBLANK(CZ:CZ)), CZ:CZ, IF(CL:CL=3, CK:CK+Sheet2!B397, IF(CL:CL=4, CK:CK+Sheet2!B398, IF(CL:CL=7, CK:CK+Sheet2!B399,"")))))</f>
        <v>UF</v>
      </c>
      <c r="DE52" s="69" t="str">
        <f t="shared" si="43"/>
        <v/>
      </c>
      <c r="DF52" s="2">
        <v>3</v>
      </c>
      <c r="DG52" s="2">
        <v>26</v>
      </c>
      <c r="DH52" s="2">
        <v>2</v>
      </c>
      <c r="DI52" s="2">
        <v>2</v>
      </c>
      <c r="DJ52" s="2">
        <v>2</v>
      </c>
      <c r="DK52" s="2">
        <v>110</v>
      </c>
      <c r="DL52" s="2">
        <v>80</v>
      </c>
      <c r="DM52" s="2">
        <v>110</v>
      </c>
      <c r="DN52" s="2">
        <v>50</v>
      </c>
      <c r="DO52" s="2">
        <v>117</v>
      </c>
      <c r="DP52" s="2">
        <v>69</v>
      </c>
      <c r="DQ52" s="2">
        <v>2</v>
      </c>
      <c r="DR52" s="2">
        <v>39</v>
      </c>
      <c r="DS52" s="2">
        <v>2</v>
      </c>
      <c r="DT52" s="2">
        <v>87</v>
      </c>
      <c r="DU52" s="2">
        <v>74</v>
      </c>
      <c r="DV52" s="2">
        <v>2</v>
      </c>
      <c r="DW52" s="2">
        <v>2</v>
      </c>
      <c r="DX52" s="2">
        <v>2</v>
      </c>
      <c r="DY52" s="2">
        <v>2</v>
      </c>
      <c r="DZ52" s="2">
        <v>35</v>
      </c>
      <c r="EA52" s="2">
        <v>36.5</v>
      </c>
      <c r="EB52" s="2" t="s">
        <v>12</v>
      </c>
      <c r="EC52" s="2">
        <v>1</v>
      </c>
      <c r="ED52" s="2" t="s">
        <v>12</v>
      </c>
    </row>
    <row r="53" spans="1:134" x14ac:dyDescent="0.25">
      <c r="C53" s="8" t="s">
        <v>211</v>
      </c>
      <c r="D53" s="4">
        <v>122678007</v>
      </c>
      <c r="E53" s="5">
        <v>7</v>
      </c>
      <c r="F53" s="2">
        <v>2</v>
      </c>
      <c r="G53" s="2">
        <v>24</v>
      </c>
      <c r="H53" s="2">
        <v>-0.1904441745851165</v>
      </c>
      <c r="I53" s="2">
        <v>52</v>
      </c>
      <c r="J53" s="2">
        <v>1.117633928075521</v>
      </c>
      <c r="K53" s="1">
        <v>3560</v>
      </c>
      <c r="L53" s="2">
        <v>0.42835047262389858</v>
      </c>
      <c r="N53" s="2">
        <f t="shared" si="0"/>
        <v>-0.13652791270744175</v>
      </c>
      <c r="O53" s="2">
        <f t="shared" si="1"/>
        <v>-0.32697208729255822</v>
      </c>
      <c r="P53" s="2" t="s">
        <v>12</v>
      </c>
      <c r="R53" s="5">
        <f t="shared" si="2"/>
        <v>-0.29381696403776048</v>
      </c>
      <c r="S53" s="5">
        <f t="shared" si="3"/>
        <v>0.8238169640377605</v>
      </c>
      <c r="T53" s="2" t="s">
        <v>12</v>
      </c>
      <c r="V53" s="2">
        <f t="shared" si="4"/>
        <v>-0.23417523631194928</v>
      </c>
      <c r="W53" s="2">
        <f t="shared" si="5"/>
        <v>0.1941752363119493</v>
      </c>
      <c r="X53" s="2">
        <v>-0.46350000000000002</v>
      </c>
      <c r="Y53" s="76">
        <f t="shared" si="44"/>
        <v>-0.27305582541488349</v>
      </c>
      <c r="Z53" s="76">
        <f t="shared" si="45"/>
        <v>-1</v>
      </c>
      <c r="AA53" s="2">
        <f t="shared" si="6"/>
        <v>-0.78810848201888017</v>
      </c>
      <c r="AB53" s="2">
        <f t="shared" si="7"/>
        <v>-0.46350000000000002</v>
      </c>
      <c r="AC53" s="2">
        <v>77</v>
      </c>
      <c r="AD53" s="2">
        <v>0.53</v>
      </c>
      <c r="AE53" s="79">
        <f t="shared" si="46"/>
        <v>-0.58763392807552095</v>
      </c>
      <c r="AF53" s="79">
        <f t="shared" si="47"/>
        <v>-1</v>
      </c>
      <c r="AG53" s="2">
        <f t="shared" si="64"/>
        <v>9.3091517981119754E-2</v>
      </c>
      <c r="AH53" s="2">
        <f t="shared" si="9"/>
        <v>0.53</v>
      </c>
      <c r="AI53" s="2">
        <v>9600</v>
      </c>
      <c r="AJ53" s="2">
        <v>-0.04</v>
      </c>
      <c r="AK53" s="76">
        <f t="shared" si="48"/>
        <v>-0.46835047262389856</v>
      </c>
      <c r="AL53" s="76">
        <f t="shared" si="49"/>
        <v>-1</v>
      </c>
      <c r="AM53" s="2">
        <f t="shared" si="10"/>
        <v>-7.2087618155974642E-2</v>
      </c>
      <c r="AN53" s="2">
        <f t="shared" si="11"/>
        <v>-0.04</v>
      </c>
      <c r="AO53" s="2">
        <v>-0.75239999999999996</v>
      </c>
      <c r="AP53" s="2">
        <f t="shared" si="12"/>
        <v>-0.370244684006106</v>
      </c>
      <c r="AQ53" s="2">
        <f t="shared" si="13"/>
        <v>-0.75239999999999996</v>
      </c>
      <c r="AR53" s="2">
        <v>85</v>
      </c>
      <c r="AS53" s="2">
        <v>1.01</v>
      </c>
      <c r="AT53" s="2">
        <f t="shared" si="14"/>
        <v>3.9742523933635032E-2</v>
      </c>
      <c r="AU53" s="2">
        <f t="shared" si="15"/>
        <v>1.01</v>
      </c>
      <c r="AV53" s="2">
        <v>11000</v>
      </c>
      <c r="AW53" s="2">
        <v>0.05</v>
      </c>
      <c r="AX53" s="2">
        <f t="shared" si="16"/>
        <v>-0.25897891830913838</v>
      </c>
      <c r="AY53" s="2">
        <f t="shared" si="17"/>
        <v>0.05</v>
      </c>
      <c r="AZ53" s="2">
        <v>-1.203989368012212</v>
      </c>
      <c r="BA53" s="78">
        <f t="shared" si="50"/>
        <v>-0.74048936801221199</v>
      </c>
      <c r="BB53" s="78">
        <f t="shared" si="51"/>
        <v>-2</v>
      </c>
      <c r="BC53" s="2" t="str">
        <f t="shared" si="18"/>
        <v/>
      </c>
      <c r="BD53" s="2">
        <f t="shared" si="19"/>
        <v>-1.203989368012212</v>
      </c>
      <c r="BE53" s="67">
        <f t="shared" si="52"/>
        <v>7</v>
      </c>
      <c r="BF53" s="2">
        <v>89</v>
      </c>
      <c r="BG53" s="2">
        <v>0.60948504786727009</v>
      </c>
      <c r="BH53" s="2" t="str">
        <f t="shared" si="20"/>
        <v/>
      </c>
      <c r="BI53" s="2">
        <f t="shared" si="21"/>
        <v>0.60948504786727009</v>
      </c>
      <c r="BJ53" s="67">
        <f t="shared" si="65"/>
        <v>7</v>
      </c>
      <c r="BK53" s="2">
        <v>12000</v>
      </c>
      <c r="BL53" s="2">
        <v>-0.5579578366182768</v>
      </c>
      <c r="BM53" s="77">
        <f t="shared" si="53"/>
        <v>-0.51795783661827677</v>
      </c>
      <c r="BN53" s="77">
        <f t="shared" si="54"/>
        <v>-1</v>
      </c>
      <c r="BO53" s="2" t="str">
        <f t="shared" si="23"/>
        <v/>
      </c>
      <c r="BP53" s="2">
        <f t="shared" si="24"/>
        <v>-0.5579578366182768</v>
      </c>
      <c r="BQ53" s="67">
        <f t="shared" si="55"/>
        <v>7</v>
      </c>
      <c r="BS53" s="75" t="str">
        <f t="shared" si="56"/>
        <v>UF</v>
      </c>
      <c r="BT53" s="75" t="str">
        <f t="shared" si="57"/>
        <v>UF</v>
      </c>
      <c r="BU53" s="5" t="str">
        <f t="shared" si="68"/>
        <v/>
      </c>
      <c r="BV53" s="5" t="str">
        <f t="shared" si="26"/>
        <v>UF</v>
      </c>
      <c r="BW53" s="69" t="str">
        <f t="shared" si="66"/>
        <v/>
      </c>
      <c r="BX53" s="2" t="s">
        <v>12</v>
      </c>
      <c r="BZ53" s="74" t="str">
        <f t="shared" si="58"/>
        <v>UF</v>
      </c>
      <c r="CA53" s="74" t="str">
        <f t="shared" si="59"/>
        <v>UF</v>
      </c>
      <c r="CB53" s="5" t="str">
        <f t="shared" si="28"/>
        <v>UF</v>
      </c>
      <c r="CC53" s="5" t="str">
        <f t="shared" si="29"/>
        <v>UF</v>
      </c>
      <c r="CD53" s="2" t="e">
        <f t="shared" si="30"/>
        <v>#VALUE!</v>
      </c>
      <c r="CE53" s="69" t="str">
        <f t="shared" si="31"/>
        <v/>
      </c>
      <c r="CF53" s="5" t="s">
        <v>12</v>
      </c>
      <c r="CH53" s="72" t="str">
        <f t="shared" si="60"/>
        <v>UF</v>
      </c>
      <c r="CI53" s="72" t="str">
        <f t="shared" si="61"/>
        <v>UF</v>
      </c>
      <c r="CJ53" s="5" t="str">
        <f t="shared" si="32"/>
        <v>UF</v>
      </c>
      <c r="CK53" s="5" t="str">
        <f t="shared" si="33"/>
        <v>UF</v>
      </c>
      <c r="CL53" s="69" t="str">
        <f t="shared" si="67"/>
        <v/>
      </c>
      <c r="CN53" s="70" t="str">
        <f t="shared" si="35"/>
        <v/>
      </c>
      <c r="CO53" s="5" t="str">
        <f t="shared" si="36"/>
        <v>UF</v>
      </c>
      <c r="CP53" s="5" t="str">
        <f>IF(G53&lt;48,"UF", IF(NOT(ISBLANK(CM:CM)), CM:CM, IF(BW:BW=1, BV:BV+Sheet2!B391, IF(Sheet1!BW:BW=2, Sheet1!BV:BV+Sheet2!B392, IF(Sheet1!BW:BW=7, Sheet1!BV:BV+Sheet2!B393,"")))))</f>
        <v>UF</v>
      </c>
      <c r="CQ53" s="69" t="str">
        <f t="shared" si="62"/>
        <v/>
      </c>
      <c r="CR53" s="5" t="s">
        <v>12</v>
      </c>
      <c r="CT53" s="5" t="str">
        <f t="shared" si="37"/>
        <v/>
      </c>
      <c r="CU53" s="80" t="str">
        <f t="shared" si="38"/>
        <v>UF</v>
      </c>
      <c r="CV53" s="80" t="str">
        <f t="shared" si="39"/>
        <v>UF</v>
      </c>
      <c r="CW53" s="20" t="str">
        <f>IF(G53&lt;48,"UF", IF(NOT(ISBLANK(CS53)), CS53, IF(CE53=5, CC53+Sheet2!B380, IF(CE53=6, CC53+Sheet2!B381, IF(CE53=7, CC53+Sheet2!B382,"")))))</f>
        <v>UF</v>
      </c>
      <c r="CX53" s="68" t="str">
        <f t="shared" si="63"/>
        <v/>
      </c>
      <c r="CY53" s="5" t="s">
        <v>12</v>
      </c>
      <c r="DA53" s="5" t="str">
        <f t="shared" si="40"/>
        <v>UF</v>
      </c>
      <c r="DB53" s="73" t="str">
        <f t="shared" si="41"/>
        <v>UF</v>
      </c>
      <c r="DC53" s="73" t="str">
        <f t="shared" si="42"/>
        <v>UF</v>
      </c>
      <c r="DD53" s="5" t="str">
        <f>IF(G53&lt;48,"UF", IF(NOT(ISBLANK(CZ:CZ)), CZ:CZ, IF(CL:CL=3, CK:CK+Sheet2!B385, IF(CL:CL=4, CK:CK+Sheet2!B386, IF(CL:CL=7, CK:CK+Sheet2!B387,"")))))</f>
        <v>UF</v>
      </c>
      <c r="DE53" s="69" t="str">
        <f t="shared" si="43"/>
        <v/>
      </c>
      <c r="DF53" s="2">
        <v>4</v>
      </c>
      <c r="DG53" s="2">
        <v>29</v>
      </c>
      <c r="DH53" s="2">
        <v>2</v>
      </c>
      <c r="DI53" s="2">
        <v>2</v>
      </c>
      <c r="DJ53" s="2">
        <v>2</v>
      </c>
      <c r="DK53" s="2">
        <v>105</v>
      </c>
      <c r="DL53" s="2">
        <v>49</v>
      </c>
      <c r="DM53" s="2">
        <v>115</v>
      </c>
      <c r="DN53" s="2">
        <v>54</v>
      </c>
      <c r="DO53" s="2" t="s">
        <v>12</v>
      </c>
      <c r="DP53" s="2" t="s">
        <v>12</v>
      </c>
      <c r="DQ53" s="2">
        <v>2</v>
      </c>
      <c r="DR53" s="2">
        <v>40</v>
      </c>
      <c r="DS53" s="2">
        <v>2</v>
      </c>
      <c r="DT53" s="2">
        <v>90</v>
      </c>
      <c r="DU53" s="2">
        <v>79</v>
      </c>
      <c r="DV53" s="2">
        <v>2</v>
      </c>
      <c r="DW53" s="2">
        <v>2</v>
      </c>
      <c r="DX53" s="2">
        <v>2</v>
      </c>
      <c r="DY53" s="2">
        <v>3</v>
      </c>
      <c r="DZ53" s="2">
        <v>35</v>
      </c>
      <c r="EA53" s="2">
        <v>36</v>
      </c>
      <c r="EB53" s="2">
        <v>46</v>
      </c>
      <c r="EC53" s="2">
        <v>1</v>
      </c>
      <c r="ED53" s="2">
        <v>1</v>
      </c>
    </row>
    <row r="54" spans="1:134" x14ac:dyDescent="0.25">
      <c r="C54" s="8" t="s">
        <v>221</v>
      </c>
      <c r="D54" s="53">
        <v>122686330</v>
      </c>
      <c r="E54" s="5">
        <v>7</v>
      </c>
      <c r="F54" s="2">
        <v>1</v>
      </c>
      <c r="G54" s="2">
        <v>24</v>
      </c>
      <c r="H54" s="2">
        <v>-2.366600649731037</v>
      </c>
      <c r="I54" s="2">
        <v>52</v>
      </c>
      <c r="J54" s="2">
        <v>1.531272843240846</v>
      </c>
      <c r="K54" s="2">
        <v>2900</v>
      </c>
      <c r="L54" s="2">
        <v>-0.74971937445688897</v>
      </c>
      <c r="M54" s="2">
        <v>-1.0639000000000001</v>
      </c>
      <c r="N54" s="2">
        <f t="shared" si="0"/>
        <v>0.84040032486551852</v>
      </c>
      <c r="O54" s="2">
        <f t="shared" si="1"/>
        <v>-1.0639000000000001</v>
      </c>
      <c r="P54" s="2">
        <v>63</v>
      </c>
      <c r="Q54" s="2">
        <v>-1.21</v>
      </c>
      <c r="R54" s="5">
        <f t="shared" si="2"/>
        <v>-1.055636421620423</v>
      </c>
      <c r="S54" s="5">
        <f t="shared" si="3"/>
        <v>-1.21</v>
      </c>
      <c r="T54" s="2">
        <v>6100</v>
      </c>
      <c r="U54" s="2">
        <v>-1.48</v>
      </c>
      <c r="V54" s="2">
        <f t="shared" si="4"/>
        <v>-3.5140312771555493E-2</v>
      </c>
      <c r="W54" s="2">
        <f t="shared" si="5"/>
        <v>-1.48</v>
      </c>
      <c r="X54" s="2">
        <v>-0.68579999999999997</v>
      </c>
      <c r="Y54" s="76">
        <f t="shared" si="44"/>
        <v>1.680800649731037</v>
      </c>
      <c r="Z54" s="76">
        <f t="shared" si="45"/>
        <v>2</v>
      </c>
      <c r="AA54" s="2">
        <f t="shared" si="6"/>
        <v>0.29944999999999999</v>
      </c>
      <c r="AB54" s="2">
        <f t="shared" si="7"/>
        <v>-0.68579999999999997</v>
      </c>
      <c r="AC54" s="2">
        <v>72.5</v>
      </c>
      <c r="AD54" s="2">
        <v>-0.57999999999999996</v>
      </c>
      <c r="AE54" s="79">
        <f t="shared" si="46"/>
        <v>-2.1112728432408461</v>
      </c>
      <c r="AF54" s="79">
        <f t="shared" si="47"/>
        <v>-2</v>
      </c>
      <c r="AG54" s="2">
        <f t="shared" si="64"/>
        <v>-3.5000000000000031E-2</v>
      </c>
      <c r="AH54" s="2">
        <f t="shared" si="9"/>
        <v>-0.57999999999999996</v>
      </c>
      <c r="AI54" s="2">
        <v>8100</v>
      </c>
      <c r="AJ54" s="2">
        <v>-0.82</v>
      </c>
      <c r="AK54" s="76">
        <f t="shared" si="48"/>
        <v>-7.0280625543110986E-2</v>
      </c>
      <c r="AL54" s="76">
        <f t="shared" si="49"/>
        <v>-1</v>
      </c>
      <c r="AM54" s="2">
        <f t="shared" si="10"/>
        <v>0.14000000000000001</v>
      </c>
      <c r="AN54" s="2">
        <f t="shared" si="11"/>
        <v>-0.82</v>
      </c>
      <c r="AO54" s="2">
        <v>-0.61109999999999998</v>
      </c>
      <c r="AP54" s="2">
        <f t="shared" si="12"/>
        <v>-0.69426750739026799</v>
      </c>
      <c r="AQ54" s="2">
        <f t="shared" si="13"/>
        <v>-0.61109999999999998</v>
      </c>
      <c r="AR54" s="2">
        <v>77</v>
      </c>
      <c r="AS54" s="2">
        <v>-1.28</v>
      </c>
      <c r="AT54" s="2">
        <f t="shared" si="14"/>
        <v>-5.3273504758368062E-2</v>
      </c>
      <c r="AU54" s="2">
        <f t="shared" si="15"/>
        <v>-1.28</v>
      </c>
      <c r="AV54" s="2">
        <v>8850</v>
      </c>
      <c r="AW54" s="2">
        <v>-1.2</v>
      </c>
      <c r="AX54" s="2">
        <f t="shared" si="16"/>
        <v>-0.77900688470717849</v>
      </c>
      <c r="AY54" s="2">
        <f t="shared" si="17"/>
        <v>-1.2</v>
      </c>
      <c r="AZ54" s="2">
        <v>-2.0743350147805359</v>
      </c>
      <c r="BA54" s="78">
        <f t="shared" si="50"/>
        <v>-1.388535014780536</v>
      </c>
      <c r="BB54" s="78">
        <f t="shared" si="51"/>
        <v>-2</v>
      </c>
      <c r="BC54" s="2" t="str">
        <f t="shared" si="18"/>
        <v/>
      </c>
      <c r="BD54" s="2">
        <f t="shared" si="19"/>
        <v>-2.0743350147805359</v>
      </c>
      <c r="BE54" s="67">
        <f t="shared" si="52"/>
        <v>2</v>
      </c>
      <c r="BF54" s="2">
        <v>83</v>
      </c>
      <c r="BG54" s="2">
        <v>-0.68654700951673608</v>
      </c>
      <c r="BH54" s="2" t="str">
        <f t="shared" si="20"/>
        <v/>
      </c>
      <c r="BI54" s="2">
        <f t="shared" si="21"/>
        <v>-0.68654700951673608</v>
      </c>
      <c r="BJ54" s="67">
        <f t="shared" si="65"/>
        <v>7</v>
      </c>
      <c r="BK54" s="2">
        <v>9600</v>
      </c>
      <c r="BL54" s="2">
        <v>-2.3780137694143568</v>
      </c>
      <c r="BM54" s="77">
        <f t="shared" si="53"/>
        <v>-1.558013769414357</v>
      </c>
      <c r="BN54" s="77">
        <f t="shared" si="54"/>
        <v>-2</v>
      </c>
      <c r="BO54" s="2" t="str">
        <f t="shared" si="23"/>
        <v/>
      </c>
      <c r="BP54" s="2">
        <f t="shared" si="24"/>
        <v>-2.3780137694143568</v>
      </c>
      <c r="BQ54" s="67">
        <f t="shared" si="55"/>
        <v>4</v>
      </c>
      <c r="BS54" s="75" t="str">
        <f t="shared" si="56"/>
        <v>UF</v>
      </c>
      <c r="BT54" s="75" t="str">
        <f t="shared" si="57"/>
        <v>UF</v>
      </c>
      <c r="BU54" s="5" t="str">
        <f t="shared" si="68"/>
        <v>UF</v>
      </c>
      <c r="BV54" s="5" t="str">
        <f t="shared" si="26"/>
        <v>UF</v>
      </c>
      <c r="BW54" s="69" t="str">
        <f t="shared" si="66"/>
        <v/>
      </c>
      <c r="BX54" s="2" t="s">
        <v>12</v>
      </c>
      <c r="BZ54" s="74" t="str">
        <f t="shared" si="58"/>
        <v>UF</v>
      </c>
      <c r="CA54" s="74" t="str">
        <f t="shared" si="59"/>
        <v>UF</v>
      </c>
      <c r="CB54" s="5" t="str">
        <f t="shared" si="28"/>
        <v>UF</v>
      </c>
      <c r="CC54" s="5" t="str">
        <f t="shared" si="29"/>
        <v>UF</v>
      </c>
      <c r="CD54" s="2" t="e">
        <f t="shared" si="30"/>
        <v>#VALUE!</v>
      </c>
      <c r="CE54" s="69" t="str">
        <f t="shared" si="31"/>
        <v/>
      </c>
      <c r="CF54" s="5" t="s">
        <v>12</v>
      </c>
      <c r="CH54" s="72" t="str">
        <f t="shared" si="60"/>
        <v>UF</v>
      </c>
      <c r="CI54" s="72" t="str">
        <f t="shared" si="61"/>
        <v>UF</v>
      </c>
      <c r="CJ54" s="5" t="str">
        <f t="shared" si="32"/>
        <v>UF</v>
      </c>
      <c r="CK54" s="5" t="str">
        <f t="shared" si="33"/>
        <v>UF</v>
      </c>
      <c r="CL54" s="69" t="str">
        <f t="shared" si="67"/>
        <v/>
      </c>
      <c r="CN54" s="70" t="str">
        <f t="shared" si="35"/>
        <v/>
      </c>
      <c r="CO54" s="5" t="str">
        <f t="shared" si="36"/>
        <v>UF</v>
      </c>
      <c r="CP54" s="5" t="str">
        <f>IF(G54&lt;48,"UF", IF(NOT(ISBLANK(CM:CM)), CM:CM, IF(BW:BW=1, BV:BV+Sheet2!B402, IF(Sheet1!BW:BW=2, Sheet1!BV:BV+Sheet2!B403, IF(Sheet1!BW:BW=7, Sheet1!BV:BV+Sheet2!B404,"")))))</f>
        <v>UF</v>
      </c>
      <c r="CQ54" s="69" t="str">
        <f t="shared" si="62"/>
        <v/>
      </c>
      <c r="CR54" s="5" t="s">
        <v>12</v>
      </c>
      <c r="CT54" s="5" t="str">
        <f t="shared" si="37"/>
        <v/>
      </c>
      <c r="CU54" s="80" t="str">
        <f t="shared" si="38"/>
        <v>UF</v>
      </c>
      <c r="CV54" s="80" t="str">
        <f t="shared" si="39"/>
        <v>UF</v>
      </c>
      <c r="CW54" s="20" t="str">
        <f>IF(G54&lt;48,"UF", IF(NOT(ISBLANK(CS54)), CS54, IF(CE54=5, CC54+Sheet2!B391, IF(CE54=6, CC54+Sheet2!B392, IF(CE54=7, CC54+Sheet2!B393,"")))))</f>
        <v>UF</v>
      </c>
      <c r="CX54" s="68" t="str">
        <f t="shared" si="63"/>
        <v/>
      </c>
      <c r="CY54" s="5" t="s">
        <v>12</v>
      </c>
      <c r="DA54" s="5" t="str">
        <f t="shared" si="40"/>
        <v>UF</v>
      </c>
      <c r="DB54" s="73" t="str">
        <f t="shared" si="41"/>
        <v>UF</v>
      </c>
      <c r="DC54" s="73" t="str">
        <f t="shared" si="42"/>
        <v>UF</v>
      </c>
      <c r="DD54" s="5" t="str">
        <f>IF(G54&lt;48,"UF", IF(NOT(ISBLANK(CZ:CZ)), CZ:CZ, IF(CL:CL=3, CK:CK+Sheet2!B396, IF(CL:CL=4, CK:CK+Sheet2!B397, IF(CL:CL=7, CK:CK+Sheet2!B398,"")))))</f>
        <v>UF</v>
      </c>
      <c r="DE54" s="69" t="str">
        <f t="shared" si="43"/>
        <v/>
      </c>
      <c r="DF54" s="2">
        <v>4</v>
      </c>
      <c r="DG54" s="2">
        <v>33</v>
      </c>
      <c r="DH54" s="2">
        <v>2</v>
      </c>
      <c r="DI54" s="2">
        <v>2</v>
      </c>
      <c r="DJ54" s="2">
        <v>3</v>
      </c>
      <c r="DK54" s="2" t="s">
        <v>12</v>
      </c>
      <c r="DL54" s="2" t="s">
        <v>12</v>
      </c>
      <c r="DM54" s="2" t="s">
        <v>12</v>
      </c>
      <c r="DN54" s="2" t="s">
        <v>12</v>
      </c>
      <c r="DO54" s="2" t="s">
        <v>12</v>
      </c>
      <c r="DP54" s="2" t="s">
        <v>12</v>
      </c>
      <c r="DQ54" s="2">
        <v>2</v>
      </c>
      <c r="DR54" s="2">
        <v>40</v>
      </c>
      <c r="DS54" s="2">
        <v>3</v>
      </c>
      <c r="DT54" s="2" t="s">
        <v>12</v>
      </c>
      <c r="DU54" s="2" t="s">
        <v>12</v>
      </c>
      <c r="DV54" s="2">
        <v>2</v>
      </c>
      <c r="DW54" s="2">
        <v>2</v>
      </c>
      <c r="DX54" s="2">
        <v>2</v>
      </c>
      <c r="DY54" s="2">
        <v>3</v>
      </c>
      <c r="DZ54" s="2">
        <v>34</v>
      </c>
      <c r="EA54" s="2" t="s">
        <v>12</v>
      </c>
      <c r="EB54" s="2">
        <v>46</v>
      </c>
      <c r="EC54" s="2" t="s">
        <v>12</v>
      </c>
      <c r="ED54" s="2">
        <v>1</v>
      </c>
    </row>
    <row r="55" spans="1:134" x14ac:dyDescent="0.25">
      <c r="C55" s="8" t="s">
        <v>128</v>
      </c>
      <c r="D55" s="4">
        <v>2288697679</v>
      </c>
      <c r="E55" s="2" t="s">
        <v>527</v>
      </c>
      <c r="F55" s="2">
        <v>2</v>
      </c>
      <c r="G55" s="2">
        <v>54</v>
      </c>
      <c r="H55" s="2">
        <v>1.6023392295393231</v>
      </c>
      <c r="I55" s="2">
        <v>43</v>
      </c>
      <c r="J55" s="2">
        <v>-3.6364592487602092</v>
      </c>
      <c r="K55" s="5">
        <v>2900</v>
      </c>
      <c r="L55" s="2">
        <v>-0.95643865409467577</v>
      </c>
      <c r="N55" s="2" t="str">
        <f t="shared" si="0"/>
        <v/>
      </c>
      <c r="O55" s="2" t="e">
        <f t="shared" si="1"/>
        <v>#VALUE!</v>
      </c>
      <c r="P55" s="2" t="s">
        <v>12</v>
      </c>
      <c r="R55" s="5" t="str">
        <f t="shared" si="2"/>
        <v/>
      </c>
      <c r="S55" s="5" t="e">
        <f t="shared" si="3"/>
        <v>#VALUE!</v>
      </c>
      <c r="T55" s="1" t="s">
        <v>12</v>
      </c>
      <c r="V55" s="2" t="str">
        <f t="shared" si="4"/>
        <v/>
      </c>
      <c r="W55" s="2" t="e">
        <f t="shared" si="5"/>
        <v>#VALUE!</v>
      </c>
      <c r="Y55" s="76" t="e">
        <f t="shared" si="44"/>
        <v>#VALUE!</v>
      </c>
      <c r="Z55" s="76" t="e">
        <f t="shared" si="45"/>
        <v>#VALUE!</v>
      </c>
      <c r="AA55" s="2" t="str">
        <f t="shared" si="6"/>
        <v/>
      </c>
      <c r="AB55" s="2" t="e">
        <f t="shared" si="7"/>
        <v>#VALUE!</v>
      </c>
      <c r="AC55" s="2" t="s">
        <v>12</v>
      </c>
      <c r="AE55" s="79" t="e">
        <f t="shared" si="46"/>
        <v>#VALUE!</v>
      </c>
      <c r="AF55" s="79" t="e">
        <f t="shared" si="47"/>
        <v>#VALUE!</v>
      </c>
      <c r="AG55" s="2" t="str">
        <f t="shared" si="64"/>
        <v/>
      </c>
      <c r="AH55" s="2" t="e">
        <f t="shared" si="9"/>
        <v>#VALUE!</v>
      </c>
      <c r="AI55" s="2" t="s">
        <v>12</v>
      </c>
      <c r="AK55" s="76" t="e">
        <f t="shared" si="48"/>
        <v>#VALUE!</v>
      </c>
      <c r="AL55" s="76" t="e">
        <f t="shared" si="49"/>
        <v>#VALUE!</v>
      </c>
      <c r="AM55" s="2" t="str">
        <f t="shared" si="10"/>
        <v/>
      </c>
      <c r="AN55" s="2" t="e">
        <f t="shared" si="11"/>
        <v>#VALUE!</v>
      </c>
      <c r="AP55" s="2" t="e">
        <f t="shared" si="12"/>
        <v>#VALUE!</v>
      </c>
      <c r="AQ55" s="2" t="e">
        <f t="shared" si="13"/>
        <v>#VALUE!</v>
      </c>
      <c r="AR55" s="2" t="s">
        <v>12</v>
      </c>
      <c r="AT55" s="2" t="e">
        <f t="shared" si="14"/>
        <v>#VALUE!</v>
      </c>
      <c r="AU55" s="2" t="e">
        <f t="shared" si="15"/>
        <v>#VALUE!</v>
      </c>
      <c r="AV55" s="2" t="s">
        <v>12</v>
      </c>
      <c r="AX55" s="2" t="e">
        <f t="shared" si="16"/>
        <v>#VALUE!</v>
      </c>
      <c r="AY55" s="2" t="e">
        <f t="shared" si="17"/>
        <v>#VALUE!</v>
      </c>
      <c r="AZ55" s="2">
        <v>-3.845704036569582</v>
      </c>
      <c r="BA55" s="78" t="e">
        <f t="shared" si="50"/>
        <v>#VALUE!</v>
      </c>
      <c r="BB55" s="78" t="e">
        <f t="shared" si="51"/>
        <v>#VALUE!</v>
      </c>
      <c r="BC55" s="2" t="str">
        <f t="shared" si="18"/>
        <v/>
      </c>
      <c r="BD55" s="2">
        <f t="shared" si="19"/>
        <v>-3.845704036569582</v>
      </c>
      <c r="BE55" s="67">
        <f t="shared" si="52"/>
        <v>1</v>
      </c>
      <c r="BF55" s="2">
        <v>85</v>
      </c>
      <c r="BG55" s="2">
        <v>-0.53050874552427996</v>
      </c>
      <c r="BH55" s="2" t="str">
        <f t="shared" si="20"/>
        <v/>
      </c>
      <c r="BI55" s="2">
        <f t="shared" si="21"/>
        <v>-0.53050874552427996</v>
      </c>
      <c r="BJ55" s="67">
        <f t="shared" si="65"/>
        <v>7</v>
      </c>
      <c r="BK55" s="2">
        <v>9400</v>
      </c>
      <c r="BL55" s="2">
        <v>-2.90660755248487</v>
      </c>
      <c r="BM55" s="77" t="e">
        <f t="shared" si="53"/>
        <v>#VALUE!</v>
      </c>
      <c r="BN55" s="77" t="e">
        <f t="shared" si="54"/>
        <v>#VALUE!</v>
      </c>
      <c r="BO55" s="2" t="str">
        <f t="shared" si="23"/>
        <v/>
      </c>
      <c r="BP55" s="2">
        <f t="shared" si="24"/>
        <v>-2.90660755248487</v>
      </c>
      <c r="BQ55" s="67">
        <f t="shared" si="55"/>
        <v>4</v>
      </c>
      <c r="BS55" s="75" t="e">
        <f t="shared" si="56"/>
        <v>#VALUE!</v>
      </c>
      <c r="BT55" s="75" t="e">
        <f t="shared" si="57"/>
        <v>#VALUE!</v>
      </c>
      <c r="BU55" s="5" t="str">
        <f t="shared" si="68"/>
        <v>UF</v>
      </c>
      <c r="BV55" s="5" t="e">
        <f t="shared" si="26"/>
        <v>#VALUE!</v>
      </c>
      <c r="BW55" s="69" t="e">
        <f t="shared" si="66"/>
        <v>#VALUE!</v>
      </c>
      <c r="BX55" s="2" t="s">
        <v>12</v>
      </c>
      <c r="BZ55" s="74">
        <f t="shared" si="58"/>
        <v>2.1071809054738653</v>
      </c>
      <c r="CA55" s="74">
        <f t="shared" si="59"/>
        <v>2</v>
      </c>
      <c r="CB55" s="5">
        <f t="shared" si="28"/>
        <v>-0.26891790148672451</v>
      </c>
      <c r="CC55" s="5">
        <f t="shared" si="29"/>
        <v>-0.79942664701100452</v>
      </c>
      <c r="CD55" s="2">
        <f t="shared" si="30"/>
        <v>-0.26891790148672456</v>
      </c>
      <c r="CE55" s="69">
        <f t="shared" si="31"/>
        <v>7</v>
      </c>
      <c r="CF55" s="5" t="s">
        <v>12</v>
      </c>
      <c r="CH55" s="72">
        <f t="shared" si="60"/>
        <v>0.40040134463817001</v>
      </c>
      <c r="CI55" s="72">
        <f t="shared" si="61"/>
        <v>1</v>
      </c>
      <c r="CJ55" s="5">
        <f t="shared" si="32"/>
        <v>0.40040134463817001</v>
      </c>
      <c r="CK55" s="5">
        <f t="shared" si="33"/>
        <v>-2.5062062078467</v>
      </c>
      <c r="CL55" s="69">
        <f t="shared" si="67"/>
        <v>4</v>
      </c>
      <c r="CM55" s="5">
        <v>-2.267106812046916</v>
      </c>
      <c r="CN55" s="70" t="e">
        <f t="shared" si="35"/>
        <v>#VALUE!</v>
      </c>
      <c r="CO55" s="5" t="e">
        <f t="shared" si="36"/>
        <v>#VALUE!</v>
      </c>
      <c r="CP55" s="5">
        <f>IF(G55&lt;48,"UF", IF(NOT(ISBLANK(CM:CM)), CM:CM, IF(BW:BW=1, BV:BV+Sheet2!B176, IF(Sheet1!BW:BW=2, Sheet1!BV:BV+Sheet2!B177, IF(Sheet1!BW:BW=7, Sheet1!BV:BV+Sheet2!B178,"")))))</f>
        <v>-2.267106812046916</v>
      </c>
      <c r="CQ55" s="69">
        <f t="shared" si="62"/>
        <v>2</v>
      </c>
      <c r="CR55" s="5">
        <v>98</v>
      </c>
      <c r="CS55" s="5">
        <v>-1.068344548497729</v>
      </c>
      <c r="CT55" s="5">
        <f t="shared" si="37"/>
        <v>-0.26891790148672445</v>
      </c>
      <c r="CU55" s="80">
        <f t="shared" si="38"/>
        <v>-0.26891790148672445</v>
      </c>
      <c r="CV55" s="80">
        <f t="shared" si="39"/>
        <v>-1</v>
      </c>
      <c r="CW55" s="20">
        <f>IF(G55&lt;48,"UF", IF(NOT(ISBLANK(CS55)), CS55, IF(CE55=5, CC55+Sheet2!B165, IF(CE55=6, CC55+Sheet2!B166, IF(CE55=7, CC55+Sheet2!B167,"")))))</f>
        <v>-1.068344548497729</v>
      </c>
      <c r="CX55" s="68">
        <f t="shared" si="63"/>
        <v>7</v>
      </c>
      <c r="CY55" s="5">
        <v>13000</v>
      </c>
      <c r="CZ55" s="5">
        <v>-2.10580486320853</v>
      </c>
      <c r="DA55" s="5">
        <f t="shared" si="40"/>
        <v>0.40040134463817001</v>
      </c>
      <c r="DB55" s="73">
        <f t="shared" si="41"/>
        <v>0.40040134463817001</v>
      </c>
      <c r="DC55" s="73">
        <f t="shared" si="42"/>
        <v>1</v>
      </c>
      <c r="DD55" s="5">
        <f>IF(G55&lt;48,"UF", IF(NOT(ISBLANK(CZ:CZ)), CZ:CZ, IF(CL:CL=3, CK:CK+Sheet2!B170, IF(CL:CL=4, CK:CK+Sheet2!B171, IF(CL:CL=7, CK:CK+Sheet2!B172,"")))))</f>
        <v>-2.10580486320853</v>
      </c>
      <c r="DE55" s="69">
        <f t="shared" si="43"/>
        <v>4</v>
      </c>
      <c r="DF55" s="2">
        <v>2</v>
      </c>
      <c r="DG55" s="2">
        <v>31</v>
      </c>
      <c r="DH55" s="2">
        <v>1</v>
      </c>
      <c r="DI55" s="2">
        <v>2</v>
      </c>
      <c r="DJ55" s="2">
        <v>2</v>
      </c>
      <c r="DK55" s="2">
        <v>100</v>
      </c>
      <c r="DL55" s="2">
        <v>70</v>
      </c>
      <c r="DM55" s="2">
        <v>110</v>
      </c>
      <c r="DN55" s="2">
        <v>70</v>
      </c>
      <c r="DO55" s="2" t="s">
        <v>12</v>
      </c>
      <c r="DP55" s="2" t="s">
        <v>12</v>
      </c>
      <c r="DQ55" s="2">
        <v>2</v>
      </c>
      <c r="DR55" s="2">
        <v>35</v>
      </c>
      <c r="DS55" s="2">
        <v>1</v>
      </c>
      <c r="DT55" s="2">
        <v>76</v>
      </c>
      <c r="DU55" s="2">
        <v>80</v>
      </c>
      <c r="DV55" s="2">
        <v>2</v>
      </c>
      <c r="DW55" s="2">
        <v>2</v>
      </c>
      <c r="DX55" s="2">
        <v>2</v>
      </c>
      <c r="DY55" s="2">
        <v>3</v>
      </c>
      <c r="DZ55" s="2">
        <v>29</v>
      </c>
      <c r="EA55" s="2" t="s">
        <v>12</v>
      </c>
      <c r="EB55" s="2" t="s">
        <v>12</v>
      </c>
      <c r="EC55" s="2" t="s">
        <v>12</v>
      </c>
      <c r="ED55" s="2" t="s">
        <v>12</v>
      </c>
    </row>
    <row r="56" spans="1:134" x14ac:dyDescent="0.25">
      <c r="C56" s="2" t="s">
        <v>22</v>
      </c>
      <c r="D56" s="2">
        <v>2288714204</v>
      </c>
      <c r="E56" s="5" t="s">
        <v>528</v>
      </c>
      <c r="F56" s="2">
        <v>1</v>
      </c>
      <c r="G56" s="2">
        <v>53</v>
      </c>
      <c r="H56" s="2">
        <v>1.5645323904072339</v>
      </c>
      <c r="I56" s="2">
        <v>35</v>
      </c>
      <c r="J56" s="2">
        <v>-7.5952741068789082</v>
      </c>
      <c r="K56" s="5">
        <v>1890</v>
      </c>
      <c r="L56" s="2">
        <v>-3.3943246857981761</v>
      </c>
      <c r="M56" s="2">
        <v>-0.55310000000000004</v>
      </c>
      <c r="N56" s="2">
        <f t="shared" si="0"/>
        <v>-1.075416195203617</v>
      </c>
      <c r="O56" s="2">
        <f t="shared" si="1"/>
        <v>-0.55310000000000004</v>
      </c>
      <c r="P56" s="2">
        <v>59</v>
      </c>
      <c r="Q56" s="2">
        <v>-2.98</v>
      </c>
      <c r="R56" s="5">
        <f t="shared" si="2"/>
        <v>2.8276370534394539</v>
      </c>
      <c r="S56" s="5">
        <f t="shared" si="3"/>
        <v>-2.98</v>
      </c>
      <c r="T56" s="1">
        <v>5600</v>
      </c>
      <c r="U56" s="2">
        <v>-2.2000000000000002</v>
      </c>
      <c r="V56" s="2">
        <f t="shared" si="4"/>
        <v>0.90716234289908804</v>
      </c>
      <c r="W56" s="2">
        <f t="shared" si="5"/>
        <v>-2.2000000000000002</v>
      </c>
      <c r="X56" s="2">
        <v>-0.58630000000000004</v>
      </c>
      <c r="Y56" s="76">
        <f t="shared" si="44"/>
        <v>-2.150832390407234</v>
      </c>
      <c r="Z56" s="76">
        <f t="shared" si="45"/>
        <v>-2</v>
      </c>
      <c r="AA56" s="2">
        <f t="shared" si="6"/>
        <v>1.02895</v>
      </c>
      <c r="AB56" s="2">
        <f t="shared" si="7"/>
        <v>-0.58630000000000004</v>
      </c>
      <c r="AC56" s="2">
        <v>69</v>
      </c>
      <c r="AD56" s="2">
        <v>-1.94</v>
      </c>
      <c r="AE56" s="79">
        <f t="shared" si="46"/>
        <v>5.6552741068789079</v>
      </c>
      <c r="AF56" s="79">
        <f t="shared" si="47"/>
        <v>2</v>
      </c>
      <c r="AG56" s="2">
        <f t="shared" si="64"/>
        <v>0.67999999999999994</v>
      </c>
      <c r="AH56" s="2">
        <f t="shared" si="9"/>
        <v>-1.94</v>
      </c>
      <c r="AI56" s="2">
        <v>7400</v>
      </c>
      <c r="AJ56" s="2">
        <v>-1.58</v>
      </c>
      <c r="AK56" s="76">
        <f t="shared" si="48"/>
        <v>1.8143246857981761</v>
      </c>
      <c r="AL56" s="76">
        <f t="shared" si="49"/>
        <v>2</v>
      </c>
      <c r="AM56" s="2">
        <f t="shared" si="10"/>
        <v>0.27500000000000013</v>
      </c>
      <c r="AN56" s="2">
        <f t="shared" si="11"/>
        <v>-1.58</v>
      </c>
      <c r="AO56" s="2">
        <v>-0.92210000000000003</v>
      </c>
      <c r="AP56" s="2">
        <f t="shared" si="12"/>
        <v>-0.85429861165104692</v>
      </c>
      <c r="AQ56" s="2">
        <f t="shared" si="13"/>
        <v>-0.92210000000000003</v>
      </c>
      <c r="AR56" s="2">
        <v>76</v>
      </c>
      <c r="AS56" s="2">
        <v>-1.62</v>
      </c>
      <c r="AT56" s="2">
        <f t="shared" si="14"/>
        <v>0.34073321475828899</v>
      </c>
      <c r="AU56" s="2">
        <f t="shared" si="15"/>
        <v>-1.62</v>
      </c>
      <c r="AV56" s="2">
        <v>8400</v>
      </c>
      <c r="AW56" s="2">
        <v>-1.65</v>
      </c>
      <c r="AX56" s="2">
        <f t="shared" si="16"/>
        <v>-0.76505147210149893</v>
      </c>
      <c r="AY56" s="2">
        <f t="shared" si="17"/>
        <v>-1.65</v>
      </c>
      <c r="AZ56" s="2">
        <v>-2.2948972233020939</v>
      </c>
      <c r="BA56" s="78">
        <f t="shared" si="50"/>
        <v>-1.7085972233020938</v>
      </c>
      <c r="BB56" s="78">
        <f t="shared" si="51"/>
        <v>-2</v>
      </c>
      <c r="BC56" s="2">
        <f t="shared" si="18"/>
        <v>-0.917416465830725</v>
      </c>
      <c r="BD56" s="2">
        <f t="shared" si="19"/>
        <v>-2.2948972233020939</v>
      </c>
      <c r="BE56" s="67">
        <f t="shared" si="52"/>
        <v>2</v>
      </c>
      <c r="BF56" s="2">
        <v>81</v>
      </c>
      <c r="BG56" s="2">
        <v>-1.258533570483422</v>
      </c>
      <c r="BH56" s="2">
        <f t="shared" si="20"/>
        <v>8.6406806564653937E-3</v>
      </c>
      <c r="BI56" s="2">
        <f t="shared" si="21"/>
        <v>-1.258533570483422</v>
      </c>
      <c r="BJ56" s="67">
        <f t="shared" si="65"/>
        <v>7</v>
      </c>
      <c r="BK56" s="2">
        <v>9000</v>
      </c>
      <c r="BL56" s="2">
        <v>-3.1101029442029979</v>
      </c>
      <c r="BM56" s="77">
        <f t="shared" si="53"/>
        <v>-1.5301029442029979</v>
      </c>
      <c r="BN56" s="77">
        <f t="shared" si="54"/>
        <v>-2</v>
      </c>
      <c r="BO56" s="2">
        <f t="shared" si="23"/>
        <v>-0.67543783053742279</v>
      </c>
      <c r="BP56" s="2">
        <f t="shared" si="24"/>
        <v>-3.1101029442029979</v>
      </c>
      <c r="BQ56" s="67">
        <f t="shared" si="55"/>
        <v>3</v>
      </c>
      <c r="BR56" s="5">
        <v>-3.674349397492175</v>
      </c>
      <c r="BS56" s="75">
        <f t="shared" si="56"/>
        <v>-1.3794521741900811</v>
      </c>
      <c r="BT56" s="75">
        <f t="shared" si="57"/>
        <v>-2</v>
      </c>
      <c r="BU56" s="5" t="str">
        <f>IF(G64&gt;=36, IF(AND(NOT(ISBLANK(CM:CM)), NOT(ISBLANK(BD:BD))), (CM:CM-BD:BD)/2, ""), "UF")</f>
        <v>UF</v>
      </c>
      <c r="BV56" s="5">
        <f t="shared" si="26"/>
        <v>-3.674349397492175</v>
      </c>
      <c r="BW56" s="69">
        <f t="shared" si="66"/>
        <v>1</v>
      </c>
      <c r="BX56" s="2">
        <v>88</v>
      </c>
      <c r="BY56" s="5">
        <v>-1.5940779580306039</v>
      </c>
      <c r="BZ56" s="74">
        <f t="shared" si="58"/>
        <v>1.516024986172394</v>
      </c>
      <c r="CA56" s="74">
        <f t="shared" si="59"/>
        <v>2</v>
      </c>
      <c r="CB56" s="5">
        <f t="shared" si="28"/>
        <v>-0.38061370302624142</v>
      </c>
      <c r="CC56" s="5">
        <f t="shared" si="29"/>
        <v>-1.5940779580306039</v>
      </c>
      <c r="CD56" s="2">
        <f t="shared" si="30"/>
        <v>-0.33554438754718197</v>
      </c>
      <c r="CE56" s="69">
        <f t="shared" si="31"/>
        <v>7</v>
      </c>
      <c r="CF56" s="5">
        <v>9700</v>
      </c>
      <c r="CG56" s="5">
        <v>-3.6763134916122682</v>
      </c>
      <c r="CH56" s="72">
        <f t="shared" si="60"/>
        <v>-0.56621054740927024</v>
      </c>
      <c r="CI56" s="72">
        <f t="shared" si="61"/>
        <v>-1</v>
      </c>
      <c r="CJ56" s="5">
        <f t="shared" si="32"/>
        <v>1.777979335790647E-2</v>
      </c>
      <c r="CK56" s="5">
        <f t="shared" si="33"/>
        <v>-3.6763134916122682</v>
      </c>
      <c r="CL56" s="69">
        <f t="shared" si="67"/>
        <v>3</v>
      </c>
      <c r="CM56" s="5">
        <v>-2.179074925622396</v>
      </c>
      <c r="CN56" s="70">
        <f t="shared" si="35"/>
        <v>1.495274471869779</v>
      </c>
      <c r="CO56" s="5">
        <f t="shared" si="36"/>
        <v>1.495274471869779</v>
      </c>
      <c r="CP56" s="5">
        <f>IF(G56&lt;48,"UF", IF(NOT(ISBLANK(CM:CM)), CM:CM, IF(BW:BW=1, BV:BV+Sheet2!B44, IF(Sheet1!BW:BW=2, Sheet1!BV:BV+Sheet2!B45, IF(Sheet1!BW:BW=7, Sheet1!BV:BV+Sheet2!B46,"")))))</f>
        <v>-2.179074925622396</v>
      </c>
      <c r="CQ56" s="69">
        <f t="shared" si="62"/>
        <v>2</v>
      </c>
      <c r="CR56" s="5">
        <v>92.5</v>
      </c>
      <c r="CS56" s="5">
        <v>-2.0197609765359048</v>
      </c>
      <c r="CT56" s="5">
        <f t="shared" si="37"/>
        <v>-0.42568301850530088</v>
      </c>
      <c r="CU56" s="80">
        <f t="shared" si="38"/>
        <v>-0.42568301850530088</v>
      </c>
      <c r="CV56" s="80">
        <f t="shared" si="39"/>
        <v>-1</v>
      </c>
      <c r="CW56" s="20">
        <f>IF(G56&lt;48,"UF", IF(NOT(ISBLANK(CS56)), CS56, IF(CE56=5, CC56+Sheet2!B33, IF(CE56=6, CC56+Sheet2!B34, IF(CE56=7, CC56+Sheet2!B35,"")))))</f>
        <v>-2.0197609765359048</v>
      </c>
      <c r="CX56" s="68">
        <f t="shared" si="63"/>
        <v>6</v>
      </c>
      <c r="CY56" s="5">
        <v>11400</v>
      </c>
      <c r="CZ56" s="5">
        <v>-3.074543357487185</v>
      </c>
      <c r="DA56" s="5">
        <f t="shared" si="40"/>
        <v>0.60177013412508318</v>
      </c>
      <c r="DB56" s="73">
        <f t="shared" si="41"/>
        <v>0.60177013412508318</v>
      </c>
      <c r="DC56" s="73">
        <f t="shared" si="42"/>
        <v>1</v>
      </c>
      <c r="DD56" s="5">
        <f>IF(G56&lt;48,"UF", IF(NOT(ISBLANK(CZ:CZ)), CZ:CZ, IF(CL:CL=3, CK:CK+Sheet2!B38, IF(CL:CL=4, CK:CK+Sheet2!B39, IF(CL:CL=7, CK:CK+Sheet2!B40,"")))))</f>
        <v>-3.074543357487185</v>
      </c>
      <c r="DE56" s="69">
        <f t="shared" si="43"/>
        <v>3</v>
      </c>
      <c r="DF56" s="2">
        <v>1</v>
      </c>
      <c r="DG56" s="2">
        <v>31</v>
      </c>
      <c r="DH56" s="2">
        <v>2</v>
      </c>
      <c r="DI56" s="2">
        <v>2</v>
      </c>
      <c r="DJ56" s="2">
        <v>2</v>
      </c>
      <c r="DK56" s="2">
        <v>120</v>
      </c>
      <c r="DL56" s="2">
        <v>70</v>
      </c>
      <c r="DM56" s="2" t="s">
        <v>12</v>
      </c>
      <c r="DN56" s="2" t="s">
        <v>12</v>
      </c>
      <c r="DO56" s="2" t="s">
        <v>12</v>
      </c>
      <c r="DP56" s="2" t="s">
        <v>12</v>
      </c>
      <c r="DQ56" s="2">
        <v>1</v>
      </c>
      <c r="DS56" s="2">
        <v>2</v>
      </c>
      <c r="DT56" s="2">
        <v>74</v>
      </c>
      <c r="DU56" s="2" t="s">
        <v>12</v>
      </c>
      <c r="DV56" s="2">
        <v>2</v>
      </c>
      <c r="DW56" s="2">
        <v>2</v>
      </c>
      <c r="DX56" s="2">
        <v>2</v>
      </c>
      <c r="DY56" s="2">
        <v>3</v>
      </c>
      <c r="DZ56" s="2">
        <v>29</v>
      </c>
      <c r="EA56" s="2" t="s">
        <v>12</v>
      </c>
      <c r="EB56" s="2">
        <v>43</v>
      </c>
      <c r="EC56" s="2" t="s">
        <v>12</v>
      </c>
      <c r="ED56" s="2">
        <v>1</v>
      </c>
    </row>
    <row r="57" spans="1:134" x14ac:dyDescent="0.25">
      <c r="C57" s="8" t="s">
        <v>286</v>
      </c>
      <c r="D57" s="8">
        <v>2288921171</v>
      </c>
      <c r="E57" s="5">
        <v>7</v>
      </c>
      <c r="F57" s="2">
        <v>1</v>
      </c>
      <c r="G57" s="2">
        <v>45</v>
      </c>
      <c r="H57" s="2">
        <v>0.52300852935087727</v>
      </c>
      <c r="I57" s="2">
        <v>50</v>
      </c>
      <c r="J57" s="2">
        <v>0.45756143734440202</v>
      </c>
      <c r="K57" s="2">
        <v>3500</v>
      </c>
      <c r="L57" s="2">
        <v>0.57031252552855893</v>
      </c>
      <c r="N57" s="2">
        <f t="shared" si="0"/>
        <v>0.21524573532456137</v>
      </c>
      <c r="O57" s="2">
        <f t="shared" si="1"/>
        <v>0.73825426467543864</v>
      </c>
      <c r="P57" s="2" t="s">
        <v>12</v>
      </c>
      <c r="R57" s="5">
        <f t="shared" si="2"/>
        <v>0.93621928132779897</v>
      </c>
      <c r="S57" s="5">
        <f t="shared" si="3"/>
        <v>1.3937807186722009</v>
      </c>
      <c r="T57" s="2" t="s">
        <v>12</v>
      </c>
      <c r="V57" s="2">
        <f t="shared" si="4"/>
        <v>0.67984373723572045</v>
      </c>
      <c r="W57" s="2">
        <f t="shared" si="5"/>
        <v>1.2501562627642793</v>
      </c>
      <c r="X57" s="2">
        <v>0.95350000000000001</v>
      </c>
      <c r="Y57" s="76">
        <f t="shared" si="44"/>
        <v>0.43049147064912274</v>
      </c>
      <c r="Z57" s="76">
        <f t="shared" si="45"/>
        <v>1</v>
      </c>
      <c r="AA57" s="2">
        <f t="shared" si="6"/>
        <v>0.31005964066389957</v>
      </c>
      <c r="AB57" s="2">
        <f t="shared" si="7"/>
        <v>0.95350000000000001</v>
      </c>
      <c r="AC57" s="2">
        <v>80</v>
      </c>
      <c r="AD57" s="2">
        <v>2.33</v>
      </c>
      <c r="AE57" s="79">
        <f t="shared" si="46"/>
        <v>1.8724385626555979</v>
      </c>
      <c r="AF57" s="79">
        <f t="shared" si="47"/>
        <v>2</v>
      </c>
      <c r="AG57" s="2">
        <f t="shared" si="64"/>
        <v>-0.30189035933610042</v>
      </c>
      <c r="AH57" s="2">
        <f t="shared" si="9"/>
        <v>2.33</v>
      </c>
      <c r="AI57" s="2">
        <v>11400</v>
      </c>
      <c r="AJ57" s="2">
        <v>1.93</v>
      </c>
      <c r="AK57" s="76">
        <f t="shared" si="48"/>
        <v>1.3596874744714409</v>
      </c>
      <c r="AL57" s="76">
        <f t="shared" si="49"/>
        <v>2</v>
      </c>
      <c r="AM57" s="2">
        <f t="shared" si="10"/>
        <v>0.31492186861786031</v>
      </c>
      <c r="AN57" s="2">
        <f t="shared" si="11"/>
        <v>1.93</v>
      </c>
      <c r="AO57" s="2">
        <v>2.0139</v>
      </c>
      <c r="AP57" s="2" t="str">
        <f t="shared" si="12"/>
        <v/>
      </c>
      <c r="AQ57" s="2">
        <f t="shared" si="13"/>
        <v>2.0139</v>
      </c>
      <c r="AR57" s="2">
        <v>83</v>
      </c>
      <c r="AS57" s="2">
        <v>0.79</v>
      </c>
      <c r="AT57" s="2" t="str">
        <f t="shared" si="14"/>
        <v/>
      </c>
      <c r="AU57" s="2">
        <f t="shared" si="15"/>
        <v>0.79</v>
      </c>
      <c r="AV57" s="2">
        <v>13000</v>
      </c>
      <c r="AW57" s="2">
        <v>1.88</v>
      </c>
      <c r="AX57" s="2" t="str">
        <f t="shared" si="16"/>
        <v/>
      </c>
      <c r="AY57" s="2">
        <f t="shared" si="17"/>
        <v>1.88</v>
      </c>
      <c r="BA57" s="78" t="e">
        <f t="shared" si="50"/>
        <v>#VALUE!</v>
      </c>
      <c r="BB57" s="78" t="e">
        <f t="shared" si="51"/>
        <v>#VALUE!</v>
      </c>
      <c r="BC57" s="2" t="str">
        <f t="shared" si="18"/>
        <v/>
      </c>
      <c r="BD57" s="2" t="e">
        <f t="shared" si="19"/>
        <v>#VALUE!</v>
      </c>
      <c r="BE57" s="67" t="e">
        <f t="shared" si="52"/>
        <v>#VALUE!</v>
      </c>
      <c r="BF57" s="2" t="s">
        <v>12</v>
      </c>
      <c r="BH57" s="2" t="str">
        <f t="shared" si="20"/>
        <v/>
      </c>
      <c r="BI57" s="2" t="e">
        <f t="shared" si="21"/>
        <v>#VALUE!</v>
      </c>
      <c r="BJ57" s="67" t="e">
        <f t="shared" si="65"/>
        <v>#VALUE!</v>
      </c>
      <c r="BK57" s="2" t="s">
        <v>12</v>
      </c>
      <c r="BM57" s="77" t="e">
        <f t="shared" si="53"/>
        <v>#VALUE!</v>
      </c>
      <c r="BN57" s="77" t="e">
        <f t="shared" si="54"/>
        <v>#VALUE!</v>
      </c>
      <c r="BO57" s="2" t="str">
        <f t="shared" si="23"/>
        <v/>
      </c>
      <c r="BP57" s="2" t="e">
        <f t="shared" si="24"/>
        <v>#VALUE!</v>
      </c>
      <c r="BQ57" s="67" t="e">
        <f t="shared" si="55"/>
        <v>#VALUE!</v>
      </c>
      <c r="BS57" s="75" t="e">
        <f t="shared" si="56"/>
        <v>#VALUE!</v>
      </c>
      <c r="BT57" s="75" t="e">
        <f t="shared" si="57"/>
        <v>#VALUE!</v>
      </c>
      <c r="BU57" s="5" t="e">
        <f>IF(#REF!&gt;=36, IF(AND(NOT(ISBLANK(CM:CM)), NOT(ISBLANK(BD:BD))), (CM:CM-BD:BD)/2, ""), "UF")</f>
        <v>#REF!</v>
      </c>
      <c r="BV57" s="5" t="e">
        <f t="shared" si="26"/>
        <v>#VALUE!</v>
      </c>
      <c r="BW57" s="69" t="e">
        <f t="shared" si="66"/>
        <v>#VALUE!</v>
      </c>
      <c r="BX57" s="2" t="s">
        <v>12</v>
      </c>
      <c r="BZ57" s="74" t="e">
        <f t="shared" si="58"/>
        <v>#VALUE!</v>
      </c>
      <c r="CA57" s="74" t="e">
        <f t="shared" si="59"/>
        <v>#VALUE!</v>
      </c>
      <c r="CB57" s="5" t="str">
        <f t="shared" si="28"/>
        <v/>
      </c>
      <c r="CC57" s="5" t="e">
        <f t="shared" si="29"/>
        <v>#VALUE!</v>
      </c>
      <c r="CD57" s="2" t="e">
        <f t="shared" si="30"/>
        <v>#VALUE!</v>
      </c>
      <c r="CE57" s="69" t="e">
        <f t="shared" si="31"/>
        <v>#VALUE!</v>
      </c>
      <c r="CF57" s="5" t="s">
        <v>12</v>
      </c>
      <c r="CH57" s="72" t="e">
        <f t="shared" si="60"/>
        <v>#VALUE!</v>
      </c>
      <c r="CI57" s="72" t="e">
        <f t="shared" si="61"/>
        <v>#VALUE!</v>
      </c>
      <c r="CJ57" s="5" t="str">
        <f t="shared" si="32"/>
        <v/>
      </c>
      <c r="CK57" s="5" t="e">
        <f t="shared" si="33"/>
        <v>#VALUE!</v>
      </c>
      <c r="CL57" s="69" t="e">
        <f t="shared" si="67"/>
        <v>#VALUE!</v>
      </c>
      <c r="CN57" s="70" t="str">
        <f t="shared" si="35"/>
        <v/>
      </c>
      <c r="CO57" s="5" t="str">
        <f t="shared" si="36"/>
        <v>UF</v>
      </c>
      <c r="CP57" s="5" t="str">
        <f>IF(G57&lt;48,"UF", IF(NOT(ISBLANK(CM:CM)), CM:CM, IF(BW:BW=1, BV:BV+Sheet2!B491, IF(Sheet1!BW:BW=2, Sheet1!BV:BV+Sheet2!B492, IF(Sheet1!BW:BW=7, Sheet1!BV:BV+Sheet2!B493,"")))))</f>
        <v>UF</v>
      </c>
      <c r="CQ57" s="69" t="str">
        <f t="shared" si="62"/>
        <v/>
      </c>
      <c r="CR57" s="5" t="s">
        <v>12</v>
      </c>
      <c r="CT57" s="5" t="str">
        <f t="shared" si="37"/>
        <v/>
      </c>
      <c r="CU57" s="80" t="str">
        <f t="shared" si="38"/>
        <v>UF</v>
      </c>
      <c r="CV57" s="80" t="str">
        <f t="shared" si="39"/>
        <v>UF</v>
      </c>
      <c r="CW57" s="20" t="str">
        <f>IF(G57&lt;48,"UF", IF(NOT(ISBLANK(CS57)), CS57, IF(CE57=5, CC57+Sheet2!B480, IF(CE57=6, CC57+Sheet2!B481, IF(CE57=7, CC57+Sheet2!B482,"")))))</f>
        <v>UF</v>
      </c>
      <c r="CX57" s="68" t="str">
        <f t="shared" si="63"/>
        <v/>
      </c>
      <c r="CY57" s="5" t="s">
        <v>12</v>
      </c>
      <c r="DA57" s="5" t="str">
        <f t="shared" si="40"/>
        <v>UF</v>
      </c>
      <c r="DB57" s="73" t="str">
        <f t="shared" si="41"/>
        <v>UF</v>
      </c>
      <c r="DC57" s="73" t="str">
        <f t="shared" si="42"/>
        <v>UF</v>
      </c>
      <c r="DD57" s="5" t="str">
        <f>IF(G57&lt;48,"UF", IF(NOT(ISBLANK(CZ:CZ)), CZ:CZ, IF(CL:CL=3, CK:CK+Sheet2!B485, IF(CL:CL=4, CK:CK+Sheet2!B486, IF(CL:CL=7, CK:CK+Sheet2!B487,"")))))</f>
        <v>UF</v>
      </c>
      <c r="DE57" s="69" t="str">
        <f t="shared" si="43"/>
        <v/>
      </c>
      <c r="DF57" s="2">
        <v>1</v>
      </c>
      <c r="DG57" s="2">
        <v>28</v>
      </c>
      <c r="DH57" s="2">
        <v>1</v>
      </c>
      <c r="DI57" s="2">
        <v>2</v>
      </c>
      <c r="DJ57" s="2">
        <v>2</v>
      </c>
      <c r="DK57" s="2">
        <v>110</v>
      </c>
      <c r="DL57" s="2">
        <v>70</v>
      </c>
      <c r="DM57" s="2" t="s">
        <v>12</v>
      </c>
      <c r="DN57" s="2" t="s">
        <v>12</v>
      </c>
      <c r="DO57" s="2">
        <v>100</v>
      </c>
      <c r="DP57" s="2">
        <v>60</v>
      </c>
      <c r="DQ57" s="2">
        <v>2</v>
      </c>
      <c r="DR57" s="2">
        <v>39</v>
      </c>
      <c r="DS57" s="2">
        <v>2</v>
      </c>
      <c r="DT57" s="2">
        <v>82</v>
      </c>
      <c r="DU57" s="2">
        <v>66</v>
      </c>
      <c r="DV57" s="2">
        <v>4</v>
      </c>
      <c r="DW57" s="2">
        <v>3</v>
      </c>
      <c r="DX57" s="2">
        <v>4</v>
      </c>
      <c r="DY57" s="2">
        <v>3</v>
      </c>
      <c r="DZ57" s="2">
        <v>33</v>
      </c>
      <c r="EA57" s="2">
        <v>35</v>
      </c>
      <c r="EB57" s="2">
        <v>47</v>
      </c>
      <c r="EC57" s="2">
        <v>4</v>
      </c>
      <c r="ED57" s="2">
        <v>1</v>
      </c>
    </row>
    <row r="58" spans="1:134" x14ac:dyDescent="0.25">
      <c r="C58" s="5" t="s">
        <v>60</v>
      </c>
      <c r="D58" s="8">
        <v>2288933151</v>
      </c>
      <c r="E58" s="2">
        <v>2</v>
      </c>
      <c r="F58" s="2">
        <v>1</v>
      </c>
      <c r="G58" s="2">
        <v>44</v>
      </c>
      <c r="H58" s="2">
        <v>-7.6111280724735773</v>
      </c>
      <c r="I58" s="2">
        <v>44</v>
      </c>
      <c r="J58" s="2">
        <v>-2.763572780344921</v>
      </c>
      <c r="K58" s="5">
        <v>1095</v>
      </c>
      <c r="L58" s="2">
        <v>-5.5907788533698781</v>
      </c>
      <c r="M58" s="2">
        <v>-0.89049999999999996</v>
      </c>
      <c r="N58" s="2">
        <f t="shared" si="0"/>
        <v>3.0841640362367886</v>
      </c>
      <c r="O58" s="2">
        <f t="shared" si="1"/>
        <v>-0.89049999999999996</v>
      </c>
      <c r="P58" s="2">
        <v>62</v>
      </c>
      <c r="Q58" s="2">
        <v>-1.65</v>
      </c>
      <c r="R58" s="5">
        <f t="shared" si="2"/>
        <v>1.1867863901724605</v>
      </c>
      <c r="S58" s="5">
        <f t="shared" si="3"/>
        <v>-1.65</v>
      </c>
      <c r="T58" s="1">
        <v>6000</v>
      </c>
      <c r="U58" s="2">
        <v>-1.62</v>
      </c>
      <c r="V58" s="2">
        <f t="shared" si="4"/>
        <v>2.175389426684939</v>
      </c>
      <c r="W58" s="2">
        <f t="shared" si="5"/>
        <v>-1.62</v>
      </c>
      <c r="X58" s="2">
        <v>-1.4428000000000001</v>
      </c>
      <c r="Y58" s="76">
        <f t="shared" si="44"/>
        <v>6.1683280724735772</v>
      </c>
      <c r="Z58" s="76">
        <f t="shared" si="45"/>
        <v>2</v>
      </c>
      <c r="AA58" s="2">
        <f t="shared" si="6"/>
        <v>0.24544999999999995</v>
      </c>
      <c r="AB58" s="2">
        <f t="shared" si="7"/>
        <v>-1.4428000000000001</v>
      </c>
      <c r="AC58" s="2">
        <v>73</v>
      </c>
      <c r="AD58" s="2">
        <v>-0.39</v>
      </c>
      <c r="AE58" s="79">
        <f t="shared" si="46"/>
        <v>2.3735727803449209</v>
      </c>
      <c r="AF58" s="79">
        <f t="shared" si="47"/>
        <v>2</v>
      </c>
      <c r="AG58" s="2">
        <f t="shared" si="64"/>
        <v>0.53</v>
      </c>
      <c r="AH58" s="2">
        <f t="shared" si="9"/>
        <v>-0.39</v>
      </c>
      <c r="AI58" s="2">
        <v>7700</v>
      </c>
      <c r="AJ58" s="2">
        <v>-1.24</v>
      </c>
      <c r="AK58" s="76">
        <f t="shared" si="48"/>
        <v>4.3507788533698779</v>
      </c>
      <c r="AL58" s="76">
        <f t="shared" si="49"/>
        <v>2</v>
      </c>
      <c r="AM58" s="2">
        <f t="shared" si="10"/>
        <v>0.2350000000000001</v>
      </c>
      <c r="AN58" s="2">
        <f t="shared" si="11"/>
        <v>-1.24</v>
      </c>
      <c r="AO58" s="2">
        <v>-1.1591</v>
      </c>
      <c r="AP58" s="2">
        <f t="shared" si="12"/>
        <v>-0.1741064254927055</v>
      </c>
      <c r="AQ58" s="2">
        <f t="shared" si="13"/>
        <v>-1.1591</v>
      </c>
      <c r="AR58" s="2">
        <v>79</v>
      </c>
      <c r="AS58" s="2">
        <v>-0.59</v>
      </c>
      <c r="AT58" s="2">
        <f t="shared" si="14"/>
        <v>-0.14827350475836804</v>
      </c>
      <c r="AU58" s="2">
        <f t="shared" si="15"/>
        <v>-0.59</v>
      </c>
      <c r="AV58" s="2">
        <v>8900</v>
      </c>
      <c r="AW58" s="2">
        <v>-1.1499999999999999</v>
      </c>
      <c r="AX58" s="2">
        <f t="shared" si="16"/>
        <v>-0.45575623708783441</v>
      </c>
      <c r="AY58" s="2">
        <f t="shared" si="17"/>
        <v>-1.1499999999999999</v>
      </c>
      <c r="AZ58" s="2">
        <v>-1.7910128509854111</v>
      </c>
      <c r="BA58" s="78">
        <f t="shared" si="50"/>
        <v>-0.34821285098541099</v>
      </c>
      <c r="BB58" s="78">
        <f t="shared" si="51"/>
        <v>-1</v>
      </c>
      <c r="BC58" s="2">
        <f t="shared" si="18"/>
        <v>-0.43197950262770296</v>
      </c>
      <c r="BD58" s="2">
        <f t="shared" si="19"/>
        <v>-1.7910128509854111</v>
      </c>
      <c r="BE58" s="67">
        <f t="shared" si="52"/>
        <v>7</v>
      </c>
      <c r="BF58" s="2">
        <v>83</v>
      </c>
      <c r="BG58" s="2">
        <v>-0.68654700951673608</v>
      </c>
      <c r="BH58" s="2">
        <f t="shared" si="20"/>
        <v>9.2774174856052518E-3</v>
      </c>
      <c r="BI58" s="2">
        <f t="shared" si="21"/>
        <v>-0.68654700951673608</v>
      </c>
      <c r="BJ58" s="67">
        <f t="shared" si="65"/>
        <v>7</v>
      </c>
      <c r="BK58" s="2">
        <v>9800</v>
      </c>
      <c r="BL58" s="2">
        <v>-2.1515124741756688</v>
      </c>
      <c r="BM58" s="77">
        <f t="shared" si="53"/>
        <v>-0.91151247417566883</v>
      </c>
      <c r="BN58" s="77">
        <f t="shared" si="54"/>
        <v>-2</v>
      </c>
      <c r="BO58" s="2">
        <f t="shared" si="23"/>
        <v>-0.27039966552214673</v>
      </c>
      <c r="BP58" s="2">
        <f t="shared" si="24"/>
        <v>-2.1515124741756688</v>
      </c>
      <c r="BQ58" s="67">
        <f t="shared" si="55"/>
        <v>4</v>
      </c>
      <c r="BR58" s="5">
        <v>-2.455038507883109</v>
      </c>
      <c r="BS58" s="75">
        <f t="shared" si="56"/>
        <v>-0.66402565689769788</v>
      </c>
      <c r="BT58" s="75">
        <f t="shared" si="57"/>
        <v>-1</v>
      </c>
      <c r="BU58" s="5" t="str">
        <f>IF(G65&gt;=36, IF(AND(NOT(ISBLANK(CM:CM)), NOT(ISBLANK(BD:BD))), (CM:CM-BD:BD)/2, ""), "UF")</f>
        <v/>
      </c>
      <c r="BV58" s="5">
        <f t="shared" si="26"/>
        <v>-2.455038507883109</v>
      </c>
      <c r="BW58" s="69">
        <f t="shared" si="66"/>
        <v>2</v>
      </c>
      <c r="BX58" s="2">
        <v>92</v>
      </c>
      <c r="BY58" s="5">
        <v>-0.56216774754318422</v>
      </c>
      <c r="BZ58" s="74">
        <f t="shared" si="58"/>
        <v>1.5893447266324845</v>
      </c>
      <c r="CA58" s="74">
        <f t="shared" si="59"/>
        <v>2</v>
      </c>
      <c r="CB58" s="5" t="str">
        <f t="shared" si="28"/>
        <v/>
      </c>
      <c r="CC58" s="5">
        <f t="shared" si="29"/>
        <v>-0.56216774754318422</v>
      </c>
      <c r="CD58" s="2">
        <f t="shared" si="30"/>
        <v>0.12437926197355187</v>
      </c>
      <c r="CE58" s="69">
        <f t="shared" si="31"/>
        <v>7</v>
      </c>
      <c r="CF58" s="5">
        <v>11300</v>
      </c>
      <c r="CG58" s="5">
        <v>-1.96119899656644</v>
      </c>
      <c r="CH58" s="72">
        <f t="shared" si="60"/>
        <v>0.19031347760922879</v>
      </c>
      <c r="CI58" s="72">
        <f t="shared" si="61"/>
        <v>1</v>
      </c>
      <c r="CJ58" s="5" t="str">
        <f t="shared" si="32"/>
        <v/>
      </c>
      <c r="CK58" s="5">
        <f t="shared" si="33"/>
        <v>-1.96119899656644</v>
      </c>
      <c r="CL58" s="69">
        <f t="shared" si="67"/>
        <v>7</v>
      </c>
      <c r="CN58" s="70" t="str">
        <f t="shared" si="35"/>
        <v/>
      </c>
      <c r="CO58" s="5" t="str">
        <f t="shared" si="36"/>
        <v>UF</v>
      </c>
      <c r="CP58" s="5" t="str">
        <f>IF(G58&lt;48,"UF", IF(NOT(ISBLANK(CM:CM)), CM:CM, IF(BW:BW=1, BV:BV+Sheet2!B64, IF(Sheet1!BW:BW=2, Sheet1!BV:BV+Sheet2!B65, IF(Sheet1!BW:BW=7, Sheet1!BV:BV+Sheet2!B66,"")))))</f>
        <v>UF</v>
      </c>
      <c r="CQ58" s="69" t="str">
        <f t="shared" si="62"/>
        <v/>
      </c>
      <c r="CR58" s="5" t="s">
        <v>12</v>
      </c>
      <c r="CT58" s="5" t="str">
        <f t="shared" si="37"/>
        <v/>
      </c>
      <c r="CU58" s="80" t="str">
        <f t="shared" si="38"/>
        <v>UF</v>
      </c>
      <c r="CV58" s="80" t="str">
        <f t="shared" si="39"/>
        <v>UF</v>
      </c>
      <c r="CW58" s="20" t="str">
        <f>IF(G58&lt;48,"UF", IF(NOT(ISBLANK(CS58)), CS58, IF(CE58=5, CC58+Sheet2!B53, IF(CE58=6, CC58+Sheet2!B54, IF(CE58=7, CC58+Sheet2!B55,"")))))</f>
        <v>UF</v>
      </c>
      <c r="CX58" s="68" t="str">
        <f t="shared" si="63"/>
        <v/>
      </c>
      <c r="CY58" s="5" t="s">
        <v>12</v>
      </c>
      <c r="DA58" s="5" t="str">
        <f t="shared" si="40"/>
        <v>UF</v>
      </c>
      <c r="DB58" s="73" t="str">
        <f t="shared" si="41"/>
        <v>UF</v>
      </c>
      <c r="DC58" s="73" t="str">
        <f t="shared" si="42"/>
        <v>UF</v>
      </c>
      <c r="DD58" s="5" t="str">
        <f>IF(G58&lt;48,"UF", IF(NOT(ISBLANK(CZ:CZ)), CZ:CZ, IF(CL:CL=3, CK:CK+Sheet2!B58, IF(CL:CL=4, CK:CK+Sheet2!B59, IF(CL:CL=7, CK:CK+Sheet2!B60,"")))))</f>
        <v>UF</v>
      </c>
      <c r="DE58" s="69" t="str">
        <f t="shared" si="43"/>
        <v/>
      </c>
      <c r="DF58" s="2" t="s">
        <v>465</v>
      </c>
      <c r="DG58" s="2">
        <v>30</v>
      </c>
      <c r="DH58" s="2">
        <v>1</v>
      </c>
      <c r="DI58" s="2">
        <v>2</v>
      </c>
      <c r="DJ58" s="2">
        <v>2</v>
      </c>
      <c r="DK58" s="2">
        <v>90</v>
      </c>
      <c r="DL58" s="2">
        <v>60</v>
      </c>
      <c r="DM58" s="2">
        <v>90</v>
      </c>
      <c r="DN58" s="2">
        <v>60</v>
      </c>
      <c r="DO58" s="2">
        <v>80</v>
      </c>
      <c r="DP58" s="2">
        <v>60</v>
      </c>
      <c r="DQ58" s="2">
        <v>2</v>
      </c>
      <c r="DR58" s="2">
        <v>31</v>
      </c>
      <c r="DS58" s="2">
        <v>3</v>
      </c>
      <c r="DT58" s="2">
        <v>2</v>
      </c>
      <c r="DU58" s="2" t="s">
        <v>12</v>
      </c>
      <c r="DV58" s="2">
        <v>2</v>
      </c>
      <c r="DW58" s="2">
        <v>2</v>
      </c>
      <c r="DX58" s="2">
        <v>2</v>
      </c>
      <c r="DY58" s="2">
        <v>3</v>
      </c>
      <c r="DZ58" s="2">
        <v>30</v>
      </c>
      <c r="EA58" s="2" t="s">
        <v>12</v>
      </c>
      <c r="EB58" s="2">
        <v>46</v>
      </c>
      <c r="EC58" s="2" t="s">
        <v>12</v>
      </c>
      <c r="ED58" s="2">
        <v>1</v>
      </c>
    </row>
    <row r="59" spans="1:134" x14ac:dyDescent="0.25">
      <c r="C59" s="8" t="s">
        <v>13</v>
      </c>
      <c r="D59" s="2">
        <v>2289017043</v>
      </c>
      <c r="E59" s="5">
        <v>7</v>
      </c>
      <c r="F59" s="2">
        <v>2</v>
      </c>
      <c r="G59" s="2">
        <v>43</v>
      </c>
      <c r="H59" s="2">
        <v>-2.9581673775768671</v>
      </c>
      <c r="I59" s="2">
        <v>43</v>
      </c>
      <c r="J59" s="2">
        <v>-3.6364592487602092</v>
      </c>
      <c r="K59" s="2">
        <v>1890</v>
      </c>
      <c r="L59" s="2">
        <v>-3.502125453846578</v>
      </c>
      <c r="N59" s="2">
        <f t="shared" si="0"/>
        <v>0.19693368878843365</v>
      </c>
      <c r="O59" s="2">
        <f t="shared" si="1"/>
        <v>-2.7612336887884332</v>
      </c>
      <c r="P59" s="2" t="s">
        <v>12</v>
      </c>
      <c r="R59" s="5">
        <f t="shared" si="2"/>
        <v>1.1382296243801044</v>
      </c>
      <c r="S59" s="5">
        <f t="shared" si="3"/>
        <v>-2.4982296243801048</v>
      </c>
      <c r="T59" s="2" t="s">
        <v>12</v>
      </c>
      <c r="V59" s="2">
        <f t="shared" si="4"/>
        <v>0.45606272692328909</v>
      </c>
      <c r="W59" s="2">
        <f t="shared" si="5"/>
        <v>-3.0460627269232887</v>
      </c>
      <c r="X59" s="2">
        <v>-2.5642999999999998</v>
      </c>
      <c r="Y59" s="76">
        <f t="shared" si="44"/>
        <v>0.39386737757686729</v>
      </c>
      <c r="Z59" s="76">
        <f t="shared" si="45"/>
        <v>1</v>
      </c>
      <c r="AA59" s="2">
        <f t="shared" si="6"/>
        <v>-0.30553518780994771</v>
      </c>
      <c r="AB59" s="2">
        <f t="shared" si="7"/>
        <v>-2.5642999999999998</v>
      </c>
      <c r="AC59" s="2">
        <v>72.5</v>
      </c>
      <c r="AD59" s="2">
        <v>-1.36</v>
      </c>
      <c r="AE59" s="79">
        <f t="shared" si="46"/>
        <v>2.2764592487602089</v>
      </c>
      <c r="AF59" s="79">
        <f t="shared" si="47"/>
        <v>2</v>
      </c>
      <c r="AG59" s="2">
        <f t="shared" si="64"/>
        <v>0.45911481219005235</v>
      </c>
      <c r="AH59" s="2">
        <f t="shared" si="9"/>
        <v>-1.36</v>
      </c>
      <c r="AI59" s="2">
        <v>7250</v>
      </c>
      <c r="AJ59" s="2">
        <v>-2.59</v>
      </c>
      <c r="AK59" s="76">
        <f t="shared" si="48"/>
        <v>0.91212545384657817</v>
      </c>
      <c r="AL59" s="76">
        <f t="shared" si="49"/>
        <v>2</v>
      </c>
      <c r="AM59" s="2">
        <f t="shared" si="10"/>
        <v>8.0313634616444585E-3</v>
      </c>
      <c r="AN59" s="2">
        <f t="shared" si="11"/>
        <v>-2.59</v>
      </c>
      <c r="AO59" s="2">
        <v>-3.1093000000000002</v>
      </c>
      <c r="AP59" s="2" t="str">
        <f t="shared" si="12"/>
        <v/>
      </c>
      <c r="AQ59" s="2">
        <f t="shared" si="13"/>
        <v>-3.1093000000000002</v>
      </c>
      <c r="AR59" s="2">
        <v>78</v>
      </c>
      <c r="AS59" s="2">
        <v>-1.58</v>
      </c>
      <c r="AT59" s="2" t="str">
        <f t="shared" si="14"/>
        <v/>
      </c>
      <c r="AU59" s="2">
        <f t="shared" si="15"/>
        <v>-1.58</v>
      </c>
      <c r="AV59" s="2">
        <v>7800</v>
      </c>
      <c r="AW59" s="2">
        <v>-3.03</v>
      </c>
      <c r="AX59" s="2" t="str">
        <f t="shared" si="16"/>
        <v/>
      </c>
      <c r="AY59" s="2">
        <f t="shared" si="17"/>
        <v>-3.03</v>
      </c>
      <c r="BA59" s="78" t="e">
        <f t="shared" si="50"/>
        <v>#VALUE!</v>
      </c>
      <c r="BB59" s="78" t="e">
        <f t="shared" si="51"/>
        <v>#VALUE!</v>
      </c>
      <c r="BC59" s="2" t="str">
        <f t="shared" si="18"/>
        <v/>
      </c>
      <c r="BD59" s="2" t="e">
        <f t="shared" si="19"/>
        <v>#VALUE!</v>
      </c>
      <c r="BE59" s="67" t="e">
        <f t="shared" si="52"/>
        <v>#VALUE!</v>
      </c>
      <c r="BF59" s="2" t="s">
        <v>12</v>
      </c>
      <c r="BH59" s="2" t="str">
        <f t="shared" si="20"/>
        <v/>
      </c>
      <c r="BI59" s="2" t="e">
        <f t="shared" si="21"/>
        <v>#VALUE!</v>
      </c>
      <c r="BJ59" s="67" t="e">
        <f t="shared" si="65"/>
        <v>#VALUE!</v>
      </c>
      <c r="BK59" s="2" t="s">
        <v>12</v>
      </c>
      <c r="BM59" s="77" t="e">
        <f t="shared" si="53"/>
        <v>#VALUE!</v>
      </c>
      <c r="BN59" s="77" t="e">
        <f t="shared" si="54"/>
        <v>#VALUE!</v>
      </c>
      <c r="BO59" s="2" t="str">
        <f t="shared" si="23"/>
        <v/>
      </c>
      <c r="BP59" s="2" t="e">
        <f t="shared" si="24"/>
        <v>#VALUE!</v>
      </c>
      <c r="BQ59" s="67" t="e">
        <f t="shared" si="55"/>
        <v>#VALUE!</v>
      </c>
      <c r="BS59" s="75" t="e">
        <f t="shared" si="56"/>
        <v>#VALUE!</v>
      </c>
      <c r="BT59" s="75" t="e">
        <f t="shared" si="57"/>
        <v>#VALUE!</v>
      </c>
      <c r="BU59" s="5" t="str">
        <f>IF(G66&gt;=36, IF(AND(NOT(ISBLANK(CM:CM)), NOT(ISBLANK(BD:BD))), (CM:CM-BD:BD)/2, ""), "UF")</f>
        <v/>
      </c>
      <c r="BV59" s="5" t="e">
        <f t="shared" si="26"/>
        <v>#VALUE!</v>
      </c>
      <c r="BW59" s="69" t="e">
        <f t="shared" si="66"/>
        <v>#VALUE!</v>
      </c>
      <c r="BX59" s="2" t="s">
        <v>12</v>
      </c>
      <c r="BZ59" s="74" t="e">
        <f t="shared" si="58"/>
        <v>#VALUE!</v>
      </c>
      <c r="CA59" s="74" t="e">
        <f t="shared" si="59"/>
        <v>#VALUE!</v>
      </c>
      <c r="CB59" s="5" t="str">
        <f t="shared" si="28"/>
        <v/>
      </c>
      <c r="CC59" s="5" t="e">
        <f t="shared" si="29"/>
        <v>#VALUE!</v>
      </c>
      <c r="CD59" s="2" t="e">
        <f t="shared" si="30"/>
        <v>#VALUE!</v>
      </c>
      <c r="CE59" s="69" t="e">
        <f t="shared" si="31"/>
        <v>#VALUE!</v>
      </c>
      <c r="CF59" s="5" t="s">
        <v>12</v>
      </c>
      <c r="CH59" s="72" t="e">
        <f t="shared" si="60"/>
        <v>#VALUE!</v>
      </c>
      <c r="CI59" s="72" t="e">
        <f t="shared" si="61"/>
        <v>#VALUE!</v>
      </c>
      <c r="CJ59" s="5" t="str">
        <f t="shared" si="32"/>
        <v/>
      </c>
      <c r="CK59" s="5" t="e">
        <f t="shared" si="33"/>
        <v>#VALUE!</v>
      </c>
      <c r="CL59" s="69" t="e">
        <f t="shared" si="67"/>
        <v>#VALUE!</v>
      </c>
      <c r="CN59" s="70" t="str">
        <f t="shared" si="35"/>
        <v/>
      </c>
      <c r="CO59" s="5" t="str">
        <f t="shared" si="36"/>
        <v>UF</v>
      </c>
      <c r="CP59" s="5" t="str">
        <f>IF(G59&lt;48,"UF", IF(NOT(ISBLANK(CM:CM)), CM:CM, IF(BW:BW=1, BV:BV+Sheet2!B559, IF(Sheet1!BW:BW=2, Sheet1!BV:BV+Sheet2!B560, IF(Sheet1!BW:BW=7, Sheet1!BV:BV+Sheet2!B561,"")))))</f>
        <v>UF</v>
      </c>
      <c r="CQ59" s="69" t="str">
        <f t="shared" si="62"/>
        <v/>
      </c>
      <c r="CR59" s="5" t="s">
        <v>12</v>
      </c>
      <c r="CT59" s="5" t="str">
        <f t="shared" si="37"/>
        <v/>
      </c>
      <c r="CU59" s="80" t="str">
        <f t="shared" si="38"/>
        <v>UF</v>
      </c>
      <c r="CV59" s="80" t="str">
        <f t="shared" si="39"/>
        <v>UF</v>
      </c>
      <c r="CW59" s="20" t="str">
        <f>IF(G59&lt;48,"UF", IF(NOT(ISBLANK(CS59)), CS59, IF(CE59=5, CC59+Sheet2!B548, IF(CE59=6, CC59+Sheet2!B549, IF(CE59=7, CC59+Sheet2!B550,"")))))</f>
        <v>UF</v>
      </c>
      <c r="CX59" s="68" t="str">
        <f t="shared" si="63"/>
        <v/>
      </c>
      <c r="CY59" s="5" t="s">
        <v>12</v>
      </c>
      <c r="DA59" s="5" t="str">
        <f t="shared" si="40"/>
        <v>UF</v>
      </c>
      <c r="DB59" s="73" t="str">
        <f t="shared" si="41"/>
        <v>UF</v>
      </c>
      <c r="DC59" s="73" t="str">
        <f t="shared" si="42"/>
        <v>UF</v>
      </c>
      <c r="DD59" s="5" t="str">
        <f>IF(G59&lt;48,"UF", IF(NOT(ISBLANK(CZ:CZ)), CZ:CZ, IF(CL:CL=3, CK:CK+Sheet2!B553, IF(CL:CL=4, CK:CK+Sheet2!B554, IF(CL:CL=7, CK:CK+Sheet2!B555,"")))))</f>
        <v>UF</v>
      </c>
      <c r="DE59" s="69" t="str">
        <f t="shared" si="43"/>
        <v/>
      </c>
      <c r="DF59" s="2">
        <v>1</v>
      </c>
      <c r="DG59" s="2">
        <v>20</v>
      </c>
      <c r="DH59" s="2">
        <v>1</v>
      </c>
      <c r="DI59" s="2">
        <v>2</v>
      </c>
      <c r="DJ59" s="2">
        <v>3</v>
      </c>
      <c r="DK59" s="2" t="s">
        <v>12</v>
      </c>
      <c r="DL59" s="2" t="s">
        <v>12</v>
      </c>
      <c r="DM59" s="2" t="s">
        <v>12</v>
      </c>
      <c r="DN59" s="2" t="s">
        <v>12</v>
      </c>
      <c r="DO59" s="2" t="s">
        <v>12</v>
      </c>
      <c r="DP59" s="2" t="s">
        <v>12</v>
      </c>
      <c r="DQ59" s="2">
        <v>2</v>
      </c>
      <c r="DR59" s="2">
        <v>32</v>
      </c>
      <c r="DS59" s="2">
        <v>2</v>
      </c>
      <c r="DT59" s="2">
        <v>88</v>
      </c>
      <c r="DU59" s="2" t="s">
        <v>12</v>
      </c>
      <c r="DV59" s="2">
        <v>2</v>
      </c>
      <c r="DW59" s="2">
        <v>2</v>
      </c>
      <c r="DX59" s="2">
        <v>2</v>
      </c>
      <c r="DY59" s="2">
        <v>3</v>
      </c>
      <c r="DZ59" s="2">
        <v>30</v>
      </c>
      <c r="EA59" s="2" t="s">
        <v>12</v>
      </c>
      <c r="EB59" s="2">
        <v>43.5</v>
      </c>
      <c r="EC59" s="2" t="s">
        <v>12</v>
      </c>
      <c r="ED59" s="2">
        <v>1</v>
      </c>
    </row>
    <row r="60" spans="1:134" x14ac:dyDescent="0.25">
      <c r="A60">
        <v>1</v>
      </c>
      <c r="C60" s="8" t="s">
        <v>20</v>
      </c>
      <c r="D60" s="2">
        <v>2289112984</v>
      </c>
      <c r="E60" s="5">
        <v>2</v>
      </c>
      <c r="F60" s="2">
        <v>1</v>
      </c>
      <c r="G60" s="2">
        <v>36</v>
      </c>
      <c r="H60" s="2">
        <v>-3.374063315328959</v>
      </c>
      <c r="I60" s="2">
        <v>50</v>
      </c>
      <c r="J60" s="2">
        <v>0.45756143734440202</v>
      </c>
      <c r="K60" s="5">
        <v>2440</v>
      </c>
      <c r="L60" s="2">
        <v>-1.881536625003162</v>
      </c>
      <c r="M60" s="2">
        <v>-1.0912999999999999</v>
      </c>
      <c r="N60" s="2" t="str">
        <f t="shared" si="0"/>
        <v/>
      </c>
      <c r="O60" s="2">
        <f t="shared" si="1"/>
        <v>-1.0912999999999999</v>
      </c>
      <c r="P60" s="2">
        <v>66.5</v>
      </c>
      <c r="Q60" s="2">
        <v>0.33</v>
      </c>
      <c r="R60" s="5" t="str">
        <f t="shared" si="2"/>
        <v/>
      </c>
      <c r="S60" s="5">
        <f t="shared" si="3"/>
        <v>0.33</v>
      </c>
      <c r="T60" s="1">
        <v>6780</v>
      </c>
      <c r="U60" s="2">
        <v>-0.61</v>
      </c>
      <c r="V60" s="2" t="str">
        <f t="shared" si="4"/>
        <v/>
      </c>
      <c r="W60" s="2">
        <f t="shared" si="5"/>
        <v>-0.61</v>
      </c>
      <c r="Y60" s="76" t="e">
        <f t="shared" si="44"/>
        <v>#VALUE!</v>
      </c>
      <c r="Z60" s="76" t="e">
        <f t="shared" si="45"/>
        <v>#VALUE!</v>
      </c>
      <c r="AA60" s="2" t="str">
        <f t="shared" si="6"/>
        <v/>
      </c>
      <c r="AB60" s="2" t="e">
        <f t="shared" si="7"/>
        <v>#VALUE!</v>
      </c>
      <c r="AC60" s="2" t="s">
        <v>12</v>
      </c>
      <c r="AE60" s="79" t="e">
        <f t="shared" si="46"/>
        <v>#VALUE!</v>
      </c>
      <c r="AF60" s="79" t="e">
        <f t="shared" si="47"/>
        <v>#VALUE!</v>
      </c>
      <c r="AG60" s="2" t="str">
        <f t="shared" si="64"/>
        <v/>
      </c>
      <c r="AH60" s="2" t="e">
        <f t="shared" si="9"/>
        <v>#VALUE!</v>
      </c>
      <c r="AI60" s="2" t="s">
        <v>12</v>
      </c>
      <c r="AK60" s="76" t="e">
        <f t="shared" si="48"/>
        <v>#VALUE!</v>
      </c>
      <c r="AL60" s="76" t="e">
        <f t="shared" si="49"/>
        <v>#VALUE!</v>
      </c>
      <c r="AM60" s="2" t="str">
        <f t="shared" si="10"/>
        <v/>
      </c>
      <c r="AN60" s="2" t="e">
        <f t="shared" si="11"/>
        <v>#VALUE!</v>
      </c>
      <c r="AP60" s="2" t="str">
        <f t="shared" si="12"/>
        <v/>
      </c>
      <c r="AQ60" s="2" t="e">
        <f t="shared" si="13"/>
        <v>#VALUE!</v>
      </c>
      <c r="AR60" s="2" t="s">
        <v>12</v>
      </c>
      <c r="AT60" s="2" t="str">
        <f t="shared" si="14"/>
        <v/>
      </c>
      <c r="AU60" s="2" t="e">
        <f t="shared" si="15"/>
        <v>#VALUE!</v>
      </c>
      <c r="AV60" s="2" t="s">
        <v>12</v>
      </c>
      <c r="AX60" s="2" t="str">
        <f t="shared" si="16"/>
        <v/>
      </c>
      <c r="AY60" s="2" t="e">
        <f t="shared" si="17"/>
        <v>#VALUE!</v>
      </c>
      <c r="BA60" s="78" t="e">
        <f t="shared" si="50"/>
        <v>#VALUE!</v>
      </c>
      <c r="BB60" s="78" t="e">
        <f t="shared" si="51"/>
        <v>#VALUE!</v>
      </c>
      <c r="BC60" s="2" t="e">
        <f t="shared" si="18"/>
        <v>#VALUE!</v>
      </c>
      <c r="BD60" s="2" t="e">
        <f t="shared" si="19"/>
        <v>#VALUE!</v>
      </c>
      <c r="BE60" s="67" t="e">
        <f t="shared" si="52"/>
        <v>#VALUE!</v>
      </c>
      <c r="BF60" s="2" t="s">
        <v>12</v>
      </c>
      <c r="BH60" s="2" t="e">
        <f t="shared" si="20"/>
        <v>#VALUE!</v>
      </c>
      <c r="BI60" s="2" t="e">
        <f t="shared" si="21"/>
        <v>#VALUE!</v>
      </c>
      <c r="BJ60" s="67" t="e">
        <f t="shared" si="65"/>
        <v>#VALUE!</v>
      </c>
      <c r="BK60" s="2" t="s">
        <v>12</v>
      </c>
      <c r="BM60" s="77" t="e">
        <f t="shared" si="53"/>
        <v>#VALUE!</v>
      </c>
      <c r="BN60" s="77" t="e">
        <f t="shared" si="54"/>
        <v>#VALUE!</v>
      </c>
      <c r="BO60" s="2" t="e">
        <f t="shared" si="23"/>
        <v>#VALUE!</v>
      </c>
      <c r="BP60" s="2" t="e">
        <f t="shared" si="24"/>
        <v>#VALUE!</v>
      </c>
      <c r="BQ60" s="67" t="e">
        <f t="shared" si="55"/>
        <v>#VALUE!</v>
      </c>
      <c r="BR60" s="5">
        <v>-3.9311140332629622</v>
      </c>
      <c r="BS60" s="75" t="e">
        <f t="shared" si="56"/>
        <v>#VALUE!</v>
      </c>
      <c r="BT60" s="75" t="e">
        <f t="shared" si="57"/>
        <v>#VALUE!</v>
      </c>
      <c r="BU60" s="5" t="str">
        <f>IF(G67&gt;=36, IF(AND(NOT(ISBLANK(CM:CM)), NOT(ISBLANK(BD:BD))), (CM:CM-BD:BD)/2, ""), "UF")</f>
        <v/>
      </c>
      <c r="BV60" s="5">
        <f t="shared" si="26"/>
        <v>-3.9311140332629622</v>
      </c>
      <c r="BW60" s="69">
        <f t="shared" si="66"/>
        <v>1</v>
      </c>
      <c r="BX60" s="2">
        <v>93</v>
      </c>
      <c r="BY60" s="5">
        <v>-0.30742056753301811</v>
      </c>
      <c r="BZ60" s="74" t="e">
        <f t="shared" si="58"/>
        <v>#VALUE!</v>
      </c>
      <c r="CA60" s="74" t="e">
        <f t="shared" si="59"/>
        <v>#VALUE!</v>
      </c>
      <c r="CB60" s="5" t="str">
        <f t="shared" si="28"/>
        <v/>
      </c>
      <c r="CC60" s="5">
        <f t="shared" si="29"/>
        <v>-0.30742056753301811</v>
      </c>
      <c r="CD60" s="2" t="e">
        <f t="shared" si="30"/>
        <v>#VALUE!</v>
      </c>
      <c r="CE60" s="69">
        <f t="shared" si="31"/>
        <v>7</v>
      </c>
      <c r="CF60" s="5">
        <v>10700</v>
      </c>
      <c r="CG60" s="5">
        <v>-2.5435337851953479</v>
      </c>
      <c r="CH60" s="72" t="e">
        <f t="shared" si="60"/>
        <v>#VALUE!</v>
      </c>
      <c r="CI60" s="72" t="e">
        <f t="shared" si="61"/>
        <v>#VALUE!</v>
      </c>
      <c r="CJ60" s="5" t="str">
        <f t="shared" si="32"/>
        <v/>
      </c>
      <c r="CK60" s="5">
        <f t="shared" si="33"/>
        <v>-2.5435337851953479</v>
      </c>
      <c r="CL60" s="69">
        <f t="shared" si="67"/>
        <v>4</v>
      </c>
      <c r="CN60" s="70" t="str">
        <f t="shared" si="35"/>
        <v/>
      </c>
      <c r="CO60" s="5" t="str">
        <f t="shared" si="36"/>
        <v>UF</v>
      </c>
      <c r="CP60" s="5" t="str">
        <f>IF(G60&lt;48,"UF", IF(NOT(ISBLANK(CM:CM)), CM:CM, IF(BW:BW=1, BV:BV+Sheet2!B43, IF(Sheet1!BW:BW=2, Sheet1!BV:BV+Sheet2!B44, IF(Sheet1!BW:BW=7, Sheet1!BV:BV+Sheet2!B45,"")))))</f>
        <v>UF</v>
      </c>
      <c r="CQ60" s="69" t="str">
        <f t="shared" si="62"/>
        <v/>
      </c>
      <c r="CR60" s="5" t="s">
        <v>12</v>
      </c>
      <c r="CT60" s="5" t="str">
        <f t="shared" si="37"/>
        <v/>
      </c>
      <c r="CU60" s="80" t="str">
        <f t="shared" si="38"/>
        <v>UF</v>
      </c>
      <c r="CV60" s="80" t="str">
        <f t="shared" si="39"/>
        <v>UF</v>
      </c>
      <c r="CW60" s="20" t="str">
        <f>IF(G60&lt;48,"UF", IF(NOT(ISBLANK(CS60)), CS60, IF(CE60=5, CC60+Sheet2!B32, IF(CE60=6, CC60+Sheet2!B33, IF(CE60=7, CC60+Sheet2!B34,"")))))</f>
        <v>UF</v>
      </c>
      <c r="CX60" s="68" t="str">
        <f t="shared" si="63"/>
        <v/>
      </c>
      <c r="CY60" s="5" t="s">
        <v>12</v>
      </c>
      <c r="DA60" s="5" t="str">
        <f t="shared" si="40"/>
        <v>UF</v>
      </c>
      <c r="DB60" s="73" t="str">
        <f t="shared" si="41"/>
        <v>UF</v>
      </c>
      <c r="DC60" s="73" t="str">
        <f t="shared" si="42"/>
        <v>UF</v>
      </c>
      <c r="DD60" s="5" t="str">
        <f>IF(G60&lt;48,"UF", IF(NOT(ISBLANK(CZ:CZ)), CZ:CZ, IF(CL:CL=3, CK:CK+Sheet2!B37, IF(CL:CL=4, CK:CK+Sheet2!B38, IF(CL:CL=7, CK:CK+Sheet2!B39,"")))))</f>
        <v>UF</v>
      </c>
      <c r="DE60" s="69" t="str">
        <f t="shared" si="43"/>
        <v/>
      </c>
      <c r="DF60" s="2">
        <v>2</v>
      </c>
      <c r="DG60" s="2">
        <v>32</v>
      </c>
      <c r="DH60" s="2">
        <v>1</v>
      </c>
      <c r="DI60" s="2">
        <v>2</v>
      </c>
      <c r="DJ60" s="2">
        <v>2</v>
      </c>
      <c r="DK60" s="2">
        <v>100</v>
      </c>
      <c r="DL60" s="2">
        <v>60</v>
      </c>
      <c r="DM60" s="2" t="s">
        <v>12</v>
      </c>
      <c r="DN60" s="2" t="s">
        <v>12</v>
      </c>
      <c r="DO60" s="2" t="s">
        <v>12</v>
      </c>
      <c r="DP60" s="2" t="s">
        <v>12</v>
      </c>
      <c r="DQ60" s="2">
        <v>2</v>
      </c>
      <c r="DR60" s="2">
        <v>37</v>
      </c>
      <c r="DS60" s="2">
        <v>2</v>
      </c>
      <c r="DT60" s="2">
        <v>88</v>
      </c>
      <c r="DU60" s="2">
        <v>83</v>
      </c>
      <c r="DV60" s="2">
        <v>2</v>
      </c>
      <c r="DW60" s="2">
        <v>2</v>
      </c>
      <c r="DX60" s="2">
        <v>3</v>
      </c>
      <c r="DY60" s="2">
        <v>3</v>
      </c>
      <c r="DZ60" s="2">
        <v>34</v>
      </c>
      <c r="EA60" s="2">
        <v>34</v>
      </c>
      <c r="EB60" s="2" t="s">
        <v>12</v>
      </c>
      <c r="EC60" s="2">
        <v>1</v>
      </c>
      <c r="ED60" s="2">
        <v>3</v>
      </c>
    </row>
    <row r="61" spans="1:134" x14ac:dyDescent="0.25">
      <c r="C61" s="8" t="s">
        <v>213</v>
      </c>
      <c r="D61" s="4">
        <v>2289251811</v>
      </c>
      <c r="E61" s="5">
        <v>7</v>
      </c>
      <c r="F61" s="2">
        <v>1</v>
      </c>
      <c r="G61" s="2">
        <v>30</v>
      </c>
      <c r="H61" s="2">
        <v>-1.5730730422209309</v>
      </c>
      <c r="I61" s="2">
        <v>51</v>
      </c>
      <c r="J61" s="2">
        <v>0.99441714029262385</v>
      </c>
      <c r="K61" s="1">
        <v>3000</v>
      </c>
      <c r="L61" s="2">
        <v>-0.51868017376649433</v>
      </c>
      <c r="N61" s="2">
        <f t="shared" si="0"/>
        <v>0.6641865211104655</v>
      </c>
      <c r="O61" s="2">
        <f t="shared" si="1"/>
        <v>-0.90888652111046542</v>
      </c>
      <c r="P61" s="2" t="s">
        <v>12</v>
      </c>
      <c r="R61" s="5">
        <f t="shared" si="2"/>
        <v>-0.88720857014631194</v>
      </c>
      <c r="S61" s="5">
        <f t="shared" si="3"/>
        <v>0.10720857014631191</v>
      </c>
      <c r="T61" s="2" t="s">
        <v>12</v>
      </c>
      <c r="V61" s="2">
        <f t="shared" si="4"/>
        <v>-5.065991311675283E-2</v>
      </c>
      <c r="W61" s="2">
        <f t="shared" si="5"/>
        <v>-0.56934008688324722</v>
      </c>
      <c r="X61" s="2">
        <v>-0.2447</v>
      </c>
      <c r="Y61" s="76">
        <f t="shared" si="44"/>
        <v>1.328373042220931</v>
      </c>
      <c r="Z61" s="76">
        <f t="shared" si="45"/>
        <v>2</v>
      </c>
      <c r="AA61" s="2">
        <f t="shared" si="6"/>
        <v>-0.24345428507315595</v>
      </c>
      <c r="AB61" s="2">
        <f t="shared" si="7"/>
        <v>-0.2447</v>
      </c>
      <c r="AC61" s="2">
        <v>72</v>
      </c>
      <c r="AD61" s="2">
        <v>-0.78</v>
      </c>
      <c r="AE61" s="79">
        <f t="shared" si="46"/>
        <v>-1.7744171402926239</v>
      </c>
      <c r="AF61" s="79">
        <f t="shared" si="47"/>
        <v>-2</v>
      </c>
      <c r="AG61" s="2">
        <f t="shared" si="64"/>
        <v>-0.34860428507315594</v>
      </c>
      <c r="AH61" s="2">
        <f t="shared" si="9"/>
        <v>-0.78</v>
      </c>
      <c r="AI61" s="2">
        <v>8300</v>
      </c>
      <c r="AJ61" s="2">
        <v>-0.62</v>
      </c>
      <c r="AK61" s="76">
        <f t="shared" si="48"/>
        <v>-0.10131982623350566</v>
      </c>
      <c r="AL61" s="76">
        <f t="shared" si="49"/>
        <v>-1</v>
      </c>
      <c r="AM61" s="2">
        <f t="shared" si="10"/>
        <v>-2.0329956558376383E-2</v>
      </c>
      <c r="AN61" s="2">
        <f t="shared" si="11"/>
        <v>-0.62</v>
      </c>
      <c r="AO61" s="2">
        <v>-0.37969999999999998</v>
      </c>
      <c r="AP61" s="2">
        <f t="shared" si="12"/>
        <v>-0.56775220855061959</v>
      </c>
      <c r="AQ61" s="2">
        <f t="shared" si="13"/>
        <v>-0.37969999999999998</v>
      </c>
      <c r="AR61" s="2">
        <v>79</v>
      </c>
      <c r="AS61" s="2">
        <v>-0.59</v>
      </c>
      <c r="AT61" s="2">
        <f t="shared" si="14"/>
        <v>0.19490754229357421</v>
      </c>
      <c r="AU61" s="2">
        <f t="shared" si="15"/>
        <v>-0.59</v>
      </c>
      <c r="AV61" s="2">
        <v>9500</v>
      </c>
      <c r="AW61" s="2">
        <v>-0.61</v>
      </c>
      <c r="AX61" s="2" t="str">
        <f t="shared" si="16"/>
        <v/>
      </c>
      <c r="AY61" s="2">
        <f t="shared" si="17"/>
        <v>-0.61</v>
      </c>
      <c r="AZ61" s="2">
        <v>-1.3802044171012391</v>
      </c>
      <c r="BA61" s="78">
        <f t="shared" si="50"/>
        <v>-1.1355044171012392</v>
      </c>
      <c r="BB61" s="78">
        <f t="shared" si="51"/>
        <v>-2</v>
      </c>
      <c r="BC61" s="2" t="str">
        <f t="shared" si="18"/>
        <v/>
      </c>
      <c r="BD61" s="2">
        <f t="shared" si="19"/>
        <v>-1.3802044171012391</v>
      </c>
      <c r="BE61" s="67">
        <f t="shared" si="52"/>
        <v>7</v>
      </c>
      <c r="BF61" s="2">
        <v>84.5</v>
      </c>
      <c r="BG61" s="2">
        <v>-0.39018491541285161</v>
      </c>
      <c r="BH61" s="2" t="str">
        <f t="shared" si="20"/>
        <v/>
      </c>
      <c r="BI61" s="2">
        <f t="shared" si="21"/>
        <v>-0.39018491541285161</v>
      </c>
      <c r="BJ61" s="67">
        <f t="shared" si="65"/>
        <v>7</v>
      </c>
      <c r="BK61" s="2" t="s">
        <v>12</v>
      </c>
      <c r="BM61" s="77" t="e">
        <f t="shared" si="53"/>
        <v>#VALUE!</v>
      </c>
      <c r="BN61" s="77" t="e">
        <f t="shared" si="54"/>
        <v>#VALUE!</v>
      </c>
      <c r="BO61" s="2" t="str">
        <f t="shared" si="23"/>
        <v/>
      </c>
      <c r="BP61" s="2" t="e">
        <f t="shared" si="24"/>
        <v>#VALUE!</v>
      </c>
      <c r="BQ61" s="67" t="e">
        <f t="shared" si="55"/>
        <v>#VALUE!</v>
      </c>
      <c r="BS61" s="75" t="str">
        <f t="shared" si="56"/>
        <v>UF</v>
      </c>
      <c r="BT61" s="75" t="str">
        <f t="shared" si="57"/>
        <v>UF</v>
      </c>
      <c r="BU61" s="5" t="e">
        <f>IF(#REF!&gt;=36, IF(AND(NOT(ISBLANK(CM:CM)), NOT(ISBLANK(BD:BD))), (CM:CM-BD:BD)/2, ""), "UF")</f>
        <v>#REF!</v>
      </c>
      <c r="BV61" s="5" t="str">
        <f t="shared" si="26"/>
        <v>UF</v>
      </c>
      <c r="BW61" s="69" t="str">
        <f t="shared" si="66"/>
        <v/>
      </c>
      <c r="BX61" s="2" t="s">
        <v>12</v>
      </c>
      <c r="BZ61" s="74" t="str">
        <f t="shared" si="58"/>
        <v>UF</v>
      </c>
      <c r="CA61" s="74" t="str">
        <f t="shared" si="59"/>
        <v>UF</v>
      </c>
      <c r="CB61" s="5" t="str">
        <f t="shared" si="28"/>
        <v>UF</v>
      </c>
      <c r="CC61" s="5" t="str">
        <f t="shared" si="29"/>
        <v>UF</v>
      </c>
      <c r="CD61" s="2" t="e">
        <f t="shared" si="30"/>
        <v>#VALUE!</v>
      </c>
      <c r="CE61" s="69" t="str">
        <f t="shared" si="31"/>
        <v/>
      </c>
      <c r="CF61" s="5" t="s">
        <v>12</v>
      </c>
      <c r="CH61" s="72" t="str">
        <f t="shared" si="60"/>
        <v>UF</v>
      </c>
      <c r="CI61" s="72" t="str">
        <f t="shared" si="61"/>
        <v>UF</v>
      </c>
      <c r="CJ61" s="5" t="str">
        <f t="shared" si="32"/>
        <v>UF</v>
      </c>
      <c r="CK61" s="5" t="str">
        <f t="shared" si="33"/>
        <v>UF</v>
      </c>
      <c r="CL61" s="69" t="str">
        <f t="shared" si="67"/>
        <v/>
      </c>
      <c r="CN61" s="70" t="str">
        <f t="shared" si="35"/>
        <v/>
      </c>
      <c r="CO61" s="5" t="str">
        <f t="shared" si="36"/>
        <v>UF</v>
      </c>
      <c r="CP61" s="5" t="str">
        <f>IF(G61&lt;48,"UF", IF(NOT(ISBLANK(CM:CM)), CM:CM, IF(BW:BW=1, BV:BV+Sheet2!B394, IF(Sheet1!BW:BW=2, Sheet1!BV:BV+Sheet2!B395, IF(Sheet1!BW:BW=7, Sheet1!BV:BV+Sheet2!B396,"")))))</f>
        <v>UF</v>
      </c>
      <c r="CQ61" s="69" t="str">
        <f t="shared" si="62"/>
        <v/>
      </c>
      <c r="CR61" s="5" t="s">
        <v>12</v>
      </c>
      <c r="CT61" s="5" t="str">
        <f t="shared" si="37"/>
        <v/>
      </c>
      <c r="CU61" s="80" t="str">
        <f t="shared" si="38"/>
        <v>UF</v>
      </c>
      <c r="CV61" s="80" t="str">
        <f t="shared" si="39"/>
        <v>UF</v>
      </c>
      <c r="CW61" s="20" t="str">
        <f>IF(G61&lt;48,"UF", IF(NOT(ISBLANK(CS61)), CS61, IF(CE61=5, CC61+Sheet2!B383, IF(CE61=6, CC61+Sheet2!B384, IF(CE61=7, CC61+Sheet2!B385,"")))))</f>
        <v>UF</v>
      </c>
      <c r="CX61" s="68" t="str">
        <f t="shared" si="63"/>
        <v/>
      </c>
      <c r="CY61" s="5" t="s">
        <v>12</v>
      </c>
      <c r="DA61" s="5" t="str">
        <f t="shared" si="40"/>
        <v>UF</v>
      </c>
      <c r="DB61" s="73" t="str">
        <f t="shared" si="41"/>
        <v>UF</v>
      </c>
      <c r="DC61" s="73" t="str">
        <f t="shared" si="42"/>
        <v>UF</v>
      </c>
      <c r="DD61" s="5" t="str">
        <f>IF(G61&lt;48,"UF", IF(NOT(ISBLANK(CZ:CZ)), CZ:CZ, IF(CL:CL=3, CK:CK+Sheet2!B388, IF(CL:CL=4, CK:CK+Sheet2!B389, IF(CL:CL=7, CK:CK+Sheet2!B390,"")))))</f>
        <v>UF</v>
      </c>
      <c r="DE61" s="69" t="str">
        <f t="shared" si="43"/>
        <v/>
      </c>
      <c r="DF61" s="2">
        <v>2</v>
      </c>
      <c r="DG61" s="2">
        <v>37</v>
      </c>
      <c r="DH61" s="2">
        <v>1</v>
      </c>
      <c r="DI61" s="2">
        <v>2</v>
      </c>
      <c r="DJ61" s="2">
        <v>2</v>
      </c>
      <c r="DK61" s="2">
        <v>102</v>
      </c>
      <c r="DL61" s="2">
        <v>56</v>
      </c>
      <c r="DM61" s="2" t="s">
        <v>12</v>
      </c>
      <c r="DN61" s="2" t="s">
        <v>12</v>
      </c>
      <c r="DO61" s="2" t="s">
        <v>12</v>
      </c>
      <c r="DP61" s="2" t="s">
        <v>12</v>
      </c>
      <c r="DQ61" s="2">
        <v>2</v>
      </c>
      <c r="DR61" s="2">
        <v>39</v>
      </c>
      <c r="DS61" s="2">
        <v>2</v>
      </c>
      <c r="DT61" s="2">
        <v>72</v>
      </c>
      <c r="DU61" s="2">
        <v>77</v>
      </c>
      <c r="DV61" s="2">
        <v>2</v>
      </c>
      <c r="DW61" s="2">
        <v>2</v>
      </c>
      <c r="DX61" s="2">
        <v>2</v>
      </c>
      <c r="DY61" s="2">
        <v>3</v>
      </c>
      <c r="DZ61" s="2">
        <v>36</v>
      </c>
      <c r="EA61" s="2" t="s">
        <v>12</v>
      </c>
      <c r="EB61" s="2">
        <v>46.2</v>
      </c>
      <c r="EC61" s="2" t="s">
        <v>12</v>
      </c>
      <c r="ED61" s="2">
        <v>1</v>
      </c>
    </row>
    <row r="62" spans="1:134" x14ac:dyDescent="0.25">
      <c r="C62" s="8" t="s">
        <v>193</v>
      </c>
      <c r="D62" s="4">
        <v>2289366420</v>
      </c>
      <c r="E62" s="5">
        <v>7</v>
      </c>
      <c r="F62" s="2">
        <v>2</v>
      </c>
      <c r="G62" s="2">
        <v>25</v>
      </c>
      <c r="H62" s="2">
        <v>-4.2447748622350687</v>
      </c>
      <c r="I62" s="2">
        <v>38</v>
      </c>
      <c r="J62" s="2">
        <v>-6.2776221247800592</v>
      </c>
      <c r="K62" s="1">
        <v>1300</v>
      </c>
      <c r="L62" s="2">
        <v>-5.0588347192806813</v>
      </c>
      <c r="M62" s="2">
        <v>-0.98240000000000005</v>
      </c>
      <c r="N62" s="2">
        <f t="shared" si="0"/>
        <v>1.7232874311175344</v>
      </c>
      <c r="O62" s="2">
        <f t="shared" si="1"/>
        <v>-0.98240000000000005</v>
      </c>
      <c r="P62" s="2">
        <v>57</v>
      </c>
      <c r="Q62" s="2">
        <v>-4.97</v>
      </c>
      <c r="R62" s="5">
        <f t="shared" si="2"/>
        <v>1.2988110623900295</v>
      </c>
      <c r="S62" s="5">
        <f t="shared" si="3"/>
        <v>-4.97</v>
      </c>
      <c r="T62" s="1">
        <v>5200</v>
      </c>
      <c r="U62" s="2">
        <v>-3.7</v>
      </c>
      <c r="V62" s="2">
        <f t="shared" si="4"/>
        <v>1.1294173596403407</v>
      </c>
      <c r="W62" s="2">
        <f t="shared" si="5"/>
        <v>-3.7</v>
      </c>
      <c r="X62" s="2">
        <v>-0.79820000000000002</v>
      </c>
      <c r="Y62" s="76">
        <f t="shared" si="44"/>
        <v>3.4465748622350687</v>
      </c>
      <c r="Z62" s="76">
        <f t="shared" si="45"/>
        <v>2</v>
      </c>
      <c r="AA62" s="2">
        <f t="shared" si="6"/>
        <v>1.7609499999999998</v>
      </c>
      <c r="AB62" s="2">
        <f t="shared" si="7"/>
        <v>-0.79820000000000002</v>
      </c>
      <c r="AC62" s="2">
        <v>67</v>
      </c>
      <c r="AD62" s="2">
        <v>-3.68</v>
      </c>
      <c r="AE62" s="79">
        <f t="shared" si="46"/>
        <v>2.597622124780059</v>
      </c>
      <c r="AF62" s="79">
        <f t="shared" si="47"/>
        <v>2</v>
      </c>
      <c r="AG62" s="2">
        <f t="shared" si="64"/>
        <v>0.7699999999999998</v>
      </c>
      <c r="AH62" s="2">
        <f t="shared" si="9"/>
        <v>-3.68</v>
      </c>
      <c r="AI62" s="2">
        <v>7080</v>
      </c>
      <c r="AJ62" s="2">
        <v>-2.8</v>
      </c>
      <c r="AK62" s="76">
        <f t="shared" si="48"/>
        <v>2.2588347192806815</v>
      </c>
      <c r="AL62" s="76">
        <f t="shared" si="49"/>
        <v>2</v>
      </c>
      <c r="AM62" s="2">
        <f t="shared" si="10"/>
        <v>0.28000000000000003</v>
      </c>
      <c r="AN62" s="2">
        <f t="shared" si="11"/>
        <v>-2.8</v>
      </c>
      <c r="AO62" s="2">
        <v>-1.4480999999999999</v>
      </c>
      <c r="AP62" s="2" t="str">
        <f t="shared" si="12"/>
        <v/>
      </c>
      <c r="AQ62" s="2">
        <f t="shared" si="13"/>
        <v>-1.4480999999999999</v>
      </c>
      <c r="AR62" s="2">
        <v>73</v>
      </c>
      <c r="AS62" s="2">
        <v>-3.43</v>
      </c>
      <c r="AT62" s="2" t="str">
        <f t="shared" si="14"/>
        <v/>
      </c>
      <c r="AU62" s="2">
        <f t="shared" si="15"/>
        <v>-3.43</v>
      </c>
      <c r="AV62" s="2">
        <v>7700</v>
      </c>
      <c r="AW62" s="2">
        <v>-3.14</v>
      </c>
      <c r="AX62" s="2" t="str">
        <f t="shared" si="16"/>
        <v/>
      </c>
      <c r="AY62" s="2">
        <f t="shared" si="17"/>
        <v>-3.14</v>
      </c>
      <c r="BA62" s="78" t="e">
        <f t="shared" si="50"/>
        <v>#VALUE!</v>
      </c>
      <c r="BB62" s="78" t="e">
        <f t="shared" si="51"/>
        <v>#VALUE!</v>
      </c>
      <c r="BC62" s="2" t="str">
        <f t="shared" si="18"/>
        <v/>
      </c>
      <c r="BD62" s="2" t="e">
        <f t="shared" si="19"/>
        <v>#VALUE!</v>
      </c>
      <c r="BE62" s="67" t="e">
        <f t="shared" si="52"/>
        <v>#VALUE!</v>
      </c>
      <c r="BF62" s="2" t="s">
        <v>12</v>
      </c>
      <c r="BH62" s="2" t="str">
        <f t="shared" si="20"/>
        <v/>
      </c>
      <c r="BI62" s="2" t="e">
        <f t="shared" si="21"/>
        <v>#VALUE!</v>
      </c>
      <c r="BJ62" s="67" t="e">
        <f t="shared" si="65"/>
        <v>#VALUE!</v>
      </c>
      <c r="BK62" s="2" t="s">
        <v>12</v>
      </c>
      <c r="BM62" s="77" t="e">
        <f t="shared" si="53"/>
        <v>#VALUE!</v>
      </c>
      <c r="BN62" s="77" t="e">
        <f t="shared" si="54"/>
        <v>#VALUE!</v>
      </c>
      <c r="BO62" s="2" t="str">
        <f t="shared" si="23"/>
        <v/>
      </c>
      <c r="BP62" s="2" t="e">
        <f t="shared" si="24"/>
        <v>#VALUE!</v>
      </c>
      <c r="BQ62" s="67" t="e">
        <f t="shared" si="55"/>
        <v>#VALUE!</v>
      </c>
      <c r="BS62" s="75" t="str">
        <f t="shared" si="56"/>
        <v>UF</v>
      </c>
      <c r="BT62" s="75" t="str">
        <f t="shared" si="57"/>
        <v>UF</v>
      </c>
      <c r="BU62" s="5" t="str">
        <f>IF(G68&gt;=36, IF(AND(NOT(ISBLANK(CM:CM)), NOT(ISBLANK(BD:BD))), (CM:CM-BD:BD)/2, ""), "UF")</f>
        <v/>
      </c>
      <c r="BV62" s="5" t="str">
        <f t="shared" si="26"/>
        <v>UF</v>
      </c>
      <c r="BW62" s="69" t="str">
        <f t="shared" si="66"/>
        <v/>
      </c>
      <c r="BX62" s="2" t="s">
        <v>12</v>
      </c>
      <c r="BZ62" s="74" t="str">
        <f t="shared" si="58"/>
        <v>UF</v>
      </c>
      <c r="CA62" s="74" t="str">
        <f t="shared" si="59"/>
        <v>UF</v>
      </c>
      <c r="CB62" s="5" t="str">
        <f t="shared" si="28"/>
        <v>UF</v>
      </c>
      <c r="CC62" s="5" t="str">
        <f t="shared" si="29"/>
        <v>UF</v>
      </c>
      <c r="CD62" s="2" t="e">
        <f t="shared" si="30"/>
        <v>#VALUE!</v>
      </c>
      <c r="CE62" s="69" t="str">
        <f t="shared" si="31"/>
        <v/>
      </c>
      <c r="CF62" s="5" t="s">
        <v>12</v>
      </c>
      <c r="CH62" s="72" t="str">
        <f t="shared" si="60"/>
        <v>UF</v>
      </c>
      <c r="CI62" s="72" t="str">
        <f t="shared" si="61"/>
        <v>UF</v>
      </c>
      <c r="CJ62" s="5" t="str">
        <f t="shared" si="32"/>
        <v>UF</v>
      </c>
      <c r="CK62" s="5" t="str">
        <f t="shared" si="33"/>
        <v>UF</v>
      </c>
      <c r="CL62" s="69" t="str">
        <f t="shared" si="67"/>
        <v/>
      </c>
      <c r="CN62" s="70" t="str">
        <f t="shared" si="35"/>
        <v/>
      </c>
      <c r="CO62" s="5" t="str">
        <f t="shared" si="36"/>
        <v>UF</v>
      </c>
      <c r="CP62" s="5" t="str">
        <f>IF(G62&lt;48,"UF", IF(NOT(ISBLANK(CM:CM)), CM:CM, IF(BW:BW=1, BV:BV+Sheet2!B366, IF(Sheet1!BW:BW=2, Sheet1!BV:BV+Sheet2!B367, IF(Sheet1!BW:BW=7, Sheet1!BV:BV+Sheet2!B368,"")))))</f>
        <v>UF</v>
      </c>
      <c r="CQ62" s="69" t="str">
        <f t="shared" si="62"/>
        <v/>
      </c>
      <c r="CR62" s="5" t="s">
        <v>12</v>
      </c>
      <c r="CT62" s="5" t="str">
        <f t="shared" si="37"/>
        <v/>
      </c>
      <c r="CU62" s="80" t="str">
        <f t="shared" si="38"/>
        <v>UF</v>
      </c>
      <c r="CV62" s="80" t="str">
        <f t="shared" si="39"/>
        <v>UF</v>
      </c>
      <c r="CW62" s="20" t="str">
        <f>IF(G62&lt;48,"UF", IF(NOT(ISBLANK(CS62)), CS62, IF(CE62=5, CC62+Sheet2!B355, IF(CE62=6, CC62+Sheet2!B356, IF(CE62=7, CC62+Sheet2!B357,"")))))</f>
        <v>UF</v>
      </c>
      <c r="CX62" s="68" t="str">
        <f t="shared" si="63"/>
        <v/>
      </c>
      <c r="CY62" s="5" t="s">
        <v>12</v>
      </c>
      <c r="DA62" s="5" t="str">
        <f t="shared" si="40"/>
        <v>UF</v>
      </c>
      <c r="DB62" s="73" t="str">
        <f t="shared" si="41"/>
        <v>UF</v>
      </c>
      <c r="DC62" s="73" t="str">
        <f t="shared" si="42"/>
        <v>UF</v>
      </c>
      <c r="DD62" s="5" t="str">
        <f>IF(G62&lt;48,"UF", IF(NOT(ISBLANK(CZ:CZ)), CZ:CZ, IF(CL:CL=3, CK:CK+Sheet2!B360, IF(CL:CL=4, CK:CK+Sheet2!B361, IF(CL:CL=7, CK:CK+Sheet2!B362,"")))))</f>
        <v>UF</v>
      </c>
      <c r="DE62" s="69" t="str">
        <f t="shared" si="43"/>
        <v/>
      </c>
      <c r="DF62" s="2">
        <v>1</v>
      </c>
      <c r="DG62" s="2">
        <v>30</v>
      </c>
      <c r="DH62" s="2">
        <v>1</v>
      </c>
      <c r="DI62" s="2">
        <v>2</v>
      </c>
      <c r="DJ62" s="2">
        <v>2</v>
      </c>
      <c r="DK62" s="2">
        <v>100</v>
      </c>
      <c r="DL62" s="2">
        <v>60</v>
      </c>
      <c r="DM62" s="2" t="s">
        <v>12</v>
      </c>
      <c r="DN62" s="2" t="s">
        <v>12</v>
      </c>
      <c r="DO62" s="2" t="s">
        <v>12</v>
      </c>
      <c r="DP62" s="2" t="s">
        <v>12</v>
      </c>
      <c r="DQ62" s="2">
        <v>1</v>
      </c>
      <c r="DR62" s="2">
        <v>34</v>
      </c>
      <c r="DS62" s="2">
        <v>1</v>
      </c>
      <c r="DT62" s="2">
        <v>92</v>
      </c>
      <c r="DU62" s="2">
        <v>92</v>
      </c>
      <c r="DV62" s="2">
        <v>2</v>
      </c>
      <c r="DW62" s="2">
        <v>2</v>
      </c>
      <c r="DX62" s="2">
        <v>4</v>
      </c>
      <c r="DY62" s="2">
        <v>3</v>
      </c>
      <c r="DZ62" s="2">
        <v>25.5</v>
      </c>
      <c r="EA62" s="2" t="s">
        <v>12</v>
      </c>
      <c r="EB62" s="2">
        <v>43.5</v>
      </c>
      <c r="EC62" s="2" t="s">
        <v>12</v>
      </c>
      <c r="ED62" s="2">
        <v>1</v>
      </c>
    </row>
    <row r="63" spans="1:134" x14ac:dyDescent="0.25">
      <c r="C63" s="8" t="s">
        <v>265</v>
      </c>
      <c r="D63" s="8">
        <v>2289405728</v>
      </c>
      <c r="E63" s="5">
        <v>7</v>
      </c>
      <c r="F63" s="2">
        <v>1</v>
      </c>
      <c r="G63" s="2">
        <v>24</v>
      </c>
      <c r="H63" s="2">
        <v>-1.999923482481768</v>
      </c>
      <c r="I63" s="2">
        <v>47</v>
      </c>
      <c r="J63" s="2">
        <v>-1.153005671500261</v>
      </c>
      <c r="K63" s="2">
        <v>2450</v>
      </c>
      <c r="L63" s="2">
        <v>-1.8555859596417541</v>
      </c>
      <c r="M63" s="2">
        <v>-0.58650000000000002</v>
      </c>
      <c r="N63" s="2">
        <f t="shared" si="0"/>
        <v>1.177611741240884</v>
      </c>
      <c r="O63" s="2">
        <f t="shared" si="1"/>
        <v>-0.58650000000000002</v>
      </c>
      <c r="P63" s="2">
        <v>67</v>
      </c>
      <c r="Q63" s="2">
        <v>0.55000000000000004</v>
      </c>
      <c r="R63" s="5">
        <f t="shared" si="2"/>
        <v>0.96150283575013051</v>
      </c>
      <c r="S63" s="5">
        <f t="shared" si="3"/>
        <v>0.55000000000000004</v>
      </c>
      <c r="T63" s="2">
        <v>7200</v>
      </c>
      <c r="U63" s="2">
        <v>-0.11</v>
      </c>
      <c r="V63" s="2">
        <f t="shared" si="4"/>
        <v>1.2777929798208771</v>
      </c>
      <c r="W63" s="2">
        <f t="shared" si="5"/>
        <v>-0.11</v>
      </c>
      <c r="X63" s="2">
        <v>0.3553</v>
      </c>
      <c r="Y63" s="76">
        <f t="shared" si="44"/>
        <v>2.3552234824817679</v>
      </c>
      <c r="Z63" s="76">
        <f t="shared" si="45"/>
        <v>2</v>
      </c>
      <c r="AA63" s="2">
        <f t="shared" si="6"/>
        <v>-0.94774999999999998</v>
      </c>
      <c r="AB63" s="2">
        <f t="shared" si="7"/>
        <v>0.3553</v>
      </c>
      <c r="AC63" s="2">
        <v>76</v>
      </c>
      <c r="AD63" s="2">
        <v>0.77</v>
      </c>
      <c r="AE63" s="79">
        <f t="shared" si="46"/>
        <v>1.923005671500261</v>
      </c>
      <c r="AF63" s="79">
        <f t="shared" si="47"/>
        <v>2</v>
      </c>
      <c r="AG63" s="2">
        <f t="shared" si="64"/>
        <v>0.80999999999999994</v>
      </c>
      <c r="AH63" s="2">
        <f t="shared" si="9"/>
        <v>0.77</v>
      </c>
      <c r="AI63" s="2">
        <v>9750</v>
      </c>
      <c r="AJ63" s="2">
        <v>0.7</v>
      </c>
      <c r="AK63" s="76">
        <f t="shared" si="48"/>
        <v>2.5555859596417543</v>
      </c>
      <c r="AL63" s="76">
        <f t="shared" si="49"/>
        <v>2</v>
      </c>
      <c r="AM63" s="2">
        <f t="shared" si="10"/>
        <v>0.21</v>
      </c>
      <c r="AN63" s="2">
        <f t="shared" si="11"/>
        <v>0.7</v>
      </c>
      <c r="AO63" s="2">
        <v>-1.3454999999999999</v>
      </c>
      <c r="AP63" s="2">
        <f t="shared" si="12"/>
        <v>-1.2075998633672831</v>
      </c>
      <c r="AQ63" s="2">
        <f t="shared" si="13"/>
        <v>-1.3454999999999999</v>
      </c>
      <c r="AR63" s="2">
        <v>87</v>
      </c>
      <c r="AS63" s="2">
        <v>2.17</v>
      </c>
      <c r="AT63" s="2">
        <f t="shared" si="14"/>
        <v>0.10307857696493644</v>
      </c>
      <c r="AU63" s="2">
        <f t="shared" si="15"/>
        <v>2.17</v>
      </c>
      <c r="AV63" s="2">
        <v>10630</v>
      </c>
      <c r="AW63" s="2">
        <v>0.31</v>
      </c>
      <c r="AX63" s="2">
        <f t="shared" si="16"/>
        <v>-0.82278864706458921</v>
      </c>
      <c r="AY63" s="2">
        <f t="shared" si="17"/>
        <v>0.31</v>
      </c>
      <c r="AZ63" s="2">
        <v>-2.059899726734566</v>
      </c>
      <c r="BA63" s="78">
        <f t="shared" si="50"/>
        <v>-2.4151997267345662</v>
      </c>
      <c r="BB63" s="78">
        <f t="shared" si="51"/>
        <v>-2</v>
      </c>
      <c r="BC63" s="2" t="str">
        <f t="shared" si="18"/>
        <v/>
      </c>
      <c r="BD63" s="2">
        <f t="shared" si="19"/>
        <v>-2.059899726734566</v>
      </c>
      <c r="BE63" s="67">
        <f t="shared" si="52"/>
        <v>2</v>
      </c>
      <c r="BF63" s="2">
        <v>88.8</v>
      </c>
      <c r="BG63" s="2">
        <v>0.9761571539298729</v>
      </c>
      <c r="BH63" s="2" t="str">
        <f t="shared" si="20"/>
        <v/>
      </c>
      <c r="BI63" s="2">
        <f t="shared" si="21"/>
        <v>0.9761571539298729</v>
      </c>
      <c r="BJ63" s="67">
        <f t="shared" si="65"/>
        <v>7</v>
      </c>
      <c r="BK63" s="2">
        <v>11000</v>
      </c>
      <c r="BL63" s="2">
        <v>-0.94557729412917846</v>
      </c>
      <c r="BM63" s="77">
        <f t="shared" si="53"/>
        <v>-1.6455772941291784</v>
      </c>
      <c r="BN63" s="77">
        <f t="shared" si="54"/>
        <v>-2</v>
      </c>
      <c r="BO63" s="2" t="str">
        <f t="shared" si="23"/>
        <v/>
      </c>
      <c r="BP63" s="2">
        <f t="shared" si="24"/>
        <v>-0.94557729412917846</v>
      </c>
      <c r="BQ63" s="67">
        <f t="shared" si="55"/>
        <v>7</v>
      </c>
      <c r="BS63" s="75" t="str">
        <f t="shared" si="56"/>
        <v>UF</v>
      </c>
      <c r="BT63" s="75" t="str">
        <f t="shared" si="57"/>
        <v>UF</v>
      </c>
      <c r="BU63" s="5" t="str">
        <f>IF(G69&gt;=36, IF(AND(NOT(ISBLANK(CM:CM)), NOT(ISBLANK(BD:BD))), (CM:CM-BD:BD)/2, ""), "UF")</f>
        <v/>
      </c>
      <c r="BV63" s="5" t="str">
        <f t="shared" si="26"/>
        <v>UF</v>
      </c>
      <c r="BW63" s="69" t="str">
        <f t="shared" si="66"/>
        <v/>
      </c>
      <c r="BX63" s="2" t="s">
        <v>12</v>
      </c>
      <c r="BZ63" s="74" t="str">
        <f t="shared" si="58"/>
        <v>UF</v>
      </c>
      <c r="CA63" s="74" t="str">
        <f t="shared" si="59"/>
        <v>UF</v>
      </c>
      <c r="CB63" s="5" t="str">
        <f t="shared" si="28"/>
        <v>UF</v>
      </c>
      <c r="CC63" s="5" t="str">
        <f t="shared" si="29"/>
        <v>UF</v>
      </c>
      <c r="CD63" s="2" t="e">
        <f t="shared" si="30"/>
        <v>#VALUE!</v>
      </c>
      <c r="CE63" s="69" t="str">
        <f t="shared" si="31"/>
        <v/>
      </c>
      <c r="CF63" s="5" t="s">
        <v>12</v>
      </c>
      <c r="CH63" s="72" t="str">
        <f t="shared" si="60"/>
        <v>UF</v>
      </c>
      <c r="CI63" s="72" t="str">
        <f t="shared" si="61"/>
        <v>UF</v>
      </c>
      <c r="CJ63" s="5" t="str">
        <f t="shared" si="32"/>
        <v>UF</v>
      </c>
      <c r="CK63" s="5" t="str">
        <f t="shared" si="33"/>
        <v>UF</v>
      </c>
      <c r="CL63" s="69" t="str">
        <f t="shared" si="67"/>
        <v/>
      </c>
      <c r="CN63" s="70" t="str">
        <f t="shared" si="35"/>
        <v/>
      </c>
      <c r="CO63" s="5" t="str">
        <f t="shared" si="36"/>
        <v>UF</v>
      </c>
      <c r="CP63" s="5" t="str">
        <f>IF(G63&lt;48,"UF", IF(NOT(ISBLANK(CM:CM)), CM:CM, IF(BW:BW=1, BV:BV+Sheet2!B463, IF(Sheet1!BW:BW=2, Sheet1!BV:BV+Sheet2!B464, IF(Sheet1!BW:BW=7, Sheet1!BV:BV+Sheet2!B465,"")))))</f>
        <v>UF</v>
      </c>
      <c r="CQ63" s="69" t="str">
        <f t="shared" si="62"/>
        <v/>
      </c>
      <c r="CR63" s="5" t="s">
        <v>12</v>
      </c>
      <c r="CT63" s="5" t="str">
        <f t="shared" si="37"/>
        <v/>
      </c>
      <c r="CU63" s="80" t="str">
        <f t="shared" si="38"/>
        <v>UF</v>
      </c>
      <c r="CV63" s="80" t="str">
        <f t="shared" si="39"/>
        <v>UF</v>
      </c>
      <c r="CW63" s="20" t="str">
        <f>IF(G63&lt;48,"UF", IF(NOT(ISBLANK(CS63)), CS63, IF(CE63=5, CC63+Sheet2!B452, IF(CE63=6, CC63+Sheet2!B453, IF(CE63=7, CC63+Sheet2!B454,"")))))</f>
        <v>UF</v>
      </c>
      <c r="CX63" s="68" t="str">
        <f t="shared" si="63"/>
        <v/>
      </c>
      <c r="CY63" s="5" t="s">
        <v>12</v>
      </c>
      <c r="DA63" s="5" t="str">
        <f t="shared" si="40"/>
        <v>UF</v>
      </c>
      <c r="DB63" s="73" t="str">
        <f t="shared" si="41"/>
        <v>UF</v>
      </c>
      <c r="DC63" s="73" t="str">
        <f t="shared" si="42"/>
        <v>UF</v>
      </c>
      <c r="DD63" s="5" t="str">
        <f>IF(G63&lt;48,"UF", IF(NOT(ISBLANK(CZ:CZ)), CZ:CZ, IF(CL:CL=3, CK:CK+Sheet2!B457, IF(CL:CL=4, CK:CK+Sheet2!B458, IF(CL:CL=7, CK:CK+Sheet2!B459,"")))))</f>
        <v>UF</v>
      </c>
      <c r="DE63" s="69" t="str">
        <f t="shared" si="43"/>
        <v/>
      </c>
      <c r="DF63" s="2">
        <v>1</v>
      </c>
      <c r="DG63" s="2">
        <v>29</v>
      </c>
      <c r="DH63" s="2">
        <v>1</v>
      </c>
      <c r="DI63" s="2">
        <v>1</v>
      </c>
      <c r="DJ63" s="2">
        <v>3</v>
      </c>
      <c r="DK63" s="2" t="s">
        <v>12</v>
      </c>
      <c r="DL63" s="2" t="s">
        <v>12</v>
      </c>
      <c r="DM63" s="2" t="s">
        <v>12</v>
      </c>
      <c r="DN63" s="2" t="s">
        <v>12</v>
      </c>
      <c r="DO63" s="2" t="s">
        <v>12</v>
      </c>
      <c r="DP63" s="2" t="s">
        <v>12</v>
      </c>
      <c r="DQ63" s="2">
        <v>2</v>
      </c>
      <c r="DR63" s="2">
        <v>37</v>
      </c>
      <c r="DS63" s="2">
        <v>3</v>
      </c>
      <c r="DT63" s="2" t="s">
        <v>12</v>
      </c>
      <c r="DU63" s="2" t="s">
        <v>12</v>
      </c>
      <c r="DV63" s="2">
        <v>2</v>
      </c>
      <c r="DW63" s="2">
        <v>2</v>
      </c>
      <c r="DX63" s="2">
        <v>2</v>
      </c>
      <c r="DY63" s="2">
        <v>3</v>
      </c>
      <c r="DZ63" s="2">
        <v>33.5</v>
      </c>
      <c r="EA63" s="2" t="s">
        <v>12</v>
      </c>
      <c r="EB63" s="2">
        <v>47</v>
      </c>
      <c r="EC63" s="2" t="s">
        <v>12</v>
      </c>
      <c r="ED63" s="2">
        <v>1</v>
      </c>
    </row>
    <row r="64" spans="1:134" x14ac:dyDescent="0.25">
      <c r="A64" t="s">
        <v>16</v>
      </c>
      <c r="C64" s="5" t="s">
        <v>15</v>
      </c>
      <c r="D64" s="10">
        <v>2289430021</v>
      </c>
      <c r="E64" s="5" t="s">
        <v>529</v>
      </c>
      <c r="F64" s="2">
        <v>2</v>
      </c>
      <c r="G64" s="2">
        <v>23</v>
      </c>
      <c r="H64" s="2">
        <v>-7.7470979227850574</v>
      </c>
      <c r="I64" s="2">
        <v>38</v>
      </c>
      <c r="J64" s="2">
        <v>-6.2776221247800592</v>
      </c>
      <c r="K64" s="5">
        <v>820</v>
      </c>
      <c r="L64" s="2">
        <v>-6.3253100538711386</v>
      </c>
      <c r="M64" s="2">
        <v>-2.1086</v>
      </c>
      <c r="N64" s="2">
        <f t="shared" si="0"/>
        <v>2.8272489613925287</v>
      </c>
      <c r="O64" s="2">
        <f t="shared" si="1"/>
        <v>-2.1086</v>
      </c>
      <c r="P64" s="2">
        <v>57</v>
      </c>
      <c r="Q64" s="2">
        <v>-4.97</v>
      </c>
      <c r="R64" s="5">
        <f t="shared" si="2"/>
        <v>1.9288110623900296</v>
      </c>
      <c r="S64" s="5">
        <f t="shared" si="3"/>
        <v>-4.97</v>
      </c>
      <c r="T64" s="1">
        <v>4750</v>
      </c>
      <c r="U64" s="2">
        <v>-4.3600000000000003</v>
      </c>
      <c r="V64" s="2">
        <f t="shared" si="4"/>
        <v>1.7126550269355694</v>
      </c>
      <c r="W64" s="2">
        <f t="shared" si="5"/>
        <v>-4.3600000000000003</v>
      </c>
      <c r="X64" s="2">
        <v>-2.0926</v>
      </c>
      <c r="Y64" s="76">
        <f t="shared" si="44"/>
        <v>5.6544979227850574</v>
      </c>
      <c r="Z64" s="76">
        <f t="shared" si="45"/>
        <v>2</v>
      </c>
      <c r="AA64" s="2">
        <f t="shared" si="6"/>
        <v>1.7237</v>
      </c>
      <c r="AB64" s="2">
        <f t="shared" si="7"/>
        <v>-2.0926</v>
      </c>
      <c r="AC64" s="2">
        <v>70</v>
      </c>
      <c r="AD64" s="2">
        <v>-2.42</v>
      </c>
      <c r="AE64" s="79">
        <f t="shared" si="46"/>
        <v>3.8576221247800593</v>
      </c>
      <c r="AF64" s="79">
        <f t="shared" si="47"/>
        <v>2</v>
      </c>
      <c r="AG64" s="2">
        <f t="shared" si="64"/>
        <v>1.325</v>
      </c>
      <c r="AH64" s="2">
        <f t="shared" si="9"/>
        <v>-2.42</v>
      </c>
      <c r="AI64" s="2">
        <v>7000</v>
      </c>
      <c r="AJ64" s="2">
        <v>-2.9</v>
      </c>
      <c r="AK64" s="76">
        <f t="shared" si="48"/>
        <v>3.4253100538711387</v>
      </c>
      <c r="AL64" s="76">
        <f t="shared" si="49"/>
        <v>2</v>
      </c>
      <c r="AM64" s="2">
        <f t="shared" si="10"/>
        <v>0.94000000000000017</v>
      </c>
      <c r="AN64" s="2">
        <f t="shared" si="11"/>
        <v>-2.9</v>
      </c>
      <c r="AO64" s="2">
        <v>-1.5226</v>
      </c>
      <c r="AP64" s="2" t="str">
        <f t="shared" si="12"/>
        <v/>
      </c>
      <c r="AQ64" s="2">
        <f t="shared" si="13"/>
        <v>-1.5226</v>
      </c>
      <c r="AR64" s="2">
        <v>76</v>
      </c>
      <c r="AS64" s="2">
        <v>-2.3199999999999998</v>
      </c>
      <c r="AT64" s="2" t="str">
        <f t="shared" si="14"/>
        <v/>
      </c>
      <c r="AU64" s="2">
        <f t="shared" si="15"/>
        <v>-2.3199999999999998</v>
      </c>
      <c r="AV64" s="2">
        <v>8300</v>
      </c>
      <c r="AW64" s="2">
        <v>-2.48</v>
      </c>
      <c r="AX64" s="2" t="str">
        <f t="shared" si="16"/>
        <v/>
      </c>
      <c r="AY64" s="2">
        <f t="shared" si="17"/>
        <v>-2.48</v>
      </c>
      <c r="BA64" s="78" t="e">
        <f t="shared" si="50"/>
        <v>#VALUE!</v>
      </c>
      <c r="BB64" s="78" t="e">
        <f t="shared" si="51"/>
        <v>#VALUE!</v>
      </c>
      <c r="BC64" s="2" t="str">
        <f t="shared" si="18"/>
        <v/>
      </c>
      <c r="BD64" s="2" t="e">
        <f t="shared" si="19"/>
        <v>#VALUE!</v>
      </c>
      <c r="BE64" s="67" t="e">
        <f t="shared" si="52"/>
        <v>#VALUE!</v>
      </c>
      <c r="BF64" s="2" t="s">
        <v>12</v>
      </c>
      <c r="BH64" s="2" t="str">
        <f t="shared" si="20"/>
        <v/>
      </c>
      <c r="BI64" s="2" t="e">
        <f t="shared" si="21"/>
        <v>#VALUE!</v>
      </c>
      <c r="BJ64" s="67" t="e">
        <f t="shared" si="65"/>
        <v>#VALUE!</v>
      </c>
      <c r="BK64" s="2" t="s">
        <v>12</v>
      </c>
      <c r="BM64" s="77" t="e">
        <f t="shared" si="53"/>
        <v>#VALUE!</v>
      </c>
      <c r="BN64" s="77" t="e">
        <f t="shared" si="54"/>
        <v>#VALUE!</v>
      </c>
      <c r="BO64" s="2" t="str">
        <f t="shared" si="23"/>
        <v/>
      </c>
      <c r="BP64" s="2" t="e">
        <f t="shared" si="24"/>
        <v>#VALUE!</v>
      </c>
      <c r="BQ64" s="67" t="e">
        <f t="shared" si="55"/>
        <v>#VALUE!</v>
      </c>
      <c r="BS64" s="75" t="str">
        <f t="shared" si="56"/>
        <v>UF</v>
      </c>
      <c r="BT64" s="75" t="str">
        <f t="shared" si="57"/>
        <v>UF</v>
      </c>
      <c r="BU64" s="5" t="str">
        <f>IF(G70&gt;=36, IF(AND(NOT(ISBLANK(CM:CM)), NOT(ISBLANK(BD:BD))), (CM:CM-BD:BD)/2, ""), "UF")</f>
        <v/>
      </c>
      <c r="BV64" s="5" t="str">
        <f t="shared" si="26"/>
        <v>UF</v>
      </c>
      <c r="BW64" s="69" t="str">
        <f t="shared" si="66"/>
        <v/>
      </c>
      <c r="BX64" s="2" t="s">
        <v>12</v>
      </c>
      <c r="BZ64" s="74" t="str">
        <f t="shared" si="58"/>
        <v>UF</v>
      </c>
      <c r="CA64" s="74" t="str">
        <f t="shared" si="59"/>
        <v>UF</v>
      </c>
      <c r="CB64" s="5" t="str">
        <f t="shared" si="28"/>
        <v>UF</v>
      </c>
      <c r="CC64" s="5" t="str">
        <f t="shared" si="29"/>
        <v>UF</v>
      </c>
      <c r="CD64" s="2" t="e">
        <f t="shared" si="30"/>
        <v>#VALUE!</v>
      </c>
      <c r="CE64" s="69" t="str">
        <f t="shared" si="31"/>
        <v/>
      </c>
      <c r="CF64" s="5" t="s">
        <v>12</v>
      </c>
      <c r="CH64" s="72" t="str">
        <f t="shared" si="60"/>
        <v>UF</v>
      </c>
      <c r="CI64" s="72" t="str">
        <f t="shared" si="61"/>
        <v>UF</v>
      </c>
      <c r="CJ64" s="5" t="str">
        <f t="shared" si="32"/>
        <v>UF</v>
      </c>
      <c r="CK64" s="5" t="str">
        <f t="shared" si="33"/>
        <v>UF</v>
      </c>
      <c r="CL64" s="69" t="str">
        <f t="shared" si="67"/>
        <v/>
      </c>
      <c r="CN64" s="70" t="str">
        <f t="shared" si="35"/>
        <v/>
      </c>
      <c r="CO64" s="5" t="str">
        <f t="shared" si="36"/>
        <v>UF</v>
      </c>
      <c r="CP64" s="5" t="str">
        <f>IF(G64&lt;48,"UF", IF(NOT(ISBLANK(CM:CM)), CM:CM, IF(BW:BW=1, BV:BV+Sheet2!B31, IF(Sheet1!BW:BW=2, Sheet1!BV:BV+Sheet2!B32, IF(Sheet1!BW:BW=7, Sheet1!BV:BV+Sheet2!B33,"")))))</f>
        <v>UF</v>
      </c>
      <c r="CQ64" s="69" t="str">
        <f t="shared" si="62"/>
        <v/>
      </c>
      <c r="CR64" s="5" t="s">
        <v>12</v>
      </c>
      <c r="CT64" s="5" t="str">
        <f t="shared" si="37"/>
        <v/>
      </c>
      <c r="CU64" s="80" t="str">
        <f t="shared" si="38"/>
        <v>UF</v>
      </c>
      <c r="CV64" s="80" t="str">
        <f t="shared" si="39"/>
        <v>UF</v>
      </c>
      <c r="CW64" s="20" t="str">
        <f>IF(G64&lt;48,"UF", IF(NOT(ISBLANK(CS64)), CS64, IF(CE64=5, CC64+Sheet2!B20, IF(CE64=6, CC64+Sheet2!B21, IF(CE64=7, CC64+Sheet2!B22,"")))))</f>
        <v>UF</v>
      </c>
      <c r="CX64" s="68" t="str">
        <f t="shared" si="63"/>
        <v/>
      </c>
      <c r="CY64" s="5" t="s">
        <v>12</v>
      </c>
      <c r="DA64" s="5" t="str">
        <f t="shared" si="40"/>
        <v>UF</v>
      </c>
      <c r="DB64" s="73" t="str">
        <f t="shared" si="41"/>
        <v>UF</v>
      </c>
      <c r="DC64" s="73" t="str">
        <f t="shared" si="42"/>
        <v>UF</v>
      </c>
      <c r="DD64" s="5" t="str">
        <f>IF(G64&lt;48,"UF", IF(NOT(ISBLANK(CZ:CZ)), CZ:CZ, IF(CL:CL=3, CK:CK+Sheet2!B25, IF(CL:CL=4, CK:CK+Sheet2!B26, IF(CL:CL=7, CK:CK+Sheet2!B27,"")))))</f>
        <v>UF</v>
      </c>
      <c r="DE64" s="69" t="str">
        <f t="shared" si="43"/>
        <v/>
      </c>
      <c r="DF64" s="2">
        <v>1</v>
      </c>
      <c r="DG64" s="2">
        <v>29</v>
      </c>
      <c r="DH64" s="2">
        <v>1</v>
      </c>
      <c r="DI64" s="2">
        <v>2</v>
      </c>
      <c r="DJ64" s="2">
        <v>2</v>
      </c>
      <c r="DK64" s="2">
        <v>105</v>
      </c>
      <c r="DL64" s="2">
        <v>65</v>
      </c>
      <c r="DM64" s="2" t="s">
        <v>12</v>
      </c>
      <c r="DN64" s="2" t="s">
        <v>12</v>
      </c>
      <c r="DO64" s="2" t="s">
        <v>12</v>
      </c>
      <c r="DP64" s="2" t="s">
        <v>12</v>
      </c>
      <c r="DQ64" s="2">
        <v>2</v>
      </c>
      <c r="DR64" s="2">
        <v>32</v>
      </c>
      <c r="DS64" s="2">
        <v>2</v>
      </c>
      <c r="DT64" s="2">
        <v>79</v>
      </c>
      <c r="DU64" s="2" t="s">
        <v>12</v>
      </c>
      <c r="DV64" s="2">
        <v>2</v>
      </c>
      <c r="DW64" s="2">
        <v>2</v>
      </c>
      <c r="DX64" s="2">
        <v>2</v>
      </c>
      <c r="DY64" s="2">
        <v>2</v>
      </c>
      <c r="DZ64" s="2">
        <v>27</v>
      </c>
      <c r="EA64" s="2">
        <v>28</v>
      </c>
      <c r="EB64" s="2">
        <v>44.5</v>
      </c>
      <c r="EC64" s="2">
        <v>3</v>
      </c>
      <c r="ED64" s="2">
        <v>1</v>
      </c>
    </row>
    <row r="65" spans="3:134" x14ac:dyDescent="0.25">
      <c r="C65" s="8" t="s">
        <v>129</v>
      </c>
      <c r="D65" s="2">
        <v>2461051534</v>
      </c>
      <c r="E65" s="5">
        <v>4</v>
      </c>
      <c r="F65" s="2">
        <v>2</v>
      </c>
      <c r="G65" s="2">
        <v>60</v>
      </c>
      <c r="H65" s="2">
        <v>-2.7488364224387491</v>
      </c>
      <c r="I65" s="2">
        <v>49</v>
      </c>
      <c r="J65" s="2">
        <v>-0.46706379753639199</v>
      </c>
      <c r="K65" s="5">
        <v>2500</v>
      </c>
      <c r="L65" s="2">
        <v>-1.8987799312803511</v>
      </c>
      <c r="M65" s="2">
        <v>-0.38369999999999999</v>
      </c>
      <c r="N65" s="2">
        <f t="shared" si="0"/>
        <v>0.73681821121937463</v>
      </c>
      <c r="O65" s="2">
        <f t="shared" si="1"/>
        <v>-0.38369999999999999</v>
      </c>
      <c r="P65" s="2">
        <v>65</v>
      </c>
      <c r="Q65" s="2">
        <v>-1.23</v>
      </c>
      <c r="R65" s="5">
        <f t="shared" si="2"/>
        <v>-0.34146810123180393</v>
      </c>
      <c r="S65" s="5">
        <f t="shared" si="3"/>
        <v>-1.23</v>
      </c>
      <c r="T65" s="1">
        <v>7100</v>
      </c>
      <c r="U65" s="2">
        <v>-1.01</v>
      </c>
      <c r="V65" s="2">
        <f t="shared" si="4"/>
        <v>0.15438996564017549</v>
      </c>
      <c r="W65" s="2">
        <f t="shared" si="5"/>
        <v>-1.01</v>
      </c>
      <c r="X65" s="2">
        <v>-1.2751999999999999</v>
      </c>
      <c r="Y65" s="76">
        <f t="shared" si="44"/>
        <v>1.4736364224387493</v>
      </c>
      <c r="Z65" s="76">
        <f t="shared" si="45"/>
        <v>2</v>
      </c>
      <c r="AA65" s="2">
        <f t="shared" si="6"/>
        <v>0.30599999999999999</v>
      </c>
      <c r="AB65" s="2">
        <f t="shared" si="7"/>
        <v>-1.2751999999999999</v>
      </c>
      <c r="AC65" s="2">
        <v>73</v>
      </c>
      <c r="AD65" s="2">
        <v>-1.1499999999999999</v>
      </c>
      <c r="AE65" s="79">
        <f t="shared" si="46"/>
        <v>-0.68293620246360787</v>
      </c>
      <c r="AF65" s="79">
        <f t="shared" si="47"/>
        <v>-2</v>
      </c>
      <c r="AG65" s="2">
        <f t="shared" si="64"/>
        <v>1.0000000000000009E-2</v>
      </c>
      <c r="AH65" s="2">
        <f t="shared" si="9"/>
        <v>-1.1499999999999999</v>
      </c>
      <c r="AI65" s="2">
        <v>8100</v>
      </c>
      <c r="AJ65" s="2">
        <v>-1.59</v>
      </c>
      <c r="AK65" s="76">
        <f t="shared" si="48"/>
        <v>0.30877993128035097</v>
      </c>
      <c r="AL65" s="76">
        <f t="shared" si="49"/>
        <v>1</v>
      </c>
      <c r="AM65" s="2">
        <f t="shared" si="10"/>
        <v>-7.999999999999996E-2</v>
      </c>
      <c r="AN65" s="2">
        <f t="shared" si="11"/>
        <v>-1.59</v>
      </c>
      <c r="AO65" s="2">
        <v>-0.61799999999999999</v>
      </c>
      <c r="AP65" s="2">
        <f t="shared" si="12"/>
        <v>0.28161798164296242</v>
      </c>
      <c r="AQ65" s="2">
        <f t="shared" si="13"/>
        <v>-0.61799999999999999</v>
      </c>
      <c r="AR65" s="2">
        <v>79</v>
      </c>
      <c r="AS65" s="2">
        <v>-1.21</v>
      </c>
      <c r="AT65" s="2">
        <f t="shared" si="14"/>
        <v>2.4819126023833959E-2</v>
      </c>
      <c r="AU65" s="2">
        <f t="shared" si="15"/>
        <v>-1.21</v>
      </c>
      <c r="AV65" s="2">
        <v>9600</v>
      </c>
      <c r="AW65" s="2">
        <v>-1.17</v>
      </c>
      <c r="AX65" s="2">
        <f t="shared" si="16"/>
        <v>1.6955457124995021E-2</v>
      </c>
      <c r="AY65" s="2">
        <f t="shared" si="17"/>
        <v>-1.17</v>
      </c>
      <c r="AZ65" s="2">
        <v>-0.71196403671407504</v>
      </c>
      <c r="BA65" s="78">
        <f t="shared" si="50"/>
        <v>0.56323596328592485</v>
      </c>
      <c r="BB65" s="78">
        <f t="shared" si="51"/>
        <v>1</v>
      </c>
      <c r="BC65" s="2">
        <f t="shared" si="18"/>
        <v>-0.58934506232348838</v>
      </c>
      <c r="BD65" s="2">
        <f t="shared" si="19"/>
        <v>-0.71196403671407504</v>
      </c>
      <c r="BE65" s="67">
        <f t="shared" si="52"/>
        <v>7</v>
      </c>
      <c r="BF65" s="2">
        <v>83</v>
      </c>
      <c r="BG65" s="2">
        <v>-1.100361747952332</v>
      </c>
      <c r="BH65" s="2">
        <f t="shared" si="20"/>
        <v>-7.0189501879805993E-2</v>
      </c>
      <c r="BI65" s="2">
        <f t="shared" si="21"/>
        <v>-1.100361747952332</v>
      </c>
      <c r="BJ65" s="67">
        <f t="shared" si="65"/>
        <v>7</v>
      </c>
      <c r="BK65" s="2">
        <v>10800</v>
      </c>
      <c r="BL65" s="2">
        <v>-1.55608908575001</v>
      </c>
      <c r="BM65" s="77">
        <f t="shared" si="53"/>
        <v>3.3910914249990043E-2</v>
      </c>
      <c r="BN65" s="77">
        <f t="shared" si="54"/>
        <v>1</v>
      </c>
      <c r="BO65" s="2">
        <f t="shared" si="23"/>
        <v>-0.45238987474349807</v>
      </c>
      <c r="BP65" s="2">
        <f t="shared" si="24"/>
        <v>-1.55608908575001</v>
      </c>
      <c r="BQ65" s="67">
        <f t="shared" si="55"/>
        <v>7</v>
      </c>
      <c r="BR65" s="5">
        <v>-2.386035186970465</v>
      </c>
      <c r="BS65" s="75">
        <f t="shared" si="56"/>
        <v>-1.6740711502563901</v>
      </c>
      <c r="BT65" s="75">
        <f t="shared" si="57"/>
        <v>-2</v>
      </c>
      <c r="BU65" s="5">
        <f>IF(G73&gt;=36, IF(AND(NOT(ISBLANK(CM:CM)), NOT(ISBLANK(BD:BD))), (CM:CM-BD:BD)/2, ""), "UF")</f>
        <v>-0.97963065782786307</v>
      </c>
      <c r="BV65" s="5">
        <f t="shared" si="26"/>
        <v>-2.386035186970465</v>
      </c>
      <c r="BW65" s="69">
        <f t="shared" si="66"/>
        <v>2</v>
      </c>
      <c r="BX65" s="2">
        <v>90</v>
      </c>
      <c r="BY65" s="5">
        <v>-1.4205685056394179</v>
      </c>
      <c r="BZ65" s="74">
        <f t="shared" si="58"/>
        <v>0.13552058011059209</v>
      </c>
      <c r="CA65" s="74">
        <f t="shared" si="59"/>
        <v>1</v>
      </c>
      <c r="CB65" s="5">
        <f t="shared" si="28"/>
        <v>-0.22219824658338849</v>
      </c>
      <c r="CC65" s="5">
        <f t="shared" si="29"/>
        <v>-1.4205685056394179</v>
      </c>
      <c r="CD65" s="2">
        <f t="shared" si="30"/>
        <v>-0.32020675768708595</v>
      </c>
      <c r="CE65" s="69">
        <f t="shared" si="31"/>
        <v>7</v>
      </c>
      <c r="CF65" s="5">
        <v>11100</v>
      </c>
      <c r="CG65" s="5">
        <v>-2.5271696242304942</v>
      </c>
      <c r="CH65" s="72">
        <f t="shared" si="60"/>
        <v>-0.97108053848048415</v>
      </c>
      <c r="CI65" s="72">
        <f t="shared" si="61"/>
        <v>-2</v>
      </c>
      <c r="CJ65" s="5">
        <f t="shared" si="32"/>
        <v>-0.61046080381002998</v>
      </c>
      <c r="CK65" s="5">
        <f t="shared" si="33"/>
        <v>-2.5271696242304942</v>
      </c>
      <c r="CL65" s="69">
        <f t="shared" si="67"/>
        <v>4</v>
      </c>
      <c r="CM65" s="5">
        <v>-2.6712253523698011</v>
      </c>
      <c r="CN65" s="70">
        <f t="shared" si="35"/>
        <v>-0.28519016539933606</v>
      </c>
      <c r="CO65" s="5">
        <f t="shared" si="36"/>
        <v>-0.28519016539933606</v>
      </c>
      <c r="CP65" s="5">
        <f>IF(G65&lt;48,"UF", IF(NOT(ISBLANK(CM:CM)), CM:CM, IF(BW:BW=1, BV:BV+Sheet2!B178, IF(Sheet1!BW:BW=2, Sheet1!BV:BV+Sheet2!B179, IF(Sheet1!BW:BW=7, Sheet1!BV:BV+Sheet2!B180,"")))))</f>
        <v>-2.6712253523698011</v>
      </c>
      <c r="CQ65" s="69">
        <f t="shared" si="62"/>
        <v>2</v>
      </c>
      <c r="CR65" s="5">
        <v>96</v>
      </c>
      <c r="CS65" s="5">
        <v>-1.544758241119109</v>
      </c>
      <c r="CT65" s="5">
        <f t="shared" si="37"/>
        <v>-0.12418973547969103</v>
      </c>
      <c r="CU65" s="80">
        <f t="shared" si="38"/>
        <v>-0.12418973547969103</v>
      </c>
      <c r="CV65" s="80">
        <f t="shared" si="39"/>
        <v>-1</v>
      </c>
      <c r="CW65" s="20">
        <f>IF(G65&lt;48,"UF", IF(NOT(ISBLANK(CS65)), CS65, IF(CE65=5, CC65+Sheet2!B167, IF(CE65=6, CC65+Sheet2!B168, IF(CE65=7, CC65+Sheet2!B169,"")))))</f>
        <v>-1.544758241119109</v>
      </c>
      <c r="CX65" s="68">
        <f t="shared" si="63"/>
        <v>7</v>
      </c>
      <c r="CY65" s="5">
        <v>12200</v>
      </c>
      <c r="CZ65" s="5">
        <v>-2.77701069337007</v>
      </c>
      <c r="DA65" s="5">
        <f t="shared" si="40"/>
        <v>-0.24984106913957582</v>
      </c>
      <c r="DB65" s="73">
        <f t="shared" si="41"/>
        <v>-0.24984106913957582</v>
      </c>
      <c r="DC65" s="73">
        <f t="shared" si="42"/>
        <v>-1</v>
      </c>
      <c r="DD65" s="5">
        <f>IF(G65&lt;48,"UF", IF(NOT(ISBLANK(CZ:CZ)), CZ:CZ, IF(CL:CL=3, CK:CK+Sheet2!B172, IF(CL:CL=4, CK:CK+Sheet2!B173, IF(CL:CL=7, CK:CK+Sheet2!B174,"")))))</f>
        <v>-2.77701069337007</v>
      </c>
      <c r="DE65" s="69">
        <f t="shared" si="43"/>
        <v>4</v>
      </c>
      <c r="DF65" s="2">
        <v>2</v>
      </c>
      <c r="DG65" s="2">
        <v>29</v>
      </c>
      <c r="DH65" s="2">
        <v>1</v>
      </c>
      <c r="DI65" s="2">
        <v>2</v>
      </c>
      <c r="DJ65" s="2">
        <v>3</v>
      </c>
      <c r="DK65" s="2" t="s">
        <v>12</v>
      </c>
      <c r="DL65" s="2" t="s">
        <v>12</v>
      </c>
      <c r="DM65" s="2" t="s">
        <v>12</v>
      </c>
      <c r="DN65" s="2" t="s">
        <v>12</v>
      </c>
      <c r="DO65" s="2" t="s">
        <v>12</v>
      </c>
      <c r="DP65" s="2" t="s">
        <v>12</v>
      </c>
      <c r="DQ65" s="2">
        <v>2</v>
      </c>
      <c r="DR65" s="2">
        <v>37</v>
      </c>
      <c r="DS65" s="2">
        <v>2</v>
      </c>
      <c r="DT65" s="2">
        <v>71</v>
      </c>
      <c r="DU65" s="2" t="s">
        <v>12</v>
      </c>
      <c r="DV65" s="2">
        <v>2</v>
      </c>
      <c r="DW65" s="2">
        <v>2</v>
      </c>
      <c r="DX65" s="2">
        <v>2</v>
      </c>
      <c r="DY65" s="2">
        <v>2</v>
      </c>
      <c r="DZ65" s="2">
        <v>34</v>
      </c>
      <c r="EA65" s="2" t="s">
        <v>12</v>
      </c>
      <c r="EB65" s="2">
        <v>35</v>
      </c>
      <c r="EC65" s="2" t="s">
        <v>12</v>
      </c>
      <c r="ED65" s="2" t="s">
        <v>12</v>
      </c>
    </row>
    <row r="66" spans="3:134" x14ac:dyDescent="0.25">
      <c r="C66" s="8" t="s">
        <v>338</v>
      </c>
      <c r="D66" s="2">
        <v>2461051747</v>
      </c>
      <c r="E66" s="5">
        <v>7</v>
      </c>
      <c r="F66" s="2">
        <v>1</v>
      </c>
      <c r="G66" s="2">
        <v>59</v>
      </c>
      <c r="H66" s="2">
        <v>2.0310325326621972</v>
      </c>
      <c r="I66" s="2">
        <v>54</v>
      </c>
      <c r="J66" s="2">
        <v>2.604984249137289</v>
      </c>
      <c r="K66" s="2">
        <v>4700</v>
      </c>
      <c r="L66" s="2">
        <v>2.8396828742229872</v>
      </c>
      <c r="M66" s="2">
        <v>1.6131</v>
      </c>
      <c r="N66" s="2">
        <f t="shared" ref="N66:N129" si="69">IF(AND(NOT(ISBLANK(H:H)), NOT(ISBLANK(X:X))), (X:X - H:H)/2, "")</f>
        <v>0.62218373366890134</v>
      </c>
      <c r="O66" s="2">
        <f t="shared" ref="O66:O129" si="70">IF(NOT(ISBLANK(M:M)),M:M,IF(AND(NOT(ISBLANK(N:N)),NOT(ISBLANK(H:H))),H:H+N:N,""))</f>
        <v>1.6131</v>
      </c>
      <c r="P66" s="2">
        <v>70</v>
      </c>
      <c r="Q66" s="2">
        <v>1.87</v>
      </c>
      <c r="R66" s="5">
        <f t="shared" ref="R66:R129" si="71">IF(AND(NOT(ISBLANK(J66)), NOT(ISBLANK(AD66))), (AD66 - J66)/2, "")</f>
        <v>-1.1074921245686444</v>
      </c>
      <c r="S66" s="5">
        <f t="shared" ref="S66:S129" si="72">IF(NOT(ISBLANK(Q66)),Q66,IF(AND(NOT(ISBLANK(J66)),NOT(ISBLANK(R66))),J66+R66,""))</f>
        <v>1.87</v>
      </c>
      <c r="T66" s="2">
        <v>9600</v>
      </c>
      <c r="U66" s="2">
        <v>2.2200000000000002</v>
      </c>
      <c r="V66" s="2">
        <f t="shared" ref="V66:V129" si="73">IF(AND(NOT(ISBLANK(L66)), NOT(ISBLANK(AJ66))), (AJ66 - L66)/2, "")</f>
        <v>-0.11484143711149364</v>
      </c>
      <c r="W66" s="2">
        <f t="shared" ref="W66:W129" si="74">IF(NOT(ISBLANK(U66)), U66, IF(AND(NOT(ISBLANK(L66)), NOT(ISBLANK(V66))), L66 + V66, ""))</f>
        <v>2.2200000000000002</v>
      </c>
      <c r="X66" s="2">
        <v>3.2753999999999999</v>
      </c>
      <c r="Y66" s="76">
        <f t="shared" si="44"/>
        <v>1.2443674673378027</v>
      </c>
      <c r="Z66" s="76">
        <f t="shared" si="45"/>
        <v>2</v>
      </c>
      <c r="AA66" s="2">
        <f t="shared" ref="AA66:AA129" si="75">IF(AND(NOT(ISBLANK(S:S)), NOT(ISBLANK(AO:AO))), (AO:AO- S:S)/2, "")</f>
        <v>0.77275000000000005</v>
      </c>
      <c r="AB66" s="2">
        <f t="shared" ref="AB66:AB129" si="76">IF(NOT(ISBLANK(X:X)),X:X,IF(AND(NOT(ISBLANK(O:O)),NOT(ISBLANK(AA:AA))),O:O+AA:AA,""))</f>
        <v>3.2753999999999999</v>
      </c>
      <c r="AC66" s="2">
        <v>75</v>
      </c>
      <c r="AD66" s="2">
        <v>0.39</v>
      </c>
      <c r="AE66" s="79">
        <f t="shared" si="46"/>
        <v>-2.2149842491372889</v>
      </c>
      <c r="AF66" s="79">
        <f t="shared" si="47"/>
        <v>-2</v>
      </c>
      <c r="AG66" s="2">
        <f t="shared" ref="AG66:AG95" si="77">IF(AND(NOT(ISBLANK(S66)), NOT(ISBLANK(AS66))), (AS66 - S66)/2, "")</f>
        <v>-0.71500000000000008</v>
      </c>
      <c r="AH66" s="2">
        <f t="shared" ref="AH66:AH129" si="78">IF(NOT(ISBLANK(AD66)), AD66, IF(AND(NOT(ISBLANK(S66)), NOT(ISBLANK(AG66))), S66 + AG66, ""))</f>
        <v>0.39</v>
      </c>
      <c r="AI66" s="2">
        <v>12450</v>
      </c>
      <c r="AJ66" s="2">
        <v>2.61</v>
      </c>
      <c r="AK66" s="76">
        <f t="shared" si="48"/>
        <v>-0.22968287422298728</v>
      </c>
      <c r="AL66" s="76">
        <f t="shared" si="49"/>
        <v>-1</v>
      </c>
      <c r="AM66" s="2">
        <f t="shared" ref="AM66:AM129" si="79">IF(AND(NOT(ISBLANK(W66)), NOT(ISBLANK(AW66))), (AW66 - W66)/2, "")</f>
        <v>0.24499999999999988</v>
      </c>
      <c r="AN66" s="2">
        <f t="shared" ref="AN66:AN129" si="80">IF(NOT(ISBLANK(AJ66)), AJ66, IF(AND(NOT(ISBLANK(W66)), NOT(ISBLANK(AM66))), W66 + AM66, ""))</f>
        <v>2.61</v>
      </c>
      <c r="AO66" s="2">
        <v>3.4155000000000002</v>
      </c>
      <c r="AP66" s="2" t="str">
        <f t="shared" ref="AP66:AP129" si="81">IF(AND(NOT(ISBLANK(AB:AB)), NOT(ISBLANK(AZ:AZ))), (AZ:AZ - AB:AB)/2, "")</f>
        <v/>
      </c>
      <c r="AQ66" s="2">
        <f t="shared" ref="AQ66:AQ129" si="82">IF(NOT(ISBLANK(AO:AO)),AO:AO,IF(AND(NOT(ISBLANK(AB:AB)),NOT(ISBLANK(AP:AP))),AP:AP+AB:AB,""))</f>
        <v>3.4155000000000002</v>
      </c>
      <c r="AR66" s="2">
        <v>82</v>
      </c>
      <c r="AS66" s="2">
        <v>0.44</v>
      </c>
      <c r="AT66" s="2" t="str">
        <f t="shared" ref="AT66:AT129" si="83">IF(AND(NOT(ISBLANK(AH66)), NOT(ISBLANK(BG66))), (BG66 - AH66)/2, "")</f>
        <v/>
      </c>
      <c r="AU66" s="2">
        <f t="shared" ref="AU66:AU129" si="84">IF(NOT(ISBLANK(AS66)), AS66, IF(AND(NOT(ISBLANK(AH66)), NOT(ISBLANK(AT66))), AH66 + AT66, ""))</f>
        <v>0.44</v>
      </c>
      <c r="AV66" s="2">
        <v>14500</v>
      </c>
      <c r="AW66" s="2">
        <v>2.71</v>
      </c>
      <c r="AX66" s="2" t="str">
        <f t="shared" ref="AX66:AX129" si="85">IF(AND(NOT(ISBLANK(AN66)), NOT(ISBLANK(BL66))), (BL66 - AN66)/2, "")</f>
        <v/>
      </c>
      <c r="AY66" s="2">
        <f t="shared" ref="AY66:AY129" si="86">IF(NOT(ISBLANK(AW66)), AW66, IF(AND(NOT(ISBLANK(AN66)), NOT(ISBLANK(AX66))),AN66 + AX66, ""))</f>
        <v>2.71</v>
      </c>
      <c r="BA66" s="78">
        <f t="shared" si="50"/>
        <v>-0.76043989689779456</v>
      </c>
      <c r="BB66" s="78">
        <f t="shared" si="51"/>
        <v>-2</v>
      </c>
      <c r="BC66" s="2">
        <f t="shared" ref="BC66:BC129" si="87">IF(AND(NOT(ISBLANK(AQ:AQ)), NOT(ISBLANK(BR:BR))), (BR:BR - AQ:AQ)/3, "")</f>
        <v>-0.90053989689779501</v>
      </c>
      <c r="BD66" s="2">
        <f t="shared" ref="BD66:BD129" si="88">IF(NOT(ISBLANK(AZ:AZ)),AZ:AZ,IF(AND(NOT(ISBLANK(BC:BC)),NOT(ISBLANK(AQ:AQ))),AQ:AQ+BC:BC,""))</f>
        <v>2.5149601031022053</v>
      </c>
      <c r="BE66" s="67" t="str">
        <f t="shared" si="52"/>
        <v/>
      </c>
      <c r="BF66" s="2" t="s">
        <v>12</v>
      </c>
      <c r="BH66" s="2">
        <f t="shared" ref="BH66:BH129" si="89">IF(AND(NOT(ISBLANK(AU66)), NOT(ISBLANK(BY66))), (BY66 - AU66)/3, "")</f>
        <v>0.4156889098860907</v>
      </c>
      <c r="BI66" s="2">
        <f t="shared" ref="BI66:BI129" si="90">IF(NOT(ISBLANK(BG66)), BG66, IF(AND(NOT(ISBLANK(AU66)), NOT(ISBLANK(BH66))),AU66 + BH66, ""))</f>
        <v>0.8556889098860907</v>
      </c>
      <c r="BJ66" s="67">
        <f t="shared" ref="BJ66:BJ129" si="91">IF(BI:BI&lt;-3,5,IF(AND(BI:BI&gt;=-3,BI:BI&lt;-2),6,IF(AND(BI:BI&gt;=-2,BI:BI&lt;=2),7,"")))</f>
        <v>7</v>
      </c>
      <c r="BK66" s="2" t="s">
        <v>12</v>
      </c>
      <c r="BM66" s="77">
        <f t="shared" si="53"/>
        <v>-0.30256025930946606</v>
      </c>
      <c r="BN66" s="77">
        <f t="shared" si="54"/>
        <v>-1</v>
      </c>
      <c r="BO66" s="2">
        <f t="shared" ref="BO66:BO129" si="92">IF(AND(NOT(ISBLANK(AY66)), NOT(ISBLANK(CG66))), (CG66 - AY66)/3, "")</f>
        <v>-0.40256025930946598</v>
      </c>
      <c r="BP66" s="2">
        <f t="shared" ref="BP66:BP129" si="93">IF(NOT(ISBLANK(BL66)), BL66, IF(AND(NOT(ISBLANK(AY66)), NOT(ISBLANK(BO66))),AY66 + BO66, ""))</f>
        <v>2.3074397406905338</v>
      </c>
      <c r="BQ66" s="67" t="str">
        <f t="shared" si="55"/>
        <v/>
      </c>
      <c r="BR66" s="5">
        <v>0.71388030930661528</v>
      </c>
      <c r="BS66" s="75">
        <f t="shared" si="56"/>
        <v>-1.80107979379559</v>
      </c>
      <c r="BT66" s="75">
        <f t="shared" si="57"/>
        <v>-2</v>
      </c>
      <c r="BU66" s="5" t="str">
        <f>IF(G74&gt;=36, IF(AND(NOT(ISBLANK(CM:CM)), NOT(ISBLANK(BD:BD))), (CM:CM-BD:BD)/2, ""), "UF")</f>
        <v/>
      </c>
      <c r="BV66" s="5">
        <f t="shared" ref="BV66:BV129" si="94">IF(G66&gt;=36, IF(NOT(ISBLANK(BR:BR)), BR:BR, IF(AND(NOT(ISBLANK(BD:BD)), NOT(ISBLANK(BU:BU))),BD:BD + BU:BU, "")), "UF")</f>
        <v>0.71388030930661528</v>
      </c>
      <c r="BW66" s="69">
        <f t="shared" ref="BW66:BW129" si="95">IF(BV:BV&lt;-3,1,IF(AND(BV:BV&gt;=-3,BV:BV&lt;-2),2,IF(AND(BV:BV&gt;=-2,BV:BV&lt;=2),7,"")))</f>
        <v>7</v>
      </c>
      <c r="BX66" s="2">
        <v>101</v>
      </c>
      <c r="BY66" s="5">
        <v>1.687066729658272</v>
      </c>
      <c r="BZ66" s="74">
        <f t="shared" si="58"/>
        <v>-0.62037301103226183</v>
      </c>
      <c r="CA66" s="74">
        <f t="shared" si="59"/>
        <v>-1</v>
      </c>
      <c r="CB66" s="5" t="str">
        <f t="shared" ref="CB66:CB129" si="96">IF(G66&gt;=36, IF(AND(NOT(ISBLANK(BI66)), NOT(ISBLANK(CS66))), (CS66-BI66)/2, ""), "UF")</f>
        <v/>
      </c>
      <c r="CC66" s="5">
        <f t="shared" ref="CC66:CC129" si="97">IF(G66&gt;=36, IF(NOT(ISBLANK(BY66)), BY66, IF(AND(NOT(ISBLANK(CB66)), NOT(ISBLANK(BI66))),CB66 + BI66, "")), "UF")</f>
        <v>1.687066729658272</v>
      </c>
      <c r="CD66" s="2">
        <f t="shared" ref="CD66:CD129" si="98">IF(AND(NOT(ISBLANK(BI:BI)), NOT(ISBLANK(CC:CC))), CC:CC-BI:BI, "")</f>
        <v>0.83137781977218128</v>
      </c>
      <c r="CE66" s="69">
        <f t="shared" ref="CE66:CE129" si="99">IF(CC66&lt;-3,5,IF(AND(CC66&gt;=-3,CC66&lt;-2),6,IF(AND(CC66&gt;=-2,CC66&lt;=2),7,"")))</f>
        <v>7</v>
      </c>
      <c r="CF66" s="5">
        <v>17000</v>
      </c>
      <c r="CG66" s="5">
        <v>1.502319222071602</v>
      </c>
      <c r="CH66" s="72">
        <f t="shared" si="60"/>
        <v>-0.80512051861893186</v>
      </c>
      <c r="CI66" s="72">
        <f t="shared" si="61"/>
        <v>-2</v>
      </c>
      <c r="CJ66" s="5" t="str">
        <f t="shared" ref="CJ66:CJ129" si="100">IF(G66&gt;=36, IF(AND(NOT(ISBLANK(BP66)), NOT(ISBLANK(CZ66))), (CZ66-BP66)/2, ""), "UF")</f>
        <v/>
      </c>
      <c r="CK66" s="5">
        <f t="shared" ref="CK66:CK129" si="101">IF(G66&gt;=36, IF(NOT(ISBLANK(CG66)), CG66, IF(AND(NOT(ISBLANK(BP66)), NOT(ISBLANK(CJ66))),BP66 + CJ66, "")), "UF")</f>
        <v>1.502319222071602</v>
      </c>
      <c r="CL66" s="69">
        <f t="shared" ref="CL66:CL129" si="102">IF(CK:CK&lt;-3,3,IF(AND(CK:CK&gt;=-3,CK:CK&lt;-2),4,IF(AND(CK:CK&gt;=-2,CK:CK&lt;=2),7,"")))</f>
        <v>7</v>
      </c>
      <c r="CN66" s="70" t="str">
        <f t="shared" ref="CN66:CN129" si="103">IF(AND(NOT(ISBLANK(BV:BV)), NOT(ISBLANK(CM:CM))), CM:CM-BV:BV, "")</f>
        <v/>
      </c>
      <c r="CO66" s="5">
        <f t="shared" ref="CO66:CO129" si="104">IF(G66&lt;48,"UF",IF(AND(NOT(ISBLANK(BV:BV)),NOT(ISBLANK(CP:CP))),CP:CP-BV:BV,""))</f>
        <v>0</v>
      </c>
      <c r="CP66" s="5">
        <f>IF(G66&lt;48,"UF", IF(NOT(ISBLANK(CM:CM)), CM:CM, IF(BW:BW=1, BV:BV+Sheet2!B567, IF(Sheet1!BW:BW=2, Sheet1!BV:BV+Sheet2!B568, IF(Sheet1!BW:BW=7, Sheet1!BV:BV+Sheet2!B569,"")))))</f>
        <v>0.71388030930661528</v>
      </c>
      <c r="CQ66" s="69">
        <f t="shared" si="62"/>
        <v>7</v>
      </c>
      <c r="CR66" s="5" t="s">
        <v>12</v>
      </c>
      <c r="CT66" s="5" t="str">
        <f t="shared" ref="CT66:CT129" si="105">IF(AND(NOT(ISBLANK(CC66)), NOT(ISBLANK(CS66))), CS66-CC66, "")</f>
        <v/>
      </c>
      <c r="CU66" s="80">
        <f t="shared" ref="CU66:CU129" si="106">IF(G66&lt;48,"UF",IF(AND(NOT(ISBLANK(CW:CW)), NOT(ISBLANK(CC:CC))), CW:CW-CC:CC, ""))</f>
        <v>0</v>
      </c>
      <c r="CV66" s="80">
        <f t="shared" ref="CV66:CV129" si="107">IF(CU:CU=""," ",IF(G66&lt;48,"UF",IF(CU:CU&gt;0.67,2,IF(AND(CU:CU&gt;0,CU:CU&lt;=0.67),1,IF(AND(CU:CU&gt;=-0.67,CU:CU&lt;=0),-1,IF(CU:CU&lt;-0.67,-2))))))</f>
        <v>-1</v>
      </c>
      <c r="CW66" s="20">
        <f>IF(G66&lt;48,"UF", IF(NOT(ISBLANK(CS66)), CS66, IF(CE66=5, CC66+Sheet2!B556, IF(CE66=6, CC66+Sheet2!B557, IF(CE66=7, CC66+Sheet2!B558,"")))))</f>
        <v>1.687066729658272</v>
      </c>
      <c r="CX66" s="68">
        <f t="shared" si="63"/>
        <v>7</v>
      </c>
      <c r="CY66" s="5" t="s">
        <v>12</v>
      </c>
      <c r="DA66" s="5" t="str">
        <f t="shared" ref="DA66:DA129" si="108">IF(G66&lt;48,"UF",IF(AND(NOT(ISBLANK(CZ:CZ)), NOT(ISBLANK(CK:CK))), CZ:CZ-CK:CK, ""))</f>
        <v/>
      </c>
      <c r="DB66" s="73">
        <f t="shared" ref="DB66:DB129" si="109">IF(G66&lt;48,"UF",IF(AND(NOT(ISBLANK(DD:DD)), NOT(ISBLANK(CK:CK))), DD:DD-CK:CK, ""))</f>
        <v>0</v>
      </c>
      <c r="DC66" s="73">
        <f t="shared" ref="DC66:DC129" si="110">IF(DB:DB=""," ",IF(G66&lt;48,"UF",IF(DB:DB&gt;0.67,2,IF(AND(DB:DB&gt;0,DB:DB&lt;=0.67),1,IF(AND(DB:DB&gt;=-0.67,DB:DB&lt;=0),-1,IF(DB:DB&lt;-0.67,-2))))))</f>
        <v>-1</v>
      </c>
      <c r="DD66" s="5">
        <f>IF(G66&lt;48,"UF", IF(NOT(ISBLANK(CZ:CZ)), CZ:CZ, IF(CL:CL=3, CK:CK+Sheet2!B561, IF(CL:CL=4, CK:CK+Sheet2!B562, IF(CL:CL=7, CK:CK+Sheet2!B563,"")))))</f>
        <v>1.502319222071602</v>
      </c>
      <c r="DE66" s="69">
        <f t="shared" ref="DE66:DE129" si="111">IF(DD:DD&lt;-3,3,IF(AND(DD:DD&gt;=-3,DD:DD&lt;-2),4,IF(AND(DD:DD&gt;=-2,DD:DD&lt;=2),7,"")))</f>
        <v>7</v>
      </c>
      <c r="DF66" s="2">
        <v>1</v>
      </c>
      <c r="DG66" s="2">
        <v>22</v>
      </c>
      <c r="DH66" s="2">
        <v>1</v>
      </c>
      <c r="DI66" s="2">
        <v>2</v>
      </c>
      <c r="DJ66" s="2">
        <v>2</v>
      </c>
      <c r="DK66" s="2">
        <v>120</v>
      </c>
      <c r="DL66" s="2">
        <v>80</v>
      </c>
      <c r="DM66" s="2" t="s">
        <v>12</v>
      </c>
      <c r="DN66" s="2" t="s">
        <v>12</v>
      </c>
      <c r="DO66" s="2">
        <v>120</v>
      </c>
      <c r="DP66" s="2">
        <v>80</v>
      </c>
      <c r="DQ66" s="2">
        <v>2</v>
      </c>
      <c r="DR66" s="2">
        <v>40</v>
      </c>
      <c r="DS66" s="2">
        <v>1</v>
      </c>
      <c r="DT66" s="2">
        <v>88</v>
      </c>
      <c r="DU66" s="2">
        <v>92</v>
      </c>
      <c r="DV66" s="2">
        <v>3</v>
      </c>
      <c r="DW66" s="2">
        <v>2</v>
      </c>
      <c r="DX66" s="2">
        <v>2</v>
      </c>
      <c r="DY66" s="2">
        <v>3</v>
      </c>
      <c r="DZ66" s="2">
        <v>37</v>
      </c>
      <c r="EA66" s="2" t="s">
        <v>12</v>
      </c>
      <c r="EB66" s="2">
        <v>47</v>
      </c>
      <c r="EC66" s="2" t="s">
        <v>12</v>
      </c>
      <c r="ED66" s="2">
        <v>1</v>
      </c>
    </row>
    <row r="67" spans="3:134" x14ac:dyDescent="0.25">
      <c r="C67" s="5" t="s">
        <v>94</v>
      </c>
      <c r="D67" s="2">
        <v>2461053014</v>
      </c>
      <c r="E67" s="5" t="s">
        <v>530</v>
      </c>
      <c r="F67" s="2">
        <v>2</v>
      </c>
      <c r="G67" s="2">
        <v>58</v>
      </c>
      <c r="H67" s="2">
        <v>-0.9107393947200394</v>
      </c>
      <c r="I67" s="2">
        <v>51</v>
      </c>
      <c r="J67" s="2">
        <v>0.58940135287155082</v>
      </c>
      <c r="K67" s="5">
        <v>3200</v>
      </c>
      <c r="L67" s="2">
        <v>-0.30398057951686752</v>
      </c>
      <c r="M67" s="2">
        <v>-1.5679000000000001</v>
      </c>
      <c r="N67" s="2">
        <f t="shared" si="69"/>
        <v>-0.15028030263998032</v>
      </c>
      <c r="O67" s="2">
        <f t="shared" si="70"/>
        <v>-1.5679000000000001</v>
      </c>
      <c r="P67" s="2">
        <v>65</v>
      </c>
      <c r="Q67" s="2">
        <v>-1.23</v>
      </c>
      <c r="R67" s="5">
        <f t="shared" si="71"/>
        <v>-1.2897006764357755</v>
      </c>
      <c r="S67" s="5">
        <f t="shared" si="72"/>
        <v>-1.23</v>
      </c>
      <c r="T67" s="1">
        <v>6450</v>
      </c>
      <c r="U67" s="2">
        <v>-1.87</v>
      </c>
      <c r="V67" s="2">
        <f t="shared" si="73"/>
        <v>-0.87300971024156615</v>
      </c>
      <c r="W67" s="2">
        <f t="shared" si="74"/>
        <v>-1.87</v>
      </c>
      <c r="X67" s="2">
        <v>-1.2113</v>
      </c>
      <c r="Y67" s="76">
        <f t="shared" ref="Y67:Y130" si="112" xml:space="preserve"> IF(AND(NOT(ISBLANK(AB:AB)), NOT(ISBLANK(H:H))), (AB:AB-H:H), "")</f>
        <v>-0.30056060527996065</v>
      </c>
      <c r="Z67" s="76">
        <f t="shared" ref="Z67:Z130" si="113">IF(Y:Y&gt;0.67,2,IF(AND(Y:Y&gt;0,Y:Y&lt;=0.67),1,IF(AND(Y:Y&gt;=-0.67,Y:Y&lt;=0),-1,IF(Y:Y&lt;-0.67,-2))))</f>
        <v>-1</v>
      </c>
      <c r="AA67" s="2">
        <f t="shared" si="75"/>
        <v>-0.59735000000000005</v>
      </c>
      <c r="AB67" s="2">
        <f t="shared" si="76"/>
        <v>-1.2113</v>
      </c>
      <c r="AC67" s="2">
        <v>71</v>
      </c>
      <c r="AD67" s="2">
        <v>-1.99</v>
      </c>
      <c r="AE67" s="79">
        <f t="shared" ref="AE67:AE130" si="114" xml:space="preserve"> IF(AND(NOT(ISBLANK(AH:AH)), NOT(ISBLANK(J:J))), (AH:AH-J:J), "")</f>
        <v>-2.5794013528715509</v>
      </c>
      <c r="AF67" s="79">
        <f t="shared" ref="AF67:AF130" si="115">IF(AE:AE&gt;0.67,2,IF(AND(AE:AE&gt;0,AE:AE&lt;=0.67),1,IF(AND(AE:AE&gt;=-0.67,AE:AE&lt;=0),-1,IF(AE:AE&lt;-0.67,-2))))</f>
        <v>-2</v>
      </c>
      <c r="AG67" s="2">
        <f t="shared" si="77"/>
        <v>1.0000000000000009E-2</v>
      </c>
      <c r="AH67" s="2">
        <f t="shared" si="78"/>
        <v>-1.99</v>
      </c>
      <c r="AI67" s="2">
        <v>7700</v>
      </c>
      <c r="AJ67" s="2">
        <v>-2.0499999999999998</v>
      </c>
      <c r="AK67" s="76">
        <f t="shared" ref="AK67:AK130" si="116" xml:space="preserve"> IF(AND(NOT(ISBLANK(AN:AN)), NOT(ISBLANK(L:L))), (AN:AN-L:L), "")</f>
        <v>-1.7460194204831323</v>
      </c>
      <c r="AL67" s="76">
        <f t="shared" ref="AL67:AL130" si="117">IF(AK:AK&gt;0.67,2,IF(AND(AK:AK&gt;0,AK:AK&lt;=0.67),1,IF(AND(AK:AK&gt;=-0.67,AK:AK&lt;=0),-1,IF(AK:AK&lt;-0.67,-2))))</f>
        <v>-2</v>
      </c>
      <c r="AM67" s="2">
        <f t="shared" si="79"/>
        <v>-0.25</v>
      </c>
      <c r="AN67" s="2">
        <f t="shared" si="80"/>
        <v>-2.0499999999999998</v>
      </c>
      <c r="AO67" s="2">
        <v>-2.4247000000000001</v>
      </c>
      <c r="AP67" s="2" t="str">
        <f t="shared" si="81"/>
        <v/>
      </c>
      <c r="AQ67" s="2">
        <f t="shared" si="82"/>
        <v>-2.4247000000000001</v>
      </c>
      <c r="AR67" s="2">
        <v>79</v>
      </c>
      <c r="AS67" s="2">
        <v>-1.21</v>
      </c>
      <c r="AT67" s="2" t="str">
        <f t="shared" si="83"/>
        <v/>
      </c>
      <c r="AU67" s="2">
        <f t="shared" si="84"/>
        <v>-1.21</v>
      </c>
      <c r="AV67" s="2">
        <v>8400</v>
      </c>
      <c r="AW67" s="2">
        <v>-2.37</v>
      </c>
      <c r="AX67" s="2" t="str">
        <f t="shared" si="85"/>
        <v/>
      </c>
      <c r="AY67" s="2">
        <f t="shared" si="86"/>
        <v>-2.37</v>
      </c>
      <c r="BA67" s="78">
        <f t="shared" ref="BA67:BA130" si="118" xml:space="preserve"> IF(AND(NOT(ISBLANK(BD:BD)), NOT(ISBLANK(AB:AB))), (BD:BD-AB:AB), "")</f>
        <v>-1.5725469224889572</v>
      </c>
      <c r="BB67" s="78">
        <f t="shared" ref="BB67:BB130" si="119">IF(BA:BA&gt;0.67,2,IF(AND(BA:BA&gt;0,BA:BA&lt;=0.67),1,IF(AND(BA:BA&gt;=-0.67,BA:BA&lt;=0),-1,IF(BA:BA&lt;-0.67,-2))))</f>
        <v>-2</v>
      </c>
      <c r="BC67" s="2">
        <f t="shared" si="87"/>
        <v>-0.35914692248895735</v>
      </c>
      <c r="BD67" s="2">
        <f t="shared" si="88"/>
        <v>-2.7838469224889573</v>
      </c>
      <c r="BE67" s="67">
        <f t="shared" ref="BE67:BE130" si="120">IF(BD:BD&lt;-3,1,IF(AND(BD:BD&gt;=-3,BD:BD&lt;-2),2,IF(AND(BD:BD&gt;=-2,BD:BD&lt;=2),7,"")))</f>
        <v>2</v>
      </c>
      <c r="BF67" s="2" t="s">
        <v>12</v>
      </c>
      <c r="BH67" s="2">
        <f t="shared" si="89"/>
        <v>-4.222552804317433E-2</v>
      </c>
      <c r="BI67" s="2">
        <f t="shared" si="90"/>
        <v>-1.2522255280431742</v>
      </c>
      <c r="BJ67" s="67">
        <f t="shared" si="91"/>
        <v>7</v>
      </c>
      <c r="BK67" s="2" t="s">
        <v>12</v>
      </c>
      <c r="BM67" s="77">
        <f t="shared" ref="BM67:BM98" si="121" xml:space="preserve"> IF(AND(NOT(ISBLANK(BP:BP)), NOT(ISBLANK(AN:AN))), (BP:BP-AN:AN), "")</f>
        <v>-0.57044617612158577</v>
      </c>
      <c r="BN67" s="77">
        <f t="shared" ref="BN67:BN130" si="122">IF(BM:BM&gt;0.67,2,IF(AND(BM:BM&gt;0,BM:BM&lt;=0.67),1,IF(AND(BM:BM&gt;=-0.67,BM:BM&lt;=0),-1,IF(BM:BM&lt;-0.67,-2))))</f>
        <v>-1</v>
      </c>
      <c r="BO67" s="2">
        <f t="shared" si="92"/>
        <v>-0.25044617612158532</v>
      </c>
      <c r="BP67" s="2">
        <f t="shared" si="93"/>
        <v>-2.6204461761215856</v>
      </c>
      <c r="BQ67" s="67">
        <f t="shared" ref="BQ67:BQ130" si="123">IF(BP:BP&lt;-3,3,IF(AND(BP:BP&gt;=-3,BP:BP&lt;-2),4,IF(AND(BP:BP&gt;=-2,BP:BP&lt;=2),7,"")))</f>
        <v>4</v>
      </c>
      <c r="BR67" s="5">
        <v>-3.5021407674668721</v>
      </c>
      <c r="BS67" s="75">
        <f t="shared" ref="BS67:BS130" si="124">IF(G67&gt;=36, IF(AND(NOT(ISBLANK(BV:BV)), NOT(ISBLANK(BD:BD))), (BV:BV-BD:BD), ""), "UF")</f>
        <v>-0.71829384497791482</v>
      </c>
      <c r="BT67" s="75">
        <f t="shared" ref="BT67:BT130" si="125">IF(G67&lt;36,"UF",IF(BS:BS&gt;0.67,2,IF(AND(BS:BS&gt;0,BS:BS&lt;=0.67),1,IF(AND(BS:BS&gt;=-0.67,BS:BS&lt;=0),-1,IF(BS:BS&lt;-0.67,-2)))))</f>
        <v>-2</v>
      </c>
      <c r="BU67" s="5" t="str">
        <f>IF(G75&gt;=36, IF(AND(NOT(ISBLANK(CM:CM)), NOT(ISBLANK(BD:BD))), (CM:CM-BD:BD)/2, ""), "UF")</f>
        <v/>
      </c>
      <c r="BV67" s="5">
        <f t="shared" si="94"/>
        <v>-3.5021407674668721</v>
      </c>
      <c r="BW67" s="69">
        <f t="shared" si="95"/>
        <v>1</v>
      </c>
      <c r="BX67" s="2">
        <v>90.3</v>
      </c>
      <c r="BY67" s="5">
        <v>-1.3366765841295229</v>
      </c>
      <c r="BZ67" s="74">
        <f t="shared" ref="BZ67:BZ130" si="126">IF(G67&gt;=36, IF(AND(NOT(ISBLANK(CC:CC)), NOT(ISBLANK(BP:BP))), (CC:CC-BP:BP), ""), "UF")</f>
        <v>1.2837695919920626</v>
      </c>
      <c r="CA67" s="74">
        <f t="shared" ref="CA67:CA130" si="127">IF(G67&lt;36,"UF",IF(BZ:BZ&gt;0.67,2,IF(AND(BZ:BZ&gt;0,BZ:BZ&lt;=0.67),1,IF(AND(BZ:BZ&gt;=-0.67,BZ:BZ&lt;=0),-1,IF(BZ:BZ&lt;-0.67,-2)))))</f>
        <v>2</v>
      </c>
      <c r="CB67" s="5" t="str">
        <f t="shared" si="96"/>
        <v/>
      </c>
      <c r="CC67" s="5">
        <f t="shared" si="97"/>
        <v>-1.3366765841295229</v>
      </c>
      <c r="CD67" s="2">
        <f t="shared" si="98"/>
        <v>-8.445105608634873E-2</v>
      </c>
      <c r="CE67" s="69">
        <f t="shared" si="99"/>
        <v>7</v>
      </c>
      <c r="CF67" s="5">
        <v>10500</v>
      </c>
      <c r="CG67" s="5">
        <v>-3.1213385283647561</v>
      </c>
      <c r="CH67" s="72">
        <f t="shared" ref="CH67:CH130" si="128">IF(G67&gt;=36, IF(AND(NOT(ISBLANK(CK:CK)), NOT(ISBLANK(BP:BP))), (CK:CK-BP:BP), ""), "UF")</f>
        <v>-0.50089235224317052</v>
      </c>
      <c r="CI67" s="72">
        <f t="shared" ref="CI67:CI130" si="129">IF(G67&lt;36,"UF",IF(CH:CH&gt;0.67,2,IF(AND(CH:CH&gt;0,CH:CH&lt;=0.67),1,IF(AND(CH:CH&gt;=-0.67,CH:CH&lt;=0),-1,IF(CH:CH&lt;-0.67,-2)))))</f>
        <v>-1</v>
      </c>
      <c r="CJ67" s="5" t="str">
        <f t="shared" si="100"/>
        <v/>
      </c>
      <c r="CK67" s="5">
        <f t="shared" si="101"/>
        <v>-3.1213385283647561</v>
      </c>
      <c r="CL67" s="69">
        <f t="shared" si="102"/>
        <v>3</v>
      </c>
      <c r="CN67" s="70" t="str">
        <f t="shared" si="103"/>
        <v/>
      </c>
      <c r="CO67" s="5">
        <f t="shared" si="104"/>
        <v>-0.15045886156581112</v>
      </c>
      <c r="CP67" s="5">
        <f>IF(G67&lt;48,"UF", IF(NOT(ISBLANK(CM:CM)), CM:CM, IF(BW:BW=1, BV:BV+Sheet2!B18, IF(Sheet1!BW:BW=2, Sheet1!BV:BV+Sheet2!B19, IF(Sheet1!BW:BW=7, Sheet1!BV:BV+Sheet2!B20,"")))))</f>
        <v>-3.6525996290326832</v>
      </c>
      <c r="CQ67" s="69">
        <f t="shared" ref="CQ67:CQ130" si="130">IF(CP:CP&lt;-3,1,IF(AND(CP:CP&gt;=-3,CP:CP&lt;-2),2,IF(AND(CP:CP&gt;=-2,CP:CP&lt;=2),7,"")))</f>
        <v>1</v>
      </c>
      <c r="CR67" s="5" t="s">
        <v>12</v>
      </c>
      <c r="CT67" s="5" t="str">
        <f t="shared" si="105"/>
        <v/>
      </c>
      <c r="CU67" s="80">
        <f t="shared" si="106"/>
        <v>0</v>
      </c>
      <c r="CV67" s="80">
        <f t="shared" si="107"/>
        <v>-1</v>
      </c>
      <c r="CW67" s="20">
        <f>IF(G67&lt;48,"UF", IF(NOT(ISBLANK(CS67)), CS67, IF(CE67=5, CC67+Sheet2!B7, IF(CE67=6, CC67+Sheet2!B8, IF(CE67=7, CC67+Sheet2!B9,"")))))</f>
        <v>-1.3366765841295229</v>
      </c>
      <c r="CX67" s="68">
        <f t="shared" ref="CX67:CX130" si="131">IF(CW:CW&lt;-3,5,IF(AND(CW:CW&gt;=-3,CW:CW&lt;-2),6,IF(AND(CW:CW&gt;=-2,CW:CW&lt;=2),7,"")))</f>
        <v>7</v>
      </c>
      <c r="CY67" s="5" t="s">
        <v>12</v>
      </c>
      <c r="DA67" s="5" t="str">
        <f t="shared" si="108"/>
        <v/>
      </c>
      <c r="DB67" s="73" t="e">
        <f t="shared" si="109"/>
        <v>#REF!</v>
      </c>
      <c r="DC67" s="73" t="e">
        <f t="shared" si="110"/>
        <v>#REF!</v>
      </c>
      <c r="DD67" s="5" t="e">
        <f>IF(G67&lt;48,"UF", IF(NOT(ISBLANK(CZ:CZ)), CZ:CZ, IF(CL:CL=3, CK:CK+Sheet2!B12, IF(CL:CL=4, CK:CK+Sheet2!B13, IF(CL:CL=7, CK:CK+Sheet2!B14,"")))))</f>
        <v>#REF!</v>
      </c>
      <c r="DE67" s="69" t="e">
        <f t="shared" si="111"/>
        <v>#REF!</v>
      </c>
      <c r="DF67" s="2">
        <v>3</v>
      </c>
      <c r="DG67" s="2">
        <v>34</v>
      </c>
      <c r="DH67" s="2">
        <v>2</v>
      </c>
      <c r="DI67" s="2">
        <v>1</v>
      </c>
      <c r="DJ67" s="2">
        <v>2</v>
      </c>
      <c r="DK67" s="2">
        <v>90</v>
      </c>
      <c r="DL67" s="2">
        <v>60</v>
      </c>
      <c r="DM67" s="2" t="s">
        <v>12</v>
      </c>
      <c r="DN67" s="2" t="s">
        <v>12</v>
      </c>
      <c r="DO67" s="2" t="s">
        <v>12</v>
      </c>
      <c r="DP67" s="2" t="s">
        <v>12</v>
      </c>
      <c r="DQ67" s="2">
        <v>2</v>
      </c>
      <c r="DR67" s="2">
        <v>39</v>
      </c>
      <c r="DS67" s="2">
        <v>2</v>
      </c>
      <c r="DT67" s="2">
        <v>78</v>
      </c>
      <c r="DU67" s="2" t="s">
        <v>12</v>
      </c>
      <c r="DV67" s="2">
        <v>3</v>
      </c>
      <c r="DW67" s="2">
        <v>2</v>
      </c>
      <c r="DX67" s="2">
        <v>2</v>
      </c>
      <c r="DY67" s="2">
        <v>3</v>
      </c>
      <c r="DZ67" s="2">
        <v>35</v>
      </c>
      <c r="EA67" s="2">
        <v>36</v>
      </c>
      <c r="EB67" s="2">
        <v>44</v>
      </c>
      <c r="EC67" s="2">
        <v>1</v>
      </c>
      <c r="ED67" s="2" t="s">
        <v>12</v>
      </c>
    </row>
    <row r="68" spans="3:134" x14ac:dyDescent="0.25">
      <c r="C68" s="2" t="s">
        <v>135</v>
      </c>
      <c r="D68" s="2">
        <v>2461058385</v>
      </c>
      <c r="E68" s="5">
        <v>4</v>
      </c>
      <c r="F68" s="2">
        <v>2</v>
      </c>
      <c r="G68" s="2">
        <v>57</v>
      </c>
      <c r="H68" s="2">
        <v>-6.980882026460085</v>
      </c>
      <c r="I68" s="2">
        <v>42</v>
      </c>
      <c r="J68" s="2">
        <v>-4.164691823964179</v>
      </c>
      <c r="K68" s="5">
        <v>1130</v>
      </c>
      <c r="L68" s="2">
        <v>-5.5073780669481351</v>
      </c>
      <c r="N68" s="2">
        <f t="shared" si="69"/>
        <v>2.7866410132300423</v>
      </c>
      <c r="O68" s="2">
        <f t="shared" si="70"/>
        <v>-4.1942410132300427</v>
      </c>
      <c r="P68" s="2" t="s">
        <v>12</v>
      </c>
      <c r="R68" s="5">
        <f t="shared" si="71"/>
        <v>1.2973459119820894</v>
      </c>
      <c r="S68" s="5">
        <f t="shared" si="72"/>
        <v>-2.8673459119820897</v>
      </c>
      <c r="T68" s="1" t="s">
        <v>12</v>
      </c>
      <c r="V68" s="2">
        <f t="shared" si="73"/>
        <v>1.7886890334740677</v>
      </c>
      <c r="W68" s="2">
        <f t="shared" si="74"/>
        <v>-3.7186890334740674</v>
      </c>
      <c r="X68" s="2">
        <v>-1.4076</v>
      </c>
      <c r="Y68" s="76">
        <f t="shared" si="112"/>
        <v>5.5732820264600846</v>
      </c>
      <c r="Z68" s="76">
        <f t="shared" si="113"/>
        <v>2</v>
      </c>
      <c r="AA68" s="2">
        <f t="shared" si="75"/>
        <v>2.2132229559910446</v>
      </c>
      <c r="AB68" s="2">
        <f t="shared" si="76"/>
        <v>-1.4076</v>
      </c>
      <c r="AC68" s="2">
        <v>72</v>
      </c>
      <c r="AD68" s="2">
        <v>-1.57</v>
      </c>
      <c r="AE68" s="79">
        <f t="shared" si="114"/>
        <v>2.5946918239641787</v>
      </c>
      <c r="AF68" s="79">
        <f t="shared" si="115"/>
        <v>2</v>
      </c>
      <c r="AG68" s="2">
        <f t="shared" si="77"/>
        <v>-0.46632704400895508</v>
      </c>
      <c r="AH68" s="2">
        <f t="shared" si="78"/>
        <v>-1.57</v>
      </c>
      <c r="AI68" s="2">
        <v>7800</v>
      </c>
      <c r="AJ68" s="2">
        <v>-1.93</v>
      </c>
      <c r="AK68" s="76">
        <f t="shared" si="116"/>
        <v>3.5773780669481354</v>
      </c>
      <c r="AL68" s="76">
        <f t="shared" si="117"/>
        <v>2</v>
      </c>
      <c r="AM68" s="2">
        <f t="shared" si="79"/>
        <v>1.2243445167370337</v>
      </c>
      <c r="AN68" s="2">
        <f t="shared" si="80"/>
        <v>-1.93</v>
      </c>
      <c r="AO68" s="2">
        <v>1.5590999999999999</v>
      </c>
      <c r="AP68" s="2">
        <f t="shared" si="81"/>
        <v>-0.22022075356469206</v>
      </c>
      <c r="AQ68" s="2">
        <f t="shared" si="82"/>
        <v>1.5590999999999999</v>
      </c>
      <c r="AR68" s="2">
        <v>72</v>
      </c>
      <c r="AS68" s="2">
        <v>-3.8</v>
      </c>
      <c r="AT68" s="2">
        <f t="shared" si="83"/>
        <v>0.51974562723786</v>
      </c>
      <c r="AU68" s="2">
        <f t="shared" si="84"/>
        <v>-3.8</v>
      </c>
      <c r="AV68" s="2">
        <v>9500</v>
      </c>
      <c r="AW68" s="2">
        <v>-1.27</v>
      </c>
      <c r="AX68" s="2">
        <f t="shared" si="85"/>
        <v>5.1577156796464463E-2</v>
      </c>
      <c r="AY68" s="2">
        <f t="shared" si="86"/>
        <v>-1.27</v>
      </c>
      <c r="AZ68" s="2">
        <v>-1.8480415071293841</v>
      </c>
      <c r="BA68" s="78">
        <f t="shared" si="118"/>
        <v>-0.44044150712938412</v>
      </c>
      <c r="BB68" s="78">
        <f t="shared" si="119"/>
        <v>-1</v>
      </c>
      <c r="BC68" s="2">
        <f t="shared" si="87"/>
        <v>-1.3908401188592041</v>
      </c>
      <c r="BD68" s="2">
        <f t="shared" si="88"/>
        <v>-1.8480415071293841</v>
      </c>
      <c r="BE68" s="67">
        <f t="shared" si="120"/>
        <v>7</v>
      </c>
      <c r="BF68" s="2">
        <v>85</v>
      </c>
      <c r="BG68" s="2">
        <v>-0.53050874552427996</v>
      </c>
      <c r="BH68" s="2">
        <f t="shared" si="89"/>
        <v>0.88585746657088349</v>
      </c>
      <c r="BI68" s="2">
        <f t="shared" si="90"/>
        <v>-0.53050874552427996</v>
      </c>
      <c r="BJ68" s="67">
        <f t="shared" si="91"/>
        <v>7</v>
      </c>
      <c r="BK68" s="2">
        <v>10500</v>
      </c>
      <c r="BL68" s="2">
        <v>-1.826845686407071</v>
      </c>
      <c r="BM68" s="77">
        <f t="shared" si="121"/>
        <v>0.10315431359292893</v>
      </c>
      <c r="BN68" s="77">
        <f t="shared" si="122"/>
        <v>1</v>
      </c>
      <c r="BO68" s="2">
        <f t="shared" si="92"/>
        <v>-0.3877273586779606</v>
      </c>
      <c r="BP68" s="2">
        <f t="shared" si="93"/>
        <v>-1.826845686407071</v>
      </c>
      <c r="BQ68" s="67">
        <f t="shared" si="123"/>
        <v>7</v>
      </c>
      <c r="BR68" s="5">
        <v>-2.6134203565776128</v>
      </c>
      <c r="BS68" s="75">
        <f t="shared" si="124"/>
        <v>-0.76537884944822876</v>
      </c>
      <c r="BT68" s="75">
        <f t="shared" si="125"/>
        <v>-2</v>
      </c>
      <c r="BU68" s="5">
        <f t="shared" ref="BU68:BU80" si="132">IF(G77&gt;=36, IF(AND(NOT(ISBLANK(CM:CM)), NOT(ISBLANK(BD:BD))), (CM:CM-BD:BD)/2, ""), "UF")</f>
        <v>0.14477540050607807</v>
      </c>
      <c r="BV68" s="5">
        <f t="shared" si="94"/>
        <v>-2.6134203565776128</v>
      </c>
      <c r="BW68" s="69">
        <f t="shared" si="95"/>
        <v>2</v>
      </c>
      <c r="BX68" s="2">
        <v>91</v>
      </c>
      <c r="BY68" s="5">
        <v>-1.142427600287349</v>
      </c>
      <c r="BZ68" s="74">
        <f t="shared" si="126"/>
        <v>0.68441808611972199</v>
      </c>
      <c r="CA68" s="74">
        <f t="shared" si="127"/>
        <v>2</v>
      </c>
      <c r="CB68" s="5">
        <f t="shared" si="96"/>
        <v>-0.50712474779741457</v>
      </c>
      <c r="CC68" s="5">
        <f t="shared" si="97"/>
        <v>-1.142427600287349</v>
      </c>
      <c r="CD68" s="2">
        <f t="shared" si="98"/>
        <v>-0.61191885476306906</v>
      </c>
      <c r="CE68" s="69">
        <f t="shared" si="99"/>
        <v>7</v>
      </c>
      <c r="CF68" s="5">
        <v>11200</v>
      </c>
      <c r="CG68" s="5">
        <v>-2.4331820760338818</v>
      </c>
      <c r="CH68" s="72">
        <f t="shared" si="128"/>
        <v>-0.6063363896268108</v>
      </c>
      <c r="CI68" s="72">
        <f t="shared" si="129"/>
        <v>-1</v>
      </c>
      <c r="CJ68" s="5">
        <f t="shared" si="100"/>
        <v>-0.13947958840072949</v>
      </c>
      <c r="CK68" s="5">
        <f t="shared" si="101"/>
        <v>-2.4331820760338818</v>
      </c>
      <c r="CL68" s="69">
        <f t="shared" si="102"/>
        <v>4</v>
      </c>
      <c r="CM68" s="5">
        <v>-1.558490706117228</v>
      </c>
      <c r="CN68" s="70">
        <f t="shared" si="103"/>
        <v>1.0549296504603849</v>
      </c>
      <c r="CO68" s="5">
        <f t="shared" si="104"/>
        <v>1.0549296504603849</v>
      </c>
      <c r="CP68" s="5">
        <f>IF(G68&lt;48,"UF", IF(NOT(ISBLANK(CM:CM)), CM:CM, IF(BW:BW=1, BV:BV+Sheet2!B194, IF(Sheet1!BW:BW=2, Sheet1!BV:BV+Sheet2!B195, IF(Sheet1!BW:BW=7, Sheet1!BV:BV+Sheet2!B196,"")))))</f>
        <v>-1.558490706117228</v>
      </c>
      <c r="CQ68" s="69">
        <f t="shared" si="130"/>
        <v>7</v>
      </c>
      <c r="CR68" s="5">
        <v>96</v>
      </c>
      <c r="CS68" s="5">
        <v>-1.544758241119109</v>
      </c>
      <c r="CT68" s="5">
        <f t="shared" si="105"/>
        <v>-0.40233064083175996</v>
      </c>
      <c r="CU68" s="80">
        <f t="shared" si="106"/>
        <v>-0.40233064083175996</v>
      </c>
      <c r="CV68" s="80">
        <f t="shared" si="107"/>
        <v>-1</v>
      </c>
      <c r="CW68" s="20">
        <f>IF(G68&lt;48,"UF", IF(NOT(ISBLANK(CS68)), CS68, IF(CE68=5, CC68+Sheet2!B183, IF(CE68=6, CC68+Sheet2!B184, IF(CE68=7, CC68+Sheet2!B185,"")))))</f>
        <v>-1.544758241119109</v>
      </c>
      <c r="CX68" s="68">
        <f t="shared" si="131"/>
        <v>7</v>
      </c>
      <c r="CY68" s="5">
        <v>13000</v>
      </c>
      <c r="CZ68" s="5">
        <v>-2.10580486320853</v>
      </c>
      <c r="DA68" s="5">
        <f t="shared" si="108"/>
        <v>0.32737721282535182</v>
      </c>
      <c r="DB68" s="73">
        <f t="shared" si="109"/>
        <v>0.32737721282535182</v>
      </c>
      <c r="DC68" s="73">
        <f t="shared" si="110"/>
        <v>1</v>
      </c>
      <c r="DD68" s="5">
        <f>IF(G68&lt;48,"UF", IF(NOT(ISBLANK(CZ:CZ)), CZ:CZ, IF(CL:CL=3, CK:CK+Sheet2!B188, IF(CL:CL=4, CK:CK+Sheet2!B189, IF(CL:CL=7, CK:CK+Sheet2!B190,"")))))</f>
        <v>-2.10580486320853</v>
      </c>
      <c r="DE68" s="69">
        <f t="shared" si="111"/>
        <v>4</v>
      </c>
      <c r="DF68" s="2">
        <v>2</v>
      </c>
      <c r="DG68" s="2">
        <v>36</v>
      </c>
      <c r="DH68" s="2">
        <v>1</v>
      </c>
      <c r="DI68" s="2">
        <v>2</v>
      </c>
      <c r="DJ68" s="2">
        <v>2</v>
      </c>
      <c r="DK68" s="2">
        <v>120</v>
      </c>
      <c r="DL68" s="2">
        <v>80</v>
      </c>
      <c r="DM68" s="2" t="s">
        <v>12</v>
      </c>
      <c r="DN68" s="2" t="s">
        <v>12</v>
      </c>
      <c r="DO68" s="2" t="s">
        <v>12</v>
      </c>
      <c r="DP68" s="2" t="s">
        <v>12</v>
      </c>
      <c r="DQ68" s="2">
        <v>1</v>
      </c>
      <c r="DR68" s="2">
        <v>30</v>
      </c>
      <c r="DS68" s="2">
        <v>2</v>
      </c>
      <c r="DT68" s="2">
        <v>74</v>
      </c>
      <c r="DU68" s="2">
        <v>84</v>
      </c>
      <c r="DV68" s="2">
        <v>3</v>
      </c>
      <c r="DW68" s="2">
        <v>2</v>
      </c>
      <c r="DX68" s="2">
        <v>2</v>
      </c>
      <c r="DY68" s="2">
        <v>3</v>
      </c>
      <c r="DZ68" s="2">
        <v>26</v>
      </c>
      <c r="EA68" s="2" t="s">
        <v>12</v>
      </c>
      <c r="EB68" s="2">
        <v>48</v>
      </c>
      <c r="EC68" s="2" t="s">
        <v>12</v>
      </c>
      <c r="ED68" s="2">
        <v>1</v>
      </c>
    </row>
    <row r="69" spans="3:134" x14ac:dyDescent="0.25">
      <c r="C69" s="8" t="s">
        <v>335</v>
      </c>
      <c r="D69" s="2">
        <v>2461058512</v>
      </c>
      <c r="E69" s="5">
        <v>7</v>
      </c>
      <c r="F69" s="2">
        <v>2</v>
      </c>
      <c r="G69" s="2">
        <v>57</v>
      </c>
      <c r="H69" s="2">
        <v>-1.5482335817165109</v>
      </c>
      <c r="I69" s="2">
        <v>50</v>
      </c>
      <c r="J69" s="2">
        <v>6.1168777667580831E-2</v>
      </c>
      <c r="K69" s="2">
        <v>2900</v>
      </c>
      <c r="L69" s="2">
        <v>-0.95643865409467577</v>
      </c>
      <c r="M69" s="2">
        <v>1.0924</v>
      </c>
      <c r="N69" s="2">
        <f t="shared" si="69"/>
        <v>1.1459167908582555</v>
      </c>
      <c r="O69" s="2">
        <f t="shared" si="70"/>
        <v>1.0924</v>
      </c>
      <c r="P69" s="2">
        <v>64.5</v>
      </c>
      <c r="Q69" s="2">
        <v>-1.47</v>
      </c>
      <c r="R69" s="5">
        <f t="shared" si="71"/>
        <v>-0.81558438883379047</v>
      </c>
      <c r="S69" s="5">
        <f t="shared" si="72"/>
        <v>-1.47</v>
      </c>
      <c r="T69" s="2">
        <v>7900</v>
      </c>
      <c r="U69" s="2">
        <v>-0.04</v>
      </c>
      <c r="V69" s="2">
        <f t="shared" si="73"/>
        <v>0.28821932704733788</v>
      </c>
      <c r="W69" s="2">
        <f t="shared" si="74"/>
        <v>-0.04</v>
      </c>
      <c r="X69" s="2">
        <v>0.74360000000000004</v>
      </c>
      <c r="Y69" s="76">
        <f t="shared" si="112"/>
        <v>2.291833581716511</v>
      </c>
      <c r="Z69" s="76">
        <f t="shared" si="113"/>
        <v>2</v>
      </c>
      <c r="AA69" s="2">
        <f t="shared" si="75"/>
        <v>0.71934999999999993</v>
      </c>
      <c r="AB69" s="2">
        <f t="shared" si="76"/>
        <v>0.74360000000000004</v>
      </c>
      <c r="AC69" s="2">
        <v>72</v>
      </c>
      <c r="AD69" s="2">
        <v>-1.57</v>
      </c>
      <c r="AE69" s="79">
        <f t="shared" si="114"/>
        <v>-1.6311687776675809</v>
      </c>
      <c r="AF69" s="79">
        <f t="shared" si="115"/>
        <v>-2</v>
      </c>
      <c r="AG69" s="2">
        <f t="shared" si="77"/>
        <v>0.17000000000000004</v>
      </c>
      <c r="AH69" s="2">
        <f t="shared" si="78"/>
        <v>-1.57</v>
      </c>
      <c r="AI69" s="2">
        <v>9250</v>
      </c>
      <c r="AJ69" s="2">
        <v>-0.38</v>
      </c>
      <c r="AK69" s="76">
        <f t="shared" si="116"/>
        <v>0.57643865409467576</v>
      </c>
      <c r="AL69" s="76">
        <f t="shared" si="117"/>
        <v>1</v>
      </c>
      <c r="AM69" s="2">
        <f t="shared" si="79"/>
        <v>-0.33999999999999997</v>
      </c>
      <c r="AN69" s="2">
        <f t="shared" si="80"/>
        <v>-0.38</v>
      </c>
      <c r="AO69" s="2">
        <v>-3.1300000000000001E-2</v>
      </c>
      <c r="AP69" s="2">
        <f t="shared" si="81"/>
        <v>0.10248928505755717</v>
      </c>
      <c r="AQ69" s="2">
        <f t="shared" si="82"/>
        <v>-3.1300000000000001E-2</v>
      </c>
      <c r="AR69" s="2">
        <v>75</v>
      </c>
      <c r="AS69" s="2">
        <v>-1.1299999999999999</v>
      </c>
      <c r="AT69" s="2">
        <f t="shared" si="83"/>
        <v>-0.19247745727585097</v>
      </c>
      <c r="AU69" s="2">
        <f t="shared" si="84"/>
        <v>-1.1299999999999999</v>
      </c>
      <c r="AV69" s="2">
        <v>10100</v>
      </c>
      <c r="AW69" s="2">
        <v>-0.72</v>
      </c>
      <c r="AX69" s="2">
        <f t="shared" si="85"/>
        <v>-0.28920338178308169</v>
      </c>
      <c r="AY69" s="2">
        <f t="shared" si="86"/>
        <v>-0.72</v>
      </c>
      <c r="AZ69" s="2">
        <v>0.94857857011511437</v>
      </c>
      <c r="BA69" s="78">
        <f t="shared" si="118"/>
        <v>0.20497857011511433</v>
      </c>
      <c r="BB69" s="78">
        <f t="shared" si="119"/>
        <v>1</v>
      </c>
      <c r="BC69" s="2">
        <f t="shared" si="87"/>
        <v>0.31982219207763635</v>
      </c>
      <c r="BD69" s="2">
        <f t="shared" si="88"/>
        <v>0.94857857011511437</v>
      </c>
      <c r="BE69" s="67">
        <f t="shared" si="120"/>
        <v>7</v>
      </c>
      <c r="BF69" s="2">
        <v>80</v>
      </c>
      <c r="BG69" s="2">
        <v>-1.954954914551702</v>
      </c>
      <c r="BH69" s="2">
        <f t="shared" si="89"/>
        <v>-0.38381921086382542</v>
      </c>
      <c r="BI69" s="2">
        <f t="shared" si="90"/>
        <v>-1.954954914551702</v>
      </c>
      <c r="BJ69" s="67">
        <f t="shared" si="91"/>
        <v>7</v>
      </c>
      <c r="BK69" s="2">
        <v>11500</v>
      </c>
      <c r="BL69" s="2">
        <v>-0.95840676356616339</v>
      </c>
      <c r="BM69" s="77">
        <f t="shared" si="121"/>
        <v>-0.57840676356616338</v>
      </c>
      <c r="BN69" s="77">
        <f t="shared" si="122"/>
        <v>-1</v>
      </c>
      <c r="BO69" s="2">
        <f t="shared" si="92"/>
        <v>-7.5213367580838963E-2</v>
      </c>
      <c r="BP69" s="2">
        <f t="shared" si="93"/>
        <v>-0.95840676356616339</v>
      </c>
      <c r="BQ69" s="67">
        <f t="shared" si="123"/>
        <v>7</v>
      </c>
      <c r="BR69" s="5">
        <v>0.92816657623290899</v>
      </c>
      <c r="BS69" s="75">
        <f t="shared" si="124"/>
        <v>-2.0411993882205381E-2</v>
      </c>
      <c r="BT69" s="75">
        <f t="shared" si="125"/>
        <v>-1</v>
      </c>
      <c r="BU69" s="5">
        <f t="shared" si="132"/>
        <v>6.2131886882964338E-2</v>
      </c>
      <c r="BV69" s="5">
        <f t="shared" si="94"/>
        <v>0.92816657623290899</v>
      </c>
      <c r="BW69" s="69">
        <f t="shared" si="95"/>
        <v>7</v>
      </c>
      <c r="BX69" s="2">
        <v>87</v>
      </c>
      <c r="BY69" s="5">
        <v>-2.2814576325914762</v>
      </c>
      <c r="BZ69" s="74">
        <f t="shared" si="126"/>
        <v>-1.3230508690253129</v>
      </c>
      <c r="CA69" s="74">
        <f t="shared" si="127"/>
        <v>-2</v>
      </c>
      <c r="CB69" s="5">
        <f t="shared" si="96"/>
        <v>-3.3965491967213102E-2</v>
      </c>
      <c r="CC69" s="5">
        <f t="shared" si="97"/>
        <v>-2.2814576325914762</v>
      </c>
      <c r="CD69" s="2">
        <f t="shared" si="98"/>
        <v>-0.32650271803977415</v>
      </c>
      <c r="CE69" s="69">
        <f t="shared" si="99"/>
        <v>6</v>
      </c>
      <c r="CF69" s="5">
        <v>13000</v>
      </c>
      <c r="CG69" s="5">
        <v>-0.94564010274251686</v>
      </c>
      <c r="CH69" s="72">
        <f t="shared" si="128"/>
        <v>1.2766660823646525E-2</v>
      </c>
      <c r="CI69" s="72">
        <f t="shared" si="129"/>
        <v>1</v>
      </c>
      <c r="CJ69" s="5">
        <f t="shared" si="100"/>
        <v>0.11461837742638781</v>
      </c>
      <c r="CK69" s="5">
        <f t="shared" si="101"/>
        <v>-0.94564010274251686</v>
      </c>
      <c r="CL69" s="69">
        <f t="shared" si="102"/>
        <v>7</v>
      </c>
      <c r="CM69" s="5">
        <v>1.072842343881043</v>
      </c>
      <c r="CN69" s="70">
        <f t="shared" si="103"/>
        <v>0.14467576764813406</v>
      </c>
      <c r="CO69" s="5">
        <f t="shared" si="104"/>
        <v>0.14467576764813406</v>
      </c>
      <c r="CP69" s="5">
        <f>IF(G69&lt;48,"UF", IF(NOT(ISBLANK(CM:CM)), CM:CM, IF(BW:BW=1, BV:BV+Sheet2!B564, IF(Sheet1!BW:BW=2, Sheet1!BV:BV+Sheet2!B565, IF(Sheet1!BW:BW=7, Sheet1!BV:BV+Sheet2!B566,"")))))</f>
        <v>1.072842343881043</v>
      </c>
      <c r="CQ69" s="69">
        <f t="shared" si="130"/>
        <v>7</v>
      </c>
      <c r="CR69" s="5">
        <v>94</v>
      </c>
      <c r="CS69" s="5">
        <v>-2.0228858984861282</v>
      </c>
      <c r="CT69" s="5">
        <f t="shared" si="105"/>
        <v>0.25857173410534795</v>
      </c>
      <c r="CU69" s="80">
        <f t="shared" si="106"/>
        <v>0.25857173410534795</v>
      </c>
      <c r="CV69" s="80">
        <f t="shared" si="107"/>
        <v>1</v>
      </c>
      <c r="CW69" s="20">
        <f>IF(G69&lt;48,"UF", IF(NOT(ISBLANK(CS69)), CS69, IF(CE69=5, CC69+Sheet2!B553, IF(CE69=6, CC69+Sheet2!B554, IF(CE69=7, CC69+Sheet2!B555,"")))))</f>
        <v>-2.0228858984861282</v>
      </c>
      <c r="CX69" s="68">
        <f t="shared" si="131"/>
        <v>6</v>
      </c>
      <c r="CY69" s="5">
        <v>15000</v>
      </c>
      <c r="CZ69" s="5">
        <v>-0.72917000871338777</v>
      </c>
      <c r="DA69" s="5">
        <f t="shared" si="108"/>
        <v>0.21647009402912909</v>
      </c>
      <c r="DB69" s="73">
        <f t="shared" si="109"/>
        <v>0.21647009402912909</v>
      </c>
      <c r="DC69" s="73">
        <f t="shared" si="110"/>
        <v>1</v>
      </c>
      <c r="DD69" s="5">
        <f>IF(G69&lt;48,"UF", IF(NOT(ISBLANK(CZ:CZ)), CZ:CZ, IF(CL:CL=3, CK:CK+Sheet2!B558, IF(CL:CL=4, CK:CK+Sheet2!B559, IF(CL:CL=7, CK:CK+Sheet2!B560,"")))))</f>
        <v>-0.72917000871338777</v>
      </c>
      <c r="DE69" s="69">
        <f t="shared" si="111"/>
        <v>7</v>
      </c>
      <c r="DF69" s="2">
        <v>1</v>
      </c>
      <c r="DG69" s="2">
        <v>26</v>
      </c>
      <c r="DH69" s="2">
        <v>2</v>
      </c>
      <c r="DI69" s="2">
        <v>2</v>
      </c>
      <c r="DJ69" s="2">
        <v>2</v>
      </c>
      <c r="DK69" s="2">
        <v>110</v>
      </c>
      <c r="DL69" s="2">
        <v>70</v>
      </c>
      <c r="DM69" s="2" t="s">
        <v>12</v>
      </c>
      <c r="DN69" s="2" t="s">
        <v>12</v>
      </c>
      <c r="DO69" s="2" t="s">
        <v>12</v>
      </c>
      <c r="DP69" s="2" t="s">
        <v>12</v>
      </c>
      <c r="DQ69" s="2">
        <v>2</v>
      </c>
      <c r="DR69" s="2">
        <v>39</v>
      </c>
      <c r="DS69" s="2">
        <v>2</v>
      </c>
      <c r="DT69" s="2">
        <v>87</v>
      </c>
      <c r="DU69" s="2">
        <v>70</v>
      </c>
      <c r="DV69" s="2">
        <v>2</v>
      </c>
      <c r="DW69" s="2">
        <v>2</v>
      </c>
      <c r="DX69" s="2">
        <v>2</v>
      </c>
      <c r="DY69" s="2">
        <v>3</v>
      </c>
      <c r="DZ69" s="2">
        <v>35</v>
      </c>
      <c r="EA69" s="2">
        <v>35</v>
      </c>
      <c r="EB69" s="2">
        <v>45</v>
      </c>
      <c r="EC69" s="2">
        <v>1</v>
      </c>
      <c r="ED69" s="2">
        <v>1</v>
      </c>
    </row>
    <row r="70" spans="3:134" x14ac:dyDescent="0.25">
      <c r="C70" s="8" t="s">
        <v>334</v>
      </c>
      <c r="D70" s="2">
        <v>2461062285</v>
      </c>
      <c r="E70" s="5">
        <v>7</v>
      </c>
      <c r="F70" s="2">
        <v>1</v>
      </c>
      <c r="G70" s="2">
        <v>52</v>
      </c>
      <c r="H70" s="2">
        <v>-3.5605785088077448</v>
      </c>
      <c r="I70" s="2">
        <v>49</v>
      </c>
      <c r="J70" s="2">
        <v>-7.9294265603816944E-2</v>
      </c>
      <c r="K70" s="2">
        <v>2300</v>
      </c>
      <c r="L70" s="2">
        <v>-2.251975271985406</v>
      </c>
      <c r="M70" s="2">
        <v>2.3165</v>
      </c>
      <c r="N70" s="2" t="str">
        <f t="shared" si="69"/>
        <v/>
      </c>
      <c r="O70" s="2">
        <f t="shared" si="70"/>
        <v>2.3165</v>
      </c>
      <c r="P70" s="2">
        <v>63</v>
      </c>
      <c r="Q70" s="2">
        <v>-1.21</v>
      </c>
      <c r="R70" s="5" t="str">
        <f t="shared" si="71"/>
        <v/>
      </c>
      <c r="S70" s="5">
        <f t="shared" si="72"/>
        <v>-1.21</v>
      </c>
      <c r="T70" s="2">
        <v>8300</v>
      </c>
      <c r="U70" s="2">
        <v>1.05</v>
      </c>
      <c r="V70" s="2" t="str">
        <f t="shared" si="73"/>
        <v/>
      </c>
      <c r="W70" s="2">
        <f t="shared" si="74"/>
        <v>1.05</v>
      </c>
      <c r="Y70" s="76">
        <f t="shared" si="112"/>
        <v>6.8462785088077451</v>
      </c>
      <c r="Z70" s="76">
        <f t="shared" si="113"/>
        <v>2</v>
      </c>
      <c r="AA70" s="2">
        <f t="shared" si="75"/>
        <v>0.96920000000000006</v>
      </c>
      <c r="AB70" s="2">
        <f t="shared" si="76"/>
        <v>3.2857000000000003</v>
      </c>
      <c r="AC70" s="2" t="s">
        <v>12</v>
      </c>
      <c r="AE70" s="79">
        <f t="shared" si="114"/>
        <v>-0.47570573439618302</v>
      </c>
      <c r="AF70" s="79">
        <f t="shared" si="115"/>
        <v>-1</v>
      </c>
      <c r="AG70" s="2">
        <f t="shared" si="77"/>
        <v>0.65500000000000003</v>
      </c>
      <c r="AH70" s="2">
        <f t="shared" si="78"/>
        <v>-0.55499999999999994</v>
      </c>
      <c r="AI70" s="2" t="s">
        <v>12</v>
      </c>
      <c r="AK70" s="76">
        <f t="shared" si="116"/>
        <v>3.066975271985406</v>
      </c>
      <c r="AL70" s="76">
        <f t="shared" si="117"/>
        <v>2</v>
      </c>
      <c r="AM70" s="2">
        <f t="shared" si="79"/>
        <v>-0.23500000000000004</v>
      </c>
      <c r="AN70" s="2">
        <f t="shared" si="80"/>
        <v>0.81499999999999995</v>
      </c>
      <c r="AO70" s="2">
        <v>0.72840000000000005</v>
      </c>
      <c r="AP70" s="2" t="str">
        <f t="shared" si="81"/>
        <v/>
      </c>
      <c r="AQ70" s="2">
        <f t="shared" si="82"/>
        <v>0.72840000000000005</v>
      </c>
      <c r="AR70" s="2">
        <v>81</v>
      </c>
      <c r="AS70" s="2">
        <v>0.1</v>
      </c>
      <c r="AT70" s="2" t="str">
        <f t="shared" si="83"/>
        <v/>
      </c>
      <c r="AU70" s="2">
        <f t="shared" si="84"/>
        <v>0.1</v>
      </c>
      <c r="AV70" s="2">
        <v>11000</v>
      </c>
      <c r="AW70" s="2">
        <v>0.57999999999999996</v>
      </c>
      <c r="AX70" s="2" t="str">
        <f t="shared" si="85"/>
        <v/>
      </c>
      <c r="AY70" s="2">
        <f t="shared" si="86"/>
        <v>0.57999999999999996</v>
      </c>
      <c r="BA70" s="78" t="e">
        <f t="shared" si="118"/>
        <v>#VALUE!</v>
      </c>
      <c r="BB70" s="78" t="e">
        <f t="shared" si="119"/>
        <v>#VALUE!</v>
      </c>
      <c r="BC70" s="2" t="str">
        <f t="shared" si="87"/>
        <v/>
      </c>
      <c r="BD70" s="2" t="e">
        <f t="shared" si="88"/>
        <v>#VALUE!</v>
      </c>
      <c r="BE70" s="67" t="e">
        <f t="shared" si="120"/>
        <v>#VALUE!</v>
      </c>
      <c r="BF70" s="2" t="s">
        <v>12</v>
      </c>
      <c r="BH70" s="2" t="str">
        <f t="shared" si="89"/>
        <v/>
      </c>
      <c r="BI70" s="2" t="e">
        <f t="shared" si="90"/>
        <v>#VALUE!</v>
      </c>
      <c r="BJ70" s="67" t="e">
        <f t="shared" si="91"/>
        <v>#VALUE!</v>
      </c>
      <c r="BK70" s="2" t="s">
        <v>12</v>
      </c>
      <c r="BM70" s="77" t="e">
        <f t="shared" si="121"/>
        <v>#VALUE!</v>
      </c>
      <c r="BN70" s="77" t="e">
        <f t="shared" si="122"/>
        <v>#VALUE!</v>
      </c>
      <c r="BO70" s="2" t="str">
        <f t="shared" si="92"/>
        <v/>
      </c>
      <c r="BP70" s="2" t="e">
        <f t="shared" si="93"/>
        <v>#VALUE!</v>
      </c>
      <c r="BQ70" s="67" t="e">
        <f t="shared" si="123"/>
        <v>#VALUE!</v>
      </c>
      <c r="BS70" s="75" t="e">
        <f t="shared" si="124"/>
        <v>#VALUE!</v>
      </c>
      <c r="BT70" s="75" t="e">
        <f t="shared" si="125"/>
        <v>#VALUE!</v>
      </c>
      <c r="BU70" s="5" t="str">
        <f t="shared" si="132"/>
        <v/>
      </c>
      <c r="BV70" s="5" t="e">
        <f t="shared" si="94"/>
        <v>#VALUE!</v>
      </c>
      <c r="BW70" s="69" t="e">
        <f t="shared" si="95"/>
        <v>#VALUE!</v>
      </c>
      <c r="BX70" s="2" t="s">
        <v>12</v>
      </c>
      <c r="BZ70" s="74" t="e">
        <f t="shared" si="126"/>
        <v>#VALUE!</v>
      </c>
      <c r="CA70" s="74" t="e">
        <f t="shared" si="127"/>
        <v>#VALUE!</v>
      </c>
      <c r="CB70" s="5" t="str">
        <f t="shared" si="96"/>
        <v/>
      </c>
      <c r="CC70" s="5" t="e">
        <f t="shared" si="97"/>
        <v>#VALUE!</v>
      </c>
      <c r="CD70" s="2" t="e">
        <f t="shared" si="98"/>
        <v>#VALUE!</v>
      </c>
      <c r="CE70" s="69" t="e">
        <f t="shared" si="99"/>
        <v>#VALUE!</v>
      </c>
      <c r="CF70" s="5" t="s">
        <v>12</v>
      </c>
      <c r="CH70" s="72" t="e">
        <f t="shared" si="128"/>
        <v>#VALUE!</v>
      </c>
      <c r="CI70" s="72" t="e">
        <f t="shared" si="129"/>
        <v>#VALUE!</v>
      </c>
      <c r="CJ70" s="5" t="str">
        <f t="shared" si="100"/>
        <v/>
      </c>
      <c r="CK70" s="5" t="e">
        <f t="shared" si="101"/>
        <v>#VALUE!</v>
      </c>
      <c r="CL70" s="69" t="e">
        <f t="shared" si="102"/>
        <v>#VALUE!</v>
      </c>
      <c r="CN70" s="70" t="str">
        <f t="shared" si="103"/>
        <v/>
      </c>
      <c r="CO70" s="5" t="e">
        <f t="shared" si="104"/>
        <v>#VALUE!</v>
      </c>
      <c r="CP70" s="5" t="e">
        <f>IF(G70&lt;48,"UF", IF(NOT(ISBLANK(CM:CM)), CM:CM, IF(BW:BW=1, BV:BV+Sheet2!B563, IF(Sheet1!BW:BW=2, Sheet1!BV:BV+Sheet2!B564, IF(Sheet1!BW:BW=7, Sheet1!BV:BV+Sheet2!B565,"")))))</f>
        <v>#VALUE!</v>
      </c>
      <c r="CQ70" s="69" t="e">
        <f t="shared" si="130"/>
        <v>#VALUE!</v>
      </c>
      <c r="CR70" s="5" t="s">
        <v>12</v>
      </c>
      <c r="CT70" s="5" t="str">
        <f t="shared" si="105"/>
        <v/>
      </c>
      <c r="CU70" s="80" t="e">
        <f t="shared" si="106"/>
        <v>#VALUE!</v>
      </c>
      <c r="CV70" s="80" t="e">
        <f t="shared" si="107"/>
        <v>#VALUE!</v>
      </c>
      <c r="CW70" s="20" t="e">
        <f>IF(G70&lt;48,"UF", IF(NOT(ISBLANK(CS70)), CS70, IF(CE70=5, CC70+Sheet2!B552, IF(CE70=6, CC70+Sheet2!B553, IF(CE70=7, CC70+Sheet2!B554,"")))))</f>
        <v>#VALUE!</v>
      </c>
      <c r="CX70" s="68" t="e">
        <f t="shared" si="131"/>
        <v>#VALUE!</v>
      </c>
      <c r="CY70" s="5" t="s">
        <v>12</v>
      </c>
      <c r="DA70" s="5" t="str">
        <f t="shared" si="108"/>
        <v/>
      </c>
      <c r="DB70" s="73" t="e">
        <f t="shared" si="109"/>
        <v>#VALUE!</v>
      </c>
      <c r="DC70" s="73" t="e">
        <f t="shared" si="110"/>
        <v>#VALUE!</v>
      </c>
      <c r="DD70" s="5" t="e">
        <f>IF(G70&lt;48,"UF", IF(NOT(ISBLANK(CZ:CZ)), CZ:CZ, IF(CL:CL=3, CK:CK+Sheet2!B557, IF(CL:CL=4, CK:CK+Sheet2!B558, IF(CL:CL=7, CK:CK+Sheet2!B559,"")))))</f>
        <v>#VALUE!</v>
      </c>
      <c r="DE70" s="69" t="e">
        <f t="shared" si="111"/>
        <v>#VALUE!</v>
      </c>
      <c r="DF70" s="2" t="s">
        <v>462</v>
      </c>
      <c r="DG70" s="2">
        <v>27</v>
      </c>
      <c r="DH70" s="2">
        <v>2</v>
      </c>
      <c r="DI70" s="2">
        <v>2</v>
      </c>
      <c r="DJ70" s="2">
        <v>2</v>
      </c>
      <c r="DK70" s="2">
        <v>105</v>
      </c>
      <c r="DL70" s="2">
        <v>60</v>
      </c>
      <c r="DM70" s="2">
        <v>106</v>
      </c>
      <c r="DN70" s="2">
        <v>58</v>
      </c>
      <c r="DO70" s="2" t="s">
        <v>12</v>
      </c>
      <c r="DP70" s="2" t="s">
        <v>12</v>
      </c>
      <c r="DQ70" s="2">
        <v>1</v>
      </c>
      <c r="DR70" s="2">
        <v>35</v>
      </c>
      <c r="DS70" s="2">
        <v>2</v>
      </c>
      <c r="DT70" s="2">
        <v>85</v>
      </c>
      <c r="DU70" s="2" t="s">
        <v>12</v>
      </c>
      <c r="DV70" s="2">
        <v>3</v>
      </c>
      <c r="DW70" s="2">
        <v>3</v>
      </c>
      <c r="DX70" s="2">
        <v>2</v>
      </c>
      <c r="DY70" s="2">
        <v>3</v>
      </c>
      <c r="DZ70" s="2">
        <v>35</v>
      </c>
      <c r="EA70" s="2" t="s">
        <v>12</v>
      </c>
      <c r="EB70" s="2">
        <v>45</v>
      </c>
      <c r="EC70" s="2" t="s">
        <v>12</v>
      </c>
      <c r="ED70" s="2">
        <v>1</v>
      </c>
    </row>
    <row r="71" spans="3:134" x14ac:dyDescent="0.25">
      <c r="C71" s="8" t="s">
        <v>336</v>
      </c>
      <c r="D71" s="2">
        <v>2461062927</v>
      </c>
      <c r="E71" s="5">
        <v>7</v>
      </c>
      <c r="F71" s="2">
        <v>2</v>
      </c>
      <c r="G71" s="2">
        <v>55</v>
      </c>
      <c r="H71" s="2">
        <v>-0.22004450726875921</v>
      </c>
      <c r="I71" s="2">
        <v>52</v>
      </c>
      <c r="J71" s="2">
        <v>1.117633928075521</v>
      </c>
      <c r="K71" s="2">
        <v>3550</v>
      </c>
      <c r="L71" s="2">
        <v>0.40867588260998888</v>
      </c>
      <c r="M71" s="2">
        <v>1.0384</v>
      </c>
      <c r="N71" s="2">
        <f t="shared" si="69"/>
        <v>0.87327225363437955</v>
      </c>
      <c r="O71" s="2">
        <f t="shared" si="70"/>
        <v>1.0384</v>
      </c>
      <c r="P71" s="2">
        <v>69</v>
      </c>
      <c r="Q71" s="2">
        <v>0.63</v>
      </c>
      <c r="R71" s="5">
        <f t="shared" si="71"/>
        <v>-0.50381696403776044</v>
      </c>
      <c r="S71" s="5">
        <f t="shared" si="72"/>
        <v>0.63</v>
      </c>
      <c r="T71" s="2">
        <v>9000</v>
      </c>
      <c r="U71" s="2">
        <v>1.1499999999999999</v>
      </c>
      <c r="V71" s="2">
        <f t="shared" si="73"/>
        <v>0.40066205869500554</v>
      </c>
      <c r="W71" s="2">
        <f t="shared" si="74"/>
        <v>1.1499999999999999</v>
      </c>
      <c r="X71" s="2">
        <v>1.5265</v>
      </c>
      <c r="Y71" s="76">
        <f t="shared" si="112"/>
        <v>1.7465445072687591</v>
      </c>
      <c r="Z71" s="76">
        <f t="shared" si="113"/>
        <v>2</v>
      </c>
      <c r="AA71" s="2">
        <f t="shared" si="75"/>
        <v>0.49820000000000003</v>
      </c>
      <c r="AB71" s="2">
        <f t="shared" si="76"/>
        <v>1.5265</v>
      </c>
      <c r="AC71" s="2">
        <v>76</v>
      </c>
      <c r="AD71" s="2">
        <v>0.11</v>
      </c>
      <c r="AE71" s="79">
        <f t="shared" si="114"/>
        <v>-1.0076339280755209</v>
      </c>
      <c r="AF71" s="79">
        <f t="shared" si="115"/>
        <v>-2</v>
      </c>
      <c r="AG71" s="2">
        <f t="shared" si="77"/>
        <v>-8.4999999999999992E-2</v>
      </c>
      <c r="AH71" s="2">
        <f t="shared" si="78"/>
        <v>0.11</v>
      </c>
      <c r="AI71" s="2">
        <v>11000</v>
      </c>
      <c r="AJ71" s="2">
        <v>1.21</v>
      </c>
      <c r="AK71" s="76">
        <f t="shared" si="116"/>
        <v>0.80132411739001108</v>
      </c>
      <c r="AL71" s="76">
        <f t="shared" si="117"/>
        <v>2</v>
      </c>
      <c r="AM71" s="2">
        <f t="shared" si="79"/>
        <v>0.15000000000000002</v>
      </c>
      <c r="AN71" s="2">
        <f t="shared" si="80"/>
        <v>1.21</v>
      </c>
      <c r="AO71" s="2">
        <v>1.6264000000000001</v>
      </c>
      <c r="AP71" s="2">
        <f t="shared" si="81"/>
        <v>-0.71889245696333826</v>
      </c>
      <c r="AQ71" s="2">
        <f t="shared" si="82"/>
        <v>1.6264000000000001</v>
      </c>
      <c r="AR71" s="2">
        <v>83.5</v>
      </c>
      <c r="AS71" s="2">
        <v>0.46</v>
      </c>
      <c r="AT71" s="2">
        <f t="shared" si="83"/>
        <v>0.39227093514407363</v>
      </c>
      <c r="AU71" s="2">
        <f t="shared" si="84"/>
        <v>0.46</v>
      </c>
      <c r="AV71" s="2">
        <v>12850</v>
      </c>
      <c r="AW71" s="2">
        <v>1.45</v>
      </c>
      <c r="AX71" s="2">
        <f t="shared" si="85"/>
        <v>-0.33938310763569535</v>
      </c>
      <c r="AY71" s="2">
        <f t="shared" si="86"/>
        <v>1.45</v>
      </c>
      <c r="AZ71" s="2">
        <v>8.871508607332354E-2</v>
      </c>
      <c r="BA71" s="78">
        <f t="shared" si="118"/>
        <v>-1.4377849139266765</v>
      </c>
      <c r="BB71" s="78">
        <f t="shared" si="119"/>
        <v>-2</v>
      </c>
      <c r="BC71" s="2">
        <f t="shared" si="87"/>
        <v>-0.36200668407928344</v>
      </c>
      <c r="BD71" s="2">
        <f t="shared" si="88"/>
        <v>8.871508607332354E-2</v>
      </c>
      <c r="BE71" s="67">
        <f t="shared" si="120"/>
        <v>7</v>
      </c>
      <c r="BF71" s="2">
        <v>90</v>
      </c>
      <c r="BG71" s="2">
        <v>0.89454187028814725</v>
      </c>
      <c r="BH71" s="2">
        <f t="shared" si="89"/>
        <v>7.7417042560706903E-2</v>
      </c>
      <c r="BI71" s="2">
        <f t="shared" si="90"/>
        <v>0.89454187028814725</v>
      </c>
      <c r="BJ71" s="67">
        <f t="shared" si="91"/>
        <v>7</v>
      </c>
      <c r="BK71" s="2">
        <v>13500</v>
      </c>
      <c r="BL71" s="2">
        <v>0.53123378472860927</v>
      </c>
      <c r="BM71" s="77">
        <f t="shared" si="121"/>
        <v>-0.67876621527139069</v>
      </c>
      <c r="BN71" s="77">
        <f t="shared" si="122"/>
        <v>-2</v>
      </c>
      <c r="BO71" s="2">
        <f t="shared" si="92"/>
        <v>-0.17997240400102407</v>
      </c>
      <c r="BP71" s="2">
        <f t="shared" si="93"/>
        <v>0.53123378472860927</v>
      </c>
      <c r="BQ71" s="67">
        <f t="shared" si="123"/>
        <v>7</v>
      </c>
      <c r="BR71" s="5">
        <v>0.54037994776214981</v>
      </c>
      <c r="BS71" s="75">
        <f t="shared" si="124"/>
        <v>0.45166486168882625</v>
      </c>
      <c r="BT71" s="75">
        <f t="shared" si="125"/>
        <v>1</v>
      </c>
      <c r="BU71" s="5">
        <f t="shared" si="132"/>
        <v>-0.41640387760235198</v>
      </c>
      <c r="BV71" s="5">
        <f t="shared" si="94"/>
        <v>0.54037994776214981</v>
      </c>
      <c r="BW71" s="69">
        <f t="shared" si="95"/>
        <v>7</v>
      </c>
      <c r="BX71" s="2">
        <v>98</v>
      </c>
      <c r="BY71" s="5">
        <v>0.69225112768212071</v>
      </c>
      <c r="BZ71" s="74">
        <f t="shared" si="126"/>
        <v>0.16101734295351144</v>
      </c>
      <c r="CA71" s="74">
        <f t="shared" si="127"/>
        <v>1</v>
      </c>
      <c r="CB71" s="5">
        <f t="shared" si="96"/>
        <v>8.0411115770717412E-2</v>
      </c>
      <c r="CC71" s="5">
        <f t="shared" si="97"/>
        <v>0.69225112768212071</v>
      </c>
      <c r="CD71" s="2">
        <f t="shared" si="98"/>
        <v>-0.20229074260602653</v>
      </c>
      <c r="CE71" s="69">
        <f t="shared" si="99"/>
        <v>7</v>
      </c>
      <c r="CF71" s="5">
        <v>16000</v>
      </c>
      <c r="CG71" s="5">
        <v>0.91008278799692777</v>
      </c>
      <c r="CH71" s="72">
        <f t="shared" si="128"/>
        <v>0.3788490032683185</v>
      </c>
      <c r="CI71" s="72">
        <f t="shared" si="129"/>
        <v>1</v>
      </c>
      <c r="CJ71" s="5">
        <f t="shared" si="100"/>
        <v>-9.780595367942288E-2</v>
      </c>
      <c r="CK71" s="5">
        <f t="shared" si="101"/>
        <v>0.91008278799692777</v>
      </c>
      <c r="CL71" s="69">
        <f t="shared" si="102"/>
        <v>7</v>
      </c>
      <c r="CM71" s="5">
        <v>-0.74409266913138039</v>
      </c>
      <c r="CN71" s="70">
        <f t="shared" si="103"/>
        <v>-1.2844726168935301</v>
      </c>
      <c r="CO71" s="5">
        <f t="shared" si="104"/>
        <v>-1.2844726168935301</v>
      </c>
      <c r="CP71" s="5">
        <f>IF(G71&lt;48,"UF", IF(NOT(ISBLANK(CM:CM)), CM:CM, IF(BW:BW=1, BV:BV+Sheet2!B565, IF(Sheet1!BW:BW=2, Sheet1!BV:BV+Sheet2!B566, IF(Sheet1!BW:BW=7, Sheet1!BV:BV+Sheet2!B567,"")))))</f>
        <v>-0.74409266913138039</v>
      </c>
      <c r="CQ71" s="69">
        <f t="shared" si="130"/>
        <v>7</v>
      </c>
      <c r="CR71" s="5">
        <v>107</v>
      </c>
      <c r="CS71" s="5">
        <v>1.0553641018295821</v>
      </c>
      <c r="CT71" s="5">
        <f t="shared" si="105"/>
        <v>0.36311297414746135</v>
      </c>
      <c r="CU71" s="80">
        <f t="shared" si="106"/>
        <v>0.36311297414746135</v>
      </c>
      <c r="CV71" s="80">
        <f t="shared" si="107"/>
        <v>1</v>
      </c>
      <c r="CW71" s="20">
        <f>IF(G71&lt;48,"UF", IF(NOT(ISBLANK(CS71)), CS71, IF(CE71=5, CC71+Sheet2!B554, IF(CE71=6, CC71+Sheet2!B555, IF(CE71=7, CC71+Sheet2!B556,"")))))</f>
        <v>1.0553641018295821</v>
      </c>
      <c r="CX71" s="68">
        <f t="shared" si="131"/>
        <v>7</v>
      </c>
      <c r="CY71" s="5">
        <v>17000</v>
      </c>
      <c r="CZ71" s="5">
        <v>0.33562187736976351</v>
      </c>
      <c r="DA71" s="5">
        <f t="shared" si="108"/>
        <v>-0.57446091062716431</v>
      </c>
      <c r="DB71" s="73">
        <f t="shared" si="109"/>
        <v>-0.57446091062716431</v>
      </c>
      <c r="DC71" s="73">
        <f t="shared" si="110"/>
        <v>-1</v>
      </c>
      <c r="DD71" s="5">
        <f>IF(G71&lt;48,"UF", IF(NOT(ISBLANK(CZ:CZ)), CZ:CZ, IF(CL:CL=3, CK:CK+Sheet2!B559, IF(CL:CL=4, CK:CK+Sheet2!B560, IF(CL:CL=7, CK:CK+Sheet2!B561,"")))))</f>
        <v>0.33562187736976351</v>
      </c>
      <c r="DE71" s="69">
        <f t="shared" si="111"/>
        <v>7</v>
      </c>
      <c r="DF71" s="2">
        <v>2</v>
      </c>
      <c r="DG71" s="2">
        <v>27</v>
      </c>
      <c r="DH71" s="2">
        <v>2</v>
      </c>
      <c r="DI71" s="2">
        <v>2</v>
      </c>
      <c r="DJ71" s="2">
        <v>2</v>
      </c>
      <c r="DK71" s="2">
        <v>120</v>
      </c>
      <c r="DL71" s="2">
        <v>70</v>
      </c>
      <c r="DM71" s="2" t="s">
        <v>12</v>
      </c>
      <c r="DN71" s="2" t="s">
        <v>12</v>
      </c>
      <c r="DO71" s="2">
        <v>120</v>
      </c>
      <c r="DP71" s="2">
        <v>80</v>
      </c>
      <c r="DQ71" s="2">
        <v>2</v>
      </c>
      <c r="DR71" s="2">
        <v>39</v>
      </c>
      <c r="DS71" s="2">
        <v>2</v>
      </c>
      <c r="DT71" s="2">
        <v>82</v>
      </c>
      <c r="DU71" s="2">
        <v>86</v>
      </c>
      <c r="DV71" s="2">
        <v>2</v>
      </c>
      <c r="DW71" s="2">
        <v>2</v>
      </c>
      <c r="DX71" s="2">
        <v>2</v>
      </c>
      <c r="DY71" s="2">
        <v>2</v>
      </c>
      <c r="DZ71" s="2">
        <v>35.5</v>
      </c>
      <c r="EA71" s="2">
        <v>36.700000000000003</v>
      </c>
      <c r="EB71" s="2">
        <v>47</v>
      </c>
      <c r="EC71" s="2">
        <v>1</v>
      </c>
      <c r="ED71" s="2">
        <v>1</v>
      </c>
    </row>
    <row r="72" spans="3:134" x14ac:dyDescent="0.25">
      <c r="C72" s="8" t="s">
        <v>96</v>
      </c>
      <c r="D72" s="2">
        <v>2461063052</v>
      </c>
      <c r="E72" s="5">
        <v>2</v>
      </c>
      <c r="F72" s="2">
        <v>1</v>
      </c>
      <c r="G72" s="2">
        <v>55</v>
      </c>
      <c r="H72" s="2">
        <v>-0.88650899734078814</v>
      </c>
      <c r="I72" s="2">
        <v>49</v>
      </c>
      <c r="J72" s="2">
        <v>-7.9294265603816944E-2</v>
      </c>
      <c r="K72" s="5">
        <v>2950</v>
      </c>
      <c r="L72" s="2">
        <v>-0.63359365535275136</v>
      </c>
      <c r="M72" s="2">
        <v>-1.3933</v>
      </c>
      <c r="N72" s="2">
        <f t="shared" si="69"/>
        <v>-0.37264550132960589</v>
      </c>
      <c r="O72" s="2">
        <f t="shared" si="70"/>
        <v>-1.3933</v>
      </c>
      <c r="P72" s="2">
        <v>67</v>
      </c>
      <c r="Q72" s="2">
        <v>0.55000000000000004</v>
      </c>
      <c r="R72" s="5">
        <f t="shared" si="71"/>
        <v>0.23464713280190846</v>
      </c>
      <c r="S72" s="5">
        <f t="shared" si="72"/>
        <v>0.55000000000000004</v>
      </c>
      <c r="T72" s="1">
        <v>6700</v>
      </c>
      <c r="U72" s="2">
        <v>-0.71</v>
      </c>
      <c r="V72" s="2">
        <f t="shared" si="73"/>
        <v>-0.14320317232362434</v>
      </c>
      <c r="W72" s="2">
        <f t="shared" si="74"/>
        <v>-0.71</v>
      </c>
      <c r="X72" s="2">
        <v>-1.6317999999999999</v>
      </c>
      <c r="Y72" s="76">
        <f t="shared" si="112"/>
        <v>-0.74529100265921178</v>
      </c>
      <c r="Z72" s="76">
        <f t="shared" si="113"/>
        <v>-2</v>
      </c>
      <c r="AA72" s="2">
        <f t="shared" si="75"/>
        <v>-1.2454499999999999</v>
      </c>
      <c r="AB72" s="2">
        <f t="shared" si="76"/>
        <v>-1.6317999999999999</v>
      </c>
      <c r="AC72" s="2">
        <v>75</v>
      </c>
      <c r="AD72" s="2">
        <v>0.39</v>
      </c>
      <c r="AE72" s="79">
        <f t="shared" si="114"/>
        <v>0.46929426560381693</v>
      </c>
      <c r="AF72" s="79">
        <f t="shared" si="115"/>
        <v>1</v>
      </c>
      <c r="AG72" s="2">
        <f t="shared" si="77"/>
        <v>-5.5000000000000021E-2</v>
      </c>
      <c r="AH72" s="2">
        <f t="shared" si="78"/>
        <v>0.39</v>
      </c>
      <c r="AI72" s="2">
        <v>8000</v>
      </c>
      <c r="AJ72" s="2">
        <v>-0.92</v>
      </c>
      <c r="AK72" s="76">
        <f t="shared" si="116"/>
        <v>-0.28640634464724868</v>
      </c>
      <c r="AL72" s="76">
        <f t="shared" si="117"/>
        <v>-1</v>
      </c>
      <c r="AM72" s="2">
        <f t="shared" si="79"/>
        <v>-0.17500000000000004</v>
      </c>
      <c r="AN72" s="2">
        <f t="shared" si="80"/>
        <v>-0.92</v>
      </c>
      <c r="AO72" s="2">
        <v>-1.9409000000000001</v>
      </c>
      <c r="AP72" s="2">
        <f t="shared" si="81"/>
        <v>-1.0035638257576966</v>
      </c>
      <c r="AQ72" s="2">
        <f t="shared" si="82"/>
        <v>-1.9409000000000001</v>
      </c>
      <c r="AR72" s="2">
        <v>82</v>
      </c>
      <c r="AS72" s="2">
        <v>0.44</v>
      </c>
      <c r="AT72" s="2">
        <f t="shared" si="83"/>
        <v>0.17823948795121308</v>
      </c>
      <c r="AU72" s="2">
        <f t="shared" si="84"/>
        <v>0.44</v>
      </c>
      <c r="AV72" s="2">
        <v>9000</v>
      </c>
      <c r="AW72" s="2">
        <v>-1.06</v>
      </c>
      <c r="AX72" s="2">
        <f t="shared" si="85"/>
        <v>-0.6718701183009641</v>
      </c>
      <c r="AY72" s="2">
        <f t="shared" si="86"/>
        <v>-1.06</v>
      </c>
      <c r="AZ72" s="2">
        <v>-3.638927651515393</v>
      </c>
      <c r="BA72" s="78">
        <f t="shared" si="118"/>
        <v>-2.0071276515153933</v>
      </c>
      <c r="BB72" s="78">
        <f t="shared" si="119"/>
        <v>-2</v>
      </c>
      <c r="BC72" s="2">
        <f t="shared" si="87"/>
        <v>-0.48758280896361333</v>
      </c>
      <c r="BD72" s="2">
        <f t="shared" si="88"/>
        <v>-3.638927651515393</v>
      </c>
      <c r="BE72" s="67">
        <f t="shared" si="120"/>
        <v>1</v>
      </c>
      <c r="BF72" s="2">
        <v>88</v>
      </c>
      <c r="BG72" s="2">
        <v>0.74647897590242618</v>
      </c>
      <c r="BH72" s="2">
        <f t="shared" si="89"/>
        <v>3.1295282998266374E-3</v>
      </c>
      <c r="BI72" s="2">
        <f t="shared" si="90"/>
        <v>0.74647897590242618</v>
      </c>
      <c r="BJ72" s="67">
        <f t="shared" si="91"/>
        <v>7</v>
      </c>
      <c r="BK72" s="2">
        <v>9700</v>
      </c>
      <c r="BL72" s="2">
        <v>-2.2637402366019281</v>
      </c>
      <c r="BM72" s="77">
        <f t="shared" si="121"/>
        <v>-1.3437402366019282</v>
      </c>
      <c r="BN72" s="77">
        <f t="shared" si="122"/>
        <v>-2</v>
      </c>
      <c r="BO72" s="2">
        <f t="shared" si="92"/>
        <v>-0.18218216144871735</v>
      </c>
      <c r="BP72" s="2">
        <f t="shared" si="93"/>
        <v>-2.2637402366019281</v>
      </c>
      <c r="BQ72" s="67">
        <f t="shared" si="123"/>
        <v>4</v>
      </c>
      <c r="BR72" s="5">
        <v>-3.40364842689084</v>
      </c>
      <c r="BS72" s="75">
        <f t="shared" si="124"/>
        <v>0.23527922462455297</v>
      </c>
      <c r="BT72" s="75">
        <f t="shared" si="125"/>
        <v>1</v>
      </c>
      <c r="BU72" s="5">
        <f t="shared" si="132"/>
        <v>6.7381606801460991E-2</v>
      </c>
      <c r="BV72" s="5">
        <f t="shared" si="94"/>
        <v>-3.40364842689084</v>
      </c>
      <c r="BW72" s="69">
        <f t="shared" si="95"/>
        <v>1</v>
      </c>
      <c r="BX72" s="2">
        <v>96</v>
      </c>
      <c r="BY72" s="5">
        <v>0.44938858489947991</v>
      </c>
      <c r="BZ72" s="74">
        <f t="shared" si="126"/>
        <v>2.713128821501408</v>
      </c>
      <c r="CA72" s="74">
        <f t="shared" si="127"/>
        <v>2</v>
      </c>
      <c r="CB72" s="5">
        <f t="shared" si="96"/>
        <v>7.3730676531530925E-2</v>
      </c>
      <c r="CC72" s="5">
        <f t="shared" si="97"/>
        <v>0.44938858489947991</v>
      </c>
      <c r="CD72" s="2">
        <f t="shared" si="98"/>
        <v>-0.29709039100294626</v>
      </c>
      <c r="CE72" s="69">
        <f t="shared" si="99"/>
        <v>7</v>
      </c>
      <c r="CF72" s="5">
        <v>11700</v>
      </c>
      <c r="CG72" s="5">
        <v>-1.6065464843461521</v>
      </c>
      <c r="CH72" s="72">
        <f t="shared" si="128"/>
        <v>0.65719375225577603</v>
      </c>
      <c r="CI72" s="72">
        <f t="shared" si="129"/>
        <v>1</v>
      </c>
      <c r="CJ72" s="5">
        <f t="shared" si="100"/>
        <v>0.55325055913737153</v>
      </c>
      <c r="CK72" s="5">
        <f t="shared" si="101"/>
        <v>-1.6065464843461521</v>
      </c>
      <c r="CL72" s="69">
        <f t="shared" si="102"/>
        <v>7</v>
      </c>
      <c r="CM72" s="5">
        <v>-3.504164437912471</v>
      </c>
      <c r="CN72" s="70">
        <f t="shared" si="103"/>
        <v>-0.10051601102163099</v>
      </c>
      <c r="CO72" s="5">
        <f t="shared" si="104"/>
        <v>-0.10051601102163099</v>
      </c>
      <c r="CP72" s="5">
        <f>IF(G72&lt;48,"UF", IF(NOT(ISBLANK(CM:CM)), CM:CM, IF(BW:BW=1, BV:BV+Sheet2!B101, IF(Sheet1!BW:BW=2, Sheet1!BV:BV+Sheet2!B102, IF(Sheet1!BW:BW=7, Sheet1!BV:BV+Sheet2!B103,"")))))</f>
        <v>-3.504164437912471</v>
      </c>
      <c r="CQ72" s="69">
        <f t="shared" si="130"/>
        <v>1</v>
      </c>
      <c r="CR72" s="5">
        <v>105</v>
      </c>
      <c r="CS72" s="5">
        <v>0.89394032896548803</v>
      </c>
      <c r="CT72" s="5">
        <f t="shared" si="105"/>
        <v>0.44455174406600811</v>
      </c>
      <c r="CU72" s="80">
        <f t="shared" si="106"/>
        <v>0.44455174406600811</v>
      </c>
      <c r="CV72" s="80">
        <f t="shared" si="107"/>
        <v>1</v>
      </c>
      <c r="CW72" s="20">
        <f>IF(G72&lt;48,"UF", IF(NOT(ISBLANK(CS72)), CS72, IF(CE72=5, CC72+Sheet2!B90, IF(CE72=6, CC72+Sheet2!B91, IF(CE72=7, CC72+Sheet2!B92,"")))))</f>
        <v>0.89394032896548803</v>
      </c>
      <c r="CX72" s="68">
        <f t="shared" si="131"/>
        <v>7</v>
      </c>
      <c r="CY72" s="5">
        <v>13800</v>
      </c>
      <c r="CZ72" s="5">
        <v>-1.1572391183271851</v>
      </c>
      <c r="DA72" s="5">
        <f t="shared" si="108"/>
        <v>0.44930736601896704</v>
      </c>
      <c r="DB72" s="73">
        <f t="shared" si="109"/>
        <v>0.44930736601896704</v>
      </c>
      <c r="DC72" s="73">
        <f t="shared" si="110"/>
        <v>1</v>
      </c>
      <c r="DD72" s="5">
        <f>IF(G72&lt;48,"UF", IF(NOT(ISBLANK(CZ:CZ)), CZ:CZ, IF(CL:CL=3, CK:CK+Sheet2!B95, IF(CL:CL=4, CK:CK+Sheet2!B96, IF(CL:CL=7, CK:CK+Sheet2!B97,"")))))</f>
        <v>-1.1572391183271851</v>
      </c>
      <c r="DE72" s="69">
        <f t="shared" si="111"/>
        <v>7</v>
      </c>
      <c r="DF72" s="2">
        <v>1</v>
      </c>
      <c r="DG72" s="2">
        <v>19</v>
      </c>
      <c r="DH72" s="2">
        <v>2</v>
      </c>
      <c r="DI72" s="2">
        <v>1</v>
      </c>
      <c r="DJ72" s="2">
        <v>2</v>
      </c>
      <c r="DK72" s="2">
        <v>100</v>
      </c>
      <c r="DL72" s="2">
        <v>60</v>
      </c>
      <c r="DM72" s="2">
        <v>80</v>
      </c>
      <c r="DN72" s="2">
        <v>40</v>
      </c>
      <c r="DO72" s="2">
        <v>100</v>
      </c>
      <c r="DP72" s="2">
        <v>60</v>
      </c>
      <c r="DQ72" s="2">
        <v>2</v>
      </c>
      <c r="DR72" s="2">
        <v>38</v>
      </c>
      <c r="DS72" s="2">
        <v>2</v>
      </c>
      <c r="DT72" s="2">
        <v>79</v>
      </c>
      <c r="DU72" s="2">
        <v>67</v>
      </c>
      <c r="DV72" s="2">
        <v>2</v>
      </c>
      <c r="DW72" s="2">
        <v>2</v>
      </c>
      <c r="DX72" s="2">
        <v>2</v>
      </c>
      <c r="DY72" s="2">
        <v>2</v>
      </c>
      <c r="DZ72" s="2">
        <v>34</v>
      </c>
      <c r="EA72" s="2">
        <v>33</v>
      </c>
      <c r="EB72" s="2">
        <v>43</v>
      </c>
      <c r="EC72" s="2">
        <v>1</v>
      </c>
      <c r="ED72" s="2">
        <v>4</v>
      </c>
    </row>
    <row r="73" spans="3:134" x14ac:dyDescent="0.25">
      <c r="C73" s="8" t="s">
        <v>134</v>
      </c>
      <c r="D73" s="2">
        <v>2461070377</v>
      </c>
      <c r="E73" s="5">
        <v>4</v>
      </c>
      <c r="F73" s="2">
        <v>2</v>
      </c>
      <c r="G73" s="2">
        <v>52</v>
      </c>
      <c r="H73" s="2">
        <v>-2.133612369571281</v>
      </c>
      <c r="I73" s="2">
        <v>50</v>
      </c>
      <c r="J73" s="2">
        <v>6.1168777667580831E-2</v>
      </c>
      <c r="K73" s="5">
        <v>2750</v>
      </c>
      <c r="L73" s="2">
        <v>-1.2992579025473141</v>
      </c>
      <c r="M73" s="2">
        <v>-1.0845</v>
      </c>
      <c r="N73" s="2">
        <f t="shared" si="69"/>
        <v>1.0605561847856404</v>
      </c>
      <c r="O73" s="2">
        <f t="shared" si="70"/>
        <v>-1.0845</v>
      </c>
      <c r="P73" s="2">
        <v>63</v>
      </c>
      <c r="Q73" s="2">
        <v>-2.17</v>
      </c>
      <c r="R73" s="5">
        <f t="shared" si="71"/>
        <v>-0.81558438883379047</v>
      </c>
      <c r="S73" s="5">
        <f t="shared" si="72"/>
        <v>-2.17</v>
      </c>
      <c r="T73" s="1">
        <v>6300</v>
      </c>
      <c r="U73" s="2">
        <v>-2.08</v>
      </c>
      <c r="V73" s="2">
        <f t="shared" si="73"/>
        <v>0.17962895127365708</v>
      </c>
      <c r="W73" s="2">
        <f t="shared" si="74"/>
        <v>-2.08</v>
      </c>
      <c r="X73" s="2">
        <v>-1.2500000000000001E-2</v>
      </c>
      <c r="Y73" s="76">
        <f t="shared" si="112"/>
        <v>2.1211123695712808</v>
      </c>
      <c r="Z73" s="76">
        <f t="shared" si="113"/>
        <v>2</v>
      </c>
      <c r="AA73" s="2">
        <f t="shared" si="75"/>
        <v>0.63819999999999999</v>
      </c>
      <c r="AB73" s="2">
        <f t="shared" si="76"/>
        <v>-1.2500000000000001E-2</v>
      </c>
      <c r="AC73" s="2">
        <v>72</v>
      </c>
      <c r="AD73" s="2">
        <v>-1.57</v>
      </c>
      <c r="AE73" s="79">
        <f t="shared" si="114"/>
        <v>-1.6311687776675809</v>
      </c>
      <c r="AF73" s="79">
        <f t="shared" si="115"/>
        <v>-2</v>
      </c>
      <c r="AG73" s="2">
        <f t="shared" si="77"/>
        <v>-7.4999999999999956E-2</v>
      </c>
      <c r="AH73" s="2">
        <f t="shared" si="78"/>
        <v>-1.57</v>
      </c>
      <c r="AI73" s="2">
        <v>8700</v>
      </c>
      <c r="AJ73" s="2">
        <v>-0.94</v>
      </c>
      <c r="AK73" s="76">
        <f t="shared" si="116"/>
        <v>0.35925790254731416</v>
      </c>
      <c r="AL73" s="76">
        <f t="shared" si="117"/>
        <v>1</v>
      </c>
      <c r="AM73" s="2">
        <f t="shared" si="79"/>
        <v>1.5000000000000124E-2</v>
      </c>
      <c r="AN73" s="2">
        <f t="shared" si="80"/>
        <v>-0.94</v>
      </c>
      <c r="AO73" s="2">
        <v>-0.89359999999999995</v>
      </c>
      <c r="AP73" s="2">
        <f t="shared" si="81"/>
        <v>-1.181239989832755</v>
      </c>
      <c r="AQ73" s="2">
        <f t="shared" si="82"/>
        <v>-0.89359999999999995</v>
      </c>
      <c r="AR73" s="2">
        <v>76</v>
      </c>
      <c r="AS73" s="2">
        <v>-2.3199999999999998</v>
      </c>
      <c r="AT73" s="2">
        <f t="shared" si="83"/>
        <v>0.23481912602383403</v>
      </c>
      <c r="AU73" s="2">
        <f t="shared" si="84"/>
        <v>-2.3199999999999998</v>
      </c>
      <c r="AV73" s="2">
        <v>8700</v>
      </c>
      <c r="AW73" s="2">
        <v>-2.0499999999999998</v>
      </c>
      <c r="AX73" s="2">
        <f t="shared" si="85"/>
        <v>-0.82872308480501755</v>
      </c>
      <c r="AY73" s="2">
        <f t="shared" si="86"/>
        <v>-2.0499999999999998</v>
      </c>
      <c r="AZ73" s="2">
        <v>-2.3749799796655102</v>
      </c>
      <c r="BA73" s="78">
        <f t="shared" si="118"/>
        <v>-2.36247997966551</v>
      </c>
      <c r="BB73" s="78">
        <f t="shared" si="119"/>
        <v>-2</v>
      </c>
      <c r="BC73" s="2">
        <f t="shared" si="87"/>
        <v>-0.32232289365993433</v>
      </c>
      <c r="BD73" s="2">
        <f t="shared" si="88"/>
        <v>-2.3749799796655102</v>
      </c>
      <c r="BE73" s="67">
        <f t="shared" si="120"/>
        <v>2</v>
      </c>
      <c r="BF73" s="2">
        <v>83</v>
      </c>
      <c r="BG73" s="2">
        <v>-1.100361747952332</v>
      </c>
      <c r="BH73" s="2">
        <f t="shared" si="89"/>
        <v>0.20565282618042527</v>
      </c>
      <c r="BI73" s="2">
        <f t="shared" si="90"/>
        <v>-1.100361747952332</v>
      </c>
      <c r="BJ73" s="67">
        <f t="shared" si="91"/>
        <v>7</v>
      </c>
      <c r="BK73" s="2">
        <v>9700</v>
      </c>
      <c r="BL73" s="2">
        <v>-2.597446169610035</v>
      </c>
      <c r="BM73" s="77">
        <f t="shared" si="121"/>
        <v>-1.6574461696100351</v>
      </c>
      <c r="BN73" s="77">
        <f t="shared" si="122"/>
        <v>-2</v>
      </c>
      <c r="BO73" s="2">
        <f t="shared" si="92"/>
        <v>-0.12772735867796067</v>
      </c>
      <c r="BP73" s="2">
        <f t="shared" si="93"/>
        <v>-2.597446169610035</v>
      </c>
      <c r="BQ73" s="67">
        <f t="shared" si="123"/>
        <v>4</v>
      </c>
      <c r="BR73" s="5">
        <v>-1.860568680979803</v>
      </c>
      <c r="BS73" s="75">
        <f t="shared" si="124"/>
        <v>0.51441129868570723</v>
      </c>
      <c r="BT73" s="75">
        <f t="shared" si="125"/>
        <v>1</v>
      </c>
      <c r="BU73" s="5">
        <f t="shared" si="132"/>
        <v>-0.30709532528073491</v>
      </c>
      <c r="BV73" s="5">
        <f t="shared" si="94"/>
        <v>-1.860568680979803</v>
      </c>
      <c r="BW73" s="69">
        <f t="shared" si="95"/>
        <v>7</v>
      </c>
      <c r="BX73" s="2">
        <v>89</v>
      </c>
      <c r="BY73" s="5">
        <v>-1.703041521458724</v>
      </c>
      <c r="BZ73" s="74">
        <f t="shared" si="126"/>
        <v>0.89440464815131104</v>
      </c>
      <c r="CA73" s="74">
        <f t="shared" si="127"/>
        <v>2</v>
      </c>
      <c r="CB73" s="5">
        <f t="shared" si="96"/>
        <v>1.6008599727301509E-2</v>
      </c>
      <c r="CC73" s="5">
        <f t="shared" si="97"/>
        <v>-1.703041521458724</v>
      </c>
      <c r="CD73" s="2">
        <f t="shared" si="98"/>
        <v>-0.60267977350639201</v>
      </c>
      <c r="CE73" s="69">
        <f t="shared" si="99"/>
        <v>7</v>
      </c>
      <c r="CF73" s="5">
        <v>11200</v>
      </c>
      <c r="CG73" s="5">
        <v>-2.4331820760338818</v>
      </c>
      <c r="CH73" s="72">
        <f t="shared" si="128"/>
        <v>0.16426409357615324</v>
      </c>
      <c r="CI73" s="72">
        <f t="shared" si="129"/>
        <v>1</v>
      </c>
      <c r="CJ73" s="5">
        <f t="shared" si="100"/>
        <v>4.0888549464219937E-2</v>
      </c>
      <c r="CK73" s="5">
        <f t="shared" si="101"/>
        <v>-2.4331820760338818</v>
      </c>
      <c r="CL73" s="69">
        <f t="shared" si="102"/>
        <v>4</v>
      </c>
      <c r="CM73" s="5">
        <v>-2.98917063022698</v>
      </c>
      <c r="CN73" s="70">
        <f t="shared" si="103"/>
        <v>-1.128601949247177</v>
      </c>
      <c r="CO73" s="5">
        <f t="shared" si="104"/>
        <v>-1.128601949247177</v>
      </c>
      <c r="CP73" s="5">
        <f>IF(G73&lt;48,"UF", IF(NOT(ISBLANK(CM:CM)), CM:CM, IF(BW:BW=1, BV:BV+Sheet2!B190, IF(Sheet1!BW:BW=2, Sheet1!BV:BV+Sheet2!B191, IF(Sheet1!BW:BW=7, Sheet1!BV:BV+Sheet2!B192,"")))))</f>
        <v>-2.98917063022698</v>
      </c>
      <c r="CQ73" s="69">
        <f t="shared" si="130"/>
        <v>2</v>
      </c>
      <c r="CR73" s="5">
        <v>98</v>
      </c>
      <c r="CS73" s="5">
        <v>-1.068344548497729</v>
      </c>
      <c r="CT73" s="5">
        <f t="shared" si="105"/>
        <v>0.63469697296099503</v>
      </c>
      <c r="CU73" s="80">
        <f t="shared" si="106"/>
        <v>0.63469697296099503</v>
      </c>
      <c r="CV73" s="80">
        <f t="shared" si="107"/>
        <v>1</v>
      </c>
      <c r="CW73" s="20">
        <f>IF(G73&lt;48,"UF", IF(NOT(ISBLANK(CS73)), CS73, IF(CE73=5, CC73+Sheet2!B179, IF(CE73=6, CC73+Sheet2!B180, IF(CE73=7, CC73+Sheet2!B181,"")))))</f>
        <v>-1.068344548497729</v>
      </c>
      <c r="CX73" s="68">
        <f t="shared" si="131"/>
        <v>7</v>
      </c>
      <c r="CY73" s="5">
        <v>12500</v>
      </c>
      <c r="CZ73" s="5">
        <v>-2.5156690706815952</v>
      </c>
      <c r="DA73" s="5">
        <f t="shared" si="108"/>
        <v>-8.2486994647713363E-2</v>
      </c>
      <c r="DB73" s="73">
        <f t="shared" si="109"/>
        <v>-8.2486994647713363E-2</v>
      </c>
      <c r="DC73" s="73">
        <f t="shared" si="110"/>
        <v>-1</v>
      </c>
      <c r="DD73" s="5">
        <f>IF(G73&lt;48,"UF", IF(NOT(ISBLANK(CZ:CZ)), CZ:CZ, IF(CL:CL=3, CK:CK+Sheet2!B184, IF(CL:CL=4, CK:CK+Sheet2!B185, IF(CL:CL=7, CK:CK+Sheet2!B186,"")))))</f>
        <v>-2.5156690706815952</v>
      </c>
      <c r="DE73" s="69">
        <f t="shared" si="111"/>
        <v>4</v>
      </c>
      <c r="DF73" s="2">
        <v>1</v>
      </c>
      <c r="DG73" s="2">
        <v>28</v>
      </c>
      <c r="DH73" s="2">
        <v>2</v>
      </c>
      <c r="DI73" s="2">
        <v>2</v>
      </c>
      <c r="DJ73" s="2">
        <v>2</v>
      </c>
      <c r="DK73" s="2">
        <v>100</v>
      </c>
      <c r="DL73" s="2">
        <v>60</v>
      </c>
      <c r="DM73" s="2">
        <v>90</v>
      </c>
      <c r="DN73" s="2">
        <v>60</v>
      </c>
      <c r="DO73" s="2">
        <v>100</v>
      </c>
      <c r="DP73" s="2">
        <v>60</v>
      </c>
      <c r="DQ73" s="2">
        <v>2</v>
      </c>
      <c r="DR73" s="2">
        <v>40</v>
      </c>
      <c r="DS73" s="2">
        <v>2</v>
      </c>
      <c r="DT73" s="2">
        <v>81</v>
      </c>
      <c r="DU73" s="2">
        <v>61</v>
      </c>
      <c r="DV73" s="2">
        <v>2</v>
      </c>
      <c r="DW73" s="2">
        <v>2</v>
      </c>
      <c r="DX73" s="2">
        <v>2</v>
      </c>
      <c r="DY73" s="2">
        <v>2</v>
      </c>
      <c r="DZ73" s="2">
        <v>33</v>
      </c>
      <c r="EA73" s="2">
        <v>33</v>
      </c>
      <c r="EB73" s="2">
        <v>46</v>
      </c>
      <c r="EC73" s="2">
        <v>4</v>
      </c>
      <c r="ED73" s="2">
        <v>1</v>
      </c>
    </row>
    <row r="74" spans="3:134" x14ac:dyDescent="0.25">
      <c r="C74" s="8" t="s">
        <v>333</v>
      </c>
      <c r="D74" s="2">
        <v>2461071500</v>
      </c>
      <c r="E74" s="5">
        <v>7</v>
      </c>
      <c r="F74" s="2">
        <v>1</v>
      </c>
      <c r="G74" s="2">
        <v>51</v>
      </c>
      <c r="H74" s="2">
        <v>-1.0052294357794009</v>
      </c>
      <c r="I74" s="2">
        <v>48</v>
      </c>
      <c r="J74" s="2">
        <v>-0.61614996855203885</v>
      </c>
      <c r="K74" s="2">
        <v>2800</v>
      </c>
      <c r="L74" s="2">
        <v>-0.98574519678023331</v>
      </c>
      <c r="M74" s="2">
        <v>0.53649999999999998</v>
      </c>
      <c r="N74" s="2">
        <f t="shared" si="69"/>
        <v>0.65366471788970049</v>
      </c>
      <c r="O74" s="2">
        <f t="shared" si="70"/>
        <v>0.53649999999999998</v>
      </c>
      <c r="P74" s="2">
        <v>65</v>
      </c>
      <c r="Q74" s="2">
        <v>-0.33</v>
      </c>
      <c r="R74" s="5">
        <f t="shared" si="71"/>
        <v>0.30807498427601943</v>
      </c>
      <c r="S74" s="5">
        <f t="shared" si="72"/>
        <v>-0.33</v>
      </c>
      <c r="T74" s="2">
        <v>7500</v>
      </c>
      <c r="U74" s="2">
        <v>0.22</v>
      </c>
      <c r="V74" s="2">
        <f t="shared" si="73"/>
        <v>0.60787259839011665</v>
      </c>
      <c r="W74" s="2">
        <f t="shared" si="74"/>
        <v>0.22</v>
      </c>
      <c r="X74" s="2">
        <v>0.30209999999999998</v>
      </c>
      <c r="Y74" s="76">
        <f t="shared" si="112"/>
        <v>1.307329435779401</v>
      </c>
      <c r="Z74" s="76">
        <f t="shared" si="113"/>
        <v>2</v>
      </c>
      <c r="AA74" s="2">
        <f t="shared" si="75"/>
        <v>0.38550000000000001</v>
      </c>
      <c r="AB74" s="2">
        <f t="shared" si="76"/>
        <v>0.30209999999999998</v>
      </c>
      <c r="AC74" s="2">
        <v>74</v>
      </c>
      <c r="AD74" s="2">
        <v>0</v>
      </c>
      <c r="AE74" s="79">
        <f t="shared" si="114"/>
        <v>0.61614996855203885</v>
      </c>
      <c r="AF74" s="79">
        <f t="shared" si="115"/>
        <v>1</v>
      </c>
      <c r="AG74" s="2">
        <f t="shared" si="77"/>
        <v>-0.12999999999999998</v>
      </c>
      <c r="AH74" s="2">
        <f t="shared" si="78"/>
        <v>0</v>
      </c>
      <c r="AI74" s="2">
        <v>9200</v>
      </c>
      <c r="AJ74" s="2">
        <v>0.23</v>
      </c>
      <c r="AK74" s="76">
        <f t="shared" si="116"/>
        <v>1.2157451967802333</v>
      </c>
      <c r="AL74" s="76">
        <f t="shared" si="117"/>
        <v>2</v>
      </c>
      <c r="AM74" s="2">
        <f t="shared" si="79"/>
        <v>-0.125</v>
      </c>
      <c r="AN74" s="2">
        <f t="shared" si="80"/>
        <v>0.23</v>
      </c>
      <c r="AO74" s="2">
        <v>0.441</v>
      </c>
      <c r="AP74" s="2" t="str">
        <f t="shared" si="81"/>
        <v/>
      </c>
      <c r="AQ74" s="2">
        <f t="shared" si="82"/>
        <v>0.441</v>
      </c>
      <c r="AR74" s="2">
        <v>79</v>
      </c>
      <c r="AS74" s="2">
        <v>-0.59</v>
      </c>
      <c r="AT74" s="2" t="str">
        <f t="shared" si="83"/>
        <v/>
      </c>
      <c r="AU74" s="2">
        <f t="shared" si="84"/>
        <v>-0.59</v>
      </c>
      <c r="AV74" s="2">
        <v>10200</v>
      </c>
      <c r="AW74" s="2">
        <v>-0.03</v>
      </c>
      <c r="AX74" s="2" t="str">
        <f t="shared" si="85"/>
        <v/>
      </c>
      <c r="AY74" s="2">
        <f t="shared" si="86"/>
        <v>-0.03</v>
      </c>
      <c r="BA74" s="78">
        <f t="shared" si="118"/>
        <v>-0.19596765873231087</v>
      </c>
      <c r="BB74" s="78">
        <f t="shared" si="119"/>
        <v>-1</v>
      </c>
      <c r="BC74" s="2">
        <f t="shared" si="87"/>
        <v>-0.33486765873231089</v>
      </c>
      <c r="BD74" s="2">
        <f t="shared" si="88"/>
        <v>0.10613234126768911</v>
      </c>
      <c r="BE74" s="67">
        <f t="shared" si="120"/>
        <v>7</v>
      </c>
      <c r="BF74" s="2" t="s">
        <v>12</v>
      </c>
      <c r="BH74" s="2">
        <f t="shared" si="89"/>
        <v>0.55394168232657659</v>
      </c>
      <c r="BI74" s="2">
        <f t="shared" si="90"/>
        <v>-3.6058317673423379E-2</v>
      </c>
      <c r="BJ74" s="67">
        <f t="shared" si="91"/>
        <v>7</v>
      </c>
      <c r="BK74" s="2" t="s">
        <v>12</v>
      </c>
      <c r="BM74" s="77">
        <f t="shared" si="121"/>
        <v>-0.12417258525003849</v>
      </c>
      <c r="BN74" s="77">
        <f t="shared" si="122"/>
        <v>-1</v>
      </c>
      <c r="BO74" s="2">
        <f t="shared" si="92"/>
        <v>0.13582741474996152</v>
      </c>
      <c r="BP74" s="2">
        <f t="shared" si="93"/>
        <v>0.10582741474996152</v>
      </c>
      <c r="BQ74" s="67">
        <f t="shared" si="123"/>
        <v>7</v>
      </c>
      <c r="BR74" s="5">
        <v>-0.56360297619693256</v>
      </c>
      <c r="BS74" s="75">
        <f t="shared" si="124"/>
        <v>-0.66973531746462167</v>
      </c>
      <c r="BT74" s="75">
        <f t="shared" si="125"/>
        <v>-1</v>
      </c>
      <c r="BU74" s="5" t="str">
        <f t="shared" si="132"/>
        <v/>
      </c>
      <c r="BV74" s="5">
        <f t="shared" si="94"/>
        <v>-0.56360297619693256</v>
      </c>
      <c r="BW74" s="69">
        <f t="shared" si="95"/>
        <v>7</v>
      </c>
      <c r="BX74" s="2">
        <v>98.5</v>
      </c>
      <c r="BY74" s="5">
        <v>1.0718250469797299</v>
      </c>
      <c r="BZ74" s="74">
        <f t="shared" si="126"/>
        <v>0.96599763222976842</v>
      </c>
      <c r="CA74" s="74">
        <f t="shared" si="127"/>
        <v>2</v>
      </c>
      <c r="CB74" s="5" t="str">
        <f t="shared" si="96"/>
        <v/>
      </c>
      <c r="CC74" s="5">
        <f t="shared" si="97"/>
        <v>1.0718250469797299</v>
      </c>
      <c r="CD74" s="2">
        <f t="shared" si="98"/>
        <v>1.1078833646531532</v>
      </c>
      <c r="CE74" s="69">
        <f t="shared" si="99"/>
        <v>7</v>
      </c>
      <c r="CF74" s="5">
        <v>14600</v>
      </c>
      <c r="CG74" s="5">
        <v>0.37748224424988458</v>
      </c>
      <c r="CH74" s="72">
        <f t="shared" si="128"/>
        <v>0.27165482949992303</v>
      </c>
      <c r="CI74" s="72">
        <f t="shared" si="129"/>
        <v>1</v>
      </c>
      <c r="CJ74" s="5" t="str">
        <f t="shared" si="100"/>
        <v/>
      </c>
      <c r="CK74" s="5">
        <f t="shared" si="101"/>
        <v>0.37748224424988458</v>
      </c>
      <c r="CL74" s="69">
        <f t="shared" si="102"/>
        <v>7</v>
      </c>
      <c r="CN74" s="70" t="str">
        <f t="shared" si="103"/>
        <v/>
      </c>
      <c r="CO74" s="5">
        <f t="shared" si="104"/>
        <v>0</v>
      </c>
      <c r="CP74" s="5">
        <f>IF(G74&lt;48,"UF", IF(NOT(ISBLANK(CM:CM)), CM:CM, IF(BW:BW=1, BV:BV+Sheet2!B562, IF(Sheet1!BW:BW=2, Sheet1!BV:BV+Sheet2!B563, IF(Sheet1!BW:BW=7, Sheet1!BV:BV+Sheet2!B564,"")))))</f>
        <v>-0.56360297619693256</v>
      </c>
      <c r="CQ74" s="69">
        <f t="shared" si="130"/>
        <v>7</v>
      </c>
      <c r="CR74" s="5" t="s">
        <v>12</v>
      </c>
      <c r="CT74" s="5" t="str">
        <f t="shared" si="105"/>
        <v/>
      </c>
      <c r="CU74" s="80">
        <f t="shared" si="106"/>
        <v>0</v>
      </c>
      <c r="CV74" s="80">
        <f t="shared" si="107"/>
        <v>-1</v>
      </c>
      <c r="CW74" s="20">
        <f>IF(G74&lt;48,"UF", IF(NOT(ISBLANK(CS74)), CS74, IF(CE74=5, CC74+Sheet2!B551, IF(CE74=6, CC74+Sheet2!B552, IF(CE74=7, CC74+Sheet2!B553,"")))))</f>
        <v>1.0718250469797299</v>
      </c>
      <c r="CX74" s="68">
        <f t="shared" si="131"/>
        <v>7</v>
      </c>
      <c r="CY74" s="5" t="s">
        <v>12</v>
      </c>
      <c r="DA74" s="5" t="str">
        <f t="shared" si="108"/>
        <v/>
      </c>
      <c r="DB74" s="73">
        <f t="shared" si="109"/>
        <v>0</v>
      </c>
      <c r="DC74" s="73">
        <f t="shared" si="110"/>
        <v>-1</v>
      </c>
      <c r="DD74" s="5">
        <f>IF(G74&lt;48,"UF", IF(NOT(ISBLANK(CZ:CZ)), CZ:CZ, IF(CL:CL=3, CK:CK+Sheet2!B556, IF(CL:CL=4, CK:CK+Sheet2!B557, IF(CL:CL=7, CK:CK+Sheet2!B558,"")))))</f>
        <v>0.37748224424988458</v>
      </c>
      <c r="DE74" s="69">
        <f t="shared" si="111"/>
        <v>7</v>
      </c>
      <c r="DF74" s="2">
        <v>1</v>
      </c>
      <c r="DG74" s="2">
        <v>25</v>
      </c>
      <c r="DH74" s="2">
        <v>1</v>
      </c>
      <c r="DI74" s="2">
        <v>2</v>
      </c>
      <c r="DJ74" s="2">
        <v>2</v>
      </c>
      <c r="DK74" s="2">
        <v>110</v>
      </c>
      <c r="DL74" s="2">
        <v>70</v>
      </c>
      <c r="DM74" s="2" t="s">
        <v>12</v>
      </c>
      <c r="DN74" s="2" t="s">
        <v>12</v>
      </c>
      <c r="DO74" s="2">
        <v>110</v>
      </c>
      <c r="DP74" s="2">
        <v>70</v>
      </c>
      <c r="DQ74" s="2">
        <v>2</v>
      </c>
      <c r="DR74" s="2">
        <v>39</v>
      </c>
      <c r="DS74" s="2">
        <v>2</v>
      </c>
      <c r="DT74" s="2">
        <v>92</v>
      </c>
      <c r="DU74" s="2">
        <v>76</v>
      </c>
      <c r="DV74" s="2">
        <v>2</v>
      </c>
      <c r="DW74" s="2">
        <v>2</v>
      </c>
      <c r="DX74" s="2">
        <v>2</v>
      </c>
      <c r="DY74" s="2">
        <v>2</v>
      </c>
      <c r="DZ74" s="2">
        <v>34</v>
      </c>
      <c r="EA74" s="2" t="s">
        <v>12</v>
      </c>
      <c r="EB74" s="2">
        <v>43.5</v>
      </c>
      <c r="EC74" s="2" t="s">
        <v>12</v>
      </c>
      <c r="ED74" s="2">
        <v>1</v>
      </c>
    </row>
    <row r="75" spans="3:134" x14ac:dyDescent="0.25">
      <c r="C75" s="8" t="s">
        <v>97</v>
      </c>
      <c r="D75" s="2">
        <v>2461074811</v>
      </c>
      <c r="E75" s="5">
        <v>1</v>
      </c>
      <c r="F75" s="2">
        <v>2</v>
      </c>
      <c r="G75" s="2">
        <v>50</v>
      </c>
      <c r="H75" s="2">
        <v>0.40649426896346741</v>
      </c>
      <c r="I75" s="2">
        <v>46</v>
      </c>
      <c r="J75" s="2">
        <v>-2.051761523148302</v>
      </c>
      <c r="K75" s="5">
        <v>2950</v>
      </c>
      <c r="L75" s="2">
        <v>-0.84473811093517004</v>
      </c>
      <c r="M75" s="2">
        <v>-1.8725000000000001</v>
      </c>
      <c r="N75" s="2">
        <f t="shared" si="69"/>
        <v>-0.27109713448173367</v>
      </c>
      <c r="O75" s="2">
        <f t="shared" si="70"/>
        <v>-1.8725000000000001</v>
      </c>
      <c r="P75" s="2">
        <v>70</v>
      </c>
      <c r="Q75" s="2">
        <v>1.1000000000000001</v>
      </c>
      <c r="R75" s="5">
        <f t="shared" si="71"/>
        <v>0.66088076157415099</v>
      </c>
      <c r="S75" s="5">
        <f t="shared" si="72"/>
        <v>1.1000000000000001</v>
      </c>
      <c r="T75" s="1">
        <v>7300</v>
      </c>
      <c r="U75" s="2">
        <v>-0.76</v>
      </c>
      <c r="V75" s="2">
        <f t="shared" si="73"/>
        <v>0.15736905546758501</v>
      </c>
      <c r="W75" s="2">
        <f t="shared" si="74"/>
        <v>-0.76</v>
      </c>
      <c r="X75" s="2">
        <v>-0.13569999999999999</v>
      </c>
      <c r="Y75" s="76">
        <f t="shared" si="112"/>
        <v>-0.54219426896346734</v>
      </c>
      <c r="Z75" s="76">
        <f t="shared" si="113"/>
        <v>-1</v>
      </c>
      <c r="AA75" s="2">
        <f t="shared" si="75"/>
        <v>-1.5121500000000001</v>
      </c>
      <c r="AB75" s="2">
        <f t="shared" si="76"/>
        <v>-0.13569999999999999</v>
      </c>
      <c r="AC75" s="2">
        <v>74</v>
      </c>
      <c r="AD75" s="2">
        <v>-0.73</v>
      </c>
      <c r="AE75" s="79">
        <f t="shared" si="114"/>
        <v>1.321761523148302</v>
      </c>
      <c r="AF75" s="79">
        <f t="shared" si="115"/>
        <v>2</v>
      </c>
      <c r="AG75" s="2">
        <f t="shared" si="77"/>
        <v>4.9999999999999933E-2</v>
      </c>
      <c r="AH75" s="2">
        <f t="shared" si="78"/>
        <v>-0.73</v>
      </c>
      <c r="AI75" s="2">
        <v>9100</v>
      </c>
      <c r="AJ75" s="2">
        <v>-0.53</v>
      </c>
      <c r="AK75" s="76">
        <f t="shared" si="116"/>
        <v>0.31473811093517001</v>
      </c>
      <c r="AL75" s="76">
        <f t="shared" si="117"/>
        <v>1</v>
      </c>
      <c r="AM75" s="2">
        <f t="shared" si="79"/>
        <v>6.5000000000000002E-2</v>
      </c>
      <c r="AN75" s="2">
        <f t="shared" si="80"/>
        <v>-0.53</v>
      </c>
      <c r="AO75" s="2">
        <v>-1.9242999999999999</v>
      </c>
      <c r="AP75" s="2">
        <f t="shared" si="81"/>
        <v>-1.1026514065958175</v>
      </c>
      <c r="AQ75" s="2">
        <f t="shared" si="82"/>
        <v>-1.9242999999999999</v>
      </c>
      <c r="AR75" s="2">
        <v>85.5</v>
      </c>
      <c r="AS75" s="2">
        <v>1.2</v>
      </c>
      <c r="AT75" s="2">
        <f t="shared" si="83"/>
        <v>0.59848263891546494</v>
      </c>
      <c r="AU75" s="2">
        <f t="shared" si="84"/>
        <v>1.2</v>
      </c>
      <c r="AV75" s="2">
        <v>10200</v>
      </c>
      <c r="AW75" s="2">
        <v>-0.63</v>
      </c>
      <c r="AX75" s="2">
        <f t="shared" si="85"/>
        <v>-0.40367768412029847</v>
      </c>
      <c r="AY75" s="2">
        <f t="shared" si="86"/>
        <v>-0.63</v>
      </c>
      <c r="AZ75" s="2">
        <v>-2.3410028131916349</v>
      </c>
      <c r="BA75" s="78">
        <f t="shared" si="118"/>
        <v>-2.205302813191635</v>
      </c>
      <c r="BB75" s="78">
        <f t="shared" si="119"/>
        <v>-2</v>
      </c>
      <c r="BC75" s="2" t="str">
        <f t="shared" si="87"/>
        <v/>
      </c>
      <c r="BD75" s="2">
        <f t="shared" si="88"/>
        <v>-2.3410028131916349</v>
      </c>
      <c r="BE75" s="67">
        <f t="shared" si="120"/>
        <v>2</v>
      </c>
      <c r="BF75" s="2">
        <v>88.5</v>
      </c>
      <c r="BG75" s="2">
        <v>0.46696527783092978</v>
      </c>
      <c r="BH75" s="2" t="str">
        <f t="shared" si="89"/>
        <v/>
      </c>
      <c r="BI75" s="2">
        <f t="shared" si="90"/>
        <v>0.46696527783092978</v>
      </c>
      <c r="BJ75" s="67">
        <f t="shared" si="91"/>
        <v>7</v>
      </c>
      <c r="BK75" s="2">
        <v>11050</v>
      </c>
      <c r="BL75" s="2">
        <v>-1.337355368240597</v>
      </c>
      <c r="BM75" s="77">
        <f t="shared" si="121"/>
        <v>-0.80735536824059695</v>
      </c>
      <c r="BN75" s="77">
        <f t="shared" si="122"/>
        <v>-2</v>
      </c>
      <c r="BO75" s="2" t="str">
        <f t="shared" si="92"/>
        <v/>
      </c>
      <c r="BP75" s="2">
        <f t="shared" si="93"/>
        <v>-1.337355368240597</v>
      </c>
      <c r="BQ75" s="67">
        <f t="shared" si="123"/>
        <v>7</v>
      </c>
      <c r="BS75" s="75">
        <f t="shared" si="124"/>
        <v>-0.69727205118292934</v>
      </c>
      <c r="BT75" s="75">
        <f t="shared" si="125"/>
        <v>-2</v>
      </c>
      <c r="BU75" s="5">
        <f t="shared" si="132"/>
        <v>-0.69727205118292956</v>
      </c>
      <c r="BV75" s="5">
        <f t="shared" si="94"/>
        <v>-3.0382748643745643</v>
      </c>
      <c r="BW75" s="69">
        <f t="shared" si="95"/>
        <v>1</v>
      </c>
      <c r="BX75" s="2" t="s">
        <v>12</v>
      </c>
      <c r="BZ75" s="74">
        <f t="shared" si="126"/>
        <v>1.9461225172532737</v>
      </c>
      <c r="CA75" s="74">
        <f t="shared" si="127"/>
        <v>2</v>
      </c>
      <c r="CB75" s="5">
        <f t="shared" si="96"/>
        <v>0.14180187118174686</v>
      </c>
      <c r="CC75" s="5">
        <f t="shared" si="97"/>
        <v>0.6087671490126767</v>
      </c>
      <c r="CD75" s="2">
        <f t="shared" si="98"/>
        <v>0.14180187118174692</v>
      </c>
      <c r="CE75" s="69">
        <f t="shared" si="99"/>
        <v>7</v>
      </c>
      <c r="CF75" s="5" t="s">
        <v>12</v>
      </c>
      <c r="CH75" s="72">
        <f t="shared" si="128"/>
        <v>-1.6522589088592499E-2</v>
      </c>
      <c r="CI75" s="72">
        <f t="shared" si="129"/>
        <v>-1</v>
      </c>
      <c r="CJ75" s="5">
        <f t="shared" si="100"/>
        <v>-1.6522589088592499E-2</v>
      </c>
      <c r="CK75" s="5">
        <f t="shared" si="101"/>
        <v>-1.3538779573291895</v>
      </c>
      <c r="CL75" s="69">
        <f t="shared" si="102"/>
        <v>7</v>
      </c>
      <c r="CM75" s="5">
        <v>-3.7355469155574941</v>
      </c>
      <c r="CN75" s="70">
        <f t="shared" si="103"/>
        <v>-0.69727205118292979</v>
      </c>
      <c r="CO75" s="5">
        <f t="shared" si="104"/>
        <v>-0.69727205118292979</v>
      </c>
      <c r="CP75" s="5">
        <f>IF(G75&lt;48,"UF", IF(NOT(ISBLANK(CM:CM)), CM:CM, IF(BW:BW=1, BV:BV+Sheet2!B26, IF(Sheet1!BW:BW=2, Sheet1!BV:BV+Sheet2!B27, IF(Sheet1!BW:BW=7, Sheet1!BV:BV+Sheet2!B28,"")))))</f>
        <v>-3.7355469155574941</v>
      </c>
      <c r="CQ75" s="69">
        <f t="shared" si="130"/>
        <v>1</v>
      </c>
      <c r="CR75" s="5">
        <v>105.7</v>
      </c>
      <c r="CS75" s="5">
        <v>0.75056902019442351</v>
      </c>
      <c r="CT75" s="5">
        <f t="shared" si="105"/>
        <v>0.14180187118174681</v>
      </c>
      <c r="CU75" s="80">
        <f t="shared" si="106"/>
        <v>0.14180187118174681</v>
      </c>
      <c r="CV75" s="80">
        <f t="shared" si="107"/>
        <v>1</v>
      </c>
      <c r="CW75" s="20">
        <f>IF(G75&lt;48,"UF", IF(NOT(ISBLANK(CS75)), CS75, IF(CE75=5, CC75+Sheet2!B15, IF(CE75=6, CC75+Sheet2!B16, IF(CE75=7, CC75+Sheet2!B17,"")))))</f>
        <v>0.75056902019442351</v>
      </c>
      <c r="CX75" s="68">
        <f t="shared" si="131"/>
        <v>7</v>
      </c>
      <c r="CY75" s="5">
        <v>14000</v>
      </c>
      <c r="CZ75" s="5">
        <v>-1.370400546417782</v>
      </c>
      <c r="DA75" s="5">
        <f t="shared" si="108"/>
        <v>-1.6522589088592499E-2</v>
      </c>
      <c r="DB75" s="73">
        <f t="shared" si="109"/>
        <v>-1.6522589088592499E-2</v>
      </c>
      <c r="DC75" s="73">
        <f t="shared" si="110"/>
        <v>-1</v>
      </c>
      <c r="DD75" s="5">
        <f>IF(G75&lt;48,"UF", IF(NOT(ISBLANK(CZ:CZ)), CZ:CZ, IF(CL:CL=3, CK:CK+Sheet2!B20, IF(CL:CL=4, CK:CK+Sheet2!B21, IF(CL:CL=7, CK:CK+Sheet2!B22,"")))))</f>
        <v>-1.370400546417782</v>
      </c>
      <c r="DE75" s="69">
        <f t="shared" si="111"/>
        <v>7</v>
      </c>
      <c r="DF75" s="2">
        <v>3</v>
      </c>
      <c r="DG75" s="2">
        <v>35</v>
      </c>
      <c r="DH75" s="2">
        <v>2</v>
      </c>
      <c r="DI75" s="2">
        <v>2</v>
      </c>
      <c r="DJ75" s="2">
        <v>2</v>
      </c>
      <c r="DK75" s="2" t="s">
        <v>12</v>
      </c>
      <c r="DL75" s="2" t="s">
        <v>12</v>
      </c>
      <c r="DM75" s="2">
        <v>128</v>
      </c>
      <c r="DN75" s="2">
        <v>78</v>
      </c>
      <c r="DO75" s="2">
        <v>122</v>
      </c>
      <c r="DP75" s="2">
        <v>66</v>
      </c>
      <c r="DQ75" s="2">
        <v>2</v>
      </c>
      <c r="DR75" s="2">
        <v>37</v>
      </c>
      <c r="DS75" s="2">
        <v>2</v>
      </c>
      <c r="DT75" s="2">
        <v>81</v>
      </c>
      <c r="DU75" s="2">
        <v>82</v>
      </c>
      <c r="DV75" s="2">
        <v>2</v>
      </c>
      <c r="DW75" s="2">
        <v>2</v>
      </c>
      <c r="DX75" s="2">
        <v>2</v>
      </c>
      <c r="DY75" s="2">
        <v>3</v>
      </c>
      <c r="DZ75" s="2">
        <v>34</v>
      </c>
      <c r="EA75" s="2">
        <v>34</v>
      </c>
      <c r="EB75" s="2">
        <v>46</v>
      </c>
      <c r="EC75" s="2">
        <v>4</v>
      </c>
      <c r="ED75" s="2">
        <v>1</v>
      </c>
    </row>
    <row r="76" spans="3:134" x14ac:dyDescent="0.25">
      <c r="C76" s="8" t="s">
        <v>330</v>
      </c>
      <c r="D76" s="2">
        <v>2461086834</v>
      </c>
      <c r="E76" s="5">
        <v>7</v>
      </c>
      <c r="F76" s="2">
        <v>2</v>
      </c>
      <c r="G76" s="2">
        <v>44</v>
      </c>
      <c r="H76" s="2">
        <v>-0.48800718488977213</v>
      </c>
      <c r="I76" s="2">
        <v>50</v>
      </c>
      <c r="J76" s="2">
        <v>6.1168777667580831E-2</v>
      </c>
      <c r="K76" s="2">
        <v>3200</v>
      </c>
      <c r="L76" s="2">
        <v>-0.30398057951686752</v>
      </c>
      <c r="M76" s="2">
        <v>0.98319999999999996</v>
      </c>
      <c r="N76" s="2">
        <f t="shared" si="69"/>
        <v>0.53195359244488605</v>
      </c>
      <c r="O76" s="2">
        <f t="shared" si="70"/>
        <v>0.98319999999999996</v>
      </c>
      <c r="P76" s="2">
        <v>65</v>
      </c>
      <c r="Q76" s="2">
        <v>-1.23</v>
      </c>
      <c r="R76" s="5">
        <f t="shared" si="71"/>
        <v>-0.18558438883379041</v>
      </c>
      <c r="S76" s="5">
        <f t="shared" si="72"/>
        <v>-1.23</v>
      </c>
      <c r="T76" s="2">
        <v>7950</v>
      </c>
      <c r="U76" s="2">
        <v>0.01</v>
      </c>
      <c r="V76" s="2">
        <f t="shared" si="73"/>
        <v>0.27199028975843376</v>
      </c>
      <c r="W76" s="2">
        <f t="shared" si="74"/>
        <v>0.01</v>
      </c>
      <c r="X76" s="2">
        <v>0.57589999999999997</v>
      </c>
      <c r="Y76" s="76">
        <f t="shared" si="112"/>
        <v>1.0639071848897721</v>
      </c>
      <c r="Z76" s="76">
        <f t="shared" si="113"/>
        <v>2</v>
      </c>
      <c r="AA76" s="2" t="str">
        <f t="shared" si="75"/>
        <v/>
      </c>
      <c r="AB76" s="2">
        <f t="shared" si="76"/>
        <v>0.57589999999999997</v>
      </c>
      <c r="AC76" s="2">
        <v>75</v>
      </c>
      <c r="AD76" s="2">
        <v>-0.31</v>
      </c>
      <c r="AE76" s="79">
        <f t="shared" si="114"/>
        <v>-0.37116877766758083</v>
      </c>
      <c r="AF76" s="79">
        <f t="shared" si="115"/>
        <v>-1</v>
      </c>
      <c r="AG76" s="2" t="str">
        <f t="shared" si="77"/>
        <v/>
      </c>
      <c r="AH76" s="2">
        <f t="shared" si="78"/>
        <v>-0.31</v>
      </c>
      <c r="AI76" s="2">
        <v>9900</v>
      </c>
      <c r="AJ76" s="2">
        <v>0.24</v>
      </c>
      <c r="AK76" s="76">
        <f t="shared" si="116"/>
        <v>0.54398057951686751</v>
      </c>
      <c r="AL76" s="76">
        <f t="shared" si="117"/>
        <v>1</v>
      </c>
      <c r="AM76" s="2" t="str">
        <f t="shared" si="79"/>
        <v/>
      </c>
      <c r="AN76" s="2">
        <f t="shared" si="80"/>
        <v>0.24</v>
      </c>
      <c r="AP76" s="2">
        <f t="shared" si="81"/>
        <v>-1.595822871626932</v>
      </c>
      <c r="AQ76" s="2">
        <f t="shared" si="82"/>
        <v>-1.0199228716269322</v>
      </c>
      <c r="AR76" s="2" t="s">
        <v>12</v>
      </c>
      <c r="AT76" s="2">
        <f t="shared" si="83"/>
        <v>0.74481076209864405</v>
      </c>
      <c r="AU76" s="2">
        <f t="shared" si="84"/>
        <v>0.43481076209864405</v>
      </c>
      <c r="AV76" s="2" t="s">
        <v>12</v>
      </c>
      <c r="AX76" s="2">
        <f t="shared" si="85"/>
        <v>-0.59920338178308175</v>
      </c>
      <c r="AY76" s="2">
        <f t="shared" si="86"/>
        <v>-0.35920338178308175</v>
      </c>
      <c r="AZ76" s="2">
        <v>-2.6157457432538642</v>
      </c>
      <c r="BA76" s="78">
        <f t="shared" si="118"/>
        <v>-3.1916457432538641</v>
      </c>
      <c r="BB76" s="78">
        <f t="shared" si="119"/>
        <v>-2</v>
      </c>
      <c r="BC76" s="2" t="str">
        <f t="shared" si="87"/>
        <v/>
      </c>
      <c r="BD76" s="2">
        <f t="shared" si="88"/>
        <v>-2.6157457432538642</v>
      </c>
      <c r="BE76" s="67">
        <f t="shared" si="120"/>
        <v>2</v>
      </c>
      <c r="BF76" s="2">
        <v>91</v>
      </c>
      <c r="BG76" s="2">
        <v>1.1796215241972881</v>
      </c>
      <c r="BH76" s="2" t="str">
        <f t="shared" si="89"/>
        <v/>
      </c>
      <c r="BI76" s="2">
        <f t="shared" si="90"/>
        <v>1.1796215241972881</v>
      </c>
      <c r="BJ76" s="67">
        <f t="shared" si="91"/>
        <v>7</v>
      </c>
      <c r="BK76" s="2">
        <v>11500</v>
      </c>
      <c r="BL76" s="2">
        <v>-0.95840676356616339</v>
      </c>
      <c r="BM76" s="77">
        <f t="shared" si="121"/>
        <v>-1.1984067635661635</v>
      </c>
      <c r="BN76" s="77">
        <f t="shared" si="122"/>
        <v>-2</v>
      </c>
      <c r="BO76" s="2" t="str">
        <f t="shared" si="92"/>
        <v/>
      </c>
      <c r="BP76" s="2">
        <f t="shared" si="93"/>
        <v>-0.95840676356616339</v>
      </c>
      <c r="BQ76" s="67">
        <f t="shared" si="123"/>
        <v>7</v>
      </c>
      <c r="BS76" s="75" t="e">
        <f t="shared" si="124"/>
        <v>#VALUE!</v>
      </c>
      <c r="BT76" s="75" t="e">
        <f t="shared" si="125"/>
        <v>#VALUE!</v>
      </c>
      <c r="BU76" s="5" t="str">
        <f t="shared" si="132"/>
        <v>UF</v>
      </c>
      <c r="BV76" s="5" t="e">
        <f t="shared" si="94"/>
        <v>#VALUE!</v>
      </c>
      <c r="BW76" s="69" t="e">
        <f t="shared" si="95"/>
        <v>#VALUE!</v>
      </c>
      <c r="BX76" s="2" t="s">
        <v>12</v>
      </c>
      <c r="BZ76" s="74" t="e">
        <f t="shared" si="126"/>
        <v>#VALUE!</v>
      </c>
      <c r="CA76" s="74" t="e">
        <f t="shared" si="127"/>
        <v>#VALUE!</v>
      </c>
      <c r="CB76" s="5" t="str">
        <f t="shared" si="96"/>
        <v/>
      </c>
      <c r="CC76" s="5" t="e">
        <f t="shared" si="97"/>
        <v>#VALUE!</v>
      </c>
      <c r="CD76" s="2" t="e">
        <f t="shared" si="98"/>
        <v>#VALUE!</v>
      </c>
      <c r="CE76" s="69" t="e">
        <f t="shared" si="99"/>
        <v>#VALUE!</v>
      </c>
      <c r="CF76" s="5" t="s">
        <v>12</v>
      </c>
      <c r="CH76" s="72" t="e">
        <f t="shared" si="128"/>
        <v>#VALUE!</v>
      </c>
      <c r="CI76" s="72" t="e">
        <f t="shared" si="129"/>
        <v>#VALUE!</v>
      </c>
      <c r="CJ76" s="5" t="str">
        <f t="shared" si="100"/>
        <v/>
      </c>
      <c r="CK76" s="5" t="e">
        <f t="shared" si="101"/>
        <v>#VALUE!</v>
      </c>
      <c r="CL76" s="69" t="e">
        <f t="shared" si="102"/>
        <v>#VALUE!</v>
      </c>
      <c r="CN76" s="70" t="str">
        <f t="shared" si="103"/>
        <v/>
      </c>
      <c r="CO76" s="5" t="str">
        <f t="shared" si="104"/>
        <v>UF</v>
      </c>
      <c r="CP76" s="5" t="str">
        <f>IF(G76&lt;48,"UF", IF(NOT(ISBLANK(CM:CM)), CM:CM, IF(BW:BW=1, BV:BV+Sheet2!B558, IF(Sheet1!BW:BW=2, Sheet1!BV:BV+Sheet2!B559, IF(Sheet1!BW:BW=7, Sheet1!BV:BV+Sheet2!B560,"")))))</f>
        <v>UF</v>
      </c>
      <c r="CQ76" s="69" t="str">
        <f t="shared" si="130"/>
        <v/>
      </c>
      <c r="CR76" s="5" t="s">
        <v>12</v>
      </c>
      <c r="CT76" s="5" t="str">
        <f t="shared" si="105"/>
        <v/>
      </c>
      <c r="CU76" s="80" t="str">
        <f t="shared" si="106"/>
        <v>UF</v>
      </c>
      <c r="CV76" s="80" t="str">
        <f t="shared" si="107"/>
        <v>UF</v>
      </c>
      <c r="CW76" s="20" t="str">
        <f>IF(G76&lt;48,"UF", IF(NOT(ISBLANK(CS76)), CS76, IF(CE76=5, CC76+Sheet2!B547, IF(CE76=6, CC76+Sheet2!B548, IF(CE76=7, CC76+Sheet2!B549,"")))))</f>
        <v>UF</v>
      </c>
      <c r="CX76" s="68" t="str">
        <f t="shared" si="131"/>
        <v/>
      </c>
      <c r="CY76" s="5" t="s">
        <v>12</v>
      </c>
      <c r="DA76" s="5" t="str">
        <f t="shared" si="108"/>
        <v>UF</v>
      </c>
      <c r="DB76" s="73" t="str">
        <f t="shared" si="109"/>
        <v>UF</v>
      </c>
      <c r="DC76" s="73" t="str">
        <f t="shared" si="110"/>
        <v>UF</v>
      </c>
      <c r="DD76" s="5" t="str">
        <f>IF(G76&lt;48,"UF", IF(NOT(ISBLANK(CZ:CZ)), CZ:CZ, IF(CL:CL=3, CK:CK+Sheet2!B552, IF(CL:CL=4, CK:CK+Sheet2!B553, IF(CL:CL=7, CK:CK+Sheet2!B554,"")))))</f>
        <v>UF</v>
      </c>
      <c r="DE76" s="69" t="str">
        <f t="shared" si="111"/>
        <v/>
      </c>
      <c r="DF76" s="2">
        <v>1</v>
      </c>
      <c r="DG76" s="2">
        <v>19</v>
      </c>
      <c r="DH76" s="2">
        <v>2</v>
      </c>
      <c r="DI76" s="2">
        <v>2</v>
      </c>
      <c r="DJ76" s="2">
        <v>2</v>
      </c>
      <c r="DK76" s="2" t="s">
        <v>12</v>
      </c>
      <c r="DL76" s="2" t="s">
        <v>12</v>
      </c>
      <c r="DM76" s="2">
        <v>100</v>
      </c>
      <c r="DN76" s="2">
        <v>70</v>
      </c>
      <c r="DO76" s="2" t="s">
        <v>12</v>
      </c>
      <c r="DP76" s="2" t="s">
        <v>12</v>
      </c>
      <c r="DQ76" s="2">
        <v>1</v>
      </c>
      <c r="DR76" s="2">
        <v>38</v>
      </c>
      <c r="DS76" s="2">
        <v>2</v>
      </c>
      <c r="DT76" s="2">
        <v>85</v>
      </c>
      <c r="DU76" s="2">
        <v>71</v>
      </c>
      <c r="DV76" s="2">
        <v>2</v>
      </c>
      <c r="DW76" s="2">
        <v>2</v>
      </c>
      <c r="DX76" s="2">
        <v>2</v>
      </c>
      <c r="DY76" s="2">
        <v>2</v>
      </c>
      <c r="DZ76" s="2">
        <v>35</v>
      </c>
      <c r="EA76" s="2" t="s">
        <v>12</v>
      </c>
      <c r="EB76" s="2">
        <v>46</v>
      </c>
      <c r="EC76" s="2" t="s">
        <v>12</v>
      </c>
      <c r="ED76" s="2">
        <v>1</v>
      </c>
    </row>
    <row r="77" spans="3:134" x14ac:dyDescent="0.25">
      <c r="C77" s="8" t="s">
        <v>329</v>
      </c>
      <c r="D77" s="2">
        <v>2461089353</v>
      </c>
      <c r="E77" s="5">
        <v>7</v>
      </c>
      <c r="F77" s="2">
        <v>1</v>
      </c>
      <c r="G77" s="2">
        <v>41</v>
      </c>
      <c r="H77" s="2">
        <v>-0.34966417634341068</v>
      </c>
      <c r="I77" s="2">
        <v>49</v>
      </c>
      <c r="J77" s="2">
        <v>-7.9294265603816944E-2</v>
      </c>
      <c r="K77" s="2">
        <v>3100</v>
      </c>
      <c r="L77" s="2">
        <v>-0.29236112544414727</v>
      </c>
      <c r="M77" s="2">
        <v>1.6269</v>
      </c>
      <c r="N77" s="2">
        <f t="shared" si="69"/>
        <v>0.46503208817170538</v>
      </c>
      <c r="O77" s="2">
        <f t="shared" si="70"/>
        <v>1.6269</v>
      </c>
      <c r="P77" s="2">
        <v>70.5</v>
      </c>
      <c r="Q77" s="2">
        <v>2.09</v>
      </c>
      <c r="R77" s="5">
        <f t="shared" si="71"/>
        <v>1.3996471328019087</v>
      </c>
      <c r="S77" s="5">
        <f t="shared" si="72"/>
        <v>2.09</v>
      </c>
      <c r="T77" s="2">
        <v>9750</v>
      </c>
      <c r="U77" s="2">
        <v>2.34</v>
      </c>
      <c r="V77" s="2">
        <f t="shared" si="73"/>
        <v>1.0761805627220737</v>
      </c>
      <c r="W77" s="2">
        <f t="shared" si="74"/>
        <v>2.34</v>
      </c>
      <c r="X77" s="2">
        <v>0.58040000000000003</v>
      </c>
      <c r="Y77" s="76">
        <f t="shared" si="112"/>
        <v>0.93006417634341076</v>
      </c>
      <c r="Z77" s="76">
        <f t="shared" si="113"/>
        <v>2</v>
      </c>
      <c r="AA77" s="2">
        <f t="shared" si="75"/>
        <v>-0.37634999999999996</v>
      </c>
      <c r="AB77" s="2">
        <f t="shared" si="76"/>
        <v>0.58040000000000003</v>
      </c>
      <c r="AC77" s="2">
        <v>81</v>
      </c>
      <c r="AD77" s="2">
        <v>2.72</v>
      </c>
      <c r="AE77" s="79">
        <f t="shared" si="114"/>
        <v>2.7992942656038173</v>
      </c>
      <c r="AF77" s="79">
        <f t="shared" si="115"/>
        <v>2</v>
      </c>
      <c r="AG77" s="2">
        <f t="shared" si="77"/>
        <v>-0.30499999999999994</v>
      </c>
      <c r="AH77" s="2">
        <f t="shared" si="78"/>
        <v>2.72</v>
      </c>
      <c r="AI77" s="2">
        <v>11300</v>
      </c>
      <c r="AJ77" s="2">
        <v>1.86</v>
      </c>
      <c r="AK77" s="76">
        <f t="shared" si="116"/>
        <v>2.1523611254441475</v>
      </c>
      <c r="AL77" s="76">
        <f t="shared" si="117"/>
        <v>2</v>
      </c>
      <c r="AM77" s="2">
        <f t="shared" si="79"/>
        <v>-0.28499999999999992</v>
      </c>
      <c r="AN77" s="2">
        <f t="shared" si="80"/>
        <v>1.86</v>
      </c>
      <c r="AO77" s="2">
        <v>1.3372999999999999</v>
      </c>
      <c r="AP77" s="2">
        <f t="shared" si="81"/>
        <v>-0.14941629707240775</v>
      </c>
      <c r="AQ77" s="2">
        <f t="shared" si="82"/>
        <v>1.3372999999999999</v>
      </c>
      <c r="AR77" s="2">
        <v>85</v>
      </c>
      <c r="AS77" s="2">
        <v>1.48</v>
      </c>
      <c r="AT77" s="2">
        <f t="shared" si="83"/>
        <v>-0.6995634442914731</v>
      </c>
      <c r="AU77" s="2">
        <f t="shared" si="84"/>
        <v>1.48</v>
      </c>
      <c r="AV77" s="2">
        <v>12800</v>
      </c>
      <c r="AW77" s="2">
        <v>1.77</v>
      </c>
      <c r="AX77" s="2">
        <f t="shared" si="85"/>
        <v>-0.42294528199084103</v>
      </c>
      <c r="AY77" s="2">
        <f t="shared" si="86"/>
        <v>1.77</v>
      </c>
      <c r="AZ77" s="2">
        <v>0.28156740585518453</v>
      </c>
      <c r="BA77" s="78">
        <f t="shared" si="118"/>
        <v>-0.2988325941448155</v>
      </c>
      <c r="BB77" s="78">
        <f t="shared" si="119"/>
        <v>-1</v>
      </c>
      <c r="BC77" s="2">
        <f t="shared" si="87"/>
        <v>-0.9458070909989883</v>
      </c>
      <c r="BD77" s="2">
        <f t="shared" si="88"/>
        <v>0.28156740585518453</v>
      </c>
      <c r="BE77" s="67">
        <f t="shared" si="120"/>
        <v>7</v>
      </c>
      <c r="BF77" s="2">
        <v>90</v>
      </c>
      <c r="BG77" s="2">
        <v>1.320873111417054</v>
      </c>
      <c r="BH77" s="2">
        <f t="shared" si="89"/>
        <v>0.15040241247133931</v>
      </c>
      <c r="BI77" s="2">
        <f t="shared" si="90"/>
        <v>1.320873111417054</v>
      </c>
      <c r="BJ77" s="67">
        <f t="shared" si="91"/>
        <v>7</v>
      </c>
      <c r="BK77" s="2">
        <v>13600</v>
      </c>
      <c r="BL77" s="2">
        <v>1.014109436018318</v>
      </c>
      <c r="BM77" s="77">
        <f t="shared" si="121"/>
        <v>-0.84589056398168205</v>
      </c>
      <c r="BN77" s="77">
        <f t="shared" si="122"/>
        <v>-2</v>
      </c>
      <c r="BO77" s="2">
        <f t="shared" si="92"/>
        <v>-0.44607417552995426</v>
      </c>
      <c r="BP77" s="2">
        <f t="shared" si="93"/>
        <v>1.014109436018318</v>
      </c>
      <c r="BQ77" s="67">
        <f t="shared" si="123"/>
        <v>7</v>
      </c>
      <c r="BR77" s="5">
        <v>-1.5001212729969651</v>
      </c>
      <c r="BS77" s="75">
        <f t="shared" si="124"/>
        <v>-1.7816886788521495</v>
      </c>
      <c r="BT77" s="75">
        <f t="shared" si="125"/>
        <v>-2</v>
      </c>
      <c r="BU77" s="5" t="str">
        <f t="shared" si="132"/>
        <v/>
      </c>
      <c r="BV77" s="5">
        <f t="shared" si="94"/>
        <v>-1.5001212729969651</v>
      </c>
      <c r="BW77" s="69">
        <f t="shared" si="95"/>
        <v>7</v>
      </c>
      <c r="BX77" s="2">
        <v>102</v>
      </c>
      <c r="BY77" s="5">
        <v>1.9312072374140179</v>
      </c>
      <c r="BZ77" s="74">
        <f t="shared" si="126"/>
        <v>0.91709780139569985</v>
      </c>
      <c r="CA77" s="74">
        <f t="shared" si="127"/>
        <v>2</v>
      </c>
      <c r="CB77" s="5" t="str">
        <f t="shared" si="96"/>
        <v/>
      </c>
      <c r="CC77" s="5">
        <f t="shared" si="97"/>
        <v>1.9312072374140179</v>
      </c>
      <c r="CD77" s="2">
        <f t="shared" si="98"/>
        <v>0.61033412599696391</v>
      </c>
      <c r="CE77" s="69">
        <f t="shared" si="99"/>
        <v>7</v>
      </c>
      <c r="CF77" s="5">
        <v>14700</v>
      </c>
      <c r="CG77" s="5">
        <v>0.43177747341013711</v>
      </c>
      <c r="CH77" s="72">
        <f t="shared" si="128"/>
        <v>-0.58233196260818088</v>
      </c>
      <c r="CI77" s="72">
        <f t="shared" si="129"/>
        <v>-1</v>
      </c>
      <c r="CJ77" s="5" t="str">
        <f t="shared" si="100"/>
        <v/>
      </c>
      <c r="CK77" s="5">
        <f t="shared" si="101"/>
        <v>0.43177747341013711</v>
      </c>
      <c r="CL77" s="69">
        <f t="shared" si="102"/>
        <v>7</v>
      </c>
      <c r="CN77" s="70" t="str">
        <f t="shared" si="103"/>
        <v/>
      </c>
      <c r="CO77" s="5" t="str">
        <f t="shared" si="104"/>
        <v>UF</v>
      </c>
      <c r="CP77" s="5" t="str">
        <f>IF(G77&lt;48,"UF", IF(NOT(ISBLANK(CM:CM)), CM:CM, IF(BW:BW=1, BV:BV+Sheet2!B557, IF(Sheet1!BW:BW=2, Sheet1!BV:BV+Sheet2!B558, IF(Sheet1!BW:BW=7, Sheet1!BV:BV+Sheet2!B559,"")))))</f>
        <v>UF</v>
      </c>
      <c r="CQ77" s="69" t="str">
        <f t="shared" si="130"/>
        <v/>
      </c>
      <c r="CR77" s="5" t="s">
        <v>12</v>
      </c>
      <c r="CT77" s="5" t="str">
        <f t="shared" si="105"/>
        <v/>
      </c>
      <c r="CU77" s="80" t="str">
        <f t="shared" si="106"/>
        <v>UF</v>
      </c>
      <c r="CV77" s="80" t="str">
        <f t="shared" si="107"/>
        <v>UF</v>
      </c>
      <c r="CW77" s="20" t="str">
        <f>IF(G77&lt;48,"UF", IF(NOT(ISBLANK(CS77)), CS77, IF(CE77=5, CC77+Sheet2!B546, IF(CE77=6, CC77+Sheet2!B547, IF(CE77=7, CC77+Sheet2!B548,"")))))</f>
        <v>UF</v>
      </c>
      <c r="CX77" s="68" t="str">
        <f t="shared" si="131"/>
        <v/>
      </c>
      <c r="CY77" s="5" t="s">
        <v>12</v>
      </c>
      <c r="DA77" s="5" t="str">
        <f t="shared" si="108"/>
        <v>UF</v>
      </c>
      <c r="DB77" s="73" t="str">
        <f t="shared" si="109"/>
        <v>UF</v>
      </c>
      <c r="DC77" s="73" t="str">
        <f t="shared" si="110"/>
        <v>UF</v>
      </c>
      <c r="DD77" s="5" t="str">
        <f>IF(G77&lt;48,"UF", IF(NOT(ISBLANK(CZ:CZ)), CZ:CZ, IF(CL:CL=3, CK:CK+Sheet2!B551, IF(CL:CL=4, CK:CK+Sheet2!B552, IF(CL:CL=7, CK:CK+Sheet2!B553,"")))))</f>
        <v>UF</v>
      </c>
      <c r="DE77" s="69" t="str">
        <f t="shared" si="111"/>
        <v/>
      </c>
      <c r="DF77" s="2">
        <v>3</v>
      </c>
      <c r="DG77" s="2">
        <v>31</v>
      </c>
      <c r="DH77" s="2">
        <v>2</v>
      </c>
      <c r="DI77" s="2">
        <v>2</v>
      </c>
      <c r="DJ77" s="2">
        <v>3</v>
      </c>
      <c r="DK77" s="2" t="s">
        <v>12</v>
      </c>
      <c r="DL77" s="2" t="s">
        <v>12</v>
      </c>
      <c r="DM77" s="2" t="s">
        <v>12</v>
      </c>
      <c r="DN77" s="2" t="s">
        <v>12</v>
      </c>
      <c r="DO77" s="2" t="s">
        <v>12</v>
      </c>
      <c r="DP77" s="2" t="s">
        <v>12</v>
      </c>
      <c r="DQ77" s="2">
        <v>2</v>
      </c>
      <c r="DR77" s="2">
        <v>37</v>
      </c>
      <c r="DS77" s="2">
        <v>2</v>
      </c>
      <c r="DT77" s="2">
        <v>80</v>
      </c>
      <c r="DU77" s="2" t="s">
        <v>12</v>
      </c>
      <c r="DV77" s="2">
        <v>2</v>
      </c>
      <c r="DW77" s="2">
        <v>2</v>
      </c>
      <c r="DX77" s="2">
        <v>2</v>
      </c>
      <c r="DY77" s="2">
        <v>2</v>
      </c>
      <c r="DZ77" s="2">
        <v>34</v>
      </c>
      <c r="EA77" s="2">
        <v>35.5</v>
      </c>
      <c r="EB77" s="2">
        <v>46.7</v>
      </c>
      <c r="EC77" s="2">
        <v>1</v>
      </c>
      <c r="ED77" s="2">
        <v>1</v>
      </c>
    </row>
    <row r="78" spans="3:134" x14ac:dyDescent="0.25">
      <c r="C78" s="8" t="s">
        <v>291</v>
      </c>
      <c r="D78" s="2">
        <v>2461092826</v>
      </c>
      <c r="E78" s="5">
        <v>7</v>
      </c>
      <c r="F78" s="2">
        <v>2</v>
      </c>
      <c r="G78" s="2">
        <v>42</v>
      </c>
      <c r="H78" s="2">
        <v>-0.39628726486790078</v>
      </c>
      <c r="I78" s="2">
        <v>49</v>
      </c>
      <c r="J78" s="2">
        <v>-0.46706379753639199</v>
      </c>
      <c r="K78" s="2">
        <v>3100</v>
      </c>
      <c r="L78" s="2">
        <v>-0.51686178682742712</v>
      </c>
      <c r="M78" s="2">
        <v>2.1482000000000001</v>
      </c>
      <c r="N78" s="2">
        <f t="shared" si="69"/>
        <v>0.57244363243395036</v>
      </c>
      <c r="O78" s="2">
        <f t="shared" si="70"/>
        <v>2.1482000000000001</v>
      </c>
      <c r="P78" s="2">
        <v>68</v>
      </c>
      <c r="Q78" s="2">
        <v>0.17</v>
      </c>
      <c r="R78" s="5">
        <f t="shared" si="71"/>
        <v>0.81353189876819598</v>
      </c>
      <c r="S78" s="5">
        <f t="shared" si="72"/>
        <v>0.17</v>
      </c>
      <c r="T78" s="2">
        <v>9600</v>
      </c>
      <c r="U78" s="2">
        <v>1.75</v>
      </c>
      <c r="V78" s="2">
        <f t="shared" si="73"/>
        <v>0.8634308934137136</v>
      </c>
      <c r="W78" s="2">
        <f t="shared" si="74"/>
        <v>1.75</v>
      </c>
      <c r="X78" s="2">
        <v>0.74860000000000004</v>
      </c>
      <c r="Y78" s="76">
        <f t="shared" si="112"/>
        <v>1.1448872648679007</v>
      </c>
      <c r="Z78" s="76">
        <f t="shared" si="113"/>
        <v>2</v>
      </c>
      <c r="AA78" s="2">
        <f t="shared" si="75"/>
        <v>0.13874999999999998</v>
      </c>
      <c r="AB78" s="2">
        <f t="shared" si="76"/>
        <v>0.74860000000000004</v>
      </c>
      <c r="AC78" s="2">
        <v>78.5</v>
      </c>
      <c r="AD78" s="2">
        <v>1.1599999999999999</v>
      </c>
      <c r="AE78" s="79">
        <f t="shared" si="114"/>
        <v>1.627063797536392</v>
      </c>
      <c r="AF78" s="79">
        <f t="shared" si="115"/>
        <v>2</v>
      </c>
      <c r="AG78" s="2">
        <f t="shared" si="77"/>
        <v>0.23499999999999999</v>
      </c>
      <c r="AH78" s="2">
        <f t="shared" si="78"/>
        <v>1.1599999999999999</v>
      </c>
      <c r="AI78" s="2">
        <v>11000</v>
      </c>
      <c r="AJ78" s="2">
        <v>1.21</v>
      </c>
      <c r="AK78" s="76">
        <f t="shared" si="116"/>
        <v>1.7268617868274272</v>
      </c>
      <c r="AL78" s="76">
        <f t="shared" si="117"/>
        <v>2</v>
      </c>
      <c r="AM78" s="2">
        <f t="shared" si="79"/>
        <v>-0.53499999999999992</v>
      </c>
      <c r="AN78" s="2">
        <f t="shared" si="80"/>
        <v>1.21</v>
      </c>
      <c r="AO78" s="2">
        <v>0.44750000000000001</v>
      </c>
      <c r="AP78" s="2" t="str">
        <f t="shared" si="81"/>
        <v/>
      </c>
      <c r="AQ78" s="2">
        <f t="shared" si="82"/>
        <v>0.44750000000000001</v>
      </c>
      <c r="AR78" s="2">
        <v>84</v>
      </c>
      <c r="AS78" s="2">
        <v>0.64</v>
      </c>
      <c r="AT78" s="2" t="str">
        <f t="shared" si="83"/>
        <v/>
      </c>
      <c r="AU78" s="2">
        <f t="shared" si="84"/>
        <v>0.64</v>
      </c>
      <c r="AV78" s="2">
        <v>11800</v>
      </c>
      <c r="AW78" s="2">
        <v>0.68</v>
      </c>
      <c r="AX78" s="2" t="str">
        <f t="shared" si="85"/>
        <v/>
      </c>
      <c r="AY78" s="2">
        <f t="shared" si="86"/>
        <v>0.68</v>
      </c>
      <c r="BA78" s="78">
        <f t="shared" si="118"/>
        <v>-0.54530111987286545</v>
      </c>
      <c r="BB78" s="78">
        <f t="shared" si="119"/>
        <v>-1</v>
      </c>
      <c r="BC78" s="2">
        <f t="shared" si="87"/>
        <v>-0.24420111987286544</v>
      </c>
      <c r="BD78" s="2">
        <f t="shared" si="88"/>
        <v>0.20329888012713457</v>
      </c>
      <c r="BE78" s="67">
        <f t="shared" si="120"/>
        <v>7</v>
      </c>
      <c r="BF78" s="2" t="s">
        <v>12</v>
      </c>
      <c r="BH78" s="2">
        <f t="shared" si="89"/>
        <v>-0.28048523491555288</v>
      </c>
      <c r="BI78" s="2">
        <f t="shared" si="90"/>
        <v>0.35951476508444713</v>
      </c>
      <c r="BJ78" s="67">
        <f t="shared" si="91"/>
        <v>7</v>
      </c>
      <c r="BK78" s="2" t="s">
        <v>12</v>
      </c>
      <c r="BM78" s="77">
        <f t="shared" si="121"/>
        <v>-0.84189471902018176</v>
      </c>
      <c r="BN78" s="77">
        <f t="shared" si="122"/>
        <v>-2</v>
      </c>
      <c r="BO78" s="2">
        <f t="shared" si="92"/>
        <v>-0.31189471902018179</v>
      </c>
      <c r="BP78" s="2">
        <f t="shared" si="93"/>
        <v>0.36810528097981826</v>
      </c>
      <c r="BQ78" s="67">
        <f t="shared" si="123"/>
        <v>7</v>
      </c>
      <c r="BR78" s="5">
        <v>-0.2851033596185964</v>
      </c>
      <c r="BS78" s="75">
        <f t="shared" si="124"/>
        <v>-0.48840223974573094</v>
      </c>
      <c r="BT78" s="75">
        <f t="shared" si="125"/>
        <v>-1</v>
      </c>
      <c r="BU78" s="5" t="str">
        <f t="shared" si="132"/>
        <v>UF</v>
      </c>
      <c r="BV78" s="5">
        <f t="shared" si="94"/>
        <v>-0.2851033596185964</v>
      </c>
      <c r="BW78" s="69">
        <f t="shared" si="95"/>
        <v>7</v>
      </c>
      <c r="BX78" s="2">
        <v>94.5</v>
      </c>
      <c r="BY78" s="5">
        <v>-0.20145570474665861</v>
      </c>
      <c r="BZ78" s="74">
        <f t="shared" si="126"/>
        <v>-0.56956098572647684</v>
      </c>
      <c r="CA78" s="74">
        <f t="shared" si="127"/>
        <v>-1</v>
      </c>
      <c r="CB78" s="5" t="str">
        <f t="shared" si="96"/>
        <v/>
      </c>
      <c r="CC78" s="5">
        <f t="shared" si="97"/>
        <v>-0.20145570474665861</v>
      </c>
      <c r="CD78" s="2">
        <f t="shared" si="98"/>
        <v>-0.56097046983110577</v>
      </c>
      <c r="CE78" s="69">
        <f t="shared" si="99"/>
        <v>7</v>
      </c>
      <c r="CF78" s="5">
        <v>14000</v>
      </c>
      <c r="CG78" s="5">
        <v>-0.25568415706054531</v>
      </c>
      <c r="CH78" s="72">
        <f t="shared" si="128"/>
        <v>-0.62378943804036358</v>
      </c>
      <c r="CI78" s="72">
        <f t="shared" si="129"/>
        <v>-1</v>
      </c>
      <c r="CJ78" s="5" t="str">
        <f t="shared" si="100"/>
        <v/>
      </c>
      <c r="CK78" s="5">
        <f t="shared" si="101"/>
        <v>-0.25568415706054531</v>
      </c>
      <c r="CL78" s="69">
        <f t="shared" si="102"/>
        <v>7</v>
      </c>
      <c r="CN78" s="70" t="str">
        <f t="shared" si="103"/>
        <v/>
      </c>
      <c r="CO78" s="5" t="str">
        <f t="shared" si="104"/>
        <v>UF</v>
      </c>
      <c r="CP78" s="5" t="str">
        <f>IF(G78&lt;48,"UF", IF(NOT(ISBLANK(CM:CM)), CM:CM, IF(BW:BW=1, BV:BV+Sheet2!B556, IF(Sheet1!BW:BW=2, Sheet1!BV:BV+Sheet2!B557, IF(Sheet1!BW:BW=7, Sheet1!BV:BV+Sheet2!B558,"")))))</f>
        <v>UF</v>
      </c>
      <c r="CQ78" s="69" t="str">
        <f t="shared" si="130"/>
        <v/>
      </c>
      <c r="CR78" s="5" t="s">
        <v>12</v>
      </c>
      <c r="CT78" s="5" t="str">
        <f t="shared" si="105"/>
        <v/>
      </c>
      <c r="CU78" s="80" t="str">
        <f t="shared" si="106"/>
        <v>UF</v>
      </c>
      <c r="CV78" s="80" t="str">
        <f t="shared" si="107"/>
        <v>UF</v>
      </c>
      <c r="CW78" s="20" t="str">
        <f>IF(G78&lt;48,"UF", IF(NOT(ISBLANK(CS78)), CS78, IF(CE78=5, CC78+Sheet2!B545, IF(CE78=6, CC78+Sheet2!B546, IF(CE78=7, CC78+Sheet2!B547,"")))))</f>
        <v>UF</v>
      </c>
      <c r="CX78" s="68" t="str">
        <f t="shared" si="131"/>
        <v/>
      </c>
      <c r="CY78" s="5" t="s">
        <v>12</v>
      </c>
      <c r="DA78" s="5" t="str">
        <f t="shared" si="108"/>
        <v>UF</v>
      </c>
      <c r="DB78" s="73" t="str">
        <f t="shared" si="109"/>
        <v>UF</v>
      </c>
      <c r="DC78" s="73" t="str">
        <f t="shared" si="110"/>
        <v>UF</v>
      </c>
      <c r="DD78" s="5" t="str">
        <f>IF(G78&lt;48,"UF", IF(NOT(ISBLANK(CZ:CZ)), CZ:CZ, IF(CL:CL=3, CK:CK+Sheet2!B550, IF(CL:CL=4, CK:CK+Sheet2!B551, IF(CL:CL=7, CK:CK+Sheet2!B552,"")))))</f>
        <v>UF</v>
      </c>
      <c r="DE78" s="69" t="str">
        <f t="shared" si="111"/>
        <v/>
      </c>
      <c r="DF78" s="2">
        <v>3</v>
      </c>
      <c r="DG78" s="2">
        <v>33</v>
      </c>
      <c r="DH78" s="2">
        <v>1</v>
      </c>
      <c r="DI78" s="2">
        <v>2</v>
      </c>
      <c r="DJ78" s="2">
        <v>3</v>
      </c>
      <c r="DK78" s="2" t="s">
        <v>12</v>
      </c>
      <c r="DL78" s="2" t="s">
        <v>12</v>
      </c>
      <c r="DM78" s="2" t="s">
        <v>12</v>
      </c>
      <c r="DN78" s="2" t="s">
        <v>12</v>
      </c>
      <c r="DO78" s="2" t="s">
        <v>12</v>
      </c>
      <c r="DP78" s="2" t="s">
        <v>12</v>
      </c>
      <c r="DQ78" s="2">
        <v>1</v>
      </c>
      <c r="DR78" s="2">
        <v>38</v>
      </c>
      <c r="DS78" s="2">
        <v>3</v>
      </c>
      <c r="DT78" s="2" t="s">
        <v>12</v>
      </c>
      <c r="DU78" s="2" t="s">
        <v>12</v>
      </c>
      <c r="DV78" s="2">
        <v>2</v>
      </c>
      <c r="DW78" s="2">
        <v>2</v>
      </c>
      <c r="DX78" s="2">
        <v>2</v>
      </c>
      <c r="DY78" s="2">
        <v>2</v>
      </c>
      <c r="DZ78" s="2">
        <v>36</v>
      </c>
      <c r="EA78" s="2">
        <v>36.5</v>
      </c>
      <c r="EB78" s="2">
        <v>48.5</v>
      </c>
      <c r="EC78" s="2">
        <v>1</v>
      </c>
      <c r="ED78" s="2">
        <v>1</v>
      </c>
    </row>
    <row r="79" spans="3:134" x14ac:dyDescent="0.25">
      <c r="C79" s="8" t="s">
        <v>285</v>
      </c>
      <c r="D79" s="2">
        <v>2461094489</v>
      </c>
      <c r="E79" s="5">
        <v>7</v>
      </c>
      <c r="F79" s="2">
        <v>1</v>
      </c>
      <c r="G79" s="2">
        <v>41</v>
      </c>
      <c r="H79" s="2">
        <v>-1.5312361370736201</v>
      </c>
      <c r="I79" s="2">
        <v>46</v>
      </c>
      <c r="J79" s="2">
        <v>-1.6898613744484801</v>
      </c>
      <c r="K79" s="2">
        <v>2450</v>
      </c>
      <c r="L79" s="2">
        <v>-1.8555859596417541</v>
      </c>
      <c r="M79" s="2">
        <v>-1.224</v>
      </c>
      <c r="N79" s="2">
        <f t="shared" si="69"/>
        <v>0.30841806853681003</v>
      </c>
      <c r="O79" s="2">
        <f t="shared" si="70"/>
        <v>-1.224</v>
      </c>
      <c r="P79" s="2">
        <v>66</v>
      </c>
      <c r="Q79" s="2">
        <v>0.11</v>
      </c>
      <c r="R79" s="5">
        <f t="shared" si="71"/>
        <v>1.03993068722424</v>
      </c>
      <c r="S79" s="5">
        <f t="shared" si="72"/>
        <v>0.11</v>
      </c>
      <c r="T79" s="2">
        <v>6600</v>
      </c>
      <c r="U79" s="2">
        <v>-0.83</v>
      </c>
      <c r="V79" s="2">
        <f t="shared" si="73"/>
        <v>0.71779297982087709</v>
      </c>
      <c r="W79" s="2">
        <f t="shared" si="74"/>
        <v>-0.83</v>
      </c>
      <c r="X79" s="2">
        <v>-0.91439999999999999</v>
      </c>
      <c r="Y79" s="76">
        <f t="shared" si="112"/>
        <v>0.61683613707362006</v>
      </c>
      <c r="Z79" s="76">
        <f t="shared" si="113"/>
        <v>1</v>
      </c>
      <c r="AA79" s="2">
        <f t="shared" si="75"/>
        <v>-0.78860000000000008</v>
      </c>
      <c r="AB79" s="2">
        <f t="shared" si="76"/>
        <v>-0.91439999999999999</v>
      </c>
      <c r="AC79" s="2">
        <v>75</v>
      </c>
      <c r="AD79" s="2">
        <v>0.39</v>
      </c>
      <c r="AE79" s="79">
        <f t="shared" si="114"/>
        <v>2.07986137444848</v>
      </c>
      <c r="AF79" s="79">
        <f t="shared" si="115"/>
        <v>2</v>
      </c>
      <c r="AG79" s="2">
        <f t="shared" si="77"/>
        <v>0.16500000000000001</v>
      </c>
      <c r="AH79" s="2">
        <f t="shared" si="78"/>
        <v>0.39</v>
      </c>
      <c r="AI79" s="2">
        <v>8500</v>
      </c>
      <c r="AJ79" s="2">
        <v>-0.42</v>
      </c>
      <c r="AK79" s="76">
        <f t="shared" si="116"/>
        <v>1.4355859596417542</v>
      </c>
      <c r="AL79" s="76">
        <f t="shared" si="117"/>
        <v>2</v>
      </c>
      <c r="AM79" s="2">
        <f t="shared" si="79"/>
        <v>4.4999999999999984E-2</v>
      </c>
      <c r="AN79" s="2">
        <f t="shared" si="80"/>
        <v>-0.42</v>
      </c>
      <c r="AO79" s="2">
        <v>-1.4672000000000001</v>
      </c>
      <c r="AP79" s="2">
        <f t="shared" si="81"/>
        <v>-0.37308717562785648</v>
      </c>
      <c r="AQ79" s="2">
        <f t="shared" si="82"/>
        <v>-1.4672000000000001</v>
      </c>
      <c r="AR79" s="2">
        <v>82</v>
      </c>
      <c r="AS79" s="2">
        <v>0.44</v>
      </c>
      <c r="AT79" s="2">
        <f t="shared" si="83"/>
        <v>-0.18028559614585313</v>
      </c>
      <c r="AU79" s="2">
        <f t="shared" si="84"/>
        <v>0.44</v>
      </c>
      <c r="AV79" s="2">
        <v>9350</v>
      </c>
      <c r="AW79" s="2">
        <v>-0.74</v>
      </c>
      <c r="AX79" s="2">
        <f t="shared" si="85"/>
        <v>-0.4993368558361535</v>
      </c>
      <c r="AY79" s="2">
        <f t="shared" si="86"/>
        <v>-0.74</v>
      </c>
      <c r="AZ79" s="2">
        <v>-1.660574351255713</v>
      </c>
      <c r="BA79" s="78">
        <f t="shared" si="118"/>
        <v>-0.74617435125571296</v>
      </c>
      <c r="BB79" s="78">
        <f t="shared" si="119"/>
        <v>-2</v>
      </c>
      <c r="BC79" s="2">
        <f t="shared" si="87"/>
        <v>5.1207888345575693E-2</v>
      </c>
      <c r="BD79" s="2">
        <f t="shared" si="88"/>
        <v>-1.660574351255713</v>
      </c>
      <c r="BE79" s="67">
        <f t="shared" si="120"/>
        <v>7</v>
      </c>
      <c r="BF79" s="2">
        <v>85.5</v>
      </c>
      <c r="BG79" s="2">
        <v>2.9428807708293769E-2</v>
      </c>
      <c r="BH79" s="2">
        <f t="shared" si="89"/>
        <v>-0.20683917813101979</v>
      </c>
      <c r="BI79" s="2">
        <f t="shared" si="90"/>
        <v>2.9428807708293769E-2</v>
      </c>
      <c r="BJ79" s="67">
        <f t="shared" si="91"/>
        <v>7</v>
      </c>
      <c r="BK79" s="2">
        <v>10500</v>
      </c>
      <c r="BL79" s="2">
        <v>-1.4186737116723069</v>
      </c>
      <c r="BM79" s="77">
        <f t="shared" si="121"/>
        <v>-0.99867371167230701</v>
      </c>
      <c r="BN79" s="77">
        <f t="shared" si="122"/>
        <v>-2</v>
      </c>
      <c r="BO79" s="2">
        <f t="shared" si="92"/>
        <v>-7.5373966213148028E-2</v>
      </c>
      <c r="BP79" s="2">
        <f t="shared" si="93"/>
        <v>-1.4186737116723069</v>
      </c>
      <c r="BQ79" s="67">
        <f t="shared" si="123"/>
        <v>7</v>
      </c>
      <c r="BR79" s="5">
        <v>-1.313576334963273</v>
      </c>
      <c r="BS79" s="75">
        <f t="shared" si="124"/>
        <v>0.34699801629243998</v>
      </c>
      <c r="BT79" s="75">
        <f t="shared" si="125"/>
        <v>1</v>
      </c>
      <c r="BU79" s="5" t="str">
        <f t="shared" si="132"/>
        <v>UF</v>
      </c>
      <c r="BV79" s="5">
        <f t="shared" si="94"/>
        <v>-1.313576334963273</v>
      </c>
      <c r="BW79" s="69">
        <f t="shared" si="95"/>
        <v>7</v>
      </c>
      <c r="BX79" s="2">
        <v>93.5</v>
      </c>
      <c r="BY79" s="5">
        <v>-0.18051753439305929</v>
      </c>
      <c r="BZ79" s="74">
        <f t="shared" si="126"/>
        <v>1.2381561772792478</v>
      </c>
      <c r="CA79" s="74">
        <f t="shared" si="127"/>
        <v>2</v>
      </c>
      <c r="CB79" s="5" t="str">
        <f t="shared" si="96"/>
        <v/>
      </c>
      <c r="CC79" s="5">
        <f t="shared" si="97"/>
        <v>-0.18051753439305929</v>
      </c>
      <c r="CD79" s="2">
        <f t="shared" si="98"/>
        <v>-0.20994634210135305</v>
      </c>
      <c r="CE79" s="69">
        <f t="shared" si="99"/>
        <v>7</v>
      </c>
      <c r="CF79" s="5">
        <v>12500</v>
      </c>
      <c r="CG79" s="5">
        <v>-0.96612189863944409</v>
      </c>
      <c r="CH79" s="72">
        <f t="shared" si="128"/>
        <v>0.45255181303286285</v>
      </c>
      <c r="CI79" s="72">
        <f t="shared" si="129"/>
        <v>1</v>
      </c>
      <c r="CJ79" s="5" t="str">
        <f t="shared" si="100"/>
        <v/>
      </c>
      <c r="CK79" s="5">
        <f t="shared" si="101"/>
        <v>-0.96612189863944409</v>
      </c>
      <c r="CL79" s="69">
        <f t="shared" si="102"/>
        <v>7</v>
      </c>
      <c r="CN79" s="70" t="str">
        <f t="shared" si="103"/>
        <v/>
      </c>
      <c r="CO79" s="5" t="str">
        <f t="shared" si="104"/>
        <v>UF</v>
      </c>
      <c r="CP79" s="5" t="str">
        <f>IF(G79&lt;48,"UF", IF(NOT(ISBLANK(CM:CM)), CM:CM, IF(BW:BW=1, BV:BV+Sheet2!B550, IF(Sheet1!BW:BW=2, Sheet1!BV:BV+Sheet2!B551, IF(Sheet1!BW:BW=7, Sheet1!BV:BV+Sheet2!B552,"")))))</f>
        <v>UF</v>
      </c>
      <c r="CQ79" s="69" t="str">
        <f t="shared" si="130"/>
        <v/>
      </c>
      <c r="CR79" s="5" t="s">
        <v>12</v>
      </c>
      <c r="CT79" s="5" t="str">
        <f t="shared" si="105"/>
        <v/>
      </c>
      <c r="CU79" s="80" t="str">
        <f t="shared" si="106"/>
        <v>UF</v>
      </c>
      <c r="CV79" s="80" t="str">
        <f t="shared" si="107"/>
        <v>UF</v>
      </c>
      <c r="CW79" s="20" t="str">
        <f>IF(G79&lt;48,"UF", IF(NOT(ISBLANK(CS79)), CS79, IF(CE79=5, CC79+Sheet2!B539, IF(CE79=6, CC79+Sheet2!B540, IF(CE79=7, CC79+Sheet2!B541,"")))))</f>
        <v>UF</v>
      </c>
      <c r="CX79" s="68" t="str">
        <f t="shared" si="131"/>
        <v/>
      </c>
      <c r="CY79" s="5" t="s">
        <v>12</v>
      </c>
      <c r="DA79" s="5" t="str">
        <f t="shared" si="108"/>
        <v>UF</v>
      </c>
      <c r="DB79" s="73" t="str">
        <f t="shared" si="109"/>
        <v>UF</v>
      </c>
      <c r="DC79" s="73" t="str">
        <f t="shared" si="110"/>
        <v>UF</v>
      </c>
      <c r="DD79" s="5" t="str">
        <f>IF(G79&lt;48,"UF", IF(NOT(ISBLANK(CZ:CZ)), CZ:CZ, IF(CL:CL=3, CK:CK+Sheet2!B544, IF(CL:CL=4, CK:CK+Sheet2!B545, IF(CL:CL=7, CK:CK+Sheet2!B546,"")))))</f>
        <v>UF</v>
      </c>
      <c r="DE79" s="69" t="str">
        <f t="shared" si="111"/>
        <v/>
      </c>
      <c r="DF79" s="2">
        <v>1</v>
      </c>
      <c r="DG79" s="2">
        <v>27</v>
      </c>
      <c r="DH79" s="2">
        <v>1</v>
      </c>
      <c r="DI79" s="2">
        <v>2</v>
      </c>
      <c r="DJ79" s="2">
        <v>3</v>
      </c>
      <c r="DK79" s="2" t="s">
        <v>12</v>
      </c>
      <c r="DL79" s="2" t="s">
        <v>12</v>
      </c>
      <c r="DM79" s="2" t="s">
        <v>12</v>
      </c>
      <c r="DN79" s="2" t="s">
        <v>12</v>
      </c>
      <c r="DO79" s="2" t="s">
        <v>12</v>
      </c>
      <c r="DP79" s="2" t="s">
        <v>12</v>
      </c>
      <c r="DQ79" s="2">
        <v>2</v>
      </c>
      <c r="DR79" s="2">
        <v>36</v>
      </c>
      <c r="DS79" s="2">
        <v>2</v>
      </c>
      <c r="DT79" s="2">
        <v>88</v>
      </c>
      <c r="DU79" s="2" t="s">
        <v>12</v>
      </c>
      <c r="DV79" s="2">
        <v>2</v>
      </c>
      <c r="DW79" s="2">
        <v>2</v>
      </c>
      <c r="DX79" s="2">
        <v>2</v>
      </c>
      <c r="DY79" s="2">
        <v>3</v>
      </c>
      <c r="DZ79" s="2">
        <v>33</v>
      </c>
      <c r="EA79" s="2" t="s">
        <v>12</v>
      </c>
      <c r="EB79" s="2">
        <v>45.7</v>
      </c>
      <c r="EC79" s="2" t="s">
        <v>12</v>
      </c>
      <c r="ED79" s="2">
        <v>1</v>
      </c>
    </row>
    <row r="80" spans="3:134" x14ac:dyDescent="0.25">
      <c r="C80" s="8" t="s">
        <v>161</v>
      </c>
      <c r="D80" s="2">
        <v>2461096651</v>
      </c>
      <c r="E80" s="5">
        <v>7</v>
      </c>
      <c r="F80" s="2">
        <v>2</v>
      </c>
      <c r="G80" s="2">
        <v>40</v>
      </c>
      <c r="H80" s="2">
        <v>0.61422261008071177</v>
      </c>
      <c r="I80" s="2">
        <v>51</v>
      </c>
      <c r="J80" s="2">
        <v>0.58940135287155082</v>
      </c>
      <c r="K80" s="2">
        <v>3700</v>
      </c>
      <c r="L80" s="2">
        <v>0.70009272771978315</v>
      </c>
      <c r="M80" s="2">
        <v>0.20860000000000001</v>
      </c>
      <c r="N80" s="2">
        <f t="shared" si="69"/>
        <v>-0.5388613050403559</v>
      </c>
      <c r="O80" s="2">
        <f t="shared" si="70"/>
        <v>0.20860000000000001</v>
      </c>
      <c r="P80" s="2">
        <v>69</v>
      </c>
      <c r="Q80" s="2">
        <v>0.63</v>
      </c>
      <c r="R80" s="5">
        <f t="shared" si="71"/>
        <v>-2.9700676435775397E-2</v>
      </c>
      <c r="S80" s="5">
        <f t="shared" si="72"/>
        <v>0.63</v>
      </c>
      <c r="T80" s="2">
        <v>8400</v>
      </c>
      <c r="U80" s="2">
        <v>0.52</v>
      </c>
      <c r="V80" s="2">
        <f t="shared" si="73"/>
        <v>-0.37004636385989159</v>
      </c>
      <c r="W80" s="2">
        <f t="shared" si="74"/>
        <v>0.52</v>
      </c>
      <c r="X80" s="2">
        <v>-0.46350000000000002</v>
      </c>
      <c r="Y80" s="76">
        <f t="shared" si="112"/>
        <v>-1.0777226100807118</v>
      </c>
      <c r="Z80" s="76">
        <f t="shared" si="113"/>
        <v>-2</v>
      </c>
      <c r="AA80" s="2">
        <f t="shared" si="75"/>
        <v>-0.4919</v>
      </c>
      <c r="AB80" s="2">
        <f t="shared" si="76"/>
        <v>-0.46350000000000002</v>
      </c>
      <c r="AC80" s="2">
        <v>77</v>
      </c>
      <c r="AD80" s="2">
        <v>0.53</v>
      </c>
      <c r="AE80" s="79">
        <f t="shared" si="114"/>
        <v>-5.9401352871550794E-2</v>
      </c>
      <c r="AF80" s="79">
        <f t="shared" si="115"/>
        <v>-1</v>
      </c>
      <c r="AG80" s="2">
        <f t="shared" si="77"/>
        <v>-0.55000000000000004</v>
      </c>
      <c r="AH80" s="2">
        <f t="shared" si="78"/>
        <v>0.53</v>
      </c>
      <c r="AI80" s="2">
        <v>9600</v>
      </c>
      <c r="AJ80" s="2">
        <v>-0.04</v>
      </c>
      <c r="AK80" s="76">
        <f t="shared" si="116"/>
        <v>-0.74009272771978318</v>
      </c>
      <c r="AL80" s="76">
        <f t="shared" si="117"/>
        <v>-2</v>
      </c>
      <c r="AM80" s="2">
        <f t="shared" si="79"/>
        <v>-0.53</v>
      </c>
      <c r="AN80" s="2">
        <f t="shared" si="80"/>
        <v>-0.04</v>
      </c>
      <c r="AO80" s="2">
        <v>-0.3538</v>
      </c>
      <c r="AP80" s="2" t="str">
        <f t="shared" si="81"/>
        <v/>
      </c>
      <c r="AQ80" s="2">
        <f t="shared" si="82"/>
        <v>-0.3538</v>
      </c>
      <c r="AR80" s="2">
        <v>81</v>
      </c>
      <c r="AS80" s="2">
        <v>-0.47</v>
      </c>
      <c r="AT80" s="2" t="str">
        <f t="shared" si="83"/>
        <v/>
      </c>
      <c r="AU80" s="2">
        <f t="shared" si="84"/>
        <v>-0.47</v>
      </c>
      <c r="AV80" s="2">
        <v>10300</v>
      </c>
      <c r="AW80" s="2">
        <v>-0.54</v>
      </c>
      <c r="AX80" s="2" t="str">
        <f t="shared" si="85"/>
        <v/>
      </c>
      <c r="AY80" s="2">
        <f t="shared" si="86"/>
        <v>-0.54</v>
      </c>
      <c r="BA80" s="78">
        <f t="shared" si="118"/>
        <v>8.6639883790609606E-3</v>
      </c>
      <c r="BB80" s="78">
        <f t="shared" si="119"/>
        <v>1</v>
      </c>
      <c r="BC80" s="2">
        <f t="shared" si="87"/>
        <v>-0.10103601162093907</v>
      </c>
      <c r="BD80" s="2">
        <f t="shared" si="88"/>
        <v>-0.45483601162093906</v>
      </c>
      <c r="BE80" s="67">
        <f t="shared" si="120"/>
        <v>7</v>
      </c>
      <c r="BF80" s="2" t="s">
        <v>12</v>
      </c>
      <c r="BH80" s="2">
        <f t="shared" si="89"/>
        <v>4.5703862310731626E-2</v>
      </c>
      <c r="BI80" s="2">
        <f t="shared" si="90"/>
        <v>-0.42429613768926833</v>
      </c>
      <c r="BJ80" s="67">
        <f t="shared" si="91"/>
        <v>7</v>
      </c>
      <c r="BK80" s="2" t="s">
        <v>12</v>
      </c>
      <c r="BM80" s="77">
        <f t="shared" si="121"/>
        <v>-0.51676772790356829</v>
      </c>
      <c r="BN80" s="77">
        <f t="shared" si="122"/>
        <v>-1</v>
      </c>
      <c r="BO80" s="2">
        <f t="shared" si="92"/>
        <v>-1.6767727903568324E-2</v>
      </c>
      <c r="BP80" s="2">
        <f t="shared" si="93"/>
        <v>-0.55676772790356832</v>
      </c>
      <c r="BQ80" s="67">
        <f t="shared" si="123"/>
        <v>7</v>
      </c>
      <c r="BR80" s="5">
        <v>-0.65690803486281724</v>
      </c>
      <c r="BS80" s="75">
        <f t="shared" si="124"/>
        <v>-0.20207202324187817</v>
      </c>
      <c r="BT80" s="75">
        <f t="shared" si="125"/>
        <v>-1</v>
      </c>
      <c r="BU80" s="5" t="str">
        <f t="shared" si="132"/>
        <v>UF</v>
      </c>
      <c r="BV80" s="5">
        <f t="shared" si="94"/>
        <v>-0.65690803486281724</v>
      </c>
      <c r="BW80" s="69">
        <f t="shared" si="95"/>
        <v>7</v>
      </c>
      <c r="BX80" s="2">
        <v>94</v>
      </c>
      <c r="BY80" s="5">
        <v>-0.33288841306780509</v>
      </c>
      <c r="BZ80" s="74">
        <f t="shared" si="126"/>
        <v>0.22387931483576323</v>
      </c>
      <c r="CA80" s="74">
        <f t="shared" si="127"/>
        <v>1</v>
      </c>
      <c r="CB80" s="5" t="str">
        <f t="shared" si="96"/>
        <v/>
      </c>
      <c r="CC80" s="5">
        <f t="shared" si="97"/>
        <v>-0.33288841306780509</v>
      </c>
      <c r="CD80" s="2">
        <f t="shared" si="98"/>
        <v>9.1407724621463238E-2</v>
      </c>
      <c r="CE80" s="69">
        <f t="shared" si="99"/>
        <v>7</v>
      </c>
      <c r="CF80" s="5">
        <v>13500</v>
      </c>
      <c r="CG80" s="5">
        <v>-0.590303183710705</v>
      </c>
      <c r="CH80" s="72">
        <f t="shared" si="128"/>
        <v>-3.3535455807136683E-2</v>
      </c>
      <c r="CI80" s="72">
        <f t="shared" si="129"/>
        <v>-1</v>
      </c>
      <c r="CJ80" s="5" t="str">
        <f t="shared" si="100"/>
        <v/>
      </c>
      <c r="CK80" s="5">
        <f t="shared" si="101"/>
        <v>-0.590303183710705</v>
      </c>
      <c r="CL80" s="69">
        <f t="shared" si="102"/>
        <v>7</v>
      </c>
      <c r="CN80" s="70" t="str">
        <f t="shared" si="103"/>
        <v/>
      </c>
      <c r="CO80" s="5" t="str">
        <f t="shared" si="104"/>
        <v>UF</v>
      </c>
      <c r="CP80" s="5" t="str">
        <f>IF(G80&lt;48,"UF", IF(NOT(ISBLANK(CM:CM)), CM:CM, IF(BW:BW=1, BV:BV+Sheet2!B554, IF(Sheet1!BW:BW=2, Sheet1!BV:BV+Sheet2!B555, IF(Sheet1!BW:BW=7, Sheet1!BV:BV+Sheet2!B556,"")))))</f>
        <v>UF</v>
      </c>
      <c r="CQ80" s="69" t="str">
        <f t="shared" si="130"/>
        <v/>
      </c>
      <c r="CR80" s="5" t="s">
        <v>12</v>
      </c>
      <c r="CT80" s="5" t="str">
        <f t="shared" si="105"/>
        <v/>
      </c>
      <c r="CU80" s="80" t="str">
        <f t="shared" si="106"/>
        <v>UF</v>
      </c>
      <c r="CV80" s="80" t="str">
        <f t="shared" si="107"/>
        <v>UF</v>
      </c>
      <c r="CW80" s="20" t="str">
        <f>IF(G80&lt;48,"UF", IF(NOT(ISBLANK(CS80)), CS80, IF(CE80=5, CC80+Sheet2!B543, IF(CE80=6, CC80+Sheet2!B544, IF(CE80=7, CC80+Sheet2!B545,"")))))</f>
        <v>UF</v>
      </c>
      <c r="CX80" s="68" t="str">
        <f t="shared" si="131"/>
        <v/>
      </c>
      <c r="CY80" s="5" t="s">
        <v>12</v>
      </c>
      <c r="DA80" s="5" t="str">
        <f t="shared" si="108"/>
        <v>UF</v>
      </c>
      <c r="DB80" s="73" t="str">
        <f t="shared" si="109"/>
        <v>UF</v>
      </c>
      <c r="DC80" s="73" t="str">
        <f t="shared" si="110"/>
        <v>UF</v>
      </c>
      <c r="DD80" s="5" t="str">
        <f>IF(G80&lt;48,"UF", IF(NOT(ISBLANK(CZ:CZ)), CZ:CZ, IF(CL:CL=3, CK:CK+Sheet2!B548, IF(CL:CL=4, CK:CK+Sheet2!B549, IF(CL:CL=7, CK:CK+Sheet2!B550,"")))))</f>
        <v>UF</v>
      </c>
      <c r="DE80" s="69" t="str">
        <f t="shared" si="111"/>
        <v/>
      </c>
      <c r="DF80" s="2">
        <v>2</v>
      </c>
      <c r="DG80" s="2">
        <v>30</v>
      </c>
      <c r="DH80" s="2">
        <v>1</v>
      </c>
      <c r="DI80" s="2">
        <v>2</v>
      </c>
      <c r="DJ80" s="2">
        <v>3</v>
      </c>
      <c r="DK80" s="2" t="s">
        <v>12</v>
      </c>
      <c r="DL80" s="2" t="s">
        <v>12</v>
      </c>
      <c r="DM80" s="2" t="s">
        <v>12</v>
      </c>
      <c r="DN80" s="2" t="s">
        <v>12</v>
      </c>
      <c r="DO80" s="2" t="s">
        <v>12</v>
      </c>
      <c r="DP80" s="2" t="s">
        <v>12</v>
      </c>
      <c r="DQ80" s="2">
        <v>2</v>
      </c>
      <c r="DR80" s="2">
        <v>38</v>
      </c>
      <c r="DS80" s="2">
        <v>2</v>
      </c>
      <c r="DT80" s="2">
        <v>92</v>
      </c>
      <c r="DU80" s="2" t="s">
        <v>12</v>
      </c>
      <c r="DV80" s="2">
        <v>2</v>
      </c>
      <c r="DW80" s="2">
        <v>3</v>
      </c>
      <c r="DX80" s="2">
        <v>2</v>
      </c>
      <c r="DY80" s="2">
        <v>2</v>
      </c>
      <c r="DZ80" s="2">
        <v>36</v>
      </c>
      <c r="EA80" s="2">
        <v>36.5</v>
      </c>
      <c r="EB80" s="2">
        <v>45.5</v>
      </c>
      <c r="EC80" s="2">
        <v>1</v>
      </c>
      <c r="ED80" s="2">
        <v>1</v>
      </c>
    </row>
    <row r="81" spans="1:134" x14ac:dyDescent="0.25">
      <c r="C81" s="8" t="s">
        <v>324</v>
      </c>
      <c r="D81" s="2">
        <v>2461099308</v>
      </c>
      <c r="E81" s="5">
        <v>7</v>
      </c>
      <c r="F81" s="2">
        <v>2</v>
      </c>
      <c r="G81" s="2">
        <v>39</v>
      </c>
      <c r="H81" s="2">
        <v>-0.83593697359552199</v>
      </c>
      <c r="I81" s="2">
        <v>52</v>
      </c>
      <c r="J81" s="2">
        <v>1.117633928075521</v>
      </c>
      <c r="K81" s="2">
        <v>3350</v>
      </c>
      <c r="L81" s="2">
        <v>7.3647417021721496E-3</v>
      </c>
      <c r="M81" s="2">
        <v>-2.7699999999999999E-2</v>
      </c>
      <c r="N81" s="2">
        <f t="shared" si="69"/>
        <v>0.50471848679776099</v>
      </c>
      <c r="O81" s="2">
        <f t="shared" si="70"/>
        <v>-2.7699999999999999E-2</v>
      </c>
      <c r="P81" s="2">
        <v>70.5</v>
      </c>
      <c r="Q81" s="2">
        <v>1.33</v>
      </c>
      <c r="R81" s="5">
        <f t="shared" si="71"/>
        <v>-0.29381696403776048</v>
      </c>
      <c r="S81" s="5">
        <f t="shared" si="72"/>
        <v>1.33</v>
      </c>
      <c r="T81" s="2">
        <v>8600</v>
      </c>
      <c r="U81" s="2">
        <v>0.73</v>
      </c>
      <c r="V81" s="2">
        <f t="shared" si="73"/>
        <v>0.20631762914891391</v>
      </c>
      <c r="W81" s="2">
        <f t="shared" si="74"/>
        <v>0.73</v>
      </c>
      <c r="X81" s="2">
        <v>0.17349999999999999</v>
      </c>
      <c r="Y81" s="76">
        <f t="shared" si="112"/>
        <v>1.009436973595522</v>
      </c>
      <c r="Z81" s="76">
        <f t="shared" si="113"/>
        <v>2</v>
      </c>
      <c r="AA81" s="2">
        <f t="shared" si="75"/>
        <v>-1.3367499999999999</v>
      </c>
      <c r="AB81" s="2">
        <f t="shared" si="76"/>
        <v>0.17349999999999999</v>
      </c>
      <c r="AC81" s="2">
        <v>77</v>
      </c>
      <c r="AD81" s="2">
        <v>0.53</v>
      </c>
      <c r="AE81" s="79">
        <f t="shared" si="114"/>
        <v>-0.58763392807552095</v>
      </c>
      <c r="AF81" s="79">
        <f t="shared" si="115"/>
        <v>-1</v>
      </c>
      <c r="AG81" s="2">
        <f t="shared" si="77"/>
        <v>0.34499999999999997</v>
      </c>
      <c r="AH81" s="2">
        <f t="shared" si="78"/>
        <v>0.53</v>
      </c>
      <c r="AI81" s="2">
        <v>10100</v>
      </c>
      <c r="AJ81" s="2">
        <v>0.42</v>
      </c>
      <c r="AK81" s="76">
        <f t="shared" si="116"/>
        <v>0.41263525829782782</v>
      </c>
      <c r="AL81" s="76">
        <f t="shared" si="117"/>
        <v>1</v>
      </c>
      <c r="AM81" s="2">
        <f t="shared" si="79"/>
        <v>-0.26</v>
      </c>
      <c r="AN81" s="2">
        <f t="shared" si="80"/>
        <v>0.42</v>
      </c>
      <c r="AO81" s="2">
        <v>-1.3434999999999999</v>
      </c>
      <c r="AP81" s="2" t="str">
        <f t="shared" si="81"/>
        <v/>
      </c>
      <c r="AQ81" s="2">
        <f t="shared" si="82"/>
        <v>-1.3434999999999999</v>
      </c>
      <c r="AR81" s="2">
        <v>87.7</v>
      </c>
      <c r="AS81" s="2">
        <v>2.02</v>
      </c>
      <c r="AT81" s="2" t="str">
        <f t="shared" si="83"/>
        <v/>
      </c>
      <c r="AU81" s="2">
        <f t="shared" si="84"/>
        <v>2.02</v>
      </c>
      <c r="AV81" s="2">
        <v>11200</v>
      </c>
      <c r="AW81" s="2">
        <v>0.21</v>
      </c>
      <c r="AX81" s="2" t="str">
        <f t="shared" si="85"/>
        <v/>
      </c>
      <c r="AY81" s="2">
        <f t="shared" si="86"/>
        <v>0.21</v>
      </c>
      <c r="BA81" s="78">
        <f t="shared" si="118"/>
        <v>-1.3163735958919782</v>
      </c>
      <c r="BB81" s="78">
        <f t="shared" si="119"/>
        <v>-2</v>
      </c>
      <c r="BC81" s="2">
        <f t="shared" si="87"/>
        <v>0.20062640410802168</v>
      </c>
      <c r="BD81" s="2">
        <f t="shared" si="88"/>
        <v>-1.1428735958919782</v>
      </c>
      <c r="BE81" s="67">
        <f t="shared" si="120"/>
        <v>7</v>
      </c>
      <c r="BF81" s="2" t="s">
        <v>12</v>
      </c>
      <c r="BH81" s="2">
        <f t="shared" si="89"/>
        <v>-0.61096392163376068</v>
      </c>
      <c r="BI81" s="2">
        <f t="shared" si="90"/>
        <v>1.4090360783662392</v>
      </c>
      <c r="BJ81" s="67">
        <f t="shared" si="91"/>
        <v>7</v>
      </c>
      <c r="BK81" s="2" t="s">
        <v>12</v>
      </c>
      <c r="BM81" s="77">
        <f t="shared" si="121"/>
        <v>-0.36522805235351508</v>
      </c>
      <c r="BN81" s="77">
        <f t="shared" si="122"/>
        <v>-1</v>
      </c>
      <c r="BO81" s="2">
        <f t="shared" si="92"/>
        <v>-0.15522805235351511</v>
      </c>
      <c r="BP81" s="2">
        <f t="shared" si="93"/>
        <v>5.4771947646484881E-2</v>
      </c>
      <c r="BQ81" s="67">
        <f t="shared" si="123"/>
        <v>7</v>
      </c>
      <c r="BR81" s="5">
        <v>-0.74162078767593487</v>
      </c>
      <c r="BS81" s="75">
        <f t="shared" si="124"/>
        <v>0.40125280821604337</v>
      </c>
      <c r="BT81" s="75">
        <f t="shared" si="125"/>
        <v>1</v>
      </c>
      <c r="BU81" s="5" t="e">
        <f>IF(#REF!&gt;=36, IF(AND(NOT(ISBLANK(CM:CM)), NOT(ISBLANK(BD:BD))), (CM:CM-BD:BD)/2, ""), "UF")</f>
        <v>#REF!</v>
      </c>
      <c r="BV81" s="5">
        <f t="shared" si="94"/>
        <v>-0.74162078767593487</v>
      </c>
      <c r="BW81" s="69">
        <f t="shared" si="95"/>
        <v>7</v>
      </c>
      <c r="BX81" s="2">
        <v>96</v>
      </c>
      <c r="BY81" s="5">
        <v>0.18710823509871821</v>
      </c>
      <c r="BZ81" s="74">
        <f t="shared" si="126"/>
        <v>0.13233628745223333</v>
      </c>
      <c r="CA81" s="74">
        <f t="shared" si="127"/>
        <v>1</v>
      </c>
      <c r="CB81" s="5" t="str">
        <f t="shared" si="96"/>
        <v/>
      </c>
      <c r="CC81" s="5">
        <f t="shared" si="97"/>
        <v>0.18710823509871821</v>
      </c>
      <c r="CD81" s="2">
        <f t="shared" si="98"/>
        <v>-1.2219278432675211</v>
      </c>
      <c r="CE81" s="69">
        <f t="shared" si="99"/>
        <v>7</v>
      </c>
      <c r="CF81" s="5">
        <v>14000</v>
      </c>
      <c r="CG81" s="5">
        <v>-0.25568415706054531</v>
      </c>
      <c r="CH81" s="72">
        <f t="shared" si="128"/>
        <v>-0.31045610470703022</v>
      </c>
      <c r="CI81" s="72">
        <f t="shared" si="129"/>
        <v>-1</v>
      </c>
      <c r="CJ81" s="5" t="str">
        <f t="shared" si="100"/>
        <v/>
      </c>
      <c r="CK81" s="5">
        <f t="shared" si="101"/>
        <v>-0.25568415706054531</v>
      </c>
      <c r="CL81" s="69">
        <f t="shared" si="102"/>
        <v>7</v>
      </c>
      <c r="CN81" s="70" t="str">
        <f t="shared" si="103"/>
        <v/>
      </c>
      <c r="CO81" s="5" t="str">
        <f t="shared" si="104"/>
        <v>UF</v>
      </c>
      <c r="CP81" s="5" t="str">
        <f>IF(G81&lt;48,"UF", IF(NOT(ISBLANK(CM:CM)), CM:CM, IF(BW:BW=1, BV:BV+Sheet2!B548, IF(Sheet1!BW:BW=2, Sheet1!BV:BV+Sheet2!B549, IF(Sheet1!BW:BW=7, Sheet1!BV:BV+Sheet2!B550,"")))))</f>
        <v>UF</v>
      </c>
      <c r="CQ81" s="69" t="str">
        <f t="shared" si="130"/>
        <v/>
      </c>
      <c r="CR81" s="5" t="s">
        <v>12</v>
      </c>
      <c r="CT81" s="5" t="str">
        <f t="shared" si="105"/>
        <v/>
      </c>
      <c r="CU81" s="80" t="str">
        <f t="shared" si="106"/>
        <v>UF</v>
      </c>
      <c r="CV81" s="80" t="str">
        <f t="shared" si="107"/>
        <v>UF</v>
      </c>
      <c r="CW81" s="20" t="str">
        <f>IF(G81&lt;48,"UF", IF(NOT(ISBLANK(CS81)), CS81, IF(CE81=5, CC81+Sheet2!B537, IF(CE81=6, CC81+Sheet2!B538, IF(CE81=7, CC81+Sheet2!B539,"")))))</f>
        <v>UF</v>
      </c>
      <c r="CX81" s="68" t="str">
        <f t="shared" si="131"/>
        <v/>
      </c>
      <c r="CY81" s="5" t="s">
        <v>12</v>
      </c>
      <c r="DA81" s="5" t="str">
        <f t="shared" si="108"/>
        <v>UF</v>
      </c>
      <c r="DB81" s="73" t="str">
        <f t="shared" si="109"/>
        <v>UF</v>
      </c>
      <c r="DC81" s="73" t="str">
        <f t="shared" si="110"/>
        <v>UF</v>
      </c>
      <c r="DD81" s="5" t="str">
        <f>IF(G81&lt;48,"UF", IF(NOT(ISBLANK(CZ:CZ)), CZ:CZ, IF(CL:CL=3, CK:CK+Sheet2!B542, IF(CL:CL=4, CK:CK+Sheet2!B543, IF(CL:CL=7, CK:CK+Sheet2!B544,"")))))</f>
        <v>UF</v>
      </c>
      <c r="DE81" s="69" t="str">
        <f t="shared" si="111"/>
        <v/>
      </c>
      <c r="DF81" s="2">
        <v>2</v>
      </c>
      <c r="DG81" s="2">
        <v>30</v>
      </c>
      <c r="DH81" s="2">
        <v>2</v>
      </c>
      <c r="DI81" s="2">
        <v>2</v>
      </c>
      <c r="DJ81" s="2">
        <v>2</v>
      </c>
      <c r="DK81" s="2">
        <v>110</v>
      </c>
      <c r="DL81" s="2">
        <v>60</v>
      </c>
      <c r="DM81" s="2">
        <v>100</v>
      </c>
      <c r="DN81" s="2">
        <v>60</v>
      </c>
      <c r="DO81" s="2" t="s">
        <v>12</v>
      </c>
      <c r="DP81" s="2" t="s">
        <v>12</v>
      </c>
      <c r="DQ81" s="2">
        <v>2</v>
      </c>
      <c r="DR81" s="2">
        <v>39</v>
      </c>
      <c r="DS81" s="2">
        <v>2</v>
      </c>
      <c r="DT81" s="2">
        <v>81</v>
      </c>
      <c r="DU81" s="2">
        <v>71</v>
      </c>
      <c r="DV81" s="2">
        <v>2</v>
      </c>
      <c r="DW81" s="2">
        <v>3</v>
      </c>
      <c r="DX81" s="2">
        <v>2</v>
      </c>
      <c r="DY81" s="2">
        <v>2</v>
      </c>
      <c r="DZ81" s="2">
        <v>35</v>
      </c>
      <c r="EA81" s="2" t="s">
        <v>12</v>
      </c>
      <c r="EB81" s="2">
        <v>47.2</v>
      </c>
      <c r="EC81" s="2" t="s">
        <v>12</v>
      </c>
      <c r="ED81" s="2">
        <v>1</v>
      </c>
    </row>
    <row r="82" spans="1:134" x14ac:dyDescent="0.25">
      <c r="C82" s="8" t="s">
        <v>149</v>
      </c>
      <c r="D82" s="2">
        <v>2461099723</v>
      </c>
      <c r="E82" s="2">
        <v>6</v>
      </c>
      <c r="F82" s="2">
        <v>2</v>
      </c>
      <c r="G82" s="2">
        <v>37</v>
      </c>
      <c r="H82" s="2">
        <v>-0.65548757325473495</v>
      </c>
      <c r="I82" s="2">
        <v>50</v>
      </c>
      <c r="J82" s="2">
        <v>6.1168777667580831E-2</v>
      </c>
      <c r="K82" s="5">
        <v>3150</v>
      </c>
      <c r="L82" s="2">
        <v>-0.4098709608817373</v>
      </c>
      <c r="N82" s="2">
        <f t="shared" si="69"/>
        <v>0.83994378662736746</v>
      </c>
      <c r="O82" s="2">
        <f t="shared" si="70"/>
        <v>0.18445621337263252</v>
      </c>
      <c r="P82" s="2" t="s">
        <v>12</v>
      </c>
      <c r="R82" s="5">
        <f t="shared" si="71"/>
        <v>-0.39558438883379043</v>
      </c>
      <c r="S82" s="5">
        <f t="shared" si="72"/>
        <v>-0.3344156111662096</v>
      </c>
      <c r="T82" s="2" t="s">
        <v>12</v>
      </c>
      <c r="V82" s="2">
        <f t="shared" si="73"/>
        <v>0.36993548044086866</v>
      </c>
      <c r="W82" s="2">
        <f t="shared" si="74"/>
        <v>-3.9935480440868643E-2</v>
      </c>
      <c r="X82" s="2">
        <v>1.0244</v>
      </c>
      <c r="Y82" s="76">
        <f t="shared" si="112"/>
        <v>1.6798875732547349</v>
      </c>
      <c r="Z82" s="76">
        <f t="shared" si="113"/>
        <v>2</v>
      </c>
      <c r="AA82" s="2">
        <f t="shared" si="75"/>
        <v>0.13515780558310481</v>
      </c>
      <c r="AB82" s="2">
        <f t="shared" si="76"/>
        <v>1.0244</v>
      </c>
      <c r="AC82" s="2">
        <v>74</v>
      </c>
      <c r="AD82" s="2">
        <v>-0.73</v>
      </c>
      <c r="AE82" s="79">
        <f t="shared" si="114"/>
        <v>-0.79116877766758087</v>
      </c>
      <c r="AF82" s="79">
        <f t="shared" si="115"/>
        <v>-2</v>
      </c>
      <c r="AG82" s="2">
        <f t="shared" si="77"/>
        <v>-0.3077921944168952</v>
      </c>
      <c r="AH82" s="2">
        <f t="shared" si="78"/>
        <v>-0.73</v>
      </c>
      <c r="AI82" s="2">
        <v>10000</v>
      </c>
      <c r="AJ82" s="2">
        <v>0.33</v>
      </c>
      <c r="AK82" s="76">
        <f t="shared" si="116"/>
        <v>0.73987096088173732</v>
      </c>
      <c r="AL82" s="76">
        <f t="shared" si="117"/>
        <v>2</v>
      </c>
      <c r="AM82" s="2">
        <f t="shared" si="79"/>
        <v>-0.29503225977956571</v>
      </c>
      <c r="AN82" s="2">
        <f t="shared" si="80"/>
        <v>0.33</v>
      </c>
      <c r="AO82" s="2">
        <v>-6.4100000000000004E-2</v>
      </c>
      <c r="AP82" s="2">
        <f t="shared" si="81"/>
        <v>-1.164868741599544</v>
      </c>
      <c r="AQ82" s="2">
        <f t="shared" si="82"/>
        <v>-6.4100000000000004E-2</v>
      </c>
      <c r="AR82" s="2">
        <v>79.7</v>
      </c>
      <c r="AS82" s="2">
        <v>-0.95</v>
      </c>
      <c r="AT82" s="2">
        <f t="shared" si="83"/>
        <v>0.17098484847931994</v>
      </c>
      <c r="AU82" s="2">
        <f t="shared" si="84"/>
        <v>-0.95</v>
      </c>
      <c r="AV82" s="2">
        <v>10200</v>
      </c>
      <c r="AW82" s="2">
        <v>-0.63</v>
      </c>
      <c r="AX82" s="2">
        <f t="shared" si="85"/>
        <v>-0.85530871938501107</v>
      </c>
      <c r="AY82" s="2">
        <f t="shared" si="86"/>
        <v>-0.63</v>
      </c>
      <c r="AZ82" s="2">
        <v>-1.305337483199088</v>
      </c>
      <c r="BA82" s="78">
        <f t="shared" si="118"/>
        <v>-2.329737483199088</v>
      </c>
      <c r="BB82" s="78">
        <f t="shared" si="119"/>
        <v>-2</v>
      </c>
      <c r="BC82" s="2">
        <f t="shared" si="87"/>
        <v>0.28516512789590404</v>
      </c>
      <c r="BD82" s="2">
        <f t="shared" si="88"/>
        <v>-1.305337483199088</v>
      </c>
      <c r="BE82" s="67">
        <f t="shared" si="120"/>
        <v>7</v>
      </c>
      <c r="BF82" s="2">
        <v>85.5</v>
      </c>
      <c r="BG82" s="2">
        <v>-0.3880303030413601</v>
      </c>
      <c r="BH82" s="2">
        <f t="shared" si="89"/>
        <v>-0.46343865964953906</v>
      </c>
      <c r="BI82" s="2">
        <f t="shared" si="90"/>
        <v>-0.3880303030413601</v>
      </c>
      <c r="BJ82" s="67">
        <f t="shared" si="91"/>
        <v>7</v>
      </c>
      <c r="BK82" s="2">
        <v>11000</v>
      </c>
      <c r="BL82" s="2">
        <v>-1.3806174387700221</v>
      </c>
      <c r="BM82" s="77">
        <f t="shared" si="121"/>
        <v>-1.7106174387700221</v>
      </c>
      <c r="BN82" s="77">
        <f t="shared" si="122"/>
        <v>-2</v>
      </c>
      <c r="BO82" s="2">
        <f t="shared" si="92"/>
        <v>-0.15468289460736065</v>
      </c>
      <c r="BP82" s="2">
        <f t="shared" si="93"/>
        <v>-1.3806174387700221</v>
      </c>
      <c r="BQ82" s="67">
        <f t="shared" si="123"/>
        <v>7</v>
      </c>
      <c r="BR82" s="5">
        <v>0.79139538368771201</v>
      </c>
      <c r="BS82" s="75">
        <f t="shared" si="124"/>
        <v>2.0967328668867999</v>
      </c>
      <c r="BT82" s="75">
        <f t="shared" si="125"/>
        <v>2</v>
      </c>
      <c r="BU82" s="5" t="str">
        <f t="shared" ref="BU82:BU88" si="133">IF(G90&gt;=36, IF(AND(NOT(ISBLANK(CM:CM)), NOT(ISBLANK(BD:BD))), (CM:CM-BD:BD)/2, ""), "UF")</f>
        <v/>
      </c>
      <c r="BV82" s="5">
        <f t="shared" si="94"/>
        <v>0.79139538368771201</v>
      </c>
      <c r="BW82" s="69">
        <f t="shared" si="95"/>
        <v>7</v>
      </c>
      <c r="BX82" s="2">
        <v>86.8</v>
      </c>
      <c r="BY82" s="5">
        <v>-2.3403159789486172</v>
      </c>
      <c r="BZ82" s="74">
        <f t="shared" si="126"/>
        <v>-0.95969854017859513</v>
      </c>
      <c r="CA82" s="74">
        <f t="shared" si="127"/>
        <v>-2</v>
      </c>
      <c r="CB82" s="5" t="str">
        <f t="shared" si="96"/>
        <v/>
      </c>
      <c r="CC82" s="5">
        <f t="shared" si="97"/>
        <v>-2.3403159789486172</v>
      </c>
      <c r="CD82" s="2">
        <f t="shared" si="98"/>
        <v>-1.9522856759072571</v>
      </c>
      <c r="CE82" s="69">
        <f t="shared" si="99"/>
        <v>6</v>
      </c>
      <c r="CF82" s="5">
        <v>12800</v>
      </c>
      <c r="CG82" s="5">
        <v>-1.094048683822082</v>
      </c>
      <c r="CH82" s="72">
        <f t="shared" si="128"/>
        <v>0.2865687549479401</v>
      </c>
      <c r="CI82" s="72">
        <f t="shared" si="129"/>
        <v>1</v>
      </c>
      <c r="CJ82" s="5" t="str">
        <f t="shared" si="100"/>
        <v/>
      </c>
      <c r="CK82" s="5">
        <f t="shared" si="101"/>
        <v>-1.094048683822082</v>
      </c>
      <c r="CL82" s="69">
        <f t="shared" si="102"/>
        <v>7</v>
      </c>
      <c r="CN82" s="70" t="str">
        <f t="shared" si="103"/>
        <v/>
      </c>
      <c r="CO82" s="5" t="str">
        <f t="shared" si="104"/>
        <v>UF</v>
      </c>
      <c r="CP82" s="5" t="str">
        <f>IF(G82&lt;48,"UF", IF(NOT(ISBLANK(CM:CM)), CM:CM, IF(BW:BW=1, BV:BV+Sheet2!B253, IF(Sheet1!BW:BW=2, Sheet1!BV:BV+Sheet2!B254, IF(Sheet1!BW:BW=7, Sheet1!BV:BV+Sheet2!B255,"")))))</f>
        <v>UF</v>
      </c>
      <c r="CQ82" s="69" t="str">
        <f t="shared" si="130"/>
        <v/>
      </c>
      <c r="CR82" s="5" t="s">
        <v>12</v>
      </c>
      <c r="CT82" s="5" t="str">
        <f t="shared" si="105"/>
        <v/>
      </c>
      <c r="CU82" s="80" t="str">
        <f t="shared" si="106"/>
        <v>UF</v>
      </c>
      <c r="CV82" s="80" t="str">
        <f t="shared" si="107"/>
        <v>UF</v>
      </c>
      <c r="CW82" s="20" t="str">
        <f>IF(G82&lt;48,"UF", IF(NOT(ISBLANK(CS82)), CS82, IF(CE82=5, CC82+Sheet2!B242, IF(CE82=6, CC82+Sheet2!B243, IF(CE82=7, CC82+Sheet2!B244,"")))))</f>
        <v>UF</v>
      </c>
      <c r="CX82" s="68" t="str">
        <f t="shared" si="131"/>
        <v/>
      </c>
      <c r="CY82" s="5" t="s">
        <v>12</v>
      </c>
      <c r="DA82" s="5" t="str">
        <f t="shared" si="108"/>
        <v>UF</v>
      </c>
      <c r="DB82" s="73" t="str">
        <f t="shared" si="109"/>
        <v>UF</v>
      </c>
      <c r="DC82" s="73" t="str">
        <f t="shared" si="110"/>
        <v>UF</v>
      </c>
      <c r="DD82" s="5" t="str">
        <f>IF(G82&lt;48,"UF", IF(NOT(ISBLANK(CZ:CZ)), CZ:CZ, IF(CL:CL=3, CK:CK+Sheet2!B247, IF(CL:CL=4, CK:CK+Sheet2!B248, IF(CL:CL=7, CK:CK+Sheet2!B249,"")))))</f>
        <v>UF</v>
      </c>
      <c r="DE82" s="69" t="str">
        <f t="shared" si="111"/>
        <v/>
      </c>
      <c r="DF82" s="2">
        <v>2</v>
      </c>
      <c r="DG82" s="2">
        <v>24</v>
      </c>
      <c r="DH82" s="2">
        <v>1</v>
      </c>
      <c r="DI82" s="2">
        <v>1</v>
      </c>
      <c r="DJ82" s="2">
        <v>3</v>
      </c>
      <c r="DK82" s="2" t="s">
        <v>12</v>
      </c>
      <c r="DL82" s="2" t="s">
        <v>12</v>
      </c>
      <c r="DM82" s="2" t="s">
        <v>12</v>
      </c>
      <c r="DN82" s="2" t="s">
        <v>12</v>
      </c>
      <c r="DO82" s="2" t="s">
        <v>12</v>
      </c>
      <c r="DP82" s="2" t="s">
        <v>12</v>
      </c>
      <c r="DQ82" s="2">
        <v>2</v>
      </c>
      <c r="DR82" s="2">
        <v>39</v>
      </c>
      <c r="DS82" s="2" t="s">
        <v>12</v>
      </c>
      <c r="DT82" s="2" t="s">
        <v>12</v>
      </c>
      <c r="DU82" s="2" t="s">
        <v>12</v>
      </c>
      <c r="DV82" s="2">
        <v>2</v>
      </c>
      <c r="DW82" s="2">
        <v>3</v>
      </c>
      <c r="DX82" s="2">
        <v>2</v>
      </c>
      <c r="DY82" s="2">
        <v>1</v>
      </c>
      <c r="DZ82" s="2">
        <v>34.5</v>
      </c>
      <c r="EA82" s="2">
        <v>35</v>
      </c>
      <c r="EB82" s="2">
        <v>44.5</v>
      </c>
      <c r="EC82" s="2">
        <v>1</v>
      </c>
      <c r="ED82" s="2">
        <v>1</v>
      </c>
    </row>
    <row r="83" spans="1:134" x14ac:dyDescent="0.25">
      <c r="C83" s="8" t="s">
        <v>327</v>
      </c>
      <c r="D83" s="2">
        <v>2461102392</v>
      </c>
      <c r="E83" s="5">
        <v>7</v>
      </c>
      <c r="F83" s="2">
        <v>1</v>
      </c>
      <c r="G83" s="2">
        <v>38</v>
      </c>
      <c r="H83" s="2">
        <v>-0.81332117739191934</v>
      </c>
      <c r="I83" s="2">
        <v>48</v>
      </c>
      <c r="J83" s="2">
        <v>-0.61614996855203885</v>
      </c>
      <c r="K83" s="2">
        <v>2850</v>
      </c>
      <c r="L83" s="2">
        <v>-0.86709135593222397</v>
      </c>
      <c r="M83" s="2">
        <v>-0.40720000000000001</v>
      </c>
      <c r="N83" s="2">
        <f t="shared" si="69"/>
        <v>0.49141058869595966</v>
      </c>
      <c r="O83" s="2">
        <f t="shared" si="70"/>
        <v>-0.40720000000000001</v>
      </c>
      <c r="P83" s="2">
        <v>66</v>
      </c>
      <c r="Q83" s="2">
        <v>0.11</v>
      </c>
      <c r="R83" s="5">
        <f t="shared" si="71"/>
        <v>0.20807498427601942</v>
      </c>
      <c r="S83" s="5">
        <f t="shared" si="72"/>
        <v>0.11</v>
      </c>
      <c r="T83" s="2">
        <v>7100</v>
      </c>
      <c r="U83" s="2">
        <v>-0.23</v>
      </c>
      <c r="V83" s="2">
        <f t="shared" si="73"/>
        <v>0.443545677966112</v>
      </c>
      <c r="W83" s="2">
        <f t="shared" si="74"/>
        <v>-0.23</v>
      </c>
      <c r="X83" s="2">
        <v>0.16950000000000001</v>
      </c>
      <c r="Y83" s="76">
        <f t="shared" si="112"/>
        <v>0.98282117739191932</v>
      </c>
      <c r="Z83" s="76">
        <f t="shared" si="113"/>
        <v>2</v>
      </c>
      <c r="AA83" s="2">
        <f t="shared" si="75"/>
        <v>-0.27450000000000002</v>
      </c>
      <c r="AB83" s="2">
        <f t="shared" si="76"/>
        <v>0.16950000000000001</v>
      </c>
      <c r="AC83" s="2">
        <v>73.5</v>
      </c>
      <c r="AD83" s="2">
        <v>-0.2</v>
      </c>
      <c r="AE83" s="79">
        <f t="shared" si="114"/>
        <v>0.41614996855203884</v>
      </c>
      <c r="AF83" s="79">
        <f t="shared" si="115"/>
        <v>1</v>
      </c>
      <c r="AG83" s="2">
        <f t="shared" si="77"/>
        <v>8.0000000000000016E-2</v>
      </c>
      <c r="AH83" s="2">
        <f t="shared" si="78"/>
        <v>-0.2</v>
      </c>
      <c r="AI83" s="2">
        <v>8970</v>
      </c>
      <c r="AJ83" s="2">
        <v>0.02</v>
      </c>
      <c r="AK83" s="76">
        <f t="shared" si="116"/>
        <v>0.88709135593222399</v>
      </c>
      <c r="AL83" s="76">
        <f t="shared" si="117"/>
        <v>2</v>
      </c>
      <c r="AM83" s="2">
        <f t="shared" si="79"/>
        <v>4.4999999999999998E-2</v>
      </c>
      <c r="AN83" s="2">
        <f t="shared" si="80"/>
        <v>0.02</v>
      </c>
      <c r="AO83" s="2">
        <v>-0.439</v>
      </c>
      <c r="AP83" s="2" t="str">
        <f t="shared" si="81"/>
        <v/>
      </c>
      <c r="AQ83" s="2">
        <f t="shared" si="82"/>
        <v>-0.439</v>
      </c>
      <c r="AR83" s="2">
        <v>81.5</v>
      </c>
      <c r="AS83" s="2">
        <v>0.27</v>
      </c>
      <c r="AT83" s="2" t="str">
        <f t="shared" si="83"/>
        <v/>
      </c>
      <c r="AU83" s="2">
        <f t="shared" si="84"/>
        <v>0.27</v>
      </c>
      <c r="AV83" s="2">
        <v>10060</v>
      </c>
      <c r="AW83" s="2">
        <v>-0.14000000000000001</v>
      </c>
      <c r="AX83" s="2" t="str">
        <f t="shared" si="85"/>
        <v/>
      </c>
      <c r="AY83" s="2">
        <f t="shared" si="86"/>
        <v>-0.14000000000000001</v>
      </c>
      <c r="BA83" s="78">
        <f t="shared" si="118"/>
        <v>-0.75704642288110824</v>
      </c>
      <c r="BB83" s="78">
        <f t="shared" si="119"/>
        <v>-2</v>
      </c>
      <c r="BC83" s="2">
        <f t="shared" si="87"/>
        <v>-0.14854642288110825</v>
      </c>
      <c r="BD83" s="2">
        <f t="shared" si="88"/>
        <v>-0.58754642288110825</v>
      </c>
      <c r="BE83" s="67">
        <f t="shared" si="120"/>
        <v>7</v>
      </c>
      <c r="BF83" s="2" t="s">
        <v>12</v>
      </c>
      <c r="BH83" s="2">
        <f t="shared" si="89"/>
        <v>-0.10797498210060442</v>
      </c>
      <c r="BI83" s="2">
        <f t="shared" si="90"/>
        <v>0.16202501789939561</v>
      </c>
      <c r="BJ83" s="67">
        <f t="shared" si="91"/>
        <v>7</v>
      </c>
      <c r="BK83" s="2" t="s">
        <v>12</v>
      </c>
      <c r="BM83" s="77">
        <f t="shared" si="121"/>
        <v>-0.31544975970854894</v>
      </c>
      <c r="BN83" s="77">
        <f t="shared" si="122"/>
        <v>-1</v>
      </c>
      <c r="BO83" s="2">
        <f t="shared" si="92"/>
        <v>-0.15544975970854891</v>
      </c>
      <c r="BP83" s="2">
        <f t="shared" si="93"/>
        <v>-0.29544975970854892</v>
      </c>
      <c r="BQ83" s="67">
        <f t="shared" si="123"/>
        <v>7</v>
      </c>
      <c r="BR83" s="5">
        <v>-0.88463926864332476</v>
      </c>
      <c r="BS83" s="75">
        <f t="shared" si="124"/>
        <v>-0.29709284576221651</v>
      </c>
      <c r="BT83" s="75">
        <f t="shared" si="125"/>
        <v>-1</v>
      </c>
      <c r="BU83" s="5" t="str">
        <f t="shared" si="133"/>
        <v/>
      </c>
      <c r="BV83" s="5">
        <f t="shared" si="94"/>
        <v>-0.88463926864332476</v>
      </c>
      <c r="BW83" s="69">
        <f t="shared" si="95"/>
        <v>7</v>
      </c>
      <c r="BX83" s="2">
        <v>94</v>
      </c>
      <c r="BY83" s="5">
        <v>-5.3924946301813291E-2</v>
      </c>
      <c r="BZ83" s="74">
        <f t="shared" si="126"/>
        <v>0.24152481340673562</v>
      </c>
      <c r="CA83" s="74">
        <f t="shared" si="127"/>
        <v>1</v>
      </c>
      <c r="CB83" s="5" t="str">
        <f t="shared" si="96"/>
        <v/>
      </c>
      <c r="CC83" s="5">
        <f t="shared" si="97"/>
        <v>-5.3924946301813291E-2</v>
      </c>
      <c r="CD83" s="2">
        <f t="shared" si="98"/>
        <v>-0.2159499642012089</v>
      </c>
      <c r="CE83" s="69">
        <f t="shared" si="99"/>
        <v>7</v>
      </c>
      <c r="CF83" s="5">
        <v>13000</v>
      </c>
      <c r="CG83" s="5">
        <v>-0.60634927912564673</v>
      </c>
      <c r="CH83" s="72">
        <f t="shared" si="128"/>
        <v>-0.31089951941709781</v>
      </c>
      <c r="CI83" s="72">
        <f t="shared" si="129"/>
        <v>-1</v>
      </c>
      <c r="CJ83" s="5" t="str">
        <f t="shared" si="100"/>
        <v/>
      </c>
      <c r="CK83" s="5">
        <f t="shared" si="101"/>
        <v>-0.60634927912564673</v>
      </c>
      <c r="CL83" s="69">
        <f t="shared" si="102"/>
        <v>7</v>
      </c>
      <c r="CN83" s="70" t="str">
        <f t="shared" si="103"/>
        <v/>
      </c>
      <c r="CO83" s="5" t="str">
        <f t="shared" si="104"/>
        <v>UF</v>
      </c>
      <c r="CP83" s="5" t="str">
        <f>IF(G83&lt;48,"UF", IF(NOT(ISBLANK(CM:CM)), CM:CM, IF(BW:BW=1, BV:BV+Sheet2!B552, IF(Sheet1!BW:BW=2, Sheet1!BV:BV+Sheet2!B553, IF(Sheet1!BW:BW=7, Sheet1!BV:BV+Sheet2!B554,"")))))</f>
        <v>UF</v>
      </c>
      <c r="CQ83" s="69" t="str">
        <f t="shared" si="130"/>
        <v/>
      </c>
      <c r="CR83" s="5" t="s">
        <v>12</v>
      </c>
      <c r="CT83" s="5" t="str">
        <f t="shared" si="105"/>
        <v/>
      </c>
      <c r="CU83" s="80" t="str">
        <f t="shared" si="106"/>
        <v>UF</v>
      </c>
      <c r="CV83" s="80" t="str">
        <f t="shared" si="107"/>
        <v>UF</v>
      </c>
      <c r="CW83" s="20" t="str">
        <f>IF(G83&lt;48,"UF", IF(NOT(ISBLANK(CS83)), CS83, IF(CE83=5, CC83+Sheet2!B541, IF(CE83=6, CC83+Sheet2!B542, IF(CE83=7, CC83+Sheet2!B543,"")))))</f>
        <v>UF</v>
      </c>
      <c r="CX83" s="68" t="str">
        <f t="shared" si="131"/>
        <v/>
      </c>
      <c r="CY83" s="5" t="s">
        <v>12</v>
      </c>
      <c r="DA83" s="5" t="str">
        <f t="shared" si="108"/>
        <v>UF</v>
      </c>
      <c r="DB83" s="73" t="str">
        <f t="shared" si="109"/>
        <v>UF</v>
      </c>
      <c r="DC83" s="73" t="str">
        <f t="shared" si="110"/>
        <v>UF</v>
      </c>
      <c r="DD83" s="5" t="str">
        <f>IF(G83&lt;48,"UF", IF(NOT(ISBLANK(CZ:CZ)), CZ:CZ, IF(CL:CL=3, CK:CK+Sheet2!B546, IF(CL:CL=4, CK:CK+Sheet2!B547, IF(CL:CL=7, CK:CK+Sheet2!B548,"")))))</f>
        <v>UF</v>
      </c>
      <c r="DE83" s="69" t="str">
        <f t="shared" si="111"/>
        <v/>
      </c>
      <c r="DF83" s="2">
        <v>2</v>
      </c>
      <c r="DG83" s="2">
        <v>30</v>
      </c>
      <c r="DH83" s="2">
        <v>1</v>
      </c>
      <c r="DI83" s="2">
        <v>2</v>
      </c>
      <c r="DJ83" s="2">
        <v>2</v>
      </c>
      <c r="DK83" s="2">
        <v>117</v>
      </c>
      <c r="DL83" s="2">
        <v>80</v>
      </c>
      <c r="DM83" s="2">
        <v>121</v>
      </c>
      <c r="DN83" s="2">
        <v>71</v>
      </c>
      <c r="DO83" s="2" t="s">
        <v>12</v>
      </c>
      <c r="DP83" s="2" t="s">
        <v>12</v>
      </c>
      <c r="DQ83" s="2">
        <v>1</v>
      </c>
      <c r="DR83" s="2">
        <v>37</v>
      </c>
      <c r="DS83" s="2">
        <v>2</v>
      </c>
      <c r="DT83" s="2" t="s">
        <v>12</v>
      </c>
      <c r="DU83" s="2">
        <v>71</v>
      </c>
      <c r="DV83" s="2">
        <v>2</v>
      </c>
      <c r="DW83" s="2">
        <v>2</v>
      </c>
      <c r="DX83" s="2">
        <v>2</v>
      </c>
      <c r="DY83" s="2">
        <v>2</v>
      </c>
      <c r="DZ83" s="2">
        <v>34</v>
      </c>
      <c r="EA83" s="2">
        <v>34</v>
      </c>
      <c r="EB83" s="2">
        <v>44.8</v>
      </c>
      <c r="EC83" s="2">
        <v>1</v>
      </c>
      <c r="ED83" s="2">
        <v>1</v>
      </c>
    </row>
    <row r="84" spans="1:134" x14ac:dyDescent="0.25">
      <c r="C84" s="8" t="s">
        <v>305</v>
      </c>
      <c r="D84" s="2">
        <v>2461104336</v>
      </c>
      <c r="E84" s="5">
        <v>7</v>
      </c>
      <c r="F84" s="2">
        <v>1</v>
      </c>
      <c r="G84" s="2">
        <v>37</v>
      </c>
      <c r="H84" s="2">
        <v>-0.34694094657280289</v>
      </c>
      <c r="I84" s="2">
        <v>56</v>
      </c>
      <c r="J84" s="2">
        <v>3.678695655033728</v>
      </c>
      <c r="K84" s="2">
        <v>4050</v>
      </c>
      <c r="L84" s="2">
        <v>1.662031537937861</v>
      </c>
      <c r="M84" s="2">
        <v>-0.55269999999999997</v>
      </c>
      <c r="N84" s="2">
        <f t="shared" si="69"/>
        <v>-0.48257952671359861</v>
      </c>
      <c r="O84" s="2">
        <f t="shared" si="70"/>
        <v>-0.55269999999999997</v>
      </c>
      <c r="P84" s="2">
        <v>65.3</v>
      </c>
      <c r="Q84" s="2">
        <v>-0.2</v>
      </c>
      <c r="R84" s="5">
        <f t="shared" si="71"/>
        <v>-1.839347827516864</v>
      </c>
      <c r="S84" s="5">
        <f t="shared" si="72"/>
        <v>-0.2</v>
      </c>
      <c r="T84" s="2">
        <v>6860</v>
      </c>
      <c r="U84" s="2">
        <v>-0.51</v>
      </c>
      <c r="V84" s="2">
        <f t="shared" si="73"/>
        <v>-1.2910157689689306</v>
      </c>
      <c r="W84" s="2">
        <f t="shared" si="74"/>
        <v>-0.51</v>
      </c>
      <c r="X84" s="2">
        <v>-1.3121</v>
      </c>
      <c r="Y84" s="76">
        <f t="shared" si="112"/>
        <v>-0.96515905342719721</v>
      </c>
      <c r="Z84" s="76">
        <f t="shared" si="113"/>
        <v>-2</v>
      </c>
      <c r="AA84" s="2">
        <f t="shared" si="75"/>
        <v>-0.35194999999999999</v>
      </c>
      <c r="AB84" s="2">
        <f t="shared" si="76"/>
        <v>-1.3121</v>
      </c>
      <c r="AC84" s="2">
        <v>74</v>
      </c>
      <c r="AD84" s="2">
        <v>0</v>
      </c>
      <c r="AE84" s="79">
        <f t="shared" si="114"/>
        <v>-3.678695655033728</v>
      </c>
      <c r="AF84" s="79">
        <f t="shared" si="115"/>
        <v>-2</v>
      </c>
      <c r="AG84" s="2">
        <f t="shared" si="77"/>
        <v>-0.19499999999999998</v>
      </c>
      <c r="AH84" s="2">
        <f t="shared" si="78"/>
        <v>0</v>
      </c>
      <c r="AI84" s="2">
        <v>8000</v>
      </c>
      <c r="AJ84" s="2">
        <v>-0.92</v>
      </c>
      <c r="AK84" s="76">
        <f t="shared" si="116"/>
        <v>-2.5820315379378611</v>
      </c>
      <c r="AL84" s="76">
        <f t="shared" si="117"/>
        <v>-2</v>
      </c>
      <c r="AM84" s="2">
        <f t="shared" si="79"/>
        <v>-0.23499999999999999</v>
      </c>
      <c r="AN84" s="2">
        <f t="shared" si="80"/>
        <v>-0.92</v>
      </c>
      <c r="AO84" s="2">
        <v>-0.90390000000000004</v>
      </c>
      <c r="AP84" s="2">
        <f t="shared" si="81"/>
        <v>-8.3457493736553978E-2</v>
      </c>
      <c r="AQ84" s="2">
        <f t="shared" si="82"/>
        <v>-0.90390000000000004</v>
      </c>
      <c r="AR84" s="2">
        <v>79</v>
      </c>
      <c r="AS84" s="2">
        <v>-0.59</v>
      </c>
      <c r="AT84" s="2">
        <f t="shared" si="83"/>
        <v>-0.48631485250612044</v>
      </c>
      <c r="AU84" s="2">
        <f t="shared" si="84"/>
        <v>-0.59</v>
      </c>
      <c r="AV84" s="2">
        <v>9090</v>
      </c>
      <c r="AW84" s="2">
        <v>-0.98</v>
      </c>
      <c r="AX84" s="2">
        <f t="shared" si="85"/>
        <v>-0.62132241538581501</v>
      </c>
      <c r="AY84" s="2">
        <f t="shared" si="86"/>
        <v>-0.98</v>
      </c>
      <c r="AZ84" s="2">
        <v>-1.479014987473108</v>
      </c>
      <c r="BA84" s="78">
        <f t="shared" si="118"/>
        <v>-0.16691498747310796</v>
      </c>
      <c r="BB84" s="78">
        <f t="shared" si="119"/>
        <v>-1</v>
      </c>
      <c r="BC84" s="2">
        <f t="shared" si="87"/>
        <v>1.8477748755992878E-2</v>
      </c>
      <c r="BD84" s="2">
        <f t="shared" si="88"/>
        <v>-1.479014987473108</v>
      </c>
      <c r="BE84" s="67">
        <f t="shared" si="120"/>
        <v>7</v>
      </c>
      <c r="BF84" s="2">
        <v>82</v>
      </c>
      <c r="BG84" s="2">
        <v>-0.97262970501224089</v>
      </c>
      <c r="BH84" s="2">
        <f t="shared" si="89"/>
        <v>-0.14464347193343438</v>
      </c>
      <c r="BI84" s="2">
        <f t="shared" si="90"/>
        <v>-0.97262970501224089</v>
      </c>
      <c r="BJ84" s="67">
        <f t="shared" si="91"/>
        <v>7</v>
      </c>
      <c r="BK84" s="2">
        <v>9790</v>
      </c>
      <c r="BL84" s="2">
        <v>-2.1626448307716299</v>
      </c>
      <c r="BM84" s="77">
        <f t="shared" si="121"/>
        <v>-1.24264483077163</v>
      </c>
      <c r="BN84" s="77">
        <f t="shared" si="122"/>
        <v>-2</v>
      </c>
      <c r="BO84" s="2">
        <f t="shared" si="92"/>
        <v>-0.12541919148680866</v>
      </c>
      <c r="BP84" s="2">
        <f t="shared" si="93"/>
        <v>-2.1626448307716299</v>
      </c>
      <c r="BQ84" s="67">
        <f t="shared" si="123"/>
        <v>4</v>
      </c>
      <c r="BR84" s="5">
        <v>-0.84846675373202141</v>
      </c>
      <c r="BS84" s="75">
        <f t="shared" si="124"/>
        <v>0.63054823374108659</v>
      </c>
      <c r="BT84" s="75">
        <f t="shared" si="125"/>
        <v>1</v>
      </c>
      <c r="BU84" s="5" t="str">
        <f t="shared" si="133"/>
        <v/>
      </c>
      <c r="BV84" s="5">
        <f t="shared" si="94"/>
        <v>-0.84846675373202141</v>
      </c>
      <c r="BW84" s="69">
        <f t="shared" si="95"/>
        <v>7</v>
      </c>
      <c r="BX84" s="2">
        <v>90.2</v>
      </c>
      <c r="BY84" s="5">
        <v>-1.0239304158003031</v>
      </c>
      <c r="BZ84" s="74">
        <f t="shared" si="126"/>
        <v>1.1387144149713269</v>
      </c>
      <c r="CA84" s="74">
        <f t="shared" si="127"/>
        <v>2</v>
      </c>
      <c r="CB84" s="5" t="str">
        <f t="shared" si="96"/>
        <v/>
      </c>
      <c r="CC84" s="5">
        <f t="shared" si="97"/>
        <v>-1.0239304158003031</v>
      </c>
      <c r="CD84" s="2">
        <f t="shared" si="98"/>
        <v>-5.1300710788062198E-2</v>
      </c>
      <c r="CE84" s="69">
        <f t="shared" si="99"/>
        <v>7</v>
      </c>
      <c r="CF84" s="5">
        <v>12000</v>
      </c>
      <c r="CG84" s="5">
        <v>-1.3562575744604259</v>
      </c>
      <c r="CH84" s="72">
        <f t="shared" si="128"/>
        <v>0.806387256311204</v>
      </c>
      <c r="CI84" s="72">
        <f t="shared" si="129"/>
        <v>2</v>
      </c>
      <c r="CJ84" s="5" t="str">
        <f t="shared" si="100"/>
        <v/>
      </c>
      <c r="CK84" s="5">
        <f t="shared" si="101"/>
        <v>-1.3562575744604259</v>
      </c>
      <c r="CL84" s="69">
        <f t="shared" si="102"/>
        <v>7</v>
      </c>
      <c r="CN84" s="70" t="str">
        <f t="shared" si="103"/>
        <v/>
      </c>
      <c r="CO84" s="5" t="str">
        <f t="shared" si="104"/>
        <v>UF</v>
      </c>
      <c r="CP84" s="5" t="str">
        <f>IF(G84&lt;48,"UF", IF(NOT(ISBLANK(CM:CM)), CM:CM, IF(BW:BW=1, BV:BV+Sheet2!B553, IF(Sheet1!BW:BW=2, Sheet1!BV:BV+Sheet2!B554, IF(Sheet1!BW:BW=7, Sheet1!BV:BV+Sheet2!B555,"")))))</f>
        <v>UF</v>
      </c>
      <c r="CQ84" s="69" t="str">
        <f t="shared" si="130"/>
        <v/>
      </c>
      <c r="CR84" s="5" t="s">
        <v>12</v>
      </c>
      <c r="CT84" s="5" t="str">
        <f t="shared" si="105"/>
        <v/>
      </c>
      <c r="CU84" s="80" t="str">
        <f t="shared" si="106"/>
        <v>UF</v>
      </c>
      <c r="CV84" s="80" t="str">
        <f t="shared" si="107"/>
        <v>UF</v>
      </c>
      <c r="CW84" s="20" t="str">
        <f>IF(G84&lt;48,"UF", IF(NOT(ISBLANK(CS84)), CS84, IF(CE84=5, CC84+Sheet2!B542, IF(CE84=6, CC84+Sheet2!B543, IF(CE84=7, CC84+Sheet2!B544,"")))))</f>
        <v>UF</v>
      </c>
      <c r="CX84" s="68" t="str">
        <f t="shared" si="131"/>
        <v/>
      </c>
      <c r="CY84" s="5" t="s">
        <v>12</v>
      </c>
      <c r="DA84" s="5" t="str">
        <f t="shared" si="108"/>
        <v>UF</v>
      </c>
      <c r="DB84" s="73" t="str">
        <f t="shared" si="109"/>
        <v>UF</v>
      </c>
      <c r="DC84" s="73" t="str">
        <f t="shared" si="110"/>
        <v>UF</v>
      </c>
      <c r="DD84" s="5" t="str">
        <f>IF(G84&lt;48,"UF", IF(NOT(ISBLANK(CZ:CZ)), CZ:CZ, IF(CL:CL=3, CK:CK+Sheet2!B547, IF(CL:CL=4, CK:CK+Sheet2!B548, IF(CL:CL=7, CK:CK+Sheet2!B549,"")))))</f>
        <v>UF</v>
      </c>
      <c r="DE84" s="69" t="str">
        <f t="shared" si="111"/>
        <v/>
      </c>
      <c r="DF84" s="2">
        <v>3</v>
      </c>
      <c r="DG84" s="2">
        <v>36</v>
      </c>
      <c r="DH84" s="2">
        <v>2</v>
      </c>
      <c r="DI84" s="2">
        <v>2</v>
      </c>
      <c r="DJ84" s="2">
        <v>2</v>
      </c>
      <c r="DK84" s="2">
        <v>110</v>
      </c>
      <c r="DL84" s="2">
        <v>60</v>
      </c>
      <c r="DM84" s="2">
        <v>110</v>
      </c>
      <c r="DN84" s="2">
        <v>60</v>
      </c>
      <c r="DO84" s="2" t="s">
        <v>12</v>
      </c>
      <c r="DP84" s="2" t="s">
        <v>12</v>
      </c>
      <c r="DQ84" s="2">
        <v>2</v>
      </c>
      <c r="DR84" s="2">
        <v>40</v>
      </c>
      <c r="DS84" s="2">
        <v>2</v>
      </c>
      <c r="DT84" s="2">
        <v>78</v>
      </c>
      <c r="DU84" s="2" t="s">
        <v>12</v>
      </c>
      <c r="DV84" s="2">
        <v>2</v>
      </c>
      <c r="DW84" s="2">
        <v>2</v>
      </c>
      <c r="DX84" s="2">
        <v>2</v>
      </c>
      <c r="DY84" s="2">
        <v>2</v>
      </c>
      <c r="DZ84" s="2">
        <v>37</v>
      </c>
      <c r="EA84" s="2">
        <v>36.5</v>
      </c>
      <c r="EB84" s="2">
        <v>44.8</v>
      </c>
      <c r="EC84" s="2">
        <v>1</v>
      </c>
      <c r="ED84" s="2">
        <v>1</v>
      </c>
    </row>
    <row r="85" spans="1:134" x14ac:dyDescent="0.25">
      <c r="C85" s="8" t="s">
        <v>284</v>
      </c>
      <c r="D85" s="8">
        <v>2461104591</v>
      </c>
      <c r="E85" s="5">
        <v>7</v>
      </c>
      <c r="F85" s="2">
        <v>1</v>
      </c>
      <c r="G85" s="2">
        <v>35</v>
      </c>
      <c r="H85" s="2">
        <v>-0.78689164777190346</v>
      </c>
      <c r="I85" s="2">
        <v>50</v>
      </c>
      <c r="J85" s="2">
        <v>0.45756143734440202</v>
      </c>
      <c r="K85" s="2">
        <v>3100</v>
      </c>
      <c r="L85" s="2">
        <v>-0.29236112544414727</v>
      </c>
      <c r="M85" s="2">
        <v>0.81640000000000001</v>
      </c>
      <c r="N85" s="2">
        <f t="shared" si="69"/>
        <v>0.36164582388595173</v>
      </c>
      <c r="O85" s="2">
        <f t="shared" si="70"/>
        <v>0.81640000000000001</v>
      </c>
      <c r="P85" s="2">
        <v>62</v>
      </c>
      <c r="Q85" s="2">
        <v>-1.65</v>
      </c>
      <c r="R85" s="5">
        <f t="shared" si="71"/>
        <v>-0.81378071867220103</v>
      </c>
      <c r="S85" s="5">
        <f t="shared" si="72"/>
        <v>-1.65</v>
      </c>
      <c r="T85" s="2">
        <v>7000</v>
      </c>
      <c r="U85" s="2">
        <v>-0.35</v>
      </c>
      <c r="V85" s="2">
        <f t="shared" si="73"/>
        <v>-0.21381943727792635</v>
      </c>
      <c r="W85" s="2">
        <f t="shared" si="74"/>
        <v>-0.35</v>
      </c>
      <c r="X85" s="2">
        <v>-6.3600000000000004E-2</v>
      </c>
      <c r="Y85" s="76">
        <f t="shared" si="112"/>
        <v>0.72329164777190347</v>
      </c>
      <c r="Z85" s="76">
        <f t="shared" si="113"/>
        <v>2</v>
      </c>
      <c r="AA85" s="2">
        <f t="shared" si="75"/>
        <v>1.0213999999999999</v>
      </c>
      <c r="AB85" s="2">
        <f t="shared" si="76"/>
        <v>-6.3600000000000004E-2</v>
      </c>
      <c r="AC85" s="2">
        <v>71</v>
      </c>
      <c r="AD85" s="2">
        <v>-1.17</v>
      </c>
      <c r="AE85" s="79">
        <f t="shared" si="114"/>
        <v>-1.6275614373444021</v>
      </c>
      <c r="AF85" s="79">
        <f t="shared" si="115"/>
        <v>-2</v>
      </c>
      <c r="AG85" s="2">
        <f t="shared" si="77"/>
        <v>1.4999999999999902E-2</v>
      </c>
      <c r="AH85" s="2">
        <f t="shared" si="78"/>
        <v>-1.17</v>
      </c>
      <c r="AI85" s="2">
        <v>8200</v>
      </c>
      <c r="AJ85" s="2">
        <v>-0.72</v>
      </c>
      <c r="AK85" s="76">
        <f t="shared" si="116"/>
        <v>-0.4276388745558527</v>
      </c>
      <c r="AL85" s="76">
        <f t="shared" si="117"/>
        <v>-1</v>
      </c>
      <c r="AM85" s="2">
        <f t="shared" si="79"/>
        <v>-0.17499999999999999</v>
      </c>
      <c r="AN85" s="2">
        <f t="shared" si="80"/>
        <v>-0.72</v>
      </c>
      <c r="AO85" s="2">
        <v>0.39279999999999998</v>
      </c>
      <c r="AP85" s="2" t="str">
        <f t="shared" si="81"/>
        <v/>
      </c>
      <c r="AQ85" s="2">
        <f t="shared" si="82"/>
        <v>0.39279999999999998</v>
      </c>
      <c r="AR85" s="2">
        <v>76</v>
      </c>
      <c r="AS85" s="2">
        <v>-1.62</v>
      </c>
      <c r="AT85" s="2" t="str">
        <f t="shared" si="83"/>
        <v/>
      </c>
      <c r="AU85" s="2">
        <f t="shared" si="84"/>
        <v>-1.62</v>
      </c>
      <c r="AV85" s="2">
        <v>9400</v>
      </c>
      <c r="AW85" s="2">
        <v>-0.7</v>
      </c>
      <c r="AX85" s="2" t="str">
        <f t="shared" si="85"/>
        <v/>
      </c>
      <c r="AY85" s="2">
        <f t="shared" si="86"/>
        <v>-0.7</v>
      </c>
      <c r="BA85" s="78" t="e">
        <f t="shared" si="118"/>
        <v>#VALUE!</v>
      </c>
      <c r="BB85" s="78" t="e">
        <f t="shared" si="119"/>
        <v>#VALUE!</v>
      </c>
      <c r="BC85" s="2" t="str">
        <f t="shared" si="87"/>
        <v/>
      </c>
      <c r="BD85" s="2" t="e">
        <f t="shared" si="88"/>
        <v>#VALUE!</v>
      </c>
      <c r="BE85" s="67" t="e">
        <f t="shared" si="120"/>
        <v>#VALUE!</v>
      </c>
      <c r="BF85" s="2" t="s">
        <v>12</v>
      </c>
      <c r="BH85" s="2" t="str">
        <f t="shared" si="89"/>
        <v/>
      </c>
      <c r="BI85" s="2" t="e">
        <f t="shared" si="90"/>
        <v>#VALUE!</v>
      </c>
      <c r="BJ85" s="67" t="e">
        <f t="shared" si="91"/>
        <v>#VALUE!</v>
      </c>
      <c r="BK85" s="2" t="s">
        <v>12</v>
      </c>
      <c r="BM85" s="77" t="e">
        <f t="shared" si="121"/>
        <v>#VALUE!</v>
      </c>
      <c r="BN85" s="77" t="e">
        <f t="shared" si="122"/>
        <v>#VALUE!</v>
      </c>
      <c r="BO85" s="2" t="str">
        <f t="shared" si="92"/>
        <v/>
      </c>
      <c r="BP85" s="2" t="e">
        <f t="shared" si="93"/>
        <v>#VALUE!</v>
      </c>
      <c r="BQ85" s="67" t="e">
        <f t="shared" si="123"/>
        <v>#VALUE!</v>
      </c>
      <c r="BS85" s="75" t="str">
        <f t="shared" si="124"/>
        <v>UF</v>
      </c>
      <c r="BT85" s="75" t="str">
        <f t="shared" si="125"/>
        <v>UF</v>
      </c>
      <c r="BU85" s="5" t="str">
        <f t="shared" si="133"/>
        <v/>
      </c>
      <c r="BV85" s="5" t="str">
        <f t="shared" si="94"/>
        <v>UF</v>
      </c>
      <c r="BW85" s="69" t="str">
        <f t="shared" si="95"/>
        <v/>
      </c>
      <c r="BX85" s="2" t="s">
        <v>12</v>
      </c>
      <c r="BZ85" s="74" t="str">
        <f t="shared" si="126"/>
        <v>UF</v>
      </c>
      <c r="CA85" s="74" t="str">
        <f t="shared" si="127"/>
        <v>UF</v>
      </c>
      <c r="CB85" s="5" t="str">
        <f t="shared" si="96"/>
        <v>UF</v>
      </c>
      <c r="CC85" s="5" t="str">
        <f t="shared" si="97"/>
        <v>UF</v>
      </c>
      <c r="CD85" s="2" t="e">
        <f t="shared" si="98"/>
        <v>#VALUE!</v>
      </c>
      <c r="CE85" s="69" t="str">
        <f t="shared" si="99"/>
        <v/>
      </c>
      <c r="CF85" s="5" t="s">
        <v>12</v>
      </c>
      <c r="CH85" s="72" t="str">
        <f t="shared" si="128"/>
        <v>UF</v>
      </c>
      <c r="CI85" s="72" t="str">
        <f t="shared" si="129"/>
        <v>UF</v>
      </c>
      <c r="CJ85" s="5" t="str">
        <f t="shared" si="100"/>
        <v>UF</v>
      </c>
      <c r="CK85" s="5" t="str">
        <f t="shared" si="101"/>
        <v>UF</v>
      </c>
      <c r="CL85" s="69" t="str">
        <f t="shared" si="102"/>
        <v/>
      </c>
      <c r="CN85" s="70" t="str">
        <f t="shared" si="103"/>
        <v/>
      </c>
      <c r="CO85" s="5" t="str">
        <f t="shared" si="104"/>
        <v>UF</v>
      </c>
      <c r="CP85" s="5" t="str">
        <f>IF(G85&lt;48,"UF", IF(NOT(ISBLANK(CM:CM)), CM:CM, IF(BW:BW=1, BV:BV+Sheet2!B489, IF(Sheet1!BW:BW=2, Sheet1!BV:BV+Sheet2!B490, IF(Sheet1!BW:BW=7, Sheet1!BV:BV+Sheet2!B491,"")))))</f>
        <v>UF</v>
      </c>
      <c r="CQ85" s="69" t="str">
        <f t="shared" si="130"/>
        <v/>
      </c>
      <c r="CR85" s="5" t="s">
        <v>12</v>
      </c>
      <c r="CT85" s="5" t="str">
        <f t="shared" si="105"/>
        <v/>
      </c>
      <c r="CU85" s="80" t="str">
        <f t="shared" si="106"/>
        <v>UF</v>
      </c>
      <c r="CV85" s="80" t="str">
        <f t="shared" si="107"/>
        <v>UF</v>
      </c>
      <c r="CW85" s="20" t="str">
        <f>IF(G85&lt;48,"UF", IF(NOT(ISBLANK(CS85)), CS85, IF(CE85=5, CC85+Sheet2!B478, IF(CE85=6, CC85+Sheet2!B479, IF(CE85=7, CC85+Sheet2!B480,"")))))</f>
        <v>UF</v>
      </c>
      <c r="CX85" s="68" t="str">
        <f t="shared" si="131"/>
        <v/>
      </c>
      <c r="CY85" s="5" t="s">
        <v>12</v>
      </c>
      <c r="DA85" s="5" t="str">
        <f t="shared" si="108"/>
        <v>UF</v>
      </c>
      <c r="DB85" s="73" t="str">
        <f t="shared" si="109"/>
        <v>UF</v>
      </c>
      <c r="DC85" s="73" t="str">
        <f t="shared" si="110"/>
        <v>UF</v>
      </c>
      <c r="DD85" s="5" t="str">
        <f>IF(G85&lt;48,"UF", IF(NOT(ISBLANK(CZ:CZ)), CZ:CZ, IF(CL:CL=3, CK:CK+Sheet2!B483, IF(CL:CL=4, CK:CK+Sheet2!B484, IF(CL:CL=7, CK:CK+Sheet2!B485,"")))))</f>
        <v>UF</v>
      </c>
      <c r="DE85" s="69" t="str">
        <f t="shared" si="111"/>
        <v/>
      </c>
      <c r="DF85" s="2">
        <v>1</v>
      </c>
      <c r="DG85" s="2">
        <v>20</v>
      </c>
      <c r="DH85" s="2">
        <v>2</v>
      </c>
      <c r="DI85" s="2">
        <v>2</v>
      </c>
      <c r="DJ85" s="2">
        <v>2</v>
      </c>
      <c r="DK85" s="2">
        <v>100</v>
      </c>
      <c r="DL85" s="2">
        <v>60</v>
      </c>
      <c r="DM85" s="2">
        <v>110</v>
      </c>
      <c r="DN85" s="2">
        <v>70</v>
      </c>
      <c r="DO85" s="2">
        <v>110</v>
      </c>
      <c r="DP85" s="2">
        <v>60</v>
      </c>
      <c r="DQ85" s="2">
        <v>2</v>
      </c>
      <c r="DR85" s="2">
        <v>39</v>
      </c>
      <c r="DS85" s="2">
        <v>2</v>
      </c>
      <c r="DT85" s="2">
        <v>77</v>
      </c>
      <c r="DU85" s="2">
        <v>70</v>
      </c>
      <c r="DV85" s="2">
        <v>4</v>
      </c>
      <c r="DW85" s="2">
        <v>2</v>
      </c>
      <c r="DX85" s="2">
        <v>2</v>
      </c>
      <c r="DY85" s="2">
        <v>1</v>
      </c>
      <c r="DZ85" s="2">
        <v>33</v>
      </c>
      <c r="EA85" s="2">
        <v>35.5</v>
      </c>
      <c r="EB85" s="2">
        <v>46.5</v>
      </c>
      <c r="EC85" s="2">
        <v>1</v>
      </c>
      <c r="ED85" s="2">
        <v>1</v>
      </c>
    </row>
    <row r="86" spans="1:134" x14ac:dyDescent="0.25">
      <c r="C86" s="8" t="s">
        <v>231</v>
      </c>
      <c r="D86" s="2">
        <v>2461105987</v>
      </c>
      <c r="E86" s="5">
        <v>7</v>
      </c>
      <c r="F86" s="2">
        <v>1</v>
      </c>
      <c r="G86" s="2">
        <v>37</v>
      </c>
      <c r="H86" s="2">
        <v>-1.4531923774712969</v>
      </c>
      <c r="I86" s="2">
        <v>49</v>
      </c>
      <c r="J86" s="2">
        <v>-7.9294265603816944E-2</v>
      </c>
      <c r="K86" s="2">
        <v>2800</v>
      </c>
      <c r="L86" s="2">
        <v>-0.98574519678023331</v>
      </c>
      <c r="M86" s="2">
        <v>0.14560000000000001</v>
      </c>
      <c r="N86" s="2">
        <f t="shared" si="69"/>
        <v>1.0567461887356484</v>
      </c>
      <c r="O86" s="2">
        <f t="shared" si="70"/>
        <v>0.14560000000000001</v>
      </c>
      <c r="P86" s="2">
        <v>63</v>
      </c>
      <c r="Q86" s="2">
        <v>-1.21</v>
      </c>
      <c r="R86" s="5">
        <f t="shared" si="71"/>
        <v>-0.74035286719809157</v>
      </c>
      <c r="S86" s="5">
        <f t="shared" si="72"/>
        <v>-1.21</v>
      </c>
      <c r="T86" s="2">
        <v>6800</v>
      </c>
      <c r="U86" s="2">
        <v>-0.57999999999999996</v>
      </c>
      <c r="V86" s="2">
        <f t="shared" si="73"/>
        <v>0.28287259839011669</v>
      </c>
      <c r="W86" s="2">
        <f t="shared" si="74"/>
        <v>-0.57999999999999996</v>
      </c>
      <c r="X86" s="2">
        <v>0.6603</v>
      </c>
      <c r="Y86" s="76">
        <f t="shared" si="112"/>
        <v>2.1134923774712968</v>
      </c>
      <c r="Z86" s="76">
        <f t="shared" si="113"/>
        <v>2</v>
      </c>
      <c r="AA86" s="2">
        <f t="shared" si="75"/>
        <v>0.94635000000000002</v>
      </c>
      <c r="AB86" s="2">
        <f t="shared" si="76"/>
        <v>0.6603</v>
      </c>
      <c r="AC86" s="2">
        <v>70</v>
      </c>
      <c r="AD86" s="2">
        <v>-1.56</v>
      </c>
      <c r="AE86" s="79">
        <f t="shared" si="114"/>
        <v>-1.4807057343961831</v>
      </c>
      <c r="AF86" s="79">
        <f t="shared" si="115"/>
        <v>-2</v>
      </c>
      <c r="AG86" s="2">
        <f t="shared" si="77"/>
        <v>-3.5000000000000031E-2</v>
      </c>
      <c r="AH86" s="2">
        <f t="shared" si="78"/>
        <v>-1.56</v>
      </c>
      <c r="AI86" s="2">
        <v>8500</v>
      </c>
      <c r="AJ86" s="2">
        <v>-0.42</v>
      </c>
      <c r="AK86" s="76">
        <f t="shared" si="116"/>
        <v>0.56574519678023338</v>
      </c>
      <c r="AL86" s="76">
        <f t="shared" si="117"/>
        <v>1</v>
      </c>
      <c r="AM86" s="2">
        <f t="shared" si="79"/>
        <v>0.15499999999999997</v>
      </c>
      <c r="AN86" s="2">
        <f t="shared" si="80"/>
        <v>-0.42</v>
      </c>
      <c r="AO86" s="2">
        <v>0.68269999999999997</v>
      </c>
      <c r="AP86" s="2">
        <f t="shared" si="81"/>
        <v>-0.18412700868068824</v>
      </c>
      <c r="AQ86" s="2">
        <f t="shared" si="82"/>
        <v>0.68269999999999997</v>
      </c>
      <c r="AR86" s="2">
        <v>77</v>
      </c>
      <c r="AS86" s="2">
        <v>-1.28</v>
      </c>
      <c r="AT86" s="2">
        <f t="shared" si="83"/>
        <v>0.29368514749387958</v>
      </c>
      <c r="AU86" s="2">
        <f t="shared" si="84"/>
        <v>-1.28</v>
      </c>
      <c r="AV86" s="2">
        <v>9900</v>
      </c>
      <c r="AW86" s="2">
        <v>-0.27</v>
      </c>
      <c r="AX86" s="2">
        <f t="shared" si="85"/>
        <v>-0.12969907023299523</v>
      </c>
      <c r="AY86" s="2">
        <f t="shared" si="86"/>
        <v>-0.27</v>
      </c>
      <c r="AZ86" s="2">
        <v>0.29204598263862352</v>
      </c>
      <c r="BA86" s="78">
        <f t="shared" si="118"/>
        <v>-0.36825401736137647</v>
      </c>
      <c r="BB86" s="78">
        <f t="shared" si="119"/>
        <v>-1</v>
      </c>
      <c r="BC86" s="2">
        <f t="shared" si="87"/>
        <v>0.11621342431446335</v>
      </c>
      <c r="BD86" s="2">
        <f t="shared" si="88"/>
        <v>0.29204598263862352</v>
      </c>
      <c r="BE86" s="67">
        <f t="shared" si="120"/>
        <v>7</v>
      </c>
      <c r="BF86" s="2">
        <v>82</v>
      </c>
      <c r="BG86" s="2">
        <v>-0.97262970501224089</v>
      </c>
      <c r="BH86" s="2">
        <f t="shared" si="89"/>
        <v>0.36649415520231354</v>
      </c>
      <c r="BI86" s="2">
        <f t="shared" si="90"/>
        <v>-0.97262970501224089</v>
      </c>
      <c r="BJ86" s="67">
        <f t="shared" si="91"/>
        <v>7</v>
      </c>
      <c r="BK86" s="2">
        <v>11300</v>
      </c>
      <c r="BL86" s="2">
        <v>-0.67939814046599045</v>
      </c>
      <c r="BM86" s="77">
        <f t="shared" si="121"/>
        <v>-0.25939814046599047</v>
      </c>
      <c r="BN86" s="77">
        <f t="shared" si="122"/>
        <v>-1</v>
      </c>
      <c r="BO86" s="2">
        <f t="shared" si="92"/>
        <v>0.28675574585881219</v>
      </c>
      <c r="BP86" s="2">
        <f t="shared" si="93"/>
        <v>-0.67939814046599045</v>
      </c>
      <c r="BQ86" s="67">
        <f t="shared" si="123"/>
        <v>7</v>
      </c>
      <c r="BR86" s="5">
        <v>1.03134027294339</v>
      </c>
      <c r="BS86" s="75">
        <f t="shared" si="124"/>
        <v>0.73929429030476657</v>
      </c>
      <c r="BT86" s="75">
        <f t="shared" si="125"/>
        <v>2</v>
      </c>
      <c r="BU86" s="5" t="str">
        <f t="shared" si="133"/>
        <v/>
      </c>
      <c r="BV86" s="5">
        <f t="shared" si="94"/>
        <v>1.03134027294339</v>
      </c>
      <c r="BW86" s="69">
        <f t="shared" si="95"/>
        <v>7</v>
      </c>
      <c r="BX86" s="2">
        <v>93.5</v>
      </c>
      <c r="BY86" s="5">
        <v>-0.18051753439305929</v>
      </c>
      <c r="BZ86" s="74">
        <f t="shared" si="126"/>
        <v>0.49888060607293117</v>
      </c>
      <c r="CA86" s="74">
        <f t="shared" si="127"/>
        <v>1</v>
      </c>
      <c r="CB86" s="5" t="str">
        <f t="shared" si="96"/>
        <v/>
      </c>
      <c r="CC86" s="5">
        <f t="shared" si="97"/>
        <v>-0.18051753439305929</v>
      </c>
      <c r="CD86" s="2">
        <f t="shared" si="98"/>
        <v>0.7921121706191816</v>
      </c>
      <c r="CE86" s="69">
        <f t="shared" si="99"/>
        <v>7</v>
      </c>
      <c r="CF86" s="5">
        <v>15000</v>
      </c>
      <c r="CG86" s="5">
        <v>0.59026723757643662</v>
      </c>
      <c r="CH86" s="72">
        <f t="shared" si="128"/>
        <v>1.269665378042427</v>
      </c>
      <c r="CI86" s="72">
        <f t="shared" si="129"/>
        <v>2</v>
      </c>
      <c r="CJ86" s="5" t="str">
        <f t="shared" si="100"/>
        <v/>
      </c>
      <c r="CK86" s="5">
        <f t="shared" si="101"/>
        <v>0.59026723757643662</v>
      </c>
      <c r="CL86" s="69">
        <f t="shared" si="102"/>
        <v>7</v>
      </c>
      <c r="CN86" s="70" t="str">
        <f t="shared" si="103"/>
        <v/>
      </c>
      <c r="CO86" s="5" t="str">
        <f t="shared" si="104"/>
        <v>UF</v>
      </c>
      <c r="CP86" s="5" t="str">
        <f>IF(G86&lt;48,"UF", IF(NOT(ISBLANK(CM:CM)), CM:CM, IF(BW:BW=1, BV:BV+Sheet2!B547, IF(Sheet1!BW:BW=2, Sheet1!BV:BV+Sheet2!B548, IF(Sheet1!BW:BW=7, Sheet1!BV:BV+Sheet2!B549,"")))))</f>
        <v>UF</v>
      </c>
      <c r="CQ86" s="69" t="str">
        <f t="shared" si="130"/>
        <v/>
      </c>
      <c r="CR86" s="5" t="s">
        <v>12</v>
      </c>
      <c r="CT86" s="5" t="str">
        <f t="shared" si="105"/>
        <v/>
      </c>
      <c r="CU86" s="80" t="str">
        <f t="shared" si="106"/>
        <v>UF</v>
      </c>
      <c r="CV86" s="80" t="str">
        <f t="shared" si="107"/>
        <v>UF</v>
      </c>
      <c r="CW86" s="20" t="str">
        <f>IF(G86&lt;48,"UF", IF(NOT(ISBLANK(CS86)), CS86, IF(CE86=5, CC86+Sheet2!B536, IF(CE86=6, CC86+Sheet2!B537, IF(CE86=7, CC86+Sheet2!B538,"")))))</f>
        <v>UF</v>
      </c>
      <c r="CX86" s="68" t="str">
        <f t="shared" si="131"/>
        <v/>
      </c>
      <c r="CY86" s="5" t="s">
        <v>12</v>
      </c>
      <c r="DA86" s="5" t="str">
        <f t="shared" si="108"/>
        <v>UF</v>
      </c>
      <c r="DB86" s="73" t="str">
        <f t="shared" si="109"/>
        <v>UF</v>
      </c>
      <c r="DC86" s="73" t="str">
        <f t="shared" si="110"/>
        <v>UF</v>
      </c>
      <c r="DD86" s="5" t="str">
        <f>IF(G86&lt;48,"UF", IF(NOT(ISBLANK(CZ:CZ)), CZ:CZ, IF(CL:CL=3, CK:CK+Sheet2!B541, IF(CL:CL=4, CK:CK+Sheet2!B542, IF(CL:CL=7, CK:CK+Sheet2!B543,"")))))</f>
        <v>UF</v>
      </c>
      <c r="DE86" s="69" t="str">
        <f t="shared" si="111"/>
        <v/>
      </c>
      <c r="DF86" s="2">
        <v>1</v>
      </c>
      <c r="DG86" s="2">
        <v>29</v>
      </c>
      <c r="DH86" s="2">
        <v>2</v>
      </c>
      <c r="DI86" s="2">
        <v>2</v>
      </c>
      <c r="DJ86" s="2">
        <v>3</v>
      </c>
      <c r="DK86" s="2" t="s">
        <v>12</v>
      </c>
      <c r="DL86" s="2" t="s">
        <v>12</v>
      </c>
      <c r="DM86" s="2" t="s">
        <v>12</v>
      </c>
      <c r="DN86" s="2" t="s">
        <v>12</v>
      </c>
      <c r="DO86" s="2" t="s">
        <v>12</v>
      </c>
      <c r="DP86" s="2" t="s">
        <v>12</v>
      </c>
      <c r="DQ86" s="2">
        <v>2</v>
      </c>
      <c r="DR86" s="2">
        <v>35</v>
      </c>
      <c r="DS86" s="2">
        <v>2</v>
      </c>
      <c r="DT86" s="2">
        <v>92</v>
      </c>
      <c r="DU86" s="2" t="s">
        <v>12</v>
      </c>
      <c r="DV86" s="2">
        <v>2</v>
      </c>
      <c r="DW86" s="2">
        <v>2</v>
      </c>
      <c r="DX86" s="2">
        <v>2</v>
      </c>
      <c r="DY86" s="2">
        <v>2</v>
      </c>
      <c r="DZ86" s="2">
        <v>33</v>
      </c>
      <c r="EA86" s="2">
        <v>34</v>
      </c>
      <c r="EB86" s="2">
        <v>45</v>
      </c>
      <c r="EC86" s="2">
        <v>1</v>
      </c>
      <c r="ED86" s="2">
        <v>1</v>
      </c>
    </row>
    <row r="87" spans="1:134" x14ac:dyDescent="0.25">
      <c r="C87" s="5"/>
      <c r="D87" s="2">
        <v>2461121801</v>
      </c>
      <c r="E87" s="5">
        <v>2</v>
      </c>
      <c r="F87" s="2">
        <v>1</v>
      </c>
      <c r="G87" s="2">
        <v>28</v>
      </c>
      <c r="H87" s="2">
        <v>-0.44324479820409463</v>
      </c>
      <c r="I87" s="2">
        <v>50</v>
      </c>
      <c r="J87" s="2">
        <v>0.45756143734440202</v>
      </c>
      <c r="K87" s="5">
        <v>3200</v>
      </c>
      <c r="L87" s="2">
        <v>-7.0518060756779827E-2</v>
      </c>
      <c r="M87" s="2">
        <v>-3.125</v>
      </c>
      <c r="N87" s="2">
        <f t="shared" si="69"/>
        <v>-1.1170276008979525</v>
      </c>
      <c r="O87" s="2">
        <f t="shared" si="70"/>
        <v>-3.125</v>
      </c>
      <c r="P87" s="2">
        <v>69</v>
      </c>
      <c r="Q87" s="2">
        <v>1.43</v>
      </c>
      <c r="R87" s="5">
        <f t="shared" si="71"/>
        <v>-0.32878071867220104</v>
      </c>
      <c r="S87" s="5">
        <f t="shared" si="72"/>
        <v>1.43</v>
      </c>
      <c r="T87" s="1">
        <v>6100</v>
      </c>
      <c r="U87" s="2">
        <v>-1.48</v>
      </c>
      <c r="V87" s="2">
        <f t="shared" si="73"/>
        <v>-0.95974096962161004</v>
      </c>
      <c r="W87" s="2">
        <f t="shared" si="74"/>
        <v>-1.48</v>
      </c>
      <c r="X87" s="2">
        <v>-2.6772999999999998</v>
      </c>
      <c r="Y87" s="76">
        <f t="shared" si="112"/>
        <v>-2.234055201795905</v>
      </c>
      <c r="Z87" s="76">
        <f t="shared" si="113"/>
        <v>-2</v>
      </c>
      <c r="AA87" s="2">
        <f t="shared" si="75"/>
        <v>-1.7298</v>
      </c>
      <c r="AB87" s="2">
        <f t="shared" si="76"/>
        <v>-2.6772999999999998</v>
      </c>
      <c r="AC87" s="2">
        <v>73.5</v>
      </c>
      <c r="AD87" s="2">
        <v>-0.2</v>
      </c>
      <c r="AE87" s="79">
        <f t="shared" si="114"/>
        <v>-0.65756143734440209</v>
      </c>
      <c r="AF87" s="79">
        <f t="shared" si="115"/>
        <v>-1</v>
      </c>
      <c r="AG87" s="2">
        <f t="shared" si="77"/>
        <v>-0.92499999999999993</v>
      </c>
      <c r="AH87" s="2">
        <f t="shared" si="78"/>
        <v>-0.2</v>
      </c>
      <c r="AI87" s="2">
        <v>7050</v>
      </c>
      <c r="AJ87" s="2">
        <v>-1.99</v>
      </c>
      <c r="AK87" s="76">
        <f t="shared" si="116"/>
        <v>-1.9194819392432201</v>
      </c>
      <c r="AL87" s="76">
        <f t="shared" si="117"/>
        <v>-2</v>
      </c>
      <c r="AM87" s="2">
        <f t="shared" si="79"/>
        <v>-8.4999999999999964E-2</v>
      </c>
      <c r="AN87" s="2">
        <f t="shared" si="80"/>
        <v>-1.99</v>
      </c>
      <c r="AO87" s="2">
        <v>-2.0295999999999998</v>
      </c>
      <c r="AP87" s="2">
        <f t="shared" si="81"/>
        <v>-0.2514162505147266</v>
      </c>
      <c r="AQ87" s="2">
        <f t="shared" si="82"/>
        <v>-2.0295999999999998</v>
      </c>
      <c r="AR87" s="2">
        <v>79.5</v>
      </c>
      <c r="AS87" s="2">
        <v>-0.42</v>
      </c>
      <c r="AT87" s="2">
        <f t="shared" si="83"/>
        <v>-0.1717196206976184</v>
      </c>
      <c r="AU87" s="2">
        <f t="shared" si="84"/>
        <v>-0.42</v>
      </c>
      <c r="AV87" s="2">
        <v>8400</v>
      </c>
      <c r="AW87" s="2">
        <v>-1.65</v>
      </c>
      <c r="AX87" s="2">
        <f t="shared" si="85"/>
        <v>-0.56005147210149897</v>
      </c>
      <c r="AY87" s="2">
        <f t="shared" si="86"/>
        <v>-1.65</v>
      </c>
      <c r="AZ87" s="2">
        <v>-3.180132501029453</v>
      </c>
      <c r="BA87" s="78">
        <f t="shared" si="118"/>
        <v>-0.5028325010294532</v>
      </c>
      <c r="BB87" s="78">
        <f t="shared" si="119"/>
        <v>-1</v>
      </c>
      <c r="BC87" s="2" t="str">
        <f t="shared" si="87"/>
        <v/>
      </c>
      <c r="BD87" s="2">
        <f t="shared" si="88"/>
        <v>-3.180132501029453</v>
      </c>
      <c r="BE87" s="67">
        <f t="shared" si="120"/>
        <v>1</v>
      </c>
      <c r="BF87" s="2">
        <v>83.5</v>
      </c>
      <c r="BG87" s="2">
        <v>-0.54343924139523681</v>
      </c>
      <c r="BH87" s="2" t="str">
        <f t="shared" si="89"/>
        <v/>
      </c>
      <c r="BI87" s="2">
        <f t="shared" si="90"/>
        <v>-0.54343924139523681</v>
      </c>
      <c r="BJ87" s="67">
        <f t="shared" si="91"/>
        <v>7</v>
      </c>
      <c r="BK87" s="2">
        <v>9000</v>
      </c>
      <c r="BL87" s="2">
        <v>-3.1101029442029979</v>
      </c>
      <c r="BM87" s="77">
        <f t="shared" si="121"/>
        <v>-1.1201029442029979</v>
      </c>
      <c r="BN87" s="77">
        <f t="shared" si="122"/>
        <v>-2</v>
      </c>
      <c r="BO87" s="2" t="str">
        <f t="shared" si="92"/>
        <v/>
      </c>
      <c r="BP87" s="2">
        <f t="shared" si="93"/>
        <v>-3.1101029442029979</v>
      </c>
      <c r="BQ87" s="67">
        <f t="shared" si="123"/>
        <v>3</v>
      </c>
      <c r="BS87" s="75" t="str">
        <f t="shared" si="124"/>
        <v>UF</v>
      </c>
      <c r="BT87" s="75" t="str">
        <f t="shared" si="125"/>
        <v>UF</v>
      </c>
      <c r="BU87" s="5" t="str">
        <f t="shared" si="133"/>
        <v/>
      </c>
      <c r="BV87" s="5" t="str">
        <f t="shared" si="94"/>
        <v>UF</v>
      </c>
      <c r="BW87" s="69" t="str">
        <f t="shared" si="95"/>
        <v/>
      </c>
      <c r="BX87" s="2" t="s">
        <v>12</v>
      </c>
      <c r="BZ87" s="74" t="str">
        <f t="shared" si="126"/>
        <v>UF</v>
      </c>
      <c r="CA87" s="74" t="str">
        <f t="shared" si="127"/>
        <v>UF</v>
      </c>
      <c r="CB87" s="5" t="str">
        <f t="shared" si="96"/>
        <v>UF</v>
      </c>
      <c r="CC87" s="5" t="str">
        <f t="shared" si="97"/>
        <v>UF</v>
      </c>
      <c r="CD87" s="2" t="e">
        <f t="shared" si="98"/>
        <v>#VALUE!</v>
      </c>
      <c r="CE87" s="69" t="str">
        <f t="shared" si="99"/>
        <v/>
      </c>
      <c r="CF87" s="5" t="s">
        <v>12</v>
      </c>
      <c r="CH87" s="72" t="str">
        <f t="shared" si="128"/>
        <v>UF</v>
      </c>
      <c r="CI87" s="72" t="str">
        <f t="shared" si="129"/>
        <v>UF</v>
      </c>
      <c r="CJ87" s="5" t="str">
        <f t="shared" si="100"/>
        <v>UF</v>
      </c>
      <c r="CK87" s="5" t="str">
        <f t="shared" si="101"/>
        <v>UF</v>
      </c>
      <c r="CL87" s="69" t="str">
        <f t="shared" si="102"/>
        <v/>
      </c>
      <c r="CN87" s="70" t="str">
        <f t="shared" si="103"/>
        <v/>
      </c>
      <c r="CO87" s="5" t="str">
        <f t="shared" si="104"/>
        <v>UF</v>
      </c>
      <c r="CP87" s="5" t="str">
        <f>IF(G87&lt;48,"UF", IF(NOT(ISBLANK(CM:CM)), CM:CM, IF(BW:BW=1, BV:BV+Sheet2!B53, IF(Sheet1!BW:BW=2, Sheet1!BV:BV+Sheet2!B54, IF(Sheet1!BW:BW=7, Sheet1!BV:BV+Sheet2!B55,"")))))</f>
        <v>UF</v>
      </c>
      <c r="CQ87" s="69" t="str">
        <f t="shared" si="130"/>
        <v/>
      </c>
      <c r="CR87" s="5" t="s">
        <v>12</v>
      </c>
      <c r="CT87" s="5" t="str">
        <f t="shared" si="105"/>
        <v/>
      </c>
      <c r="CU87" s="80" t="str">
        <f t="shared" si="106"/>
        <v>UF</v>
      </c>
      <c r="CV87" s="80" t="str">
        <f t="shared" si="107"/>
        <v>UF</v>
      </c>
      <c r="CW87" s="20" t="str">
        <f>IF(G87&lt;48,"UF", IF(NOT(ISBLANK(CS87)), CS87, IF(CE87=5, CC87+Sheet2!B42, IF(CE87=6, CC87+Sheet2!B43, IF(CE87=7, CC87+Sheet2!B44,"")))))</f>
        <v>UF</v>
      </c>
      <c r="CX87" s="68" t="str">
        <f t="shared" si="131"/>
        <v/>
      </c>
      <c r="CY87" s="5" t="s">
        <v>12</v>
      </c>
      <c r="DA87" s="5" t="str">
        <f t="shared" si="108"/>
        <v>UF</v>
      </c>
      <c r="DB87" s="73" t="str">
        <f t="shared" si="109"/>
        <v>UF</v>
      </c>
      <c r="DC87" s="73" t="str">
        <f t="shared" si="110"/>
        <v>UF</v>
      </c>
      <c r="DD87" s="5" t="str">
        <f>IF(G87&lt;48,"UF", IF(NOT(ISBLANK(CZ:CZ)), CZ:CZ, IF(CL:CL=3, CK:CK+Sheet2!B47, IF(CL:CL=4, CK:CK+Sheet2!B48, IF(CL:CL=7, CK:CK+Sheet2!B49,"")))))</f>
        <v>UF</v>
      </c>
      <c r="DE87" s="69" t="str">
        <f t="shared" si="111"/>
        <v/>
      </c>
      <c r="DF87" s="2">
        <v>2</v>
      </c>
      <c r="DG87" s="2">
        <v>28</v>
      </c>
      <c r="DH87" s="2">
        <v>2</v>
      </c>
      <c r="DI87" s="2">
        <v>2</v>
      </c>
      <c r="DJ87" s="2">
        <v>2</v>
      </c>
      <c r="DK87" s="2" t="s">
        <v>12</v>
      </c>
      <c r="DL87" s="2" t="s">
        <v>12</v>
      </c>
      <c r="DM87" s="2">
        <v>100</v>
      </c>
      <c r="DN87" s="2">
        <v>60</v>
      </c>
      <c r="DO87" s="2" t="s">
        <v>12</v>
      </c>
      <c r="DP87" s="2" t="s">
        <v>12</v>
      </c>
      <c r="DQ87" s="2">
        <v>2</v>
      </c>
      <c r="DR87" s="2">
        <v>40</v>
      </c>
      <c r="DS87" s="2">
        <v>2</v>
      </c>
      <c r="DV87" s="2">
        <v>3</v>
      </c>
      <c r="DW87" s="2">
        <v>3</v>
      </c>
      <c r="DX87" s="2">
        <v>3</v>
      </c>
      <c r="DY87" s="2">
        <v>3</v>
      </c>
      <c r="DZ87" s="2">
        <v>33</v>
      </c>
      <c r="EA87" s="2" t="s">
        <v>12</v>
      </c>
      <c r="EB87" s="2" t="s">
        <v>12</v>
      </c>
      <c r="EC87" s="2" t="s">
        <v>12</v>
      </c>
      <c r="ED87" s="2" t="s">
        <v>12</v>
      </c>
    </row>
    <row r="88" spans="1:134" x14ac:dyDescent="0.25">
      <c r="C88" s="8" t="s">
        <v>323</v>
      </c>
      <c r="D88" s="2">
        <v>2461123462</v>
      </c>
      <c r="E88" s="5">
        <v>7</v>
      </c>
      <c r="F88" s="2">
        <v>2</v>
      </c>
      <c r="G88" s="2">
        <v>29</v>
      </c>
      <c r="H88" s="2">
        <v>-0.26572167397563862</v>
      </c>
      <c r="I88" s="2">
        <v>51</v>
      </c>
      <c r="J88" s="2">
        <v>0.58940135287155082</v>
      </c>
      <c r="K88" s="2">
        <v>3400</v>
      </c>
      <c r="L88" s="2">
        <v>0.1091247039083435</v>
      </c>
      <c r="M88" s="2">
        <v>0.4425</v>
      </c>
      <c r="N88" s="2">
        <f t="shared" si="69"/>
        <v>-4.4391630121806969E-3</v>
      </c>
      <c r="O88" s="2">
        <f t="shared" si="70"/>
        <v>0.4425</v>
      </c>
      <c r="P88" s="2">
        <v>65</v>
      </c>
      <c r="Q88" s="2">
        <v>-1.23</v>
      </c>
      <c r="R88" s="5">
        <f t="shared" si="71"/>
        <v>-0.65970067643577535</v>
      </c>
      <c r="S88" s="5">
        <f t="shared" si="72"/>
        <v>-1.23</v>
      </c>
      <c r="T88" s="2">
        <v>7600</v>
      </c>
      <c r="U88" s="2">
        <v>-0.4</v>
      </c>
      <c r="V88" s="2">
        <f t="shared" si="73"/>
        <v>-0.36956235195417175</v>
      </c>
      <c r="W88" s="2">
        <f t="shared" si="74"/>
        <v>-0.4</v>
      </c>
      <c r="X88" s="2">
        <v>-0.27460000000000001</v>
      </c>
      <c r="Y88" s="76">
        <f t="shared" si="112"/>
        <v>-8.8783260243613937E-3</v>
      </c>
      <c r="Z88" s="76">
        <f t="shared" si="113"/>
        <v>-1</v>
      </c>
      <c r="AA88" s="2">
        <f t="shared" si="75"/>
        <v>0.71889999999999998</v>
      </c>
      <c r="AB88" s="2">
        <f t="shared" si="76"/>
        <v>-0.27460000000000001</v>
      </c>
      <c r="AC88" s="2">
        <v>74</v>
      </c>
      <c r="AD88" s="2">
        <v>-0.73</v>
      </c>
      <c r="AE88" s="79">
        <f t="shared" si="114"/>
        <v>-1.3194013528715507</v>
      </c>
      <c r="AF88" s="79">
        <f t="shared" si="115"/>
        <v>-2</v>
      </c>
      <c r="AG88" s="2">
        <f t="shared" si="77"/>
        <v>0.19500000000000001</v>
      </c>
      <c r="AH88" s="2">
        <f t="shared" si="78"/>
        <v>-0.73</v>
      </c>
      <c r="AI88" s="2">
        <v>9000</v>
      </c>
      <c r="AJ88" s="2">
        <v>-0.63</v>
      </c>
      <c r="AK88" s="76">
        <f t="shared" si="116"/>
        <v>-0.73912470390834351</v>
      </c>
      <c r="AL88" s="76">
        <f t="shared" si="117"/>
        <v>-2</v>
      </c>
      <c r="AM88" s="2">
        <f t="shared" si="79"/>
        <v>1.5000000000000013E-2</v>
      </c>
      <c r="AN88" s="2">
        <f t="shared" si="80"/>
        <v>-0.63</v>
      </c>
      <c r="AO88" s="2">
        <v>0.20780000000000001</v>
      </c>
      <c r="AP88" s="2">
        <f t="shared" si="81"/>
        <v>-0.13350123544569262</v>
      </c>
      <c r="AQ88" s="2">
        <f t="shared" si="82"/>
        <v>0.20780000000000001</v>
      </c>
      <c r="AR88" s="2">
        <v>80</v>
      </c>
      <c r="AS88" s="2">
        <v>-0.84</v>
      </c>
      <c r="AT88" s="2">
        <f t="shared" si="83"/>
        <v>-4.2723735924223183E-2</v>
      </c>
      <c r="AU88" s="2">
        <f t="shared" si="84"/>
        <v>-0.84</v>
      </c>
      <c r="AV88" s="2">
        <v>10500</v>
      </c>
      <c r="AW88" s="2">
        <v>-0.37</v>
      </c>
      <c r="AX88" s="2">
        <f t="shared" si="85"/>
        <v>-0.28949231946146298</v>
      </c>
      <c r="AY88" s="2">
        <f t="shared" si="86"/>
        <v>-0.37</v>
      </c>
      <c r="AZ88" s="2">
        <v>-0.54160247089138525</v>
      </c>
      <c r="BA88" s="78">
        <f t="shared" si="118"/>
        <v>-0.26700247089138524</v>
      </c>
      <c r="BB88" s="78">
        <f t="shared" si="119"/>
        <v>-1</v>
      </c>
      <c r="BC88" s="2" t="str">
        <f t="shared" si="87"/>
        <v/>
      </c>
      <c r="BD88" s="2">
        <f t="shared" si="88"/>
        <v>-0.54160247089138525</v>
      </c>
      <c r="BE88" s="67">
        <f t="shared" si="120"/>
        <v>7</v>
      </c>
      <c r="BF88" s="2">
        <v>84</v>
      </c>
      <c r="BG88" s="2">
        <v>-0.81544747184844635</v>
      </c>
      <c r="BH88" s="2" t="str">
        <f t="shared" si="89"/>
        <v/>
      </c>
      <c r="BI88" s="2">
        <f t="shared" si="90"/>
        <v>-0.81544747184844635</v>
      </c>
      <c r="BJ88" s="67">
        <f t="shared" si="91"/>
        <v>7</v>
      </c>
      <c r="BK88" s="2">
        <v>11200</v>
      </c>
      <c r="BL88" s="2">
        <v>-1.208984638922926</v>
      </c>
      <c r="BM88" s="77">
        <f t="shared" si="121"/>
        <v>-0.57898463892292595</v>
      </c>
      <c r="BN88" s="77">
        <f t="shared" si="122"/>
        <v>-1</v>
      </c>
      <c r="BO88" s="2">
        <f t="shared" si="92"/>
        <v>-0.49061521409485059</v>
      </c>
      <c r="BP88" s="2">
        <f t="shared" si="93"/>
        <v>-1.208984638922926</v>
      </c>
      <c r="BQ88" s="67">
        <f t="shared" si="123"/>
        <v>7</v>
      </c>
      <c r="BS88" s="75" t="str">
        <f t="shared" si="124"/>
        <v>UF</v>
      </c>
      <c r="BT88" s="75" t="str">
        <f t="shared" si="125"/>
        <v>UF</v>
      </c>
      <c r="BU88" s="5" t="str">
        <f t="shared" si="133"/>
        <v/>
      </c>
      <c r="BV88" s="5" t="str">
        <f t="shared" si="94"/>
        <v>UF</v>
      </c>
      <c r="BW88" s="69" t="str">
        <f t="shared" si="95"/>
        <v/>
      </c>
      <c r="BX88" s="2" t="s">
        <v>12</v>
      </c>
      <c r="BZ88" s="74" t="str">
        <f t="shared" si="126"/>
        <v>UF</v>
      </c>
      <c r="CA88" s="74" t="str">
        <f t="shared" si="127"/>
        <v>UF</v>
      </c>
      <c r="CB88" s="5" t="str">
        <f t="shared" si="96"/>
        <v>UF</v>
      </c>
      <c r="CC88" s="5" t="str">
        <f t="shared" si="97"/>
        <v>UF</v>
      </c>
      <c r="CD88" s="2" t="e">
        <f t="shared" si="98"/>
        <v>#VALUE!</v>
      </c>
      <c r="CE88" s="69" t="str">
        <f t="shared" si="99"/>
        <v/>
      </c>
      <c r="CF88" s="5" t="s">
        <v>12</v>
      </c>
      <c r="CG88" s="5">
        <v>-1.8418456422845519</v>
      </c>
      <c r="CH88" s="72" t="str">
        <f t="shared" si="128"/>
        <v>UF</v>
      </c>
      <c r="CI88" s="72" t="str">
        <f t="shared" si="129"/>
        <v>UF</v>
      </c>
      <c r="CJ88" s="5" t="str">
        <f t="shared" si="100"/>
        <v>UF</v>
      </c>
      <c r="CK88" s="5" t="str">
        <f t="shared" si="101"/>
        <v>UF</v>
      </c>
      <c r="CL88" s="69" t="str">
        <f t="shared" si="102"/>
        <v/>
      </c>
      <c r="CN88" s="70" t="str">
        <f t="shared" si="103"/>
        <v/>
      </c>
      <c r="CO88" s="5" t="str">
        <f t="shared" si="104"/>
        <v>UF</v>
      </c>
      <c r="CP88" s="5" t="str">
        <f>IF(G88&lt;48,"UF", IF(NOT(ISBLANK(CM:CM)), CM:CM, IF(BW:BW=1, BV:BV+Sheet2!B546, IF(Sheet1!BW:BW=2, Sheet1!BV:BV+Sheet2!B547, IF(Sheet1!BW:BW=7, Sheet1!BV:BV+Sheet2!B548,"")))))</f>
        <v>UF</v>
      </c>
      <c r="CQ88" s="69" t="str">
        <f t="shared" si="130"/>
        <v/>
      </c>
      <c r="CR88" s="5" t="s">
        <v>12</v>
      </c>
      <c r="CT88" s="5" t="str">
        <f t="shared" si="105"/>
        <v/>
      </c>
      <c r="CU88" s="80" t="str">
        <f t="shared" si="106"/>
        <v>UF</v>
      </c>
      <c r="CV88" s="80" t="str">
        <f t="shared" si="107"/>
        <v>UF</v>
      </c>
      <c r="CW88" s="20" t="str">
        <f>IF(G88&lt;48,"UF", IF(NOT(ISBLANK(CS88)), CS88, IF(CE88=5, CC88+Sheet2!B535, IF(CE88=6, CC88+Sheet2!B536, IF(CE88=7, CC88+Sheet2!B537,"")))))</f>
        <v>UF</v>
      </c>
      <c r="CX88" s="68" t="str">
        <f t="shared" si="131"/>
        <v/>
      </c>
      <c r="CY88" s="5" t="s">
        <v>12</v>
      </c>
      <c r="DA88" s="5" t="str">
        <f t="shared" si="108"/>
        <v>UF</v>
      </c>
      <c r="DB88" s="73" t="str">
        <f t="shared" si="109"/>
        <v>UF</v>
      </c>
      <c r="DC88" s="73" t="str">
        <f t="shared" si="110"/>
        <v>UF</v>
      </c>
      <c r="DD88" s="5" t="str">
        <f>IF(G88&lt;48,"UF", IF(NOT(ISBLANK(CZ:CZ)), CZ:CZ, IF(CL:CL=3, CK:CK+Sheet2!B540, IF(CL:CL=4, CK:CK+Sheet2!B541, IF(CL:CL=7, CK:CK+Sheet2!B542,"")))))</f>
        <v>UF</v>
      </c>
      <c r="DE88" s="69" t="str">
        <f t="shared" si="111"/>
        <v/>
      </c>
      <c r="DF88" s="2">
        <v>2</v>
      </c>
      <c r="DG88" s="2">
        <v>42</v>
      </c>
      <c r="DH88" s="2">
        <v>2</v>
      </c>
      <c r="DI88" s="2">
        <v>2</v>
      </c>
      <c r="DJ88" s="2">
        <v>3</v>
      </c>
      <c r="DK88" s="2" t="s">
        <v>12</v>
      </c>
      <c r="DL88" s="2" t="s">
        <v>12</v>
      </c>
      <c r="DM88" s="2" t="s">
        <v>12</v>
      </c>
      <c r="DN88" s="2" t="s">
        <v>12</v>
      </c>
      <c r="DO88" s="2" t="s">
        <v>12</v>
      </c>
      <c r="DP88" s="2" t="s">
        <v>12</v>
      </c>
      <c r="DQ88" s="2">
        <v>2</v>
      </c>
      <c r="DR88" s="2">
        <v>37</v>
      </c>
      <c r="DS88" s="2">
        <v>3</v>
      </c>
      <c r="DT88" s="2" t="s">
        <v>12</v>
      </c>
      <c r="DU88" s="2" t="s">
        <v>12</v>
      </c>
      <c r="DV88" s="2">
        <v>2</v>
      </c>
      <c r="DW88" s="2">
        <v>2</v>
      </c>
      <c r="DX88" s="2">
        <v>2</v>
      </c>
      <c r="DY88" s="2">
        <v>3</v>
      </c>
      <c r="DZ88" s="2">
        <v>36</v>
      </c>
      <c r="EA88" s="2">
        <v>35</v>
      </c>
      <c r="EB88" s="2">
        <v>48.5</v>
      </c>
      <c r="EC88" s="2">
        <v>1</v>
      </c>
      <c r="ED88" s="2">
        <v>1</v>
      </c>
    </row>
    <row r="89" spans="1:134" x14ac:dyDescent="0.25">
      <c r="C89" s="8" t="s">
        <v>145</v>
      </c>
      <c r="D89" s="2">
        <v>2461124371</v>
      </c>
      <c r="E89" s="5" t="s">
        <v>531</v>
      </c>
      <c r="F89" s="2">
        <v>2</v>
      </c>
      <c r="G89" s="2">
        <v>29</v>
      </c>
      <c r="H89" s="2">
        <v>-0.30700421681893753</v>
      </c>
      <c r="I89" s="2">
        <v>48</v>
      </c>
      <c r="J89" s="2">
        <v>-0.99529637274036198</v>
      </c>
      <c r="K89" s="5">
        <v>3000</v>
      </c>
      <c r="L89" s="2">
        <v>-0.73426392472567259</v>
      </c>
      <c r="M89" s="2">
        <v>-0.3896</v>
      </c>
      <c r="N89" s="2">
        <f t="shared" si="69"/>
        <v>0.5744521084094687</v>
      </c>
      <c r="O89" s="2">
        <f t="shared" si="70"/>
        <v>-0.3896</v>
      </c>
      <c r="P89" s="2">
        <v>61</v>
      </c>
      <c r="Q89" s="2">
        <v>-3.1</v>
      </c>
      <c r="R89" s="5">
        <f t="shared" si="71"/>
        <v>-1.7623518136298189</v>
      </c>
      <c r="S89" s="5">
        <f t="shared" si="72"/>
        <v>-3.1</v>
      </c>
      <c r="T89" s="1">
        <v>6250</v>
      </c>
      <c r="U89" s="2">
        <v>-2.15</v>
      </c>
      <c r="V89" s="2">
        <f t="shared" si="73"/>
        <v>-0.71786803763716367</v>
      </c>
      <c r="W89" s="2">
        <f t="shared" si="74"/>
        <v>-2.15</v>
      </c>
      <c r="X89" s="2">
        <v>0.84189999999999998</v>
      </c>
      <c r="Y89" s="76">
        <f t="shared" si="112"/>
        <v>1.1489042168189374</v>
      </c>
      <c r="Z89" s="76">
        <f t="shared" si="113"/>
        <v>2</v>
      </c>
      <c r="AA89" s="2">
        <f t="shared" si="75"/>
        <v>0.88560000000000005</v>
      </c>
      <c r="AB89" s="2">
        <f t="shared" si="76"/>
        <v>0.84189999999999998</v>
      </c>
      <c r="AC89" s="2">
        <v>65</v>
      </c>
      <c r="AD89" s="2">
        <v>-4.5199999999999996</v>
      </c>
      <c r="AE89" s="79">
        <f t="shared" si="114"/>
        <v>-3.5247036272596377</v>
      </c>
      <c r="AF89" s="79">
        <f t="shared" si="115"/>
        <v>-2</v>
      </c>
      <c r="AG89" s="2">
        <f t="shared" si="77"/>
        <v>0.20500000000000007</v>
      </c>
      <c r="AH89" s="2">
        <f t="shared" si="78"/>
        <v>-4.5199999999999996</v>
      </c>
      <c r="AI89" s="2">
        <v>7600</v>
      </c>
      <c r="AJ89" s="2">
        <v>-2.17</v>
      </c>
      <c r="AK89" s="76">
        <f t="shared" si="116"/>
        <v>-1.4357360752743273</v>
      </c>
      <c r="AL89" s="76">
        <f t="shared" si="117"/>
        <v>-2</v>
      </c>
      <c r="AM89" s="2">
        <f t="shared" si="79"/>
        <v>-0.21500000000000008</v>
      </c>
      <c r="AN89" s="2">
        <f t="shared" si="80"/>
        <v>-2.17</v>
      </c>
      <c r="AO89" s="2">
        <v>-1.3288</v>
      </c>
      <c r="AP89" s="2">
        <f t="shared" si="81"/>
        <v>-0.85937676251510731</v>
      </c>
      <c r="AQ89" s="2">
        <f t="shared" si="82"/>
        <v>-1.3288</v>
      </c>
      <c r="AR89" s="2">
        <v>75</v>
      </c>
      <c r="AS89" s="2">
        <v>-2.69</v>
      </c>
      <c r="AT89" s="2">
        <f t="shared" si="83"/>
        <v>1.1401158036090033</v>
      </c>
      <c r="AU89" s="2">
        <f t="shared" si="84"/>
        <v>-2.69</v>
      </c>
      <c r="AV89" s="2">
        <v>8200</v>
      </c>
      <c r="AW89" s="2">
        <v>-2.58</v>
      </c>
      <c r="AX89" s="2">
        <f t="shared" si="85"/>
        <v>-0.2289177613445601</v>
      </c>
      <c r="AY89" s="2">
        <f t="shared" si="86"/>
        <v>-2.58</v>
      </c>
      <c r="AZ89" s="2">
        <v>-0.87685352503021463</v>
      </c>
      <c r="BA89" s="78">
        <f t="shared" si="118"/>
        <v>-1.7187535250302146</v>
      </c>
      <c r="BB89" s="78">
        <f t="shared" si="119"/>
        <v>-2</v>
      </c>
      <c r="BC89" s="2" t="str">
        <f t="shared" si="87"/>
        <v/>
      </c>
      <c r="BD89" s="2">
        <f t="shared" si="88"/>
        <v>-0.87685352503021463</v>
      </c>
      <c r="BE89" s="67">
        <f t="shared" si="120"/>
        <v>7</v>
      </c>
      <c r="BF89" s="2">
        <v>79</v>
      </c>
      <c r="BG89" s="2">
        <v>-2.2397683927819929</v>
      </c>
      <c r="BH89" s="2" t="str">
        <f t="shared" si="89"/>
        <v/>
      </c>
      <c r="BI89" s="2">
        <f t="shared" si="90"/>
        <v>-2.2397683927819929</v>
      </c>
      <c r="BJ89" s="67">
        <f t="shared" si="91"/>
        <v>6</v>
      </c>
      <c r="BK89" s="2">
        <v>9670</v>
      </c>
      <c r="BL89" s="2">
        <v>-2.6278355226891201</v>
      </c>
      <c r="BM89" s="77">
        <f t="shared" si="121"/>
        <v>-0.4578355226891202</v>
      </c>
      <c r="BN89" s="77">
        <f t="shared" si="122"/>
        <v>-1</v>
      </c>
      <c r="BO89" s="2" t="str">
        <f t="shared" si="92"/>
        <v/>
      </c>
      <c r="BP89" s="2">
        <f t="shared" si="93"/>
        <v>-2.6278355226891201</v>
      </c>
      <c r="BQ89" s="67">
        <f t="shared" si="123"/>
        <v>4</v>
      </c>
      <c r="BS89" s="75" t="str">
        <f t="shared" si="124"/>
        <v>UF</v>
      </c>
      <c r="BT89" s="75" t="str">
        <f t="shared" si="125"/>
        <v>UF</v>
      </c>
      <c r="BU89" s="5" t="e">
        <f>IF(#REF!&gt;=36, IF(AND(NOT(ISBLANK(CM:CM)), NOT(ISBLANK(BD:BD))), (CM:CM-BD:BD)/2, ""), "UF")</f>
        <v>#REF!</v>
      </c>
      <c r="BV89" s="5" t="str">
        <f t="shared" si="94"/>
        <v>UF</v>
      </c>
      <c r="BW89" s="69" t="str">
        <f t="shared" si="95"/>
        <v/>
      </c>
      <c r="BX89" s="2" t="s">
        <v>12</v>
      </c>
      <c r="BZ89" s="74" t="str">
        <f t="shared" si="126"/>
        <v>UF</v>
      </c>
      <c r="CA89" s="74" t="str">
        <f t="shared" si="127"/>
        <v>UF</v>
      </c>
      <c r="CB89" s="5" t="str">
        <f t="shared" si="96"/>
        <v>UF</v>
      </c>
      <c r="CC89" s="5" t="str">
        <f t="shared" si="97"/>
        <v>UF</v>
      </c>
      <c r="CD89" s="2" t="e">
        <f t="shared" si="98"/>
        <v>#VALUE!</v>
      </c>
      <c r="CE89" s="69" t="str">
        <f t="shared" si="99"/>
        <v/>
      </c>
      <c r="CF89" s="5" t="s">
        <v>12</v>
      </c>
      <c r="CH89" s="72" t="str">
        <f t="shared" si="128"/>
        <v>UF</v>
      </c>
      <c r="CI89" s="72" t="str">
        <f t="shared" si="129"/>
        <v>UF</v>
      </c>
      <c r="CJ89" s="5" t="str">
        <f t="shared" si="100"/>
        <v>UF</v>
      </c>
      <c r="CK89" s="5" t="str">
        <f t="shared" si="101"/>
        <v>UF</v>
      </c>
      <c r="CL89" s="69" t="str">
        <f t="shared" si="102"/>
        <v/>
      </c>
      <c r="CN89" s="70" t="str">
        <f t="shared" si="103"/>
        <v/>
      </c>
      <c r="CO89" s="5" t="str">
        <f t="shared" si="104"/>
        <v>UF</v>
      </c>
      <c r="CP89" s="5" t="str">
        <f>IF(G89&lt;48,"UF", IF(NOT(ISBLANK(CM:CM)), CM:CM, IF(BW:BW=1, BV:BV+Sheet2!B212, IF(Sheet1!BW:BW=2, Sheet1!BV:BV+Sheet2!B213, IF(Sheet1!BW:BW=7, Sheet1!BV:BV+Sheet2!B214,"")))))</f>
        <v>UF</v>
      </c>
      <c r="CQ89" s="69" t="str">
        <f t="shared" si="130"/>
        <v/>
      </c>
      <c r="CR89" s="5" t="s">
        <v>12</v>
      </c>
      <c r="CT89" s="5" t="str">
        <f t="shared" si="105"/>
        <v/>
      </c>
      <c r="CU89" s="80" t="str">
        <f t="shared" si="106"/>
        <v>UF</v>
      </c>
      <c r="CV89" s="80" t="str">
        <f t="shared" si="107"/>
        <v>UF</v>
      </c>
      <c r="CW89" s="20" t="str">
        <f>IF(G89&lt;48,"UF", IF(NOT(ISBLANK(CS89)), CS89, IF(CE89=5, CC89+Sheet2!B201, IF(CE89=6, CC89+Sheet2!B202, IF(CE89=7, CC89+Sheet2!B203,"")))))</f>
        <v>UF</v>
      </c>
      <c r="CX89" s="68" t="str">
        <f t="shared" si="131"/>
        <v/>
      </c>
      <c r="CY89" s="5" t="s">
        <v>12</v>
      </c>
      <c r="DA89" s="5" t="str">
        <f t="shared" si="108"/>
        <v>UF</v>
      </c>
      <c r="DB89" s="73" t="str">
        <f t="shared" si="109"/>
        <v>UF</v>
      </c>
      <c r="DC89" s="73" t="str">
        <f t="shared" si="110"/>
        <v>UF</v>
      </c>
      <c r="DD89" s="5" t="str">
        <f>IF(G89&lt;48,"UF", IF(NOT(ISBLANK(CZ:CZ)), CZ:CZ, IF(CL:CL=3, CK:CK+Sheet2!B206, IF(CL:CL=4, CK:CK+Sheet2!B207, IF(CL:CL=7, CK:CK+Sheet2!B208,"")))))</f>
        <v>UF</v>
      </c>
      <c r="DE89" s="69" t="str">
        <f t="shared" si="111"/>
        <v/>
      </c>
      <c r="DF89" s="2">
        <v>2</v>
      </c>
      <c r="DG89" s="2">
        <v>33</v>
      </c>
      <c r="DH89" s="2">
        <v>1</v>
      </c>
      <c r="DI89" s="2">
        <v>2</v>
      </c>
      <c r="DJ89" s="2">
        <v>2</v>
      </c>
      <c r="DK89" s="2" t="s">
        <v>12</v>
      </c>
      <c r="DL89" s="2" t="s">
        <v>12</v>
      </c>
      <c r="DM89" s="2">
        <v>110</v>
      </c>
      <c r="DN89" s="2">
        <v>60</v>
      </c>
      <c r="DO89" s="2" t="s">
        <v>12</v>
      </c>
      <c r="DP89" s="2" t="s">
        <v>12</v>
      </c>
      <c r="DQ89" s="2">
        <v>2</v>
      </c>
      <c r="DR89" s="2">
        <v>36</v>
      </c>
      <c r="DS89" s="2">
        <v>1</v>
      </c>
      <c r="DT89" s="2">
        <v>93</v>
      </c>
      <c r="DU89" s="2">
        <v>89</v>
      </c>
      <c r="DV89" s="2">
        <v>2</v>
      </c>
      <c r="DW89" s="2">
        <v>2</v>
      </c>
      <c r="DX89" s="2">
        <v>2</v>
      </c>
      <c r="DY89" s="2">
        <v>2</v>
      </c>
      <c r="DZ89" s="2">
        <v>32</v>
      </c>
      <c r="EA89" s="2">
        <v>33.5</v>
      </c>
      <c r="EB89" s="2">
        <v>43</v>
      </c>
      <c r="EC89" s="2">
        <v>4</v>
      </c>
      <c r="ED89" s="2">
        <v>4</v>
      </c>
    </row>
    <row r="90" spans="1:134" x14ac:dyDescent="0.25">
      <c r="C90" s="8" t="s">
        <v>197</v>
      </c>
      <c r="D90" s="4">
        <v>2500997480</v>
      </c>
      <c r="E90" s="5">
        <v>7</v>
      </c>
      <c r="F90" s="2">
        <v>1</v>
      </c>
      <c r="G90" s="2">
        <v>60</v>
      </c>
      <c r="H90" s="2">
        <v>-1.669106278117974</v>
      </c>
      <c r="I90" s="2">
        <v>49</v>
      </c>
      <c r="J90" s="2">
        <v>-7.9294265603816944E-2</v>
      </c>
      <c r="K90" s="1">
        <v>2745</v>
      </c>
      <c r="L90" s="2">
        <v>-1.1177895052610709</v>
      </c>
      <c r="N90" s="2" t="str">
        <f t="shared" si="69"/>
        <v/>
      </c>
      <c r="O90" s="2" t="e">
        <f t="shared" si="70"/>
        <v>#VALUE!</v>
      </c>
      <c r="P90" s="2" t="s">
        <v>12</v>
      </c>
      <c r="R90" s="5" t="str">
        <f t="shared" si="71"/>
        <v/>
      </c>
      <c r="S90" s="5" t="e">
        <f t="shared" si="72"/>
        <v>#VALUE!</v>
      </c>
      <c r="T90" s="1" t="s">
        <v>12</v>
      </c>
      <c r="V90" s="2" t="str">
        <f t="shared" si="73"/>
        <v/>
      </c>
      <c r="W90" s="2" t="e">
        <f t="shared" si="74"/>
        <v>#VALUE!</v>
      </c>
      <c r="Y90" s="76" t="e">
        <f t="shared" si="112"/>
        <v>#VALUE!</v>
      </c>
      <c r="Z90" s="76" t="e">
        <f t="shared" si="113"/>
        <v>#VALUE!</v>
      </c>
      <c r="AA90" s="2" t="str">
        <f t="shared" si="75"/>
        <v/>
      </c>
      <c r="AB90" s="2" t="e">
        <f t="shared" si="76"/>
        <v>#VALUE!</v>
      </c>
      <c r="AC90" s="2" t="s">
        <v>12</v>
      </c>
      <c r="AE90" s="79" t="e">
        <f t="shared" si="114"/>
        <v>#VALUE!</v>
      </c>
      <c r="AF90" s="79" t="e">
        <f t="shared" si="115"/>
        <v>#VALUE!</v>
      </c>
      <c r="AG90" s="2" t="str">
        <f t="shared" si="77"/>
        <v/>
      </c>
      <c r="AH90" s="2" t="e">
        <f t="shared" si="78"/>
        <v>#VALUE!</v>
      </c>
      <c r="AI90" s="2" t="s">
        <v>12</v>
      </c>
      <c r="AK90" s="76" t="e">
        <f t="shared" si="116"/>
        <v>#VALUE!</v>
      </c>
      <c r="AL90" s="76" t="e">
        <f t="shared" si="117"/>
        <v>#VALUE!</v>
      </c>
      <c r="AM90" s="2" t="str">
        <f t="shared" si="79"/>
        <v/>
      </c>
      <c r="AN90" s="2" t="e">
        <f t="shared" si="80"/>
        <v>#VALUE!</v>
      </c>
      <c r="AP90" s="2" t="str">
        <f t="shared" si="81"/>
        <v/>
      </c>
      <c r="AQ90" s="2" t="e">
        <f t="shared" si="82"/>
        <v>#VALUE!</v>
      </c>
      <c r="AR90" s="2" t="s">
        <v>12</v>
      </c>
      <c r="AT90" s="2" t="str">
        <f t="shared" si="83"/>
        <v/>
      </c>
      <c r="AU90" s="2" t="e">
        <f t="shared" si="84"/>
        <v>#VALUE!</v>
      </c>
      <c r="AV90" s="2" t="s">
        <v>12</v>
      </c>
      <c r="AX90" s="2" t="str">
        <f t="shared" si="85"/>
        <v/>
      </c>
      <c r="AY90" s="2" t="e">
        <f t="shared" si="86"/>
        <v>#VALUE!</v>
      </c>
      <c r="BA90" s="78" t="e">
        <f t="shared" si="118"/>
        <v>#VALUE!</v>
      </c>
      <c r="BB90" s="78" t="e">
        <f t="shared" si="119"/>
        <v>#VALUE!</v>
      </c>
      <c r="BC90" s="2" t="str">
        <f t="shared" si="87"/>
        <v/>
      </c>
      <c r="BD90" s="2" t="e">
        <f t="shared" si="88"/>
        <v>#VALUE!</v>
      </c>
      <c r="BE90" s="67" t="e">
        <f t="shared" si="120"/>
        <v>#VALUE!</v>
      </c>
      <c r="BF90" s="2" t="s">
        <v>12</v>
      </c>
      <c r="BH90" s="2" t="str">
        <f t="shared" si="89"/>
        <v/>
      </c>
      <c r="BI90" s="2" t="e">
        <f t="shared" si="90"/>
        <v>#VALUE!</v>
      </c>
      <c r="BJ90" s="67" t="e">
        <f t="shared" si="91"/>
        <v>#VALUE!</v>
      </c>
      <c r="BK90" s="2" t="s">
        <v>12</v>
      </c>
      <c r="BM90" s="77" t="e">
        <f t="shared" si="121"/>
        <v>#VALUE!</v>
      </c>
      <c r="BN90" s="77" t="e">
        <f t="shared" si="122"/>
        <v>#VALUE!</v>
      </c>
      <c r="BO90" s="2" t="str">
        <f t="shared" si="92"/>
        <v/>
      </c>
      <c r="BP90" s="2" t="e">
        <f t="shared" si="93"/>
        <v>#VALUE!</v>
      </c>
      <c r="BQ90" s="67" t="e">
        <f t="shared" si="123"/>
        <v>#VALUE!</v>
      </c>
      <c r="BS90" s="75" t="e">
        <f t="shared" si="124"/>
        <v>#VALUE!</v>
      </c>
      <c r="BT90" s="75" t="e">
        <f t="shared" si="125"/>
        <v>#VALUE!</v>
      </c>
      <c r="BU90" s="5" t="str">
        <f>IF(G97&gt;=36, IF(AND(NOT(ISBLANK(CM:CM)), NOT(ISBLANK(BD:BD))), (CM:CM-BD:BD)/2, ""), "UF")</f>
        <v/>
      </c>
      <c r="BV90" s="5" t="e">
        <f t="shared" si="94"/>
        <v>#VALUE!</v>
      </c>
      <c r="BW90" s="69" t="e">
        <f t="shared" si="95"/>
        <v>#VALUE!</v>
      </c>
      <c r="BX90" s="2" t="s">
        <v>12</v>
      </c>
      <c r="BZ90" s="74" t="e">
        <f t="shared" si="126"/>
        <v>#VALUE!</v>
      </c>
      <c r="CA90" s="74" t="e">
        <f t="shared" si="127"/>
        <v>#VALUE!</v>
      </c>
      <c r="CB90" s="5" t="str">
        <f t="shared" si="96"/>
        <v/>
      </c>
      <c r="CC90" s="5" t="e">
        <f t="shared" si="97"/>
        <v>#VALUE!</v>
      </c>
      <c r="CD90" s="2" t="e">
        <f t="shared" si="98"/>
        <v>#VALUE!</v>
      </c>
      <c r="CE90" s="69" t="e">
        <f t="shared" si="99"/>
        <v>#VALUE!</v>
      </c>
      <c r="CF90" s="5" t="s">
        <v>12</v>
      </c>
      <c r="CH90" s="72" t="e">
        <f t="shared" si="128"/>
        <v>#VALUE!</v>
      </c>
      <c r="CI90" s="72" t="e">
        <f t="shared" si="129"/>
        <v>#VALUE!</v>
      </c>
      <c r="CJ90" s="5" t="str">
        <f t="shared" si="100"/>
        <v/>
      </c>
      <c r="CK90" s="5" t="e">
        <f t="shared" si="101"/>
        <v>#VALUE!</v>
      </c>
      <c r="CL90" s="69" t="e">
        <f t="shared" si="102"/>
        <v>#VALUE!</v>
      </c>
      <c r="CN90" s="70" t="str">
        <f t="shared" si="103"/>
        <v/>
      </c>
      <c r="CO90" s="5" t="e">
        <f t="shared" si="104"/>
        <v>#VALUE!</v>
      </c>
      <c r="CP90" s="5" t="e">
        <f>IF(G90&lt;48,"UF", IF(NOT(ISBLANK(CM:CM)), CM:CM, IF(BW:BW=1, BV:BV+Sheet2!B371, IF(Sheet1!BW:BW=2, Sheet1!BV:BV+Sheet2!B372, IF(Sheet1!BW:BW=7, Sheet1!BV:BV+Sheet2!B373,"")))))</f>
        <v>#VALUE!</v>
      </c>
      <c r="CQ90" s="69" t="e">
        <f t="shared" si="130"/>
        <v>#VALUE!</v>
      </c>
      <c r="CR90" s="5" t="s">
        <v>12</v>
      </c>
      <c r="CT90" s="5" t="str">
        <f t="shared" si="105"/>
        <v/>
      </c>
      <c r="CU90" s="80" t="e">
        <f t="shared" si="106"/>
        <v>#VALUE!</v>
      </c>
      <c r="CV90" s="80" t="e">
        <f t="shared" si="107"/>
        <v>#VALUE!</v>
      </c>
      <c r="CW90" s="20" t="e">
        <f>IF(G90&lt;48,"UF", IF(NOT(ISBLANK(CS90)), CS90, IF(CE90=5, CC90+Sheet2!B360, IF(CE90=6, CC90+Sheet2!B361, IF(CE90=7, CC90+Sheet2!B362,"")))))</f>
        <v>#VALUE!</v>
      </c>
      <c r="CX90" s="68" t="e">
        <f t="shared" si="131"/>
        <v>#VALUE!</v>
      </c>
      <c r="CY90" s="5" t="s">
        <v>12</v>
      </c>
      <c r="DA90" s="5" t="str">
        <f t="shared" si="108"/>
        <v/>
      </c>
      <c r="DB90" s="73" t="e">
        <f t="shared" si="109"/>
        <v>#VALUE!</v>
      </c>
      <c r="DC90" s="73" t="e">
        <f t="shared" si="110"/>
        <v>#VALUE!</v>
      </c>
      <c r="DD90" s="5" t="e">
        <f>IF(G90&lt;48,"UF", IF(NOT(ISBLANK(CZ:CZ)), CZ:CZ, IF(CL:CL=3, CK:CK+Sheet2!B365, IF(CL:CL=4, CK:CK+Sheet2!B366, IF(CL:CL=7, CK:CK+Sheet2!B367,"")))))</f>
        <v>#VALUE!</v>
      </c>
      <c r="DE90" s="69" t="e">
        <f t="shared" si="111"/>
        <v>#VALUE!</v>
      </c>
      <c r="DF90" s="2">
        <v>2</v>
      </c>
      <c r="DG90" s="2">
        <v>33</v>
      </c>
      <c r="DH90" s="2">
        <v>1</v>
      </c>
      <c r="DI90" s="2">
        <v>2</v>
      </c>
      <c r="DJ90" s="2">
        <v>2</v>
      </c>
      <c r="DK90" s="2">
        <v>105</v>
      </c>
      <c r="DL90" s="2">
        <v>60</v>
      </c>
      <c r="DM90" s="2">
        <v>100</v>
      </c>
      <c r="DN90" s="2">
        <v>60</v>
      </c>
      <c r="DO90" s="2">
        <v>110</v>
      </c>
      <c r="DP90" s="2">
        <v>60</v>
      </c>
      <c r="DQ90" s="2">
        <v>2</v>
      </c>
      <c r="DR90" s="2">
        <v>38</v>
      </c>
      <c r="DS90" s="2">
        <v>2</v>
      </c>
      <c r="DT90" s="2">
        <v>83</v>
      </c>
      <c r="DU90" s="2">
        <v>87</v>
      </c>
      <c r="DV90" s="2">
        <v>3</v>
      </c>
      <c r="DW90" s="2">
        <v>3</v>
      </c>
      <c r="DX90" s="2">
        <v>3</v>
      </c>
      <c r="DY90" s="2">
        <v>3</v>
      </c>
      <c r="DZ90" s="2">
        <v>33.5</v>
      </c>
      <c r="EA90" s="2" t="s">
        <v>12</v>
      </c>
      <c r="EB90" s="2" t="s">
        <v>12</v>
      </c>
      <c r="EC90" s="2" t="s">
        <v>12</v>
      </c>
      <c r="ED90" s="2" t="s">
        <v>12</v>
      </c>
    </row>
    <row r="91" spans="1:134" x14ac:dyDescent="0.25">
      <c r="C91" s="8" t="s">
        <v>216</v>
      </c>
      <c r="D91" s="4">
        <v>2500997642</v>
      </c>
      <c r="E91" s="5">
        <v>7</v>
      </c>
      <c r="F91" s="2">
        <v>2</v>
      </c>
      <c r="G91" s="2">
        <v>59</v>
      </c>
      <c r="H91" s="2">
        <v>-0.22051437866501439</v>
      </c>
      <c r="I91" s="2">
        <v>47</v>
      </c>
      <c r="J91" s="2">
        <v>-1.5235289479443319</v>
      </c>
      <c r="K91" s="2">
        <v>2900</v>
      </c>
      <c r="L91" s="2">
        <v>-0.95643865409467577</v>
      </c>
      <c r="M91" s="2">
        <v>1.6380999999999999</v>
      </c>
      <c r="N91" s="2">
        <f t="shared" si="69"/>
        <v>0.47650718933250724</v>
      </c>
      <c r="O91" s="2">
        <f t="shared" si="70"/>
        <v>1.6380999999999999</v>
      </c>
      <c r="P91" s="2">
        <v>65</v>
      </c>
      <c r="Q91" s="2">
        <v>-1.23</v>
      </c>
      <c r="R91" s="5">
        <f t="shared" si="71"/>
        <v>0.186764473972166</v>
      </c>
      <c r="S91" s="5">
        <f t="shared" si="72"/>
        <v>-1.23</v>
      </c>
      <c r="T91" s="2">
        <v>8400</v>
      </c>
      <c r="U91" s="2">
        <v>0.52</v>
      </c>
      <c r="V91" s="2">
        <f t="shared" si="73"/>
        <v>0.40821932704733788</v>
      </c>
      <c r="W91" s="2">
        <f t="shared" si="74"/>
        <v>0.52</v>
      </c>
      <c r="X91" s="2">
        <v>0.73250000000000004</v>
      </c>
      <c r="Y91" s="76">
        <f t="shared" si="112"/>
        <v>0.95301437866501448</v>
      </c>
      <c r="Z91" s="76">
        <f t="shared" si="113"/>
        <v>2</v>
      </c>
      <c r="AA91" s="2">
        <f t="shared" si="75"/>
        <v>0.87614999999999998</v>
      </c>
      <c r="AB91" s="2">
        <f t="shared" si="76"/>
        <v>0.73250000000000004</v>
      </c>
      <c r="AC91" s="2">
        <v>73</v>
      </c>
      <c r="AD91" s="2">
        <v>-1.1499999999999999</v>
      </c>
      <c r="AE91" s="79">
        <f t="shared" si="114"/>
        <v>0.373528947944332</v>
      </c>
      <c r="AF91" s="79">
        <f t="shared" si="115"/>
        <v>1</v>
      </c>
      <c r="AG91" s="2">
        <f t="shared" si="77"/>
        <v>1.0000000000000009E-2</v>
      </c>
      <c r="AH91" s="2">
        <f t="shared" si="78"/>
        <v>-1.1499999999999999</v>
      </c>
      <c r="AI91" s="2">
        <v>9500</v>
      </c>
      <c r="AJ91" s="2">
        <v>-0.14000000000000001</v>
      </c>
      <c r="AK91" s="76">
        <f t="shared" si="116"/>
        <v>0.81643865409467575</v>
      </c>
      <c r="AL91" s="76">
        <f t="shared" si="117"/>
        <v>2</v>
      </c>
      <c r="AM91" s="2">
        <f t="shared" si="79"/>
        <v>-0.44500000000000001</v>
      </c>
      <c r="AN91" s="2">
        <f t="shared" si="80"/>
        <v>-0.14000000000000001</v>
      </c>
      <c r="AO91" s="2">
        <v>0.52229999999999999</v>
      </c>
      <c r="AP91" s="2" t="str">
        <f t="shared" si="81"/>
        <v/>
      </c>
      <c r="AQ91" s="2">
        <f t="shared" si="82"/>
        <v>0.52229999999999999</v>
      </c>
      <c r="AR91" s="2">
        <v>79</v>
      </c>
      <c r="AS91" s="2">
        <v>-1.21</v>
      </c>
      <c r="AT91" s="2" t="str">
        <f t="shared" si="83"/>
        <v/>
      </c>
      <c r="AU91" s="2">
        <f t="shared" si="84"/>
        <v>-1.21</v>
      </c>
      <c r="AV91" s="2">
        <v>10500</v>
      </c>
      <c r="AW91" s="2">
        <v>-0.37</v>
      </c>
      <c r="AX91" s="2" t="str">
        <f t="shared" si="85"/>
        <v/>
      </c>
      <c r="AY91" s="2">
        <f t="shared" si="86"/>
        <v>-0.37</v>
      </c>
      <c r="BA91" s="78">
        <f t="shared" si="118"/>
        <v>-1.4362809696184016</v>
      </c>
      <c r="BB91" s="78">
        <f t="shared" si="119"/>
        <v>-2</v>
      </c>
      <c r="BC91" s="2">
        <f t="shared" si="87"/>
        <v>-1.2260809696184014</v>
      </c>
      <c r="BD91" s="2">
        <f t="shared" si="88"/>
        <v>-0.70378096961840142</v>
      </c>
      <c r="BE91" s="67">
        <f t="shared" si="120"/>
        <v>7</v>
      </c>
      <c r="BF91" s="2" t="s">
        <v>12</v>
      </c>
      <c r="BH91" s="2">
        <f t="shared" si="89"/>
        <v>7.4186963558728711E-2</v>
      </c>
      <c r="BI91" s="2">
        <f t="shared" si="90"/>
        <v>-1.1358130364412713</v>
      </c>
      <c r="BJ91" s="67">
        <f t="shared" si="91"/>
        <v>7</v>
      </c>
      <c r="BK91" s="2" t="s">
        <v>12</v>
      </c>
      <c r="BM91" s="77">
        <f t="shared" si="121"/>
        <v>-0.98084670308500399</v>
      </c>
      <c r="BN91" s="77">
        <f t="shared" si="122"/>
        <v>-2</v>
      </c>
      <c r="BO91" s="2">
        <f t="shared" si="92"/>
        <v>-0.75084670308500401</v>
      </c>
      <c r="BP91" s="2">
        <f t="shared" si="93"/>
        <v>-1.120846703085004</v>
      </c>
      <c r="BQ91" s="67">
        <f t="shared" si="123"/>
        <v>7</v>
      </c>
      <c r="BR91" s="5">
        <v>-3.155942908855204</v>
      </c>
      <c r="BS91" s="75">
        <f t="shared" si="124"/>
        <v>-2.4521619392368024</v>
      </c>
      <c r="BT91" s="75">
        <f t="shared" si="125"/>
        <v>-2</v>
      </c>
      <c r="BU91" s="5" t="e">
        <f>IF(#REF!&gt;=36, IF(AND(NOT(ISBLANK(CM:CM)), NOT(ISBLANK(BD:BD))), (CM:CM-BD:BD)/2, ""), "UF")</f>
        <v>#REF!</v>
      </c>
      <c r="BV91" s="5">
        <f t="shared" si="94"/>
        <v>-3.155942908855204</v>
      </c>
      <c r="BW91" s="69">
        <f t="shared" si="95"/>
        <v>1</v>
      </c>
      <c r="BX91" s="2">
        <v>83</v>
      </c>
      <c r="BY91" s="5">
        <v>-0.98743910932381385</v>
      </c>
      <c r="BZ91" s="74">
        <f t="shared" si="126"/>
        <v>0.13340759376119016</v>
      </c>
      <c r="CA91" s="74">
        <f t="shared" si="127"/>
        <v>1</v>
      </c>
      <c r="CB91" s="5">
        <f t="shared" si="96"/>
        <v>-0.44353643102242846</v>
      </c>
      <c r="CC91" s="5">
        <f t="shared" si="97"/>
        <v>-0.98743910932381385</v>
      </c>
      <c r="CD91" s="2">
        <f t="shared" si="98"/>
        <v>0.14837392711745745</v>
      </c>
      <c r="CE91" s="69">
        <f t="shared" si="99"/>
        <v>7</v>
      </c>
      <c r="CF91" s="5">
        <v>11000</v>
      </c>
      <c r="CG91" s="5">
        <v>-2.622540109255012</v>
      </c>
      <c r="CH91" s="72">
        <f t="shared" si="128"/>
        <v>-1.501693406170008</v>
      </c>
      <c r="CI91" s="72">
        <f t="shared" si="129"/>
        <v>-2</v>
      </c>
      <c r="CJ91" s="5">
        <f t="shared" si="100"/>
        <v>-2.4085204148598049E-2</v>
      </c>
      <c r="CK91" s="5">
        <f t="shared" si="101"/>
        <v>-2.622540109255012</v>
      </c>
      <c r="CL91" s="69">
        <f t="shared" si="102"/>
        <v>4</v>
      </c>
      <c r="CM91" s="5">
        <v>0.47168743691616472</v>
      </c>
      <c r="CN91" s="70">
        <f t="shared" si="103"/>
        <v>3.6276303457713688</v>
      </c>
      <c r="CO91" s="5">
        <f t="shared" si="104"/>
        <v>3.6276303457713688</v>
      </c>
      <c r="CP91" s="5">
        <f>IF(G91&lt;48,"UF", IF(NOT(ISBLANK(CM:CM)), CM:CM, IF(BW:BW=1, BV:BV+Sheet2!B447, IF(Sheet1!BW:BW=2, Sheet1!BV:BV+Sheet2!B448, IF(Sheet1!BW:BW=7, Sheet1!BV:BV+Sheet2!B449,"")))))</f>
        <v>0.47168743691616472</v>
      </c>
      <c r="CQ91" s="69">
        <f t="shared" si="130"/>
        <v>7</v>
      </c>
      <c r="CR91" s="5">
        <v>94</v>
      </c>
      <c r="CS91" s="5">
        <v>-2.0228858984861282</v>
      </c>
      <c r="CT91" s="5">
        <f t="shared" si="105"/>
        <v>-1.0354467891623145</v>
      </c>
      <c r="CU91" s="80">
        <f t="shared" si="106"/>
        <v>-1.0354467891623145</v>
      </c>
      <c r="CV91" s="80">
        <f t="shared" si="107"/>
        <v>-2</v>
      </c>
      <c r="CW91" s="20">
        <f>IF(G91&lt;48,"UF", IF(NOT(ISBLANK(CS91)), CS91, IF(CE91=5, CC91+Sheet2!B436, IF(CE91=6, CC91+Sheet2!B437, IF(CE91=7, CC91+Sheet2!B438,"")))))</f>
        <v>-2.0228858984861282</v>
      </c>
      <c r="CX91" s="68">
        <f t="shared" si="131"/>
        <v>6</v>
      </c>
      <c r="CY91" s="5">
        <v>14300</v>
      </c>
      <c r="CZ91" s="5">
        <v>-1.1690171113822001</v>
      </c>
      <c r="DA91" s="5">
        <f t="shared" si="108"/>
        <v>1.4535229978728119</v>
      </c>
      <c r="DB91" s="73">
        <f t="shared" si="109"/>
        <v>1.4535229978728119</v>
      </c>
      <c r="DC91" s="73">
        <f t="shared" si="110"/>
        <v>2</v>
      </c>
      <c r="DD91" s="5">
        <f>IF(G91&lt;48,"UF", IF(NOT(ISBLANK(CZ:CZ)), CZ:CZ, IF(CL:CL=3, CK:CK+Sheet2!B441, IF(CL:CL=4, CK:CK+Sheet2!B442, IF(CL:CL=7, CK:CK+Sheet2!B443,"")))))</f>
        <v>-1.1690171113822001</v>
      </c>
      <c r="DE91" s="69">
        <f t="shared" si="111"/>
        <v>7</v>
      </c>
      <c r="DF91" s="2">
        <v>2</v>
      </c>
      <c r="DG91" s="2">
        <v>29</v>
      </c>
      <c r="DH91" s="2">
        <v>1</v>
      </c>
      <c r="DI91" s="2">
        <v>2</v>
      </c>
      <c r="DJ91" s="2">
        <v>2</v>
      </c>
      <c r="DK91" s="2">
        <v>100</v>
      </c>
      <c r="DL91" s="2">
        <v>70</v>
      </c>
      <c r="DM91" s="2">
        <v>100</v>
      </c>
      <c r="DN91" s="2">
        <v>60</v>
      </c>
      <c r="DO91" s="2">
        <v>100</v>
      </c>
      <c r="DP91" s="2">
        <v>60</v>
      </c>
      <c r="DQ91" s="2">
        <v>2</v>
      </c>
      <c r="DR91" s="2">
        <v>38</v>
      </c>
      <c r="DS91" s="2">
        <v>2</v>
      </c>
      <c r="DT91" s="2">
        <v>85</v>
      </c>
      <c r="DU91" s="2">
        <v>73</v>
      </c>
      <c r="DV91" s="2">
        <v>2</v>
      </c>
      <c r="DW91" s="2">
        <v>3</v>
      </c>
      <c r="DX91" s="2">
        <v>2</v>
      </c>
      <c r="DY91" s="2">
        <v>3</v>
      </c>
      <c r="DZ91" s="2">
        <v>34</v>
      </c>
      <c r="EA91" s="2">
        <v>35</v>
      </c>
      <c r="EB91" s="2">
        <v>46.2</v>
      </c>
      <c r="EC91" s="2">
        <v>1</v>
      </c>
      <c r="ED91" s="2">
        <v>1</v>
      </c>
    </row>
    <row r="92" spans="1:134" x14ac:dyDescent="0.25">
      <c r="C92" s="8" t="s">
        <v>252</v>
      </c>
      <c r="D92" s="8">
        <v>2500997812</v>
      </c>
      <c r="E92" s="5">
        <v>7</v>
      </c>
      <c r="F92" s="2">
        <v>1</v>
      </c>
      <c r="G92" s="2">
        <v>59</v>
      </c>
      <c r="H92" s="2">
        <v>-1.6388966007400689</v>
      </c>
      <c r="I92" s="2">
        <v>52</v>
      </c>
      <c r="J92" s="2">
        <v>1.531272843240846</v>
      </c>
      <c r="K92" s="2">
        <v>3100</v>
      </c>
      <c r="L92" s="2">
        <v>-0.29236112544414727</v>
      </c>
      <c r="M92" s="2">
        <v>0.57969999999999999</v>
      </c>
      <c r="N92" s="2">
        <f t="shared" si="69"/>
        <v>1.1165983003700344</v>
      </c>
      <c r="O92" s="2">
        <f t="shared" si="70"/>
        <v>0.57969999999999999</v>
      </c>
      <c r="P92" s="2">
        <v>67</v>
      </c>
      <c r="Q92" s="2">
        <v>0.55000000000000004</v>
      </c>
      <c r="R92" s="5">
        <f t="shared" si="71"/>
        <v>-0.57063642162042294</v>
      </c>
      <c r="S92" s="5">
        <f t="shared" si="72"/>
        <v>0.55000000000000004</v>
      </c>
      <c r="T92" s="2">
        <v>8000</v>
      </c>
      <c r="U92" s="2">
        <v>0.75</v>
      </c>
      <c r="V92" s="2">
        <f t="shared" si="73"/>
        <v>0.47118056272207365</v>
      </c>
      <c r="W92" s="2">
        <f t="shared" si="74"/>
        <v>0.75</v>
      </c>
      <c r="X92" s="2">
        <v>0.59430000000000005</v>
      </c>
      <c r="Y92" s="76">
        <f t="shared" si="112"/>
        <v>2.2331966007400688</v>
      </c>
      <c r="Z92" s="76">
        <f t="shared" si="113"/>
        <v>2</v>
      </c>
      <c r="AA92" s="2">
        <f t="shared" si="75"/>
        <v>-0.18725000000000003</v>
      </c>
      <c r="AB92" s="2">
        <f t="shared" si="76"/>
        <v>0.59430000000000005</v>
      </c>
      <c r="AC92" s="2">
        <v>75</v>
      </c>
      <c r="AD92" s="2">
        <v>0.39</v>
      </c>
      <c r="AE92" s="79">
        <f t="shared" si="114"/>
        <v>-1.1412728432408459</v>
      </c>
      <c r="AF92" s="79">
        <f t="shared" si="115"/>
        <v>-2</v>
      </c>
      <c r="AG92" s="2">
        <f t="shared" si="77"/>
        <v>0.12</v>
      </c>
      <c r="AH92" s="2">
        <f t="shared" si="78"/>
        <v>0.39</v>
      </c>
      <c r="AI92" s="2">
        <v>9700</v>
      </c>
      <c r="AJ92" s="2">
        <v>0.65</v>
      </c>
      <c r="AK92" s="76">
        <f t="shared" si="116"/>
        <v>0.9423611254441473</v>
      </c>
      <c r="AL92" s="76">
        <f t="shared" si="117"/>
        <v>2</v>
      </c>
      <c r="AM92" s="2">
        <f t="shared" si="79"/>
        <v>-8.500000000000002E-2</v>
      </c>
      <c r="AN92" s="2">
        <f t="shared" si="80"/>
        <v>0.65</v>
      </c>
      <c r="AO92" s="2">
        <v>0.17549999999999999</v>
      </c>
      <c r="AP92" s="2">
        <f t="shared" si="81"/>
        <v>-1.206085699820493</v>
      </c>
      <c r="AQ92" s="2">
        <f t="shared" si="82"/>
        <v>0.17549999999999999</v>
      </c>
      <c r="AR92" s="2">
        <v>83</v>
      </c>
      <c r="AS92" s="2">
        <v>0.79</v>
      </c>
      <c r="AT92" s="2">
        <f t="shared" si="83"/>
        <v>0.46543655570852699</v>
      </c>
      <c r="AU92" s="2">
        <f t="shared" si="84"/>
        <v>0.79</v>
      </c>
      <c r="AV92" s="2">
        <v>11000</v>
      </c>
      <c r="AW92" s="2">
        <v>0.57999999999999996</v>
      </c>
      <c r="AX92" s="2">
        <f t="shared" si="85"/>
        <v>-0.57936101425682296</v>
      </c>
      <c r="AY92" s="2">
        <f t="shared" si="86"/>
        <v>0.57999999999999996</v>
      </c>
      <c r="AZ92" s="2">
        <v>-1.8178713996409861</v>
      </c>
      <c r="BA92" s="78">
        <f t="shared" si="118"/>
        <v>-2.4121713996409859</v>
      </c>
      <c r="BB92" s="78">
        <f t="shared" si="119"/>
        <v>-2</v>
      </c>
      <c r="BC92" s="2">
        <f t="shared" si="87"/>
        <v>-0.21495551748578326</v>
      </c>
      <c r="BD92" s="2">
        <f t="shared" si="88"/>
        <v>-1.8178713996409861</v>
      </c>
      <c r="BE92" s="67">
        <f t="shared" si="120"/>
        <v>7</v>
      </c>
      <c r="BF92" s="2">
        <v>90</v>
      </c>
      <c r="BG92" s="2">
        <v>1.320873111417054</v>
      </c>
      <c r="BH92" s="2">
        <f t="shared" si="89"/>
        <v>0.17625675830796669</v>
      </c>
      <c r="BI92" s="2">
        <f t="shared" si="90"/>
        <v>1.320873111417054</v>
      </c>
      <c r="BJ92" s="67">
        <f t="shared" si="91"/>
        <v>7</v>
      </c>
      <c r="BK92" s="2">
        <v>11500</v>
      </c>
      <c r="BL92" s="2">
        <v>-0.5087220285136459</v>
      </c>
      <c r="BM92" s="77">
        <f t="shared" si="121"/>
        <v>-1.1587220285136459</v>
      </c>
      <c r="BN92" s="77">
        <f t="shared" si="122"/>
        <v>-2</v>
      </c>
      <c r="BO92" s="2">
        <f t="shared" si="92"/>
        <v>3.4224125254788871E-3</v>
      </c>
      <c r="BP92" s="2">
        <f t="shared" si="93"/>
        <v>-0.5087220285136459</v>
      </c>
      <c r="BQ92" s="67">
        <f t="shared" si="123"/>
        <v>7</v>
      </c>
      <c r="BR92" s="5">
        <v>-0.46936655245734987</v>
      </c>
      <c r="BS92" s="75">
        <f t="shared" si="124"/>
        <v>1.3485048471836363</v>
      </c>
      <c r="BT92" s="75">
        <f t="shared" si="125"/>
        <v>2</v>
      </c>
      <c r="BU92" s="5" t="str">
        <f>IF(G98&gt;=36, IF(AND(NOT(ISBLANK(CM:CM)), NOT(ISBLANK(BD:BD))), (CM:CM-BD:BD)/2, ""), "UF")</f>
        <v/>
      </c>
      <c r="BV92" s="5">
        <f t="shared" si="94"/>
        <v>-0.46936655245734987</v>
      </c>
      <c r="BW92" s="69">
        <f t="shared" si="95"/>
        <v>7</v>
      </c>
      <c r="BX92" s="2">
        <v>99.5</v>
      </c>
      <c r="BY92" s="5">
        <v>1.3187702749239001</v>
      </c>
      <c r="BZ92" s="74">
        <f t="shared" si="126"/>
        <v>1.8274923034375461</v>
      </c>
      <c r="CA92" s="74">
        <f t="shared" si="127"/>
        <v>2</v>
      </c>
      <c r="CB92" s="5" t="str">
        <f t="shared" si="96"/>
        <v/>
      </c>
      <c r="CC92" s="5">
        <f t="shared" si="97"/>
        <v>1.3187702749239001</v>
      </c>
      <c r="CD92" s="2">
        <f t="shared" si="98"/>
        <v>-2.1028364931539034E-3</v>
      </c>
      <c r="CE92" s="69">
        <f t="shared" si="99"/>
        <v>7</v>
      </c>
      <c r="CF92" s="5">
        <v>15000</v>
      </c>
      <c r="CG92" s="5">
        <v>0.59026723757643662</v>
      </c>
      <c r="CH92" s="72">
        <f t="shared" si="128"/>
        <v>1.0989892660900824</v>
      </c>
      <c r="CI92" s="72">
        <f t="shared" si="129"/>
        <v>2</v>
      </c>
      <c r="CJ92" s="5" t="str">
        <f t="shared" si="100"/>
        <v/>
      </c>
      <c r="CK92" s="5">
        <f t="shared" si="101"/>
        <v>0.59026723757643662</v>
      </c>
      <c r="CL92" s="69">
        <f t="shared" si="102"/>
        <v>7</v>
      </c>
      <c r="CN92" s="70" t="str">
        <f t="shared" si="103"/>
        <v/>
      </c>
      <c r="CO92" s="5">
        <f t="shared" si="104"/>
        <v>0</v>
      </c>
      <c r="CP92" s="5">
        <f>IF(G92&lt;48,"UF", IF(NOT(ISBLANK(CM:CM)), CM:CM, IF(BW:BW=1, BV:BV+Sheet2!B471, IF(Sheet1!BW:BW=2, Sheet1!BV:BV+Sheet2!B472, IF(Sheet1!BW:BW=7, Sheet1!BV:BV+Sheet2!B473,"")))))</f>
        <v>-0.46936655245734987</v>
      </c>
      <c r="CQ92" s="69">
        <f t="shared" si="130"/>
        <v>7</v>
      </c>
      <c r="CR92" s="5" t="s">
        <v>12</v>
      </c>
      <c r="CT92" s="5" t="str">
        <f t="shared" si="105"/>
        <v/>
      </c>
      <c r="CU92" s="80">
        <f t="shared" si="106"/>
        <v>0</v>
      </c>
      <c r="CV92" s="80">
        <f t="shared" si="107"/>
        <v>-1</v>
      </c>
      <c r="CW92" s="20">
        <f>IF(G92&lt;48,"UF", IF(NOT(ISBLANK(CS92)), CS92, IF(CE92=5, CC92+Sheet2!B460, IF(CE92=6, CC92+Sheet2!B461, IF(CE92=7, CC92+Sheet2!B462,"")))))</f>
        <v>1.3187702749239001</v>
      </c>
      <c r="CX92" s="68">
        <f t="shared" si="131"/>
        <v>7</v>
      </c>
      <c r="CY92" s="5" t="s">
        <v>12</v>
      </c>
      <c r="DA92" s="5" t="str">
        <f t="shared" si="108"/>
        <v/>
      </c>
      <c r="DB92" s="73">
        <f t="shared" si="109"/>
        <v>0</v>
      </c>
      <c r="DC92" s="73">
        <f t="shared" si="110"/>
        <v>-1</v>
      </c>
      <c r="DD92" s="5">
        <f>IF(G92&lt;48,"UF", IF(NOT(ISBLANK(CZ:CZ)), CZ:CZ, IF(CL:CL=3, CK:CK+Sheet2!B465, IF(CL:CL=4, CK:CK+Sheet2!B466, IF(CL:CL=7, CK:CK+Sheet2!B467,"")))))</f>
        <v>0.59026723757643662</v>
      </c>
      <c r="DE92" s="69">
        <f t="shared" si="111"/>
        <v>7</v>
      </c>
      <c r="DF92" s="2">
        <v>2</v>
      </c>
      <c r="DG92" s="2">
        <v>38</v>
      </c>
      <c r="DH92" s="2">
        <v>1</v>
      </c>
      <c r="DI92" s="2">
        <v>2</v>
      </c>
      <c r="DJ92" s="2">
        <v>2</v>
      </c>
      <c r="DK92" s="2">
        <v>95</v>
      </c>
      <c r="DL92" s="2">
        <v>70</v>
      </c>
      <c r="DM92" s="2">
        <v>90</v>
      </c>
      <c r="DN92" s="2">
        <v>66</v>
      </c>
      <c r="DO92" s="2" t="s">
        <v>12</v>
      </c>
      <c r="DP92" s="2" t="s">
        <v>12</v>
      </c>
      <c r="DQ92" s="2">
        <v>2</v>
      </c>
      <c r="DR92" s="2">
        <v>38</v>
      </c>
      <c r="DS92" s="2">
        <v>1</v>
      </c>
      <c r="DT92" s="2">
        <v>84</v>
      </c>
      <c r="DU92" s="2">
        <v>106</v>
      </c>
      <c r="DV92" s="2">
        <v>2</v>
      </c>
      <c r="DW92" s="2">
        <v>2</v>
      </c>
      <c r="DX92" s="2">
        <v>2</v>
      </c>
      <c r="DY92" s="2">
        <v>3</v>
      </c>
      <c r="DZ92" s="2">
        <v>36</v>
      </c>
      <c r="EA92" s="2" t="s">
        <v>12</v>
      </c>
      <c r="EB92" s="2">
        <v>45</v>
      </c>
      <c r="EC92" s="2" t="s">
        <v>12</v>
      </c>
      <c r="ED92" s="2">
        <v>1</v>
      </c>
    </row>
    <row r="93" spans="1:134" x14ac:dyDescent="0.25">
      <c r="C93" s="8" t="s">
        <v>260</v>
      </c>
      <c r="D93" s="8">
        <v>2500997863</v>
      </c>
      <c r="E93" s="5">
        <v>7</v>
      </c>
      <c r="F93" s="2">
        <v>1</v>
      </c>
      <c r="G93" s="2">
        <v>59</v>
      </c>
      <c r="H93" s="2">
        <v>0.21104474410941809</v>
      </c>
      <c r="I93" s="2">
        <v>50</v>
      </c>
      <c r="J93" s="2">
        <v>0.45756143734440202</v>
      </c>
      <c r="K93" s="2">
        <v>3400</v>
      </c>
      <c r="L93" s="2">
        <v>0.36061993902816308</v>
      </c>
      <c r="N93" s="2">
        <f t="shared" si="69"/>
        <v>6.7477627945290941E-2</v>
      </c>
      <c r="O93" s="2">
        <f t="shared" si="70"/>
        <v>0.27852237205470903</v>
      </c>
      <c r="P93" s="2" t="s">
        <v>12</v>
      </c>
      <c r="R93" s="5">
        <f t="shared" si="71"/>
        <v>0.35121928132779895</v>
      </c>
      <c r="S93" s="5">
        <f t="shared" si="72"/>
        <v>0.80878071867220092</v>
      </c>
      <c r="T93" s="2" t="s">
        <v>12</v>
      </c>
      <c r="V93" s="2">
        <f t="shared" si="73"/>
        <v>0.26969003048591844</v>
      </c>
      <c r="W93" s="2">
        <f t="shared" si="74"/>
        <v>0.63030996951408147</v>
      </c>
      <c r="X93" s="2">
        <v>0.34599999999999997</v>
      </c>
      <c r="Y93" s="76">
        <f t="shared" si="112"/>
        <v>0.13495525589058188</v>
      </c>
      <c r="Z93" s="76">
        <f t="shared" si="113"/>
        <v>1</v>
      </c>
      <c r="AA93" s="2">
        <f t="shared" si="75"/>
        <v>-0.70884035933610046</v>
      </c>
      <c r="AB93" s="2">
        <f t="shared" si="76"/>
        <v>0.34599999999999997</v>
      </c>
      <c r="AC93" s="2">
        <v>77</v>
      </c>
      <c r="AD93" s="2">
        <v>1.1599999999999999</v>
      </c>
      <c r="AE93" s="79">
        <f t="shared" si="114"/>
        <v>0.7024385626555979</v>
      </c>
      <c r="AF93" s="79">
        <f t="shared" si="115"/>
        <v>2</v>
      </c>
      <c r="AG93" s="2">
        <f t="shared" si="77"/>
        <v>0.68060964066389951</v>
      </c>
      <c r="AH93" s="2">
        <f t="shared" si="78"/>
        <v>1.1599999999999999</v>
      </c>
      <c r="AI93" s="2">
        <v>10000</v>
      </c>
      <c r="AJ93" s="2">
        <v>0.9</v>
      </c>
      <c r="AK93" s="76">
        <f t="shared" si="116"/>
        <v>0.53938006097183688</v>
      </c>
      <c r="AL93" s="76">
        <f t="shared" si="117"/>
        <v>1</v>
      </c>
      <c r="AM93" s="2">
        <f t="shared" si="79"/>
        <v>8.4845015242959287E-2</v>
      </c>
      <c r="AN93" s="2">
        <f t="shared" si="80"/>
        <v>0.9</v>
      </c>
      <c r="AO93" s="2">
        <v>-0.6089</v>
      </c>
      <c r="AP93" s="2">
        <f t="shared" si="81"/>
        <v>-0.85645917608812949</v>
      </c>
      <c r="AQ93" s="2">
        <f t="shared" si="82"/>
        <v>-0.6089</v>
      </c>
      <c r="AR93" s="2">
        <v>87</v>
      </c>
      <c r="AS93" s="2">
        <v>2.17</v>
      </c>
      <c r="AT93" s="2">
        <f t="shared" si="83"/>
        <v>0.51184399276570514</v>
      </c>
      <c r="AU93" s="2">
        <f t="shared" si="84"/>
        <v>2.17</v>
      </c>
      <c r="AV93" s="2">
        <v>11300</v>
      </c>
      <c r="AW93" s="2">
        <v>0.8</v>
      </c>
      <c r="AX93" s="2">
        <f t="shared" si="85"/>
        <v>-0.24221582169392072</v>
      </c>
      <c r="AY93" s="2">
        <f t="shared" si="86"/>
        <v>0.8</v>
      </c>
      <c r="AZ93" s="2">
        <v>-1.3669183521762589</v>
      </c>
      <c r="BA93" s="78">
        <f t="shared" si="118"/>
        <v>-1.712918352176259</v>
      </c>
      <c r="BB93" s="78">
        <f t="shared" si="119"/>
        <v>-2</v>
      </c>
      <c r="BC93" s="2">
        <f t="shared" si="87"/>
        <v>0.687762890299915</v>
      </c>
      <c r="BD93" s="2">
        <f t="shared" si="88"/>
        <v>-1.3669183521762589</v>
      </c>
      <c r="BE93" s="67">
        <f t="shared" si="120"/>
        <v>7</v>
      </c>
      <c r="BF93" s="2">
        <v>93</v>
      </c>
      <c r="BG93" s="2">
        <v>2.1836879855314102</v>
      </c>
      <c r="BH93" s="2" t="str">
        <f t="shared" si="89"/>
        <v/>
      </c>
      <c r="BI93" s="2">
        <f t="shared" si="90"/>
        <v>2.1836879855314102</v>
      </c>
      <c r="BJ93" s="67" t="str">
        <f t="shared" si="91"/>
        <v/>
      </c>
      <c r="BK93" s="2">
        <v>12700</v>
      </c>
      <c r="BL93" s="2">
        <v>0.41556835661215857</v>
      </c>
      <c r="BM93" s="77">
        <f t="shared" si="121"/>
        <v>-0.48443164338784145</v>
      </c>
      <c r="BN93" s="77">
        <f t="shared" si="122"/>
        <v>-1</v>
      </c>
      <c r="BO93" s="2">
        <f t="shared" si="92"/>
        <v>-6.9910920807854479E-2</v>
      </c>
      <c r="BP93" s="2">
        <f t="shared" si="93"/>
        <v>0.41556835661215857</v>
      </c>
      <c r="BQ93" s="67">
        <f t="shared" si="123"/>
        <v>7</v>
      </c>
      <c r="BR93" s="5">
        <v>1.4543886708997451</v>
      </c>
      <c r="BS93" s="75">
        <f t="shared" si="124"/>
        <v>2.8213070230760042</v>
      </c>
      <c r="BT93" s="75">
        <f t="shared" si="125"/>
        <v>2</v>
      </c>
      <c r="BU93" s="5" t="e">
        <f>IF(#REF!&gt;=36, IF(AND(NOT(ISBLANK(CM:CM)), NOT(ISBLANK(BD:BD))), (CM:CM-BD:BD)/2, ""), "UF")</f>
        <v>#REF!</v>
      </c>
      <c r="BV93" s="5">
        <f t="shared" si="94"/>
        <v>1.4543886708997451</v>
      </c>
      <c r="BW93" s="69">
        <f t="shared" si="95"/>
        <v>7</v>
      </c>
      <c r="BX93" s="2" t="s">
        <v>12</v>
      </c>
      <c r="BZ93" s="74">
        <f t="shared" si="126"/>
        <v>1.3437012344920549</v>
      </c>
      <c r="CA93" s="74">
        <f t="shared" si="127"/>
        <v>2</v>
      </c>
      <c r="CB93" s="5">
        <f t="shared" si="96"/>
        <v>-0.42441839442719664</v>
      </c>
      <c r="CC93" s="5">
        <f t="shared" si="97"/>
        <v>1.7592695911042135</v>
      </c>
      <c r="CD93" s="2">
        <f t="shared" si="98"/>
        <v>-0.42441839442719664</v>
      </c>
      <c r="CE93" s="69">
        <f t="shared" si="99"/>
        <v>7</v>
      </c>
      <c r="CF93" s="5">
        <v>15000</v>
      </c>
      <c r="CG93" s="5">
        <v>0.59026723757643662</v>
      </c>
      <c r="CH93" s="72">
        <f t="shared" si="128"/>
        <v>0.17469888096427805</v>
      </c>
      <c r="CI93" s="72">
        <f t="shared" si="129"/>
        <v>1</v>
      </c>
      <c r="CJ93" s="5">
        <f t="shared" si="100"/>
        <v>4.10488519697573E-2</v>
      </c>
      <c r="CK93" s="5">
        <f t="shared" si="101"/>
        <v>0.59026723757643662</v>
      </c>
      <c r="CL93" s="69">
        <f t="shared" si="102"/>
        <v>7</v>
      </c>
      <c r="CM93" s="5">
        <v>-0.39699969124270718</v>
      </c>
      <c r="CN93" s="70">
        <f t="shared" si="103"/>
        <v>-1.8513883621424523</v>
      </c>
      <c r="CO93" s="5">
        <f t="shared" si="104"/>
        <v>-1.8513883621424523</v>
      </c>
      <c r="CP93" s="5">
        <f>IF(G93&lt;48,"UF", IF(NOT(ISBLANK(CM:CM)), CM:CM, IF(BW:BW=1, BV:BV+Sheet2!B457, IF(Sheet1!BW:BW=2, Sheet1!BV:BV+Sheet2!B458, IF(Sheet1!BW:BW=7, Sheet1!BV:BV+Sheet2!B459,"")))))</f>
        <v>-0.39699969124270718</v>
      </c>
      <c r="CQ93" s="69">
        <f t="shared" si="130"/>
        <v>7</v>
      </c>
      <c r="CR93" s="5">
        <v>107</v>
      </c>
      <c r="CS93" s="5">
        <v>1.3348511966770169</v>
      </c>
      <c r="CT93" s="5">
        <f t="shared" si="105"/>
        <v>-0.42441839442719664</v>
      </c>
      <c r="CU93" s="80">
        <f t="shared" si="106"/>
        <v>-0.42441839442719664</v>
      </c>
      <c r="CV93" s="80">
        <f t="shared" si="107"/>
        <v>-1</v>
      </c>
      <c r="CW93" s="20">
        <f>IF(G93&lt;48,"UF", IF(NOT(ISBLANK(CS93)), CS93, IF(CE93=5, CC93+Sheet2!B446, IF(CE93=6, CC93+Sheet2!B447, IF(CE93=7, CC93+Sheet2!B448,"")))))</f>
        <v>1.3348511966770169</v>
      </c>
      <c r="CX93" s="68">
        <f t="shared" si="131"/>
        <v>7</v>
      </c>
      <c r="CY93" s="5">
        <v>17000</v>
      </c>
      <c r="CZ93" s="5">
        <v>0.49766606055167317</v>
      </c>
      <c r="DA93" s="5">
        <f t="shared" si="108"/>
        <v>-9.2601177024763448E-2</v>
      </c>
      <c r="DB93" s="73">
        <f t="shared" si="109"/>
        <v>-9.2601177024763448E-2</v>
      </c>
      <c r="DC93" s="73">
        <f t="shared" si="110"/>
        <v>-1</v>
      </c>
      <c r="DD93" s="5">
        <f>IF(G93&lt;48,"UF", IF(NOT(ISBLANK(CZ:CZ)), CZ:CZ, IF(CL:CL=3, CK:CK+Sheet2!B451, IF(CL:CL=4, CK:CK+Sheet2!B452, IF(CL:CL=7, CK:CK+Sheet2!B453,"")))))</f>
        <v>0.49766606055167317</v>
      </c>
      <c r="DE93" s="69">
        <f t="shared" si="111"/>
        <v>7</v>
      </c>
      <c r="DF93" s="2">
        <v>1</v>
      </c>
      <c r="DG93" s="2">
        <v>26</v>
      </c>
      <c r="DH93" s="2">
        <v>2</v>
      </c>
      <c r="DI93" s="2">
        <v>1</v>
      </c>
      <c r="DJ93" s="2">
        <v>2</v>
      </c>
      <c r="DK93" s="2">
        <v>90</v>
      </c>
      <c r="DL93" s="2">
        <v>60</v>
      </c>
      <c r="DM93" s="2">
        <v>90</v>
      </c>
      <c r="DN93" s="2">
        <v>50</v>
      </c>
      <c r="DO93" s="2">
        <v>100</v>
      </c>
      <c r="DP93" s="2">
        <v>70</v>
      </c>
      <c r="DQ93" s="2">
        <v>2</v>
      </c>
      <c r="DR93" s="2">
        <v>40</v>
      </c>
      <c r="DS93" s="2">
        <v>2</v>
      </c>
      <c r="DT93" s="2">
        <v>82</v>
      </c>
      <c r="DU93" s="2">
        <v>85</v>
      </c>
      <c r="DV93" s="2">
        <v>2</v>
      </c>
      <c r="DW93" s="2">
        <v>3</v>
      </c>
      <c r="DX93" s="2">
        <v>2</v>
      </c>
      <c r="DY93" s="2">
        <v>3</v>
      </c>
      <c r="DZ93" s="2">
        <v>35</v>
      </c>
      <c r="EA93" s="2" t="s">
        <v>12</v>
      </c>
      <c r="EB93" s="2">
        <v>45</v>
      </c>
      <c r="EC93" s="2" t="s">
        <v>12</v>
      </c>
      <c r="ED93" s="2">
        <v>1</v>
      </c>
    </row>
    <row r="94" spans="1:134" x14ac:dyDescent="0.25">
      <c r="C94" s="8" t="s">
        <v>262</v>
      </c>
      <c r="D94" s="8">
        <v>2500998134</v>
      </c>
      <c r="E94" s="5">
        <v>7</v>
      </c>
      <c r="F94" s="2">
        <v>1</v>
      </c>
      <c r="G94" s="2">
        <v>59</v>
      </c>
      <c r="H94" s="2">
        <v>-1.0489091352804221</v>
      </c>
      <c r="I94" s="2">
        <v>53</v>
      </c>
      <c r="J94" s="2">
        <v>2.0681285461890671</v>
      </c>
      <c r="K94" s="2">
        <v>3400</v>
      </c>
      <c r="L94" s="2">
        <v>0.36061993902816308</v>
      </c>
      <c r="M94" s="2">
        <v>-0.62509999999999999</v>
      </c>
      <c r="N94" s="2">
        <f t="shared" si="69"/>
        <v>7.1354567640211031E-2</v>
      </c>
      <c r="O94" s="2">
        <f t="shared" si="70"/>
        <v>-0.62509999999999999</v>
      </c>
      <c r="P94" s="2">
        <v>68.5</v>
      </c>
      <c r="Q94" s="2">
        <v>1.21</v>
      </c>
      <c r="R94" s="5">
        <f t="shared" si="71"/>
        <v>-0.2590642730945335</v>
      </c>
      <c r="S94" s="5">
        <f t="shared" si="72"/>
        <v>1.21</v>
      </c>
      <c r="T94" s="2">
        <v>7500</v>
      </c>
      <c r="U94" s="2">
        <v>0.22</v>
      </c>
      <c r="V94" s="2">
        <f t="shared" si="73"/>
        <v>-6.5309969514081537E-2</v>
      </c>
      <c r="W94" s="2">
        <f t="shared" si="74"/>
        <v>0.22</v>
      </c>
      <c r="X94" s="2">
        <v>-0.90620000000000001</v>
      </c>
      <c r="Y94" s="76">
        <f t="shared" si="112"/>
        <v>0.14270913528042206</v>
      </c>
      <c r="Z94" s="76">
        <f t="shared" si="113"/>
        <v>1</v>
      </c>
      <c r="AA94" s="2">
        <f t="shared" si="75"/>
        <v>-0.87254999999999994</v>
      </c>
      <c r="AB94" s="2">
        <f t="shared" si="76"/>
        <v>-0.90620000000000001</v>
      </c>
      <c r="AC94" s="2">
        <v>78</v>
      </c>
      <c r="AD94" s="2">
        <v>1.55</v>
      </c>
      <c r="AE94" s="79">
        <f t="shared" si="114"/>
        <v>-0.51812854618906701</v>
      </c>
      <c r="AF94" s="79">
        <f t="shared" si="115"/>
        <v>-1</v>
      </c>
      <c r="AG94" s="2">
        <f t="shared" si="77"/>
        <v>-4.0000000000000036E-2</v>
      </c>
      <c r="AH94" s="2">
        <f t="shared" si="78"/>
        <v>1.55</v>
      </c>
      <c r="AI94" s="2">
        <v>9200</v>
      </c>
      <c r="AJ94" s="2">
        <v>0.23</v>
      </c>
      <c r="AK94" s="76">
        <f t="shared" si="116"/>
        <v>-0.13061993902816307</v>
      </c>
      <c r="AL94" s="76">
        <f t="shared" si="117"/>
        <v>-1</v>
      </c>
      <c r="AM94" s="2">
        <f t="shared" si="79"/>
        <v>3.4999999999999989E-2</v>
      </c>
      <c r="AN94" s="2">
        <f t="shared" si="80"/>
        <v>0.23</v>
      </c>
      <c r="AO94" s="2">
        <v>-0.53510000000000002</v>
      </c>
      <c r="AP94" s="2" t="str">
        <f t="shared" si="81"/>
        <v/>
      </c>
      <c r="AQ94" s="2">
        <f t="shared" si="82"/>
        <v>-0.53510000000000002</v>
      </c>
      <c r="AR94" s="2">
        <v>84</v>
      </c>
      <c r="AS94" s="2">
        <v>1.1299999999999999</v>
      </c>
      <c r="AT94" s="2" t="str">
        <f t="shared" si="83"/>
        <v/>
      </c>
      <c r="AU94" s="2">
        <f t="shared" si="84"/>
        <v>1.1299999999999999</v>
      </c>
      <c r="AV94" s="2">
        <v>10600</v>
      </c>
      <c r="AW94" s="2">
        <v>0.28999999999999998</v>
      </c>
      <c r="AX94" s="2" t="str">
        <f t="shared" si="85"/>
        <v/>
      </c>
      <c r="AY94" s="2">
        <f t="shared" si="86"/>
        <v>0.28999999999999998</v>
      </c>
      <c r="BA94" s="78" t="e">
        <f t="shared" si="118"/>
        <v>#VALUE!</v>
      </c>
      <c r="BB94" s="78" t="e">
        <f t="shared" si="119"/>
        <v>#VALUE!</v>
      </c>
      <c r="BC94" s="2" t="str">
        <f t="shared" si="87"/>
        <v/>
      </c>
      <c r="BD94" s="2" t="e">
        <f t="shared" si="88"/>
        <v>#VALUE!</v>
      </c>
      <c r="BE94" s="67" t="e">
        <f t="shared" si="120"/>
        <v>#VALUE!</v>
      </c>
      <c r="BF94" s="2" t="s">
        <v>12</v>
      </c>
      <c r="BH94" s="2" t="str">
        <f t="shared" si="89"/>
        <v/>
      </c>
      <c r="BI94" s="2" t="e">
        <f t="shared" si="90"/>
        <v>#VALUE!</v>
      </c>
      <c r="BJ94" s="67" t="e">
        <f t="shared" si="91"/>
        <v>#VALUE!</v>
      </c>
      <c r="BK94" s="2" t="s">
        <v>12</v>
      </c>
      <c r="BM94" s="77" t="e">
        <f t="shared" si="121"/>
        <v>#VALUE!</v>
      </c>
      <c r="BN94" s="77" t="e">
        <f t="shared" si="122"/>
        <v>#VALUE!</v>
      </c>
      <c r="BO94" s="2" t="str">
        <f t="shared" si="92"/>
        <v/>
      </c>
      <c r="BP94" s="2" t="e">
        <f t="shared" si="93"/>
        <v>#VALUE!</v>
      </c>
      <c r="BQ94" s="67" t="e">
        <f t="shared" si="123"/>
        <v>#VALUE!</v>
      </c>
      <c r="BS94" s="75" t="e">
        <f t="shared" si="124"/>
        <v>#VALUE!</v>
      </c>
      <c r="BT94" s="75" t="e">
        <f t="shared" si="125"/>
        <v>#VALUE!</v>
      </c>
      <c r="BU94" s="5" t="e">
        <f>IF(G99&gt;=36, IF(AND(NOT(ISBLANK(CM:CM)), NOT(ISBLANK(BD:BD))), (CM:CM-BD:BD)/2, ""), "UF")</f>
        <v>#VALUE!</v>
      </c>
      <c r="BV94" s="5" t="e">
        <f t="shared" si="94"/>
        <v>#VALUE!</v>
      </c>
      <c r="BW94" s="69" t="e">
        <f t="shared" si="95"/>
        <v>#VALUE!</v>
      </c>
      <c r="BX94" s="2" t="s">
        <v>12</v>
      </c>
      <c r="BZ94" s="74" t="e">
        <f t="shared" si="126"/>
        <v>#VALUE!</v>
      </c>
      <c r="CA94" s="74" t="e">
        <f t="shared" si="127"/>
        <v>#VALUE!</v>
      </c>
      <c r="CB94" s="5" t="e">
        <f t="shared" si="96"/>
        <v>#VALUE!</v>
      </c>
      <c r="CC94" s="5" t="e">
        <f t="shared" si="97"/>
        <v>#VALUE!</v>
      </c>
      <c r="CD94" s="2" t="e">
        <f t="shared" si="98"/>
        <v>#VALUE!</v>
      </c>
      <c r="CE94" s="69" t="e">
        <f t="shared" si="99"/>
        <v>#VALUE!</v>
      </c>
      <c r="CF94" s="5" t="s">
        <v>12</v>
      </c>
      <c r="CH94" s="72" t="e">
        <f t="shared" si="128"/>
        <v>#VALUE!</v>
      </c>
      <c r="CI94" s="72" t="e">
        <f t="shared" si="129"/>
        <v>#VALUE!</v>
      </c>
      <c r="CJ94" s="5" t="e">
        <f t="shared" si="100"/>
        <v>#VALUE!</v>
      </c>
      <c r="CK94" s="5" t="e">
        <f t="shared" si="101"/>
        <v>#VALUE!</v>
      </c>
      <c r="CL94" s="69" t="e">
        <f t="shared" si="102"/>
        <v>#VALUE!</v>
      </c>
      <c r="CM94" s="5">
        <v>1.2204938151548099</v>
      </c>
      <c r="CN94" s="70" t="e">
        <f t="shared" si="103"/>
        <v>#VALUE!</v>
      </c>
      <c r="CO94" s="5" t="e">
        <f t="shared" si="104"/>
        <v>#VALUE!</v>
      </c>
      <c r="CP94" s="5">
        <f>IF(G94&lt;48,"UF", IF(NOT(ISBLANK(CM:CM)), CM:CM, IF(BW:BW=1, BV:BV+Sheet2!B459, IF(Sheet1!BW:BW=2, Sheet1!BV:BV+Sheet2!B460, IF(Sheet1!BW:BW=7, Sheet1!BV:BV+Sheet2!B461,"")))))</f>
        <v>1.2204938151548099</v>
      </c>
      <c r="CQ94" s="69">
        <f t="shared" si="130"/>
        <v>7</v>
      </c>
      <c r="CR94" s="5">
        <v>105</v>
      </c>
      <c r="CS94" s="5">
        <v>-0.81300813755752332</v>
      </c>
      <c r="CT94" s="5" t="e">
        <f t="shared" si="105"/>
        <v>#VALUE!</v>
      </c>
      <c r="CU94" s="80" t="e">
        <f t="shared" si="106"/>
        <v>#VALUE!</v>
      </c>
      <c r="CV94" s="80" t="e">
        <f t="shared" si="107"/>
        <v>#VALUE!</v>
      </c>
      <c r="CW94" s="20">
        <f>IF(G94&lt;48,"UF", IF(NOT(ISBLANK(CS94)), CS94, IF(CE94=5, CC94+Sheet2!B448, IF(CE94=6, CC94+Sheet2!B449, IF(CE94=7, CC94+Sheet2!B450,"")))))</f>
        <v>-0.81300813755752332</v>
      </c>
      <c r="CX94" s="68">
        <f t="shared" si="131"/>
        <v>7</v>
      </c>
      <c r="CY94" s="5">
        <v>16300</v>
      </c>
      <c r="CZ94" s="5">
        <v>0.19586444673672229</v>
      </c>
      <c r="DA94" s="5" t="e">
        <f t="shared" si="108"/>
        <v>#VALUE!</v>
      </c>
      <c r="DB94" s="73" t="e">
        <f t="shared" si="109"/>
        <v>#VALUE!</v>
      </c>
      <c r="DC94" s="73" t="e">
        <f t="shared" si="110"/>
        <v>#VALUE!</v>
      </c>
      <c r="DD94" s="5">
        <f>IF(G94&lt;48,"UF", IF(NOT(ISBLANK(CZ:CZ)), CZ:CZ, IF(CL:CL=3, CK:CK+Sheet2!B453, IF(CL:CL=4, CK:CK+Sheet2!B454, IF(CL:CL=7, CK:CK+Sheet2!B455,"")))))</f>
        <v>0.19586444673672229</v>
      </c>
      <c r="DE94" s="69">
        <f t="shared" si="111"/>
        <v>7</v>
      </c>
      <c r="DF94" s="2">
        <v>2</v>
      </c>
      <c r="DG94" s="2">
        <v>31</v>
      </c>
      <c r="DH94" s="2">
        <v>2</v>
      </c>
      <c r="DI94" s="2">
        <v>2</v>
      </c>
      <c r="DJ94" s="2">
        <v>2</v>
      </c>
      <c r="DK94" s="2">
        <v>100</v>
      </c>
      <c r="DL94" s="2">
        <v>60</v>
      </c>
      <c r="DM94" s="2" t="s">
        <v>12</v>
      </c>
      <c r="DN94" s="2" t="s">
        <v>12</v>
      </c>
      <c r="DO94" s="2">
        <v>100</v>
      </c>
      <c r="DP94" s="2">
        <v>60</v>
      </c>
      <c r="DQ94" s="2">
        <v>2</v>
      </c>
      <c r="DR94" s="2">
        <v>40</v>
      </c>
      <c r="DS94" s="2">
        <v>2</v>
      </c>
      <c r="DT94" s="2">
        <v>90</v>
      </c>
      <c r="DU94" s="2">
        <v>81</v>
      </c>
      <c r="DV94" s="2">
        <v>2</v>
      </c>
      <c r="DW94" s="2">
        <v>3</v>
      </c>
      <c r="DX94" s="2">
        <v>2</v>
      </c>
      <c r="DY94" s="2">
        <v>3</v>
      </c>
      <c r="DZ94" s="2">
        <v>36</v>
      </c>
      <c r="EA94" s="2" t="s">
        <v>12</v>
      </c>
      <c r="EB94" s="2">
        <v>46</v>
      </c>
      <c r="EC94" s="2" t="s">
        <v>12</v>
      </c>
      <c r="ED94" s="2">
        <v>1</v>
      </c>
    </row>
    <row r="95" spans="1:134" x14ac:dyDescent="0.25">
      <c r="C95" s="8" t="s">
        <v>252</v>
      </c>
      <c r="D95" s="8">
        <v>2500998185</v>
      </c>
      <c r="E95" s="5">
        <v>7</v>
      </c>
      <c r="F95" s="2">
        <v>1</v>
      </c>
      <c r="G95" s="2">
        <v>59</v>
      </c>
      <c r="H95" s="2">
        <v>-2.4627336321506652</v>
      </c>
      <c r="I95" s="2">
        <v>54</v>
      </c>
      <c r="J95" s="2">
        <v>2.604984249137289</v>
      </c>
      <c r="K95" s="2">
        <v>3100</v>
      </c>
      <c r="L95" s="2">
        <v>-0.29236112544414727</v>
      </c>
      <c r="M95" s="2">
        <v>0.27350000000000002</v>
      </c>
      <c r="N95" s="2">
        <f t="shared" si="69"/>
        <v>0.66966681607533263</v>
      </c>
      <c r="O95" s="2">
        <f t="shared" si="70"/>
        <v>0.27350000000000002</v>
      </c>
      <c r="P95" s="2">
        <v>66</v>
      </c>
      <c r="Q95" s="2">
        <v>0.11</v>
      </c>
      <c r="R95" s="5">
        <f t="shared" si="71"/>
        <v>-1.1074921245686444</v>
      </c>
      <c r="S95" s="5">
        <f t="shared" si="72"/>
        <v>0.11</v>
      </c>
      <c r="T95" s="2">
        <v>7550</v>
      </c>
      <c r="U95" s="2">
        <v>0.27</v>
      </c>
      <c r="V95" s="2">
        <f t="shared" si="73"/>
        <v>-0.13881943727792634</v>
      </c>
      <c r="W95" s="2">
        <f t="shared" si="74"/>
        <v>0.27</v>
      </c>
      <c r="X95" s="2">
        <v>-1.1234</v>
      </c>
      <c r="Y95" s="76">
        <f t="shared" si="112"/>
        <v>1.3393336321506653</v>
      </c>
      <c r="Z95" s="76">
        <f t="shared" si="113"/>
        <v>2</v>
      </c>
      <c r="AA95" s="2">
        <f t="shared" si="75"/>
        <v>-0.64330000000000009</v>
      </c>
      <c r="AB95" s="2">
        <f t="shared" si="76"/>
        <v>-1.1234</v>
      </c>
      <c r="AC95" s="2">
        <v>75</v>
      </c>
      <c r="AD95" s="2">
        <v>0.39</v>
      </c>
      <c r="AE95" s="79">
        <f t="shared" si="114"/>
        <v>-2.2149842491372889</v>
      </c>
      <c r="AF95" s="79">
        <f t="shared" si="115"/>
        <v>-2</v>
      </c>
      <c r="AG95" s="2">
        <f t="shared" si="77"/>
        <v>-0.26500000000000001</v>
      </c>
      <c r="AH95" s="2">
        <f t="shared" si="78"/>
        <v>0.39</v>
      </c>
      <c r="AI95" s="2">
        <v>8350</v>
      </c>
      <c r="AJ95" s="2">
        <v>-0.56999999999999995</v>
      </c>
      <c r="AK95" s="76">
        <f t="shared" si="116"/>
        <v>-0.27763887455585268</v>
      </c>
      <c r="AL95" s="76">
        <f t="shared" si="117"/>
        <v>-1</v>
      </c>
      <c r="AM95" s="2">
        <f t="shared" si="79"/>
        <v>-0.66500000000000004</v>
      </c>
      <c r="AN95" s="2">
        <f t="shared" si="80"/>
        <v>-0.56999999999999995</v>
      </c>
      <c r="AO95" s="2">
        <v>-1.1766000000000001</v>
      </c>
      <c r="AP95" s="2" t="str">
        <f t="shared" si="81"/>
        <v/>
      </c>
      <c r="AQ95" s="2">
        <f t="shared" si="82"/>
        <v>-1.1766000000000001</v>
      </c>
      <c r="AR95" s="2">
        <v>79.5</v>
      </c>
      <c r="AS95" s="2">
        <v>-0.42</v>
      </c>
      <c r="AT95" s="2" t="str">
        <f t="shared" si="83"/>
        <v/>
      </c>
      <c r="AU95" s="2">
        <f t="shared" si="84"/>
        <v>-0.42</v>
      </c>
      <c r="AV95" s="2">
        <v>9000</v>
      </c>
      <c r="AW95" s="2">
        <v>-1.06</v>
      </c>
      <c r="AX95" s="2" t="str">
        <f t="shared" si="85"/>
        <v/>
      </c>
      <c r="AY95" s="2">
        <f t="shared" si="86"/>
        <v>-1.06</v>
      </c>
      <c r="BA95" s="78" t="e">
        <f t="shared" si="118"/>
        <v>#VALUE!</v>
      </c>
      <c r="BB95" s="78" t="e">
        <f t="shared" si="119"/>
        <v>#VALUE!</v>
      </c>
      <c r="BC95" s="2" t="str">
        <f t="shared" si="87"/>
        <v/>
      </c>
      <c r="BD95" s="2" t="e">
        <f t="shared" si="88"/>
        <v>#VALUE!</v>
      </c>
      <c r="BE95" s="67" t="e">
        <f t="shared" si="120"/>
        <v>#VALUE!</v>
      </c>
      <c r="BF95" s="2" t="s">
        <v>12</v>
      </c>
      <c r="BH95" s="2" t="str">
        <f t="shared" si="89"/>
        <v/>
      </c>
      <c r="BI95" s="2" t="e">
        <f t="shared" si="90"/>
        <v>#VALUE!</v>
      </c>
      <c r="BJ95" s="67" t="e">
        <f t="shared" si="91"/>
        <v>#VALUE!</v>
      </c>
      <c r="BK95" s="2" t="s">
        <v>12</v>
      </c>
      <c r="BM95" s="77" t="e">
        <f t="shared" si="121"/>
        <v>#VALUE!</v>
      </c>
      <c r="BN95" s="77" t="e">
        <f t="shared" si="122"/>
        <v>#VALUE!</v>
      </c>
      <c r="BO95" s="2" t="str">
        <f t="shared" si="92"/>
        <v/>
      </c>
      <c r="BP95" s="2" t="e">
        <f t="shared" si="93"/>
        <v>#VALUE!</v>
      </c>
      <c r="BQ95" s="67" t="e">
        <f t="shared" si="123"/>
        <v>#VALUE!</v>
      </c>
      <c r="BS95" s="75" t="e">
        <f t="shared" si="124"/>
        <v>#VALUE!</v>
      </c>
      <c r="BT95" s="75" t="e">
        <f t="shared" si="125"/>
        <v>#VALUE!</v>
      </c>
      <c r="BU95" s="5" t="e">
        <f>IF(G100&gt;=36, IF(AND(NOT(ISBLANK(CM:CM)), NOT(ISBLANK(BD:BD))), (CM:CM-BD:BD)/2, ""), "UF")</f>
        <v>#VALUE!</v>
      </c>
      <c r="BV95" s="5" t="e">
        <f t="shared" si="94"/>
        <v>#VALUE!</v>
      </c>
      <c r="BW95" s="69" t="e">
        <f t="shared" si="95"/>
        <v>#VALUE!</v>
      </c>
      <c r="BX95" s="2" t="s">
        <v>12</v>
      </c>
      <c r="BZ95" s="74" t="e">
        <f t="shared" si="126"/>
        <v>#VALUE!</v>
      </c>
      <c r="CA95" s="74" t="e">
        <f t="shared" si="127"/>
        <v>#VALUE!</v>
      </c>
      <c r="CB95" s="5" t="e">
        <f t="shared" si="96"/>
        <v>#VALUE!</v>
      </c>
      <c r="CC95" s="5" t="e">
        <f t="shared" si="97"/>
        <v>#VALUE!</v>
      </c>
      <c r="CD95" s="2" t="e">
        <f t="shared" si="98"/>
        <v>#VALUE!</v>
      </c>
      <c r="CE95" s="69" t="e">
        <f t="shared" si="99"/>
        <v>#VALUE!</v>
      </c>
      <c r="CF95" s="5" t="s">
        <v>12</v>
      </c>
      <c r="CH95" s="72" t="e">
        <f t="shared" si="128"/>
        <v>#VALUE!</v>
      </c>
      <c r="CI95" s="72" t="e">
        <f t="shared" si="129"/>
        <v>#VALUE!</v>
      </c>
      <c r="CJ95" s="5" t="e">
        <f t="shared" si="100"/>
        <v>#VALUE!</v>
      </c>
      <c r="CK95" s="5" t="e">
        <f t="shared" si="101"/>
        <v>#VALUE!</v>
      </c>
      <c r="CL95" s="69" t="e">
        <f t="shared" si="102"/>
        <v>#VALUE!</v>
      </c>
      <c r="CM95" s="5">
        <v>-1.930423938054423</v>
      </c>
      <c r="CN95" s="70" t="e">
        <f t="shared" si="103"/>
        <v>#VALUE!</v>
      </c>
      <c r="CO95" s="5" t="e">
        <f t="shared" si="104"/>
        <v>#VALUE!</v>
      </c>
      <c r="CP95" s="5">
        <f>IF(G95&lt;48,"UF", IF(NOT(ISBLANK(CM:CM)), CM:CM, IF(BW:BW=1, BV:BV+Sheet2!B446, IF(Sheet1!BW:BW=2, Sheet1!BV:BV+Sheet2!B447, IF(Sheet1!BW:BW=7, Sheet1!BV:BV+Sheet2!B448,"")))))</f>
        <v>-1.930423938054423</v>
      </c>
      <c r="CQ95" s="69">
        <f t="shared" si="130"/>
        <v>7</v>
      </c>
      <c r="CR95" s="5">
        <v>100</v>
      </c>
      <c r="CS95" s="5">
        <v>-0.2375006052106538</v>
      </c>
      <c r="CT95" s="5" t="e">
        <f t="shared" si="105"/>
        <v>#VALUE!</v>
      </c>
      <c r="CU95" s="80" t="e">
        <f t="shared" si="106"/>
        <v>#VALUE!</v>
      </c>
      <c r="CV95" s="80" t="e">
        <f t="shared" si="107"/>
        <v>#VALUE!</v>
      </c>
      <c r="CW95" s="20">
        <f>IF(G95&lt;48,"UF", IF(NOT(ISBLANK(CS95)), CS95, IF(CE95=5, CC95+Sheet2!B435, IF(CE95=6, CC95+Sheet2!B436, IF(CE95=7, CC95+Sheet2!B437,"")))))</f>
        <v>-0.2375006052106538</v>
      </c>
      <c r="CX95" s="68">
        <f t="shared" si="131"/>
        <v>7</v>
      </c>
      <c r="CY95" s="5">
        <v>13500</v>
      </c>
      <c r="CZ95" s="5">
        <v>-1.356499774889828</v>
      </c>
      <c r="DA95" s="5" t="e">
        <f t="shared" si="108"/>
        <v>#VALUE!</v>
      </c>
      <c r="DB95" s="73" t="e">
        <f t="shared" si="109"/>
        <v>#VALUE!</v>
      </c>
      <c r="DC95" s="73" t="e">
        <f t="shared" si="110"/>
        <v>#VALUE!</v>
      </c>
      <c r="DD95" s="5">
        <f>IF(G95&lt;48,"UF", IF(NOT(ISBLANK(CZ:CZ)), CZ:CZ, IF(CL:CL=3, CK:CK+Sheet2!B440, IF(CL:CL=4, CK:CK+Sheet2!B441, IF(CL:CL=7, CK:CK+Sheet2!B442,"")))))</f>
        <v>-1.356499774889828</v>
      </c>
      <c r="DE95" s="69">
        <f t="shared" si="111"/>
        <v>7</v>
      </c>
      <c r="DF95" s="2">
        <v>2</v>
      </c>
      <c r="DG95" s="2">
        <v>37</v>
      </c>
      <c r="DH95" s="2">
        <v>1</v>
      </c>
      <c r="DI95" s="2">
        <v>2</v>
      </c>
      <c r="DJ95" s="2">
        <v>2</v>
      </c>
      <c r="DK95" s="2">
        <v>110</v>
      </c>
      <c r="DL95" s="2">
        <v>70</v>
      </c>
      <c r="DM95" s="2">
        <v>110</v>
      </c>
      <c r="DN95" s="2">
        <v>70</v>
      </c>
      <c r="DO95" s="2" t="s">
        <v>12</v>
      </c>
      <c r="DP95" s="2" t="s">
        <v>12</v>
      </c>
      <c r="DQ95" s="2">
        <v>2</v>
      </c>
      <c r="DR95" s="2">
        <v>38</v>
      </c>
      <c r="DS95" s="2">
        <v>1</v>
      </c>
      <c r="DT95" s="2">
        <v>89</v>
      </c>
      <c r="DU95" s="2">
        <v>99</v>
      </c>
      <c r="DV95" s="2">
        <v>4</v>
      </c>
      <c r="DW95" s="2">
        <v>3</v>
      </c>
      <c r="DX95" s="2">
        <v>2</v>
      </c>
      <c r="DY95" s="2">
        <v>3</v>
      </c>
      <c r="DZ95" s="2">
        <v>36</v>
      </c>
      <c r="EA95" s="2" t="s">
        <v>12</v>
      </c>
      <c r="EB95" s="2">
        <v>45</v>
      </c>
      <c r="EC95" s="2" t="s">
        <v>12</v>
      </c>
      <c r="ED95" s="2">
        <v>1</v>
      </c>
    </row>
    <row r="96" spans="1:134" x14ac:dyDescent="0.25">
      <c r="A96" s="2" t="s">
        <v>80</v>
      </c>
      <c r="B96" s="2"/>
      <c r="C96" s="10" t="s">
        <v>81</v>
      </c>
      <c r="D96" s="10">
        <v>2500998495</v>
      </c>
      <c r="E96" s="2" t="s">
        <v>532</v>
      </c>
      <c r="F96" s="2">
        <v>1</v>
      </c>
      <c r="G96" s="2">
        <v>61</v>
      </c>
      <c r="H96" s="2">
        <v>-0.19398366491549979</v>
      </c>
      <c r="I96" s="2">
        <v>49</v>
      </c>
      <c r="J96" s="2">
        <v>-7.9294265603816944E-2</v>
      </c>
      <c r="K96" s="5">
        <v>3145</v>
      </c>
      <c r="L96" s="2">
        <v>-0.19199169630954749</v>
      </c>
      <c r="N96" s="2" t="str">
        <f t="shared" si="69"/>
        <v/>
      </c>
      <c r="O96" s="2" t="e">
        <f t="shared" si="70"/>
        <v>#VALUE!</v>
      </c>
      <c r="P96" s="2" t="s">
        <v>12</v>
      </c>
      <c r="R96" s="5" t="str">
        <f t="shared" si="71"/>
        <v/>
      </c>
      <c r="S96" s="5" t="e">
        <f t="shared" si="72"/>
        <v>#VALUE!</v>
      </c>
      <c r="T96" s="2" t="s">
        <v>12</v>
      </c>
      <c r="V96" s="2" t="str">
        <f t="shared" si="73"/>
        <v/>
      </c>
      <c r="W96" s="2" t="e">
        <f t="shared" si="74"/>
        <v>#VALUE!</v>
      </c>
      <c r="Y96" s="76" t="e">
        <f t="shared" si="112"/>
        <v>#VALUE!</v>
      </c>
      <c r="Z96" s="76" t="e">
        <f t="shared" si="113"/>
        <v>#VALUE!</v>
      </c>
      <c r="AA96" s="2" t="str">
        <f t="shared" si="75"/>
        <v/>
      </c>
      <c r="AB96" s="2" t="e">
        <f t="shared" si="76"/>
        <v>#VALUE!</v>
      </c>
      <c r="AC96" s="2" t="s">
        <v>12</v>
      </c>
      <c r="AE96" s="79" t="e">
        <f t="shared" si="114"/>
        <v>#VALUE!</v>
      </c>
      <c r="AF96" s="79" t="e">
        <f t="shared" si="115"/>
        <v>#VALUE!</v>
      </c>
      <c r="AH96" s="2" t="str">
        <f t="shared" si="78"/>
        <v/>
      </c>
      <c r="AI96" s="2" t="s">
        <v>12</v>
      </c>
      <c r="AK96" s="76" t="e">
        <f t="shared" si="116"/>
        <v>#VALUE!</v>
      </c>
      <c r="AL96" s="76" t="e">
        <f t="shared" si="117"/>
        <v>#VALUE!</v>
      </c>
      <c r="AM96" s="2" t="str">
        <f t="shared" si="79"/>
        <v/>
      </c>
      <c r="AN96" s="2" t="e">
        <f t="shared" si="80"/>
        <v>#VALUE!</v>
      </c>
      <c r="AP96" s="2" t="str">
        <f t="shared" si="81"/>
        <v/>
      </c>
      <c r="AQ96" s="2" t="e">
        <f t="shared" si="82"/>
        <v>#VALUE!</v>
      </c>
      <c r="AR96" s="2" t="s">
        <v>12</v>
      </c>
      <c r="AT96" s="2" t="str">
        <f t="shared" si="83"/>
        <v/>
      </c>
      <c r="AU96" s="2" t="e">
        <f t="shared" si="84"/>
        <v>#VALUE!</v>
      </c>
      <c r="AV96" s="2" t="s">
        <v>12</v>
      </c>
      <c r="AX96" s="2" t="str">
        <f t="shared" si="85"/>
        <v/>
      </c>
      <c r="AY96" s="2" t="e">
        <f t="shared" si="86"/>
        <v>#VALUE!</v>
      </c>
      <c r="BA96" s="78" t="e">
        <f t="shared" si="118"/>
        <v>#VALUE!</v>
      </c>
      <c r="BB96" s="78" t="e">
        <f t="shared" si="119"/>
        <v>#VALUE!</v>
      </c>
      <c r="BC96" s="2" t="str">
        <f t="shared" si="87"/>
        <v/>
      </c>
      <c r="BD96" s="2" t="e">
        <f t="shared" si="88"/>
        <v>#VALUE!</v>
      </c>
      <c r="BE96" s="67" t="e">
        <f t="shared" si="120"/>
        <v>#VALUE!</v>
      </c>
      <c r="BF96" s="2" t="s">
        <v>12</v>
      </c>
      <c r="BH96" s="2" t="str">
        <f t="shared" si="89"/>
        <v/>
      </c>
      <c r="BI96" s="2" t="e">
        <f t="shared" si="90"/>
        <v>#VALUE!</v>
      </c>
      <c r="BJ96" s="67" t="e">
        <f t="shared" si="91"/>
        <v>#VALUE!</v>
      </c>
      <c r="BK96" s="2" t="s">
        <v>12</v>
      </c>
      <c r="BM96" s="77" t="e">
        <f t="shared" si="121"/>
        <v>#VALUE!</v>
      </c>
      <c r="BN96" s="77" t="e">
        <f t="shared" si="122"/>
        <v>#VALUE!</v>
      </c>
      <c r="BO96" s="2" t="str">
        <f t="shared" si="92"/>
        <v/>
      </c>
      <c r="BP96" s="2" t="e">
        <f t="shared" si="93"/>
        <v>#VALUE!</v>
      </c>
      <c r="BQ96" s="67" t="e">
        <f t="shared" si="123"/>
        <v>#VALUE!</v>
      </c>
      <c r="BS96" s="75" t="e">
        <f t="shared" si="124"/>
        <v>#VALUE!</v>
      </c>
      <c r="BT96" s="75" t="e">
        <f t="shared" si="125"/>
        <v>#VALUE!</v>
      </c>
      <c r="BU96" s="5" t="str">
        <f>IF(G101&gt;=36, IF(AND(NOT(ISBLANK(CM:CM)), NOT(ISBLANK(BD:BD))), (CM:CM-BD:BD)/2, ""), "UF")</f>
        <v/>
      </c>
      <c r="BV96" s="5" t="e">
        <f t="shared" si="94"/>
        <v>#VALUE!</v>
      </c>
      <c r="BW96" s="69" t="e">
        <f t="shared" si="95"/>
        <v>#VALUE!</v>
      </c>
      <c r="BX96" s="2" t="s">
        <v>12</v>
      </c>
      <c r="BZ96" s="74" t="e">
        <f t="shared" si="126"/>
        <v>#VALUE!</v>
      </c>
      <c r="CA96" s="74" t="e">
        <f t="shared" si="127"/>
        <v>#VALUE!</v>
      </c>
      <c r="CB96" s="5" t="str">
        <f t="shared" si="96"/>
        <v/>
      </c>
      <c r="CC96" s="5" t="e">
        <f t="shared" si="97"/>
        <v>#VALUE!</v>
      </c>
      <c r="CD96" s="2" t="e">
        <f t="shared" si="98"/>
        <v>#VALUE!</v>
      </c>
      <c r="CE96" s="69" t="e">
        <f t="shared" si="99"/>
        <v>#VALUE!</v>
      </c>
      <c r="CF96" s="5" t="s">
        <v>12</v>
      </c>
      <c r="CH96" s="72" t="e">
        <f t="shared" si="128"/>
        <v>#VALUE!</v>
      </c>
      <c r="CI96" s="72" t="e">
        <f t="shared" si="129"/>
        <v>#VALUE!</v>
      </c>
      <c r="CJ96" s="5" t="str">
        <f t="shared" si="100"/>
        <v/>
      </c>
      <c r="CK96" s="5" t="e">
        <f t="shared" si="101"/>
        <v>#VALUE!</v>
      </c>
      <c r="CL96" s="69" t="e">
        <f t="shared" si="102"/>
        <v>#VALUE!</v>
      </c>
      <c r="CN96" s="70" t="str">
        <f t="shared" si="103"/>
        <v/>
      </c>
      <c r="CO96" s="5" t="e">
        <f t="shared" si="104"/>
        <v>#VALUE!</v>
      </c>
      <c r="CP96" s="5" t="e">
        <f>IF(G96&lt;48,"UF", IF(NOT(ISBLANK(CM:CM)), CM:CM, IF(BW:BW=1, BV:BV+Sheet2!B16, IF(Sheet1!BW:BW=2, Sheet1!BV:BV+Sheet2!B17, IF(Sheet1!BW:BW=7, Sheet1!BV:BV+Sheet2!B18,"")))))</f>
        <v>#VALUE!</v>
      </c>
      <c r="CQ96" s="69" t="e">
        <f t="shared" si="130"/>
        <v>#VALUE!</v>
      </c>
      <c r="CR96" s="5" t="s">
        <v>12</v>
      </c>
      <c r="CT96" s="5" t="str">
        <f t="shared" si="105"/>
        <v/>
      </c>
      <c r="CU96" s="80" t="e">
        <f t="shared" si="106"/>
        <v>#VALUE!</v>
      </c>
      <c r="CV96" s="80" t="e">
        <f t="shared" si="107"/>
        <v>#VALUE!</v>
      </c>
      <c r="CW96" s="20" t="e">
        <f>IF(G96&lt;48,"UF", IF(NOT(ISBLANK(CS96)), CS96, IF(CE96=5, CC96+Sheet2!B5, IF(CE96=6, CC96+Sheet2!B6, IF(CE96=7, CC96+Sheet2!B7,"")))))</f>
        <v>#VALUE!</v>
      </c>
      <c r="CX96" s="68" t="e">
        <f t="shared" si="131"/>
        <v>#VALUE!</v>
      </c>
      <c r="CY96" s="5" t="s">
        <v>12</v>
      </c>
      <c r="DA96" s="5" t="str">
        <f t="shared" si="108"/>
        <v/>
      </c>
      <c r="DB96" s="73" t="e">
        <f t="shared" si="109"/>
        <v>#VALUE!</v>
      </c>
      <c r="DC96" s="73" t="e">
        <f t="shared" si="110"/>
        <v>#VALUE!</v>
      </c>
      <c r="DD96" s="5" t="e">
        <f>IF(G96&lt;48,"UF", IF(NOT(ISBLANK(CZ:CZ)), CZ:CZ, IF(CL:CL=3, CK:CK+Sheet2!B10, IF(CL:CL=4, CK:CK+Sheet2!B11, IF(CL:CL=7, CK:CK+Sheet2!B12,"")))))</f>
        <v>#VALUE!</v>
      </c>
      <c r="DE96" s="69" t="e">
        <f t="shared" si="111"/>
        <v>#VALUE!</v>
      </c>
      <c r="DF96" s="2">
        <v>1</v>
      </c>
      <c r="DG96" s="2">
        <v>35</v>
      </c>
      <c r="DH96" s="2">
        <v>1</v>
      </c>
      <c r="DI96" s="2">
        <v>2</v>
      </c>
      <c r="DJ96" s="2">
        <v>2</v>
      </c>
      <c r="DK96" s="2">
        <v>60</v>
      </c>
      <c r="DL96" s="2">
        <v>100</v>
      </c>
      <c r="DM96" s="2">
        <v>60</v>
      </c>
      <c r="DN96" s="2">
        <v>100</v>
      </c>
      <c r="DO96" s="2" t="s">
        <v>12</v>
      </c>
      <c r="DP96" s="2" t="s">
        <v>12</v>
      </c>
      <c r="DQ96" s="2">
        <v>2</v>
      </c>
      <c r="DR96" s="2">
        <v>40</v>
      </c>
      <c r="DS96" s="2">
        <v>2</v>
      </c>
      <c r="DT96" s="2">
        <v>82</v>
      </c>
      <c r="DU96" s="2">
        <v>77</v>
      </c>
      <c r="DV96" s="2">
        <v>2</v>
      </c>
      <c r="DW96" s="2">
        <v>2</v>
      </c>
      <c r="DX96" s="2">
        <v>2</v>
      </c>
      <c r="DY96" s="2">
        <v>2</v>
      </c>
      <c r="DZ96" s="2">
        <v>35</v>
      </c>
      <c r="EA96" s="2">
        <v>34.5</v>
      </c>
      <c r="EB96" s="2">
        <v>42</v>
      </c>
      <c r="EC96" s="2">
        <v>1</v>
      </c>
      <c r="ED96" s="2">
        <v>1</v>
      </c>
    </row>
    <row r="97" spans="3:134" x14ac:dyDescent="0.25">
      <c r="C97" s="8" t="s">
        <v>55</v>
      </c>
      <c r="D97" s="2">
        <v>2500999300</v>
      </c>
      <c r="E97" s="2" t="s">
        <v>528</v>
      </c>
      <c r="F97" s="2">
        <v>1</v>
      </c>
      <c r="G97" s="2">
        <v>59</v>
      </c>
      <c r="H97" s="2">
        <v>-2.432933802909913</v>
      </c>
      <c r="I97" s="2">
        <v>50</v>
      </c>
      <c r="J97" s="2">
        <v>0.45756143734440202</v>
      </c>
      <c r="K97" s="5">
        <v>2665</v>
      </c>
      <c r="L97" s="2">
        <v>-1.3128111143769829</v>
      </c>
      <c r="M97" s="2">
        <v>-1.4467000000000001</v>
      </c>
      <c r="N97" s="2">
        <f t="shared" si="69"/>
        <v>9.0816901454956467E-2</v>
      </c>
      <c r="O97" s="2">
        <f t="shared" si="70"/>
        <v>-1.4467000000000001</v>
      </c>
      <c r="P97" s="2">
        <v>64.5</v>
      </c>
      <c r="Q97" s="2">
        <v>-0.55000000000000004</v>
      </c>
      <c r="R97" s="5">
        <f t="shared" si="71"/>
        <v>-3.3780718672201004E-2</v>
      </c>
      <c r="S97" s="5">
        <f t="shared" si="72"/>
        <v>-0.55000000000000004</v>
      </c>
      <c r="T97" s="1">
        <v>6180</v>
      </c>
      <c r="U97" s="2">
        <v>-1.38</v>
      </c>
      <c r="V97" s="2">
        <f t="shared" si="73"/>
        <v>-1.8594442811508571E-2</v>
      </c>
      <c r="W97" s="2">
        <f t="shared" si="74"/>
        <v>-1.38</v>
      </c>
      <c r="X97" s="2">
        <v>-2.2513000000000001</v>
      </c>
      <c r="Y97" s="76">
        <f t="shared" si="112"/>
        <v>0.18163380290991293</v>
      </c>
      <c r="Z97" s="76">
        <f t="shared" si="113"/>
        <v>1</v>
      </c>
      <c r="AA97" s="2">
        <f t="shared" si="75"/>
        <v>-0.66810000000000003</v>
      </c>
      <c r="AB97" s="2">
        <f t="shared" si="76"/>
        <v>-2.2513000000000001</v>
      </c>
      <c r="AC97" s="2">
        <v>75</v>
      </c>
      <c r="AD97" s="2">
        <v>0.39</v>
      </c>
      <c r="AE97" s="79">
        <f t="shared" si="114"/>
        <v>-6.7561437344402009E-2</v>
      </c>
      <c r="AF97" s="79">
        <f t="shared" si="115"/>
        <v>-1</v>
      </c>
      <c r="AG97" s="2">
        <f t="shared" ref="AG97:AG160" si="134">IF(AND(NOT(ISBLANK(S97)), NOT(ISBLANK(AS97))), (AS97 - S97)/2, "")</f>
        <v>0.58499999999999996</v>
      </c>
      <c r="AH97" s="2">
        <f t="shared" si="78"/>
        <v>0.39</v>
      </c>
      <c r="AI97" s="2">
        <v>7600</v>
      </c>
      <c r="AJ97" s="2">
        <v>-1.35</v>
      </c>
      <c r="AK97" s="76">
        <f t="shared" si="116"/>
        <v>-3.7188885623017143E-2</v>
      </c>
      <c r="AL97" s="76">
        <f t="shared" si="117"/>
        <v>-1</v>
      </c>
      <c r="AM97" s="2">
        <f t="shared" si="79"/>
        <v>0.22999999999999993</v>
      </c>
      <c r="AN97" s="2">
        <f t="shared" si="80"/>
        <v>-1.35</v>
      </c>
      <c r="AO97" s="2">
        <v>-1.8862000000000001</v>
      </c>
      <c r="AP97" s="2">
        <f t="shared" si="81"/>
        <v>-0.68095433417442397</v>
      </c>
      <c r="AQ97" s="2">
        <f t="shared" si="82"/>
        <v>-1.8862000000000001</v>
      </c>
      <c r="AR97" s="2">
        <v>82.5</v>
      </c>
      <c r="AS97" s="2">
        <v>0.62</v>
      </c>
      <c r="AT97" s="2">
        <f t="shared" si="83"/>
        <v>0.13518860202273486</v>
      </c>
      <c r="AU97" s="2">
        <f t="shared" si="84"/>
        <v>0.62</v>
      </c>
      <c r="AV97" s="2">
        <v>9150</v>
      </c>
      <c r="AW97" s="2">
        <v>-0.92</v>
      </c>
      <c r="AX97" s="2">
        <f t="shared" si="85"/>
        <v>-0.48530881812293636</v>
      </c>
      <c r="AY97" s="2">
        <f t="shared" si="86"/>
        <v>-0.92</v>
      </c>
      <c r="AZ97" s="2">
        <v>-3.613208668348848</v>
      </c>
      <c r="BA97" s="78">
        <f t="shared" si="118"/>
        <v>-1.3619086683488479</v>
      </c>
      <c r="BB97" s="78">
        <f t="shared" si="119"/>
        <v>-2</v>
      </c>
      <c r="BC97" s="2" t="str">
        <f t="shared" si="87"/>
        <v/>
      </c>
      <c r="BD97" s="2">
        <f t="shared" si="88"/>
        <v>-3.613208668348848</v>
      </c>
      <c r="BE97" s="67">
        <f t="shared" si="120"/>
        <v>1</v>
      </c>
      <c r="BF97" s="2">
        <v>87.7</v>
      </c>
      <c r="BG97" s="2">
        <v>0.66037720404546973</v>
      </c>
      <c r="BH97" s="2" t="str">
        <f t="shared" si="89"/>
        <v/>
      </c>
      <c r="BI97" s="2">
        <f t="shared" si="90"/>
        <v>0.66037720404546973</v>
      </c>
      <c r="BJ97" s="67">
        <f t="shared" si="91"/>
        <v>7</v>
      </c>
      <c r="BK97" s="2">
        <v>9650</v>
      </c>
      <c r="BL97" s="2">
        <v>-2.3206176362458728</v>
      </c>
      <c r="BM97" s="77">
        <f t="shared" si="121"/>
        <v>-0.97061763624587272</v>
      </c>
      <c r="BN97" s="77">
        <f t="shared" si="122"/>
        <v>-2</v>
      </c>
      <c r="BO97" s="2" t="str">
        <f t="shared" si="92"/>
        <v/>
      </c>
      <c r="BP97" s="2">
        <f t="shared" si="93"/>
        <v>-2.3206176362458728</v>
      </c>
      <c r="BQ97" s="67">
        <f t="shared" si="123"/>
        <v>4</v>
      </c>
      <c r="BS97" s="75" t="e">
        <f t="shared" si="124"/>
        <v>#REF!</v>
      </c>
      <c r="BT97" s="75" t="e">
        <f t="shared" si="125"/>
        <v>#REF!</v>
      </c>
      <c r="BU97" s="5" t="e">
        <f>IF(#REF!&gt;=36, IF(AND(NOT(ISBLANK(CM:CM)), NOT(ISBLANK(BD:BD))), (CM:CM-BD:BD)/2, ""), "UF")</f>
        <v>#REF!</v>
      </c>
      <c r="BV97" s="5" t="e">
        <f t="shared" si="94"/>
        <v>#REF!</v>
      </c>
      <c r="BW97" s="69" t="e">
        <f t="shared" si="95"/>
        <v>#REF!</v>
      </c>
      <c r="BX97" s="2" t="s">
        <v>12</v>
      </c>
      <c r="BZ97" s="74">
        <f t="shared" si="126"/>
        <v>2.7609159242100976</v>
      </c>
      <c r="CA97" s="74">
        <f t="shared" si="127"/>
        <v>2</v>
      </c>
      <c r="CB97" s="5">
        <f t="shared" si="96"/>
        <v>-0.22007891608124502</v>
      </c>
      <c r="CC97" s="5">
        <f t="shared" si="97"/>
        <v>0.44029828796422471</v>
      </c>
      <c r="CD97" s="2">
        <f t="shared" si="98"/>
        <v>-0.22007891608124502</v>
      </c>
      <c r="CE97" s="69">
        <f t="shared" si="99"/>
        <v>7</v>
      </c>
      <c r="CF97" s="5" t="s">
        <v>12</v>
      </c>
      <c r="CH97" s="72">
        <f t="shared" si="128"/>
        <v>0.41291650665717983</v>
      </c>
      <c r="CI97" s="72">
        <f t="shared" si="129"/>
        <v>1</v>
      </c>
      <c r="CJ97" s="5">
        <f t="shared" si="100"/>
        <v>0.41291650665717994</v>
      </c>
      <c r="CK97" s="5">
        <f t="shared" si="101"/>
        <v>-1.907701129588693</v>
      </c>
      <c r="CL97" s="69">
        <f t="shared" si="102"/>
        <v>7</v>
      </c>
      <c r="CM97" s="5">
        <v>-3.0288810742802021</v>
      </c>
      <c r="CN97" s="70" t="e">
        <f t="shared" si="103"/>
        <v>#REF!</v>
      </c>
      <c r="CO97" s="5" t="e">
        <f t="shared" si="104"/>
        <v>#REF!</v>
      </c>
      <c r="CP97" s="5">
        <f>IF(G97&lt;48,"UF", IF(NOT(ISBLANK(CM:CM)), CM:CM, IF(BW:BW=1, BV:BV+Sheet2!B77, IF(Sheet1!BW:BW=2, Sheet1!BV:BV+Sheet2!B78, IF(Sheet1!BW:BW=7, Sheet1!BV:BV+Sheet2!B79,"")))))</f>
        <v>-3.0288810742802021</v>
      </c>
      <c r="CQ97" s="69">
        <f t="shared" si="130"/>
        <v>1</v>
      </c>
      <c r="CR97" s="5">
        <v>102</v>
      </c>
      <c r="CS97" s="5">
        <v>0.22021937188297969</v>
      </c>
      <c r="CT97" s="5">
        <f t="shared" si="105"/>
        <v>-0.22007891608124502</v>
      </c>
      <c r="CU97" s="80">
        <f t="shared" si="106"/>
        <v>-0.22007891608124502</v>
      </c>
      <c r="CV97" s="80">
        <f t="shared" si="107"/>
        <v>-1</v>
      </c>
      <c r="CW97" s="20">
        <f>IF(G97&lt;48,"UF", IF(NOT(ISBLANK(CS97)), CS97, IF(CE97=5, CC97+Sheet2!B66, IF(CE97=6, CC97+Sheet2!B67, IF(CE97=7, CC97+Sheet2!B68,"")))))</f>
        <v>0.22021937188297969</v>
      </c>
      <c r="CX97" s="68">
        <f t="shared" si="131"/>
        <v>7</v>
      </c>
      <c r="CY97" s="5">
        <v>13300</v>
      </c>
      <c r="CZ97" s="5">
        <v>-1.4947846229315129</v>
      </c>
      <c r="DA97" s="5">
        <f t="shared" si="108"/>
        <v>0.41291650665718005</v>
      </c>
      <c r="DB97" s="73">
        <f t="shared" si="109"/>
        <v>0.41291650665718005</v>
      </c>
      <c r="DC97" s="73">
        <f t="shared" si="110"/>
        <v>1</v>
      </c>
      <c r="DD97" s="5">
        <f>IF(G97&lt;48,"UF", IF(NOT(ISBLANK(CZ:CZ)), CZ:CZ, IF(CL:CL=3, CK:CK+Sheet2!B71, IF(CL:CL=4, CK:CK+Sheet2!B72, IF(CL:CL=7, CK:CK+Sheet2!B73,"")))))</f>
        <v>-1.4947846229315129</v>
      </c>
      <c r="DE97" s="69">
        <f t="shared" si="111"/>
        <v>7</v>
      </c>
      <c r="DF97" s="2">
        <v>2</v>
      </c>
      <c r="DG97" s="2">
        <v>25</v>
      </c>
      <c r="DH97" s="2">
        <v>2</v>
      </c>
      <c r="DI97" s="2">
        <v>2</v>
      </c>
      <c r="DJ97" s="2">
        <v>2</v>
      </c>
      <c r="DK97" s="2">
        <v>112</v>
      </c>
      <c r="DL97" s="2">
        <v>82</v>
      </c>
      <c r="DM97" s="2">
        <v>110</v>
      </c>
      <c r="DN97" s="2">
        <v>80</v>
      </c>
      <c r="DO97" s="2">
        <v>120</v>
      </c>
      <c r="DP97" s="2">
        <v>70</v>
      </c>
      <c r="DQ97" s="2">
        <v>1</v>
      </c>
      <c r="DR97" s="2">
        <v>39</v>
      </c>
      <c r="DS97" s="2">
        <v>2</v>
      </c>
      <c r="DT97" s="2">
        <v>78</v>
      </c>
      <c r="DU97" s="2">
        <v>69</v>
      </c>
      <c r="DV97" s="2">
        <v>2</v>
      </c>
      <c r="DW97" s="2">
        <v>2</v>
      </c>
      <c r="DX97" s="2">
        <v>2</v>
      </c>
      <c r="DY97" s="2">
        <v>2</v>
      </c>
      <c r="DZ97" s="2">
        <v>33</v>
      </c>
      <c r="EA97" s="2">
        <v>34.700000000000003</v>
      </c>
      <c r="EB97" s="2">
        <v>45.3</v>
      </c>
      <c r="EC97" s="2">
        <v>1</v>
      </c>
      <c r="ED97" s="2">
        <v>1</v>
      </c>
    </row>
    <row r="98" spans="3:134" x14ac:dyDescent="0.25">
      <c r="C98" s="5" t="s">
        <v>30</v>
      </c>
      <c r="D98" s="2">
        <v>2500999599</v>
      </c>
      <c r="E98" s="5" t="s">
        <v>527</v>
      </c>
      <c r="F98" s="2">
        <v>1</v>
      </c>
      <c r="G98" s="2">
        <v>59</v>
      </c>
      <c r="H98" s="2">
        <v>0.3122326558183226</v>
      </c>
      <c r="I98" s="2">
        <v>45</v>
      </c>
      <c r="J98" s="2">
        <v>-2.2267170773967009</v>
      </c>
      <c r="K98" s="5">
        <v>2780</v>
      </c>
      <c r="L98" s="2">
        <v>-1.033573943789049</v>
      </c>
      <c r="M98" s="2">
        <v>-1.9112</v>
      </c>
      <c r="N98" s="2">
        <f t="shared" si="69"/>
        <v>-0.74026632790916125</v>
      </c>
      <c r="O98" s="2">
        <f t="shared" si="70"/>
        <v>-1.9112</v>
      </c>
      <c r="P98" s="2">
        <v>67</v>
      </c>
      <c r="Q98" s="2">
        <v>0.55000000000000004</v>
      </c>
      <c r="R98" s="5">
        <f t="shared" si="71"/>
        <v>0.43335853869835039</v>
      </c>
      <c r="S98" s="5">
        <f t="shared" si="72"/>
        <v>0.55000000000000004</v>
      </c>
      <c r="T98" s="1">
        <v>6400</v>
      </c>
      <c r="U98" s="2">
        <v>-1.0900000000000001</v>
      </c>
      <c r="V98" s="2">
        <f t="shared" si="73"/>
        <v>-0.29821302810547545</v>
      </c>
      <c r="W98" s="2">
        <f t="shared" si="74"/>
        <v>-1.0900000000000001</v>
      </c>
      <c r="X98" s="2">
        <v>-1.1682999999999999</v>
      </c>
      <c r="Y98" s="76">
        <f t="shared" si="112"/>
        <v>-1.4805326558183225</v>
      </c>
      <c r="Z98" s="76">
        <f t="shared" si="113"/>
        <v>-2</v>
      </c>
      <c r="AA98" s="2">
        <f t="shared" si="75"/>
        <v>-1.4870000000000001</v>
      </c>
      <c r="AB98" s="2">
        <f t="shared" si="76"/>
        <v>-1.1682999999999999</v>
      </c>
      <c r="AC98" s="2">
        <v>70.5</v>
      </c>
      <c r="AD98" s="2">
        <v>-1.36</v>
      </c>
      <c r="AE98" s="79">
        <f t="shared" si="114"/>
        <v>0.86671707739670079</v>
      </c>
      <c r="AF98" s="79">
        <f t="shared" si="115"/>
        <v>2</v>
      </c>
      <c r="AG98" s="2">
        <f t="shared" si="134"/>
        <v>-0.60499999999999998</v>
      </c>
      <c r="AH98" s="2">
        <f t="shared" si="78"/>
        <v>-1.36</v>
      </c>
      <c r="AI98" s="2">
        <v>7350</v>
      </c>
      <c r="AJ98" s="2">
        <v>-1.63</v>
      </c>
      <c r="AK98" s="76">
        <f t="shared" si="116"/>
        <v>-0.59642605621095091</v>
      </c>
      <c r="AL98" s="76">
        <f t="shared" si="117"/>
        <v>-1</v>
      </c>
      <c r="AM98" s="2">
        <f t="shared" si="79"/>
        <v>-0.48999999999999988</v>
      </c>
      <c r="AN98" s="2">
        <f t="shared" si="80"/>
        <v>-1.63</v>
      </c>
      <c r="AO98" s="2">
        <v>-2.4239999999999999</v>
      </c>
      <c r="AP98" s="2">
        <f t="shared" si="81"/>
        <v>-0.65069330668219405</v>
      </c>
      <c r="AQ98" s="2">
        <f t="shared" si="82"/>
        <v>-2.4239999999999999</v>
      </c>
      <c r="AR98" s="2">
        <v>78.8</v>
      </c>
      <c r="AS98" s="2">
        <v>-0.66</v>
      </c>
      <c r="AT98" s="2">
        <f t="shared" si="83"/>
        <v>0.12219793939815959</v>
      </c>
      <c r="AU98" s="2">
        <f t="shared" si="84"/>
        <v>-0.66</v>
      </c>
      <c r="AV98" s="2">
        <v>8000</v>
      </c>
      <c r="AW98" s="2">
        <v>-2.0699999999999998</v>
      </c>
      <c r="AX98" s="2">
        <f t="shared" si="85"/>
        <v>-0.74005147210149902</v>
      </c>
      <c r="AY98" s="2">
        <f t="shared" si="86"/>
        <v>-2.0699999999999998</v>
      </c>
      <c r="AZ98" s="2">
        <v>-2.469686613364388</v>
      </c>
      <c r="BA98" s="78">
        <f t="shared" si="118"/>
        <v>-1.3013866133643881</v>
      </c>
      <c r="BB98" s="78">
        <f t="shared" si="119"/>
        <v>-2</v>
      </c>
      <c r="BC98" s="2" t="str">
        <f t="shared" si="87"/>
        <v/>
      </c>
      <c r="BD98" s="2">
        <f t="shared" si="88"/>
        <v>-2.469686613364388</v>
      </c>
      <c r="BE98" s="67">
        <f t="shared" si="120"/>
        <v>2</v>
      </c>
      <c r="BF98" s="2">
        <v>81.5</v>
      </c>
      <c r="BG98" s="2">
        <v>-1.1156041212036809</v>
      </c>
      <c r="BH98" s="2" t="str">
        <f t="shared" si="89"/>
        <v/>
      </c>
      <c r="BI98" s="2">
        <f t="shared" si="90"/>
        <v>-1.1156041212036809</v>
      </c>
      <c r="BJ98" s="67">
        <f t="shared" si="91"/>
        <v>7</v>
      </c>
      <c r="BK98" s="2">
        <v>9000</v>
      </c>
      <c r="BL98" s="2">
        <v>-3.1101029442029979</v>
      </c>
      <c r="BM98" s="77">
        <f t="shared" si="121"/>
        <v>-1.480102944202998</v>
      </c>
      <c r="BN98" s="77">
        <f t="shared" si="122"/>
        <v>-2</v>
      </c>
      <c r="BO98" s="2" t="str">
        <f t="shared" si="92"/>
        <v/>
      </c>
      <c r="BP98" s="2">
        <f t="shared" si="93"/>
        <v>-3.1101029442029979</v>
      </c>
      <c r="BQ98" s="67">
        <f t="shared" si="123"/>
        <v>3</v>
      </c>
      <c r="BS98" s="75">
        <f t="shared" si="124"/>
        <v>-0.33598369900198488</v>
      </c>
      <c r="BT98" s="75">
        <f t="shared" si="125"/>
        <v>-1</v>
      </c>
      <c r="BU98" s="5">
        <f t="shared" ref="BU98:BU103" si="135">IF(G105&gt;=36, IF(AND(NOT(ISBLANK(CM:CM)), NOT(ISBLANK(BD:BD))), (CM:CM-BD:BD)/2, ""), "UF")</f>
        <v>-0.3359836990019851</v>
      </c>
      <c r="BV98" s="5">
        <f t="shared" si="94"/>
        <v>-2.8056703123663729</v>
      </c>
      <c r="BW98" s="69">
        <f t="shared" si="95"/>
        <v>2</v>
      </c>
      <c r="BX98" s="2" t="s">
        <v>12</v>
      </c>
      <c r="BZ98" s="74">
        <f t="shared" si="126"/>
        <v>1.6035364773964593</v>
      </c>
      <c r="CA98" s="74">
        <f t="shared" si="127"/>
        <v>2</v>
      </c>
      <c r="CB98" s="5">
        <f t="shared" si="96"/>
        <v>-0.39096234560285759</v>
      </c>
      <c r="CC98" s="5">
        <f t="shared" si="97"/>
        <v>-1.5065664668065386</v>
      </c>
      <c r="CD98" s="2">
        <f t="shared" si="98"/>
        <v>-0.3909623456028577</v>
      </c>
      <c r="CE98" s="69">
        <f t="shared" si="99"/>
        <v>7</v>
      </c>
      <c r="CF98" s="5" t="s">
        <v>12</v>
      </c>
      <c r="CH98" s="72">
        <f t="shared" si="128"/>
        <v>-0.18661424409150484</v>
      </c>
      <c r="CI98" s="72">
        <f t="shared" si="129"/>
        <v>-1</v>
      </c>
      <c r="CJ98" s="5">
        <f t="shared" si="100"/>
        <v>-0.18661424409150507</v>
      </c>
      <c r="CK98" s="5">
        <f t="shared" si="101"/>
        <v>-3.2967171882945028</v>
      </c>
      <c r="CL98" s="69">
        <f t="shared" si="102"/>
        <v>3</v>
      </c>
      <c r="CM98" s="5">
        <v>-3.1416540113683582</v>
      </c>
      <c r="CN98" s="70">
        <f t="shared" si="103"/>
        <v>-0.33598369900198533</v>
      </c>
      <c r="CO98" s="5">
        <f t="shared" si="104"/>
        <v>-0.33598369900198533</v>
      </c>
      <c r="CP98" s="5">
        <f>IF(G98&lt;48,"UF", IF(NOT(ISBLANK(CM:CM)), CM:CM, IF(BW:BW=1, BV:BV+Sheet2!B147, IF(Sheet1!BW:BW=2, Sheet1!BV:BV+Sheet2!B148, IF(Sheet1!BW:BW=7, Sheet1!BV:BV+Sheet2!B149,"")))))</f>
        <v>-3.1416540113683582</v>
      </c>
      <c r="CQ98" s="69">
        <f t="shared" si="130"/>
        <v>1</v>
      </c>
      <c r="CR98" s="5">
        <v>93</v>
      </c>
      <c r="CS98" s="5">
        <v>-1.8975288124093961</v>
      </c>
      <c r="CT98" s="5">
        <f t="shared" si="105"/>
        <v>-0.39096234560285748</v>
      </c>
      <c r="CU98" s="80">
        <f t="shared" si="106"/>
        <v>-0.39096234560285748</v>
      </c>
      <c r="CV98" s="80">
        <f t="shared" si="107"/>
        <v>-1</v>
      </c>
      <c r="CW98" s="20">
        <f>IF(G98&lt;48,"UF", IF(NOT(ISBLANK(CS98)), CS98, IF(CE98=5, CC98+Sheet2!B136, IF(CE98=6, CC98+Sheet2!B137, IF(CE98=7, CC98+Sheet2!B138,"")))))</f>
        <v>-1.8975288124093961</v>
      </c>
      <c r="CX98" s="68">
        <f t="shared" si="131"/>
        <v>7</v>
      </c>
      <c r="CY98" s="5">
        <v>11000</v>
      </c>
      <c r="CZ98" s="5">
        <v>-3.4833314323860081</v>
      </c>
      <c r="DA98" s="5">
        <f t="shared" si="108"/>
        <v>-0.18661424409150529</v>
      </c>
      <c r="DB98" s="73">
        <f t="shared" si="109"/>
        <v>-0.18661424409150529</v>
      </c>
      <c r="DC98" s="73">
        <f t="shared" si="110"/>
        <v>-1</v>
      </c>
      <c r="DD98" s="5">
        <f>IF(G98&lt;48,"UF", IF(NOT(ISBLANK(CZ:CZ)), CZ:CZ, IF(CL:CL=3, CK:CK+Sheet2!B141, IF(CL:CL=4, CK:CK+Sheet2!B142, IF(CL:CL=7, CK:CK+Sheet2!B143,"")))))</f>
        <v>-3.4833314323860081</v>
      </c>
      <c r="DE98" s="69">
        <f t="shared" si="111"/>
        <v>3</v>
      </c>
      <c r="DF98" s="2">
        <v>2</v>
      </c>
      <c r="DG98" s="2">
        <v>22</v>
      </c>
      <c r="DH98" s="2">
        <v>2</v>
      </c>
      <c r="DI98" s="2">
        <v>2</v>
      </c>
      <c r="DJ98" s="2">
        <v>2</v>
      </c>
      <c r="DK98" s="2">
        <v>84</v>
      </c>
      <c r="DL98" s="2">
        <v>43</v>
      </c>
      <c r="DM98" s="2">
        <v>100</v>
      </c>
      <c r="DN98" s="2">
        <v>50</v>
      </c>
      <c r="DO98" s="2" t="s">
        <v>12</v>
      </c>
      <c r="DP98" s="2" t="s">
        <v>12</v>
      </c>
      <c r="DQ98" s="2">
        <v>2</v>
      </c>
      <c r="DR98" s="2">
        <v>39</v>
      </c>
      <c r="DS98" s="2">
        <v>2</v>
      </c>
      <c r="DT98" s="2">
        <v>82</v>
      </c>
      <c r="DU98" s="2">
        <v>71</v>
      </c>
      <c r="DV98" s="2">
        <v>2</v>
      </c>
      <c r="DW98" s="2">
        <v>2</v>
      </c>
      <c r="DX98" s="2">
        <v>2</v>
      </c>
      <c r="DY98" s="2">
        <v>2</v>
      </c>
      <c r="DZ98" s="2">
        <v>34</v>
      </c>
      <c r="EA98" s="2">
        <v>35</v>
      </c>
      <c r="EB98" s="2">
        <v>44</v>
      </c>
      <c r="EC98" s="2">
        <v>1</v>
      </c>
      <c r="ED98" s="2">
        <v>1</v>
      </c>
    </row>
    <row r="99" spans="3:134" x14ac:dyDescent="0.25">
      <c r="C99" s="8" t="s">
        <v>293</v>
      </c>
      <c r="D99" s="8">
        <v>2500999939</v>
      </c>
      <c r="E99" s="5">
        <v>7</v>
      </c>
      <c r="F99" s="2">
        <v>1</v>
      </c>
      <c r="G99" s="2">
        <v>59</v>
      </c>
      <c r="H99" s="2">
        <v>-2.3573982989227882</v>
      </c>
      <c r="I99" s="2">
        <v>54</v>
      </c>
      <c r="J99" s="2">
        <v>2.604984249137289</v>
      </c>
      <c r="K99" s="2">
        <v>3130</v>
      </c>
      <c r="L99" s="2">
        <v>-0.22534879896655061</v>
      </c>
      <c r="M99" s="2">
        <v>0.63200000000000001</v>
      </c>
      <c r="N99" s="2">
        <f t="shared" si="69"/>
        <v>1.7919491494613942</v>
      </c>
      <c r="O99" s="2">
        <f t="shared" si="70"/>
        <v>0.63200000000000001</v>
      </c>
      <c r="P99" s="2">
        <v>66</v>
      </c>
      <c r="Q99" s="2">
        <v>0.11</v>
      </c>
      <c r="R99" s="5">
        <f t="shared" si="71"/>
        <v>-1.3024921245686445</v>
      </c>
      <c r="S99" s="5">
        <f t="shared" si="72"/>
        <v>0.11</v>
      </c>
      <c r="T99" s="2">
        <v>7800</v>
      </c>
      <c r="U99" s="2">
        <v>0.54</v>
      </c>
      <c r="V99" s="2">
        <f t="shared" si="73"/>
        <v>0.56267439948327536</v>
      </c>
      <c r="W99" s="2">
        <f t="shared" si="74"/>
        <v>0.54</v>
      </c>
      <c r="X99" s="2">
        <v>1.2264999999999999</v>
      </c>
      <c r="Y99" s="76">
        <f t="shared" si="112"/>
        <v>3.5838982989227883</v>
      </c>
      <c r="Z99" s="76">
        <f t="shared" si="113"/>
        <v>2</v>
      </c>
      <c r="AA99" s="2">
        <f t="shared" si="75"/>
        <v>7.7850000000000003E-2</v>
      </c>
      <c r="AB99" s="2">
        <f t="shared" si="76"/>
        <v>1.2264999999999999</v>
      </c>
      <c r="AC99" s="2">
        <v>74</v>
      </c>
      <c r="AD99" s="2">
        <v>0</v>
      </c>
      <c r="AE99" s="79">
        <f t="shared" si="114"/>
        <v>-2.604984249137289</v>
      </c>
      <c r="AF99" s="79">
        <f t="shared" si="115"/>
        <v>-2</v>
      </c>
      <c r="AG99" s="2">
        <f t="shared" si="134"/>
        <v>-0.18</v>
      </c>
      <c r="AH99" s="2">
        <f t="shared" si="78"/>
        <v>0</v>
      </c>
      <c r="AI99" s="2">
        <v>10000</v>
      </c>
      <c r="AJ99" s="2">
        <v>0.9</v>
      </c>
      <c r="AK99" s="76">
        <f t="shared" si="116"/>
        <v>1.1253487989665507</v>
      </c>
      <c r="AL99" s="76">
        <f t="shared" si="117"/>
        <v>2</v>
      </c>
      <c r="AM99" s="2">
        <f t="shared" si="79"/>
        <v>-0.24500000000000002</v>
      </c>
      <c r="AN99" s="2">
        <f t="shared" si="80"/>
        <v>0.9</v>
      </c>
      <c r="AO99" s="2">
        <v>0.26569999999999999</v>
      </c>
      <c r="AP99" s="2">
        <f t="shared" si="81"/>
        <v>-1.0629137554775161</v>
      </c>
      <c r="AQ99" s="2">
        <f t="shared" si="82"/>
        <v>0.26569999999999999</v>
      </c>
      <c r="AR99" s="2">
        <v>80</v>
      </c>
      <c r="AS99" s="2">
        <v>-0.25</v>
      </c>
      <c r="AT99" s="2">
        <f t="shared" si="83"/>
        <v>-5.6926630174520002E-2</v>
      </c>
      <c r="AU99" s="2">
        <f t="shared" si="84"/>
        <v>-0.25</v>
      </c>
      <c r="AV99" s="2">
        <v>10300</v>
      </c>
      <c r="AW99" s="2">
        <v>0.05</v>
      </c>
      <c r="AX99" s="2">
        <f t="shared" si="85"/>
        <v>-0.92278864706458918</v>
      </c>
      <c r="AY99" s="2">
        <f t="shared" si="86"/>
        <v>0.05</v>
      </c>
      <c r="AZ99" s="2">
        <v>-0.89932751095503227</v>
      </c>
      <c r="BA99" s="78">
        <f t="shared" si="118"/>
        <v>-2.1258275109550322</v>
      </c>
      <c r="BB99" s="78">
        <f t="shared" si="119"/>
        <v>-2</v>
      </c>
      <c r="BC99" s="2" t="str">
        <f t="shared" si="87"/>
        <v/>
      </c>
      <c r="BD99" s="2">
        <f t="shared" si="88"/>
        <v>-0.89932751095503227</v>
      </c>
      <c r="BE99" s="67">
        <f t="shared" si="120"/>
        <v>7</v>
      </c>
      <c r="BF99" s="2">
        <v>85</v>
      </c>
      <c r="BG99" s="2">
        <v>-0.11385326034904</v>
      </c>
      <c r="BH99" s="2" t="str">
        <f t="shared" si="89"/>
        <v/>
      </c>
      <c r="BI99" s="2">
        <f t="shared" si="90"/>
        <v>-0.11385326034904</v>
      </c>
      <c r="BJ99" s="67">
        <f t="shared" si="91"/>
        <v>7</v>
      </c>
      <c r="BK99" s="2">
        <v>11000</v>
      </c>
      <c r="BL99" s="2">
        <v>-0.94557729412917846</v>
      </c>
      <c r="BM99" s="77">
        <f t="shared" ref="BM99:BM130" si="136" xml:space="preserve"> IF(AND(NOT(ISBLANK(BP:BP)), NOT(ISBLANK(AN:AN))), (BP:BP-AN:AN), "")</f>
        <v>-1.8455772941291784</v>
      </c>
      <c r="BN99" s="77">
        <f t="shared" si="122"/>
        <v>-2</v>
      </c>
      <c r="BO99" s="2" t="str">
        <f t="shared" si="92"/>
        <v/>
      </c>
      <c r="BP99" s="2">
        <f t="shared" si="93"/>
        <v>-0.94557729412917846</v>
      </c>
      <c r="BQ99" s="67">
        <f t="shared" si="123"/>
        <v>7</v>
      </c>
      <c r="BS99" s="75">
        <f t="shared" si="124"/>
        <v>-3.7219495062245072</v>
      </c>
      <c r="BT99" s="75">
        <f t="shared" si="125"/>
        <v>-2</v>
      </c>
      <c r="BU99" s="5">
        <f t="shared" si="135"/>
        <v>-3.7219495062245072</v>
      </c>
      <c r="BV99" s="5">
        <f t="shared" si="94"/>
        <v>-4.6212770171795396</v>
      </c>
      <c r="BW99" s="69">
        <f t="shared" si="95"/>
        <v>1</v>
      </c>
      <c r="BX99" s="2" t="s">
        <v>12</v>
      </c>
      <c r="BZ99" s="74">
        <f t="shared" si="126"/>
        <v>1.9875859033170329</v>
      </c>
      <c r="CA99" s="74">
        <f t="shared" si="127"/>
        <v>2</v>
      </c>
      <c r="CB99" s="5">
        <f t="shared" si="96"/>
        <v>1.1558618695368945</v>
      </c>
      <c r="CC99" s="5">
        <f t="shared" si="97"/>
        <v>1.0420086091878544</v>
      </c>
      <c r="CD99" s="2">
        <f t="shared" si="98"/>
        <v>1.1558618695368945</v>
      </c>
      <c r="CE99" s="69">
        <f t="shared" si="99"/>
        <v>7</v>
      </c>
      <c r="CF99" s="5" t="s">
        <v>12</v>
      </c>
      <c r="CH99" s="72">
        <f t="shared" si="128"/>
        <v>-0.33718230611703293</v>
      </c>
      <c r="CI99" s="72">
        <f t="shared" si="129"/>
        <v>-1</v>
      </c>
      <c r="CJ99" s="5">
        <f t="shared" si="100"/>
        <v>-0.33718230611703282</v>
      </c>
      <c r="CK99" s="5">
        <f t="shared" si="101"/>
        <v>-1.2827596002462114</v>
      </c>
      <c r="CL99" s="69">
        <f t="shared" si="102"/>
        <v>7</v>
      </c>
      <c r="CM99" s="5">
        <v>-8.3432265234040468</v>
      </c>
      <c r="CN99" s="70">
        <f t="shared" si="103"/>
        <v>-3.7219495062245072</v>
      </c>
      <c r="CO99" s="5">
        <f t="shared" si="104"/>
        <v>-3.7219495062245072</v>
      </c>
      <c r="CP99" s="5">
        <f>IF(G99&lt;48,"UF", IF(NOT(ISBLANK(CM:CM)), CM:CM, IF(BW:BW=1, BV:BV+Sheet2!B500, IF(Sheet1!BW:BW=2, Sheet1!BV:BV+Sheet2!B501, IF(Sheet1!BW:BW=7, Sheet1!BV:BV+Sheet2!B502,"")))))</f>
        <v>-8.3432265234040468</v>
      </c>
      <c r="CQ99" s="69">
        <f t="shared" si="130"/>
        <v>1</v>
      </c>
      <c r="CR99" s="5">
        <v>111</v>
      </c>
      <c r="CS99" s="5">
        <v>2.1978704787247492</v>
      </c>
      <c r="CT99" s="5">
        <f t="shared" si="105"/>
        <v>1.1558618695368947</v>
      </c>
      <c r="CU99" s="80">
        <f t="shared" si="106"/>
        <v>1.1558618695368947</v>
      </c>
      <c r="CV99" s="80">
        <f t="shared" si="107"/>
        <v>2</v>
      </c>
      <c r="CW99" s="20">
        <f>IF(G99&lt;48,"UF", IF(NOT(ISBLANK(CS99)), CS99, IF(CE99=5, CC99+Sheet2!B489, IF(CE99=6, CC99+Sheet2!B490, IF(CE99=7, CC99+Sheet2!B491,"")))))</f>
        <v>2.1978704787247492</v>
      </c>
      <c r="CX99" s="68" t="str">
        <f t="shared" si="131"/>
        <v/>
      </c>
      <c r="CY99" s="5">
        <v>16000</v>
      </c>
      <c r="CZ99" s="5">
        <v>-1.6199419063632441</v>
      </c>
      <c r="DA99" s="5">
        <f t="shared" si="108"/>
        <v>-0.3371823061170327</v>
      </c>
      <c r="DB99" s="73">
        <f t="shared" si="109"/>
        <v>-0.3371823061170327</v>
      </c>
      <c r="DC99" s="73">
        <f t="shared" si="110"/>
        <v>-1</v>
      </c>
      <c r="DD99" s="5">
        <f>IF(G99&lt;48,"UF", IF(NOT(ISBLANK(CZ:CZ)), CZ:CZ, IF(CL:CL=3, CK:CK+Sheet2!B494, IF(CL:CL=4, CK:CK+Sheet2!B495, IF(CL:CL=7, CK:CK+Sheet2!B496,"")))))</f>
        <v>-1.6199419063632441</v>
      </c>
      <c r="DE99" s="69">
        <f t="shared" si="111"/>
        <v>7</v>
      </c>
      <c r="DF99" s="2">
        <v>3</v>
      </c>
      <c r="DG99" s="2">
        <v>42</v>
      </c>
      <c r="DH99" s="2">
        <v>2</v>
      </c>
      <c r="DI99" s="2">
        <v>2</v>
      </c>
      <c r="DJ99" s="2">
        <v>2</v>
      </c>
      <c r="DK99" s="2">
        <v>100</v>
      </c>
      <c r="DL99" s="2">
        <v>60</v>
      </c>
      <c r="DM99" s="2">
        <v>100</v>
      </c>
      <c r="DN99" s="2">
        <v>60</v>
      </c>
      <c r="DO99" s="2">
        <v>90</v>
      </c>
      <c r="DP99" s="2">
        <v>60</v>
      </c>
      <c r="DQ99" s="2">
        <v>2</v>
      </c>
      <c r="DR99" s="2">
        <v>40</v>
      </c>
      <c r="DS99" s="2">
        <v>3</v>
      </c>
      <c r="DT99" s="2" t="s">
        <v>12</v>
      </c>
      <c r="DU99" s="2" t="s">
        <v>12</v>
      </c>
      <c r="DV99" s="2">
        <v>2</v>
      </c>
      <c r="DW99" s="2">
        <v>3</v>
      </c>
      <c r="DX99" s="2">
        <v>2</v>
      </c>
      <c r="DY99" s="2">
        <v>1</v>
      </c>
      <c r="DZ99" s="2">
        <v>34</v>
      </c>
      <c r="EA99" s="2">
        <v>35</v>
      </c>
      <c r="EB99" s="2">
        <v>44</v>
      </c>
      <c r="EC99" s="2">
        <v>1</v>
      </c>
      <c r="ED99" s="2">
        <v>1</v>
      </c>
    </row>
    <row r="100" spans="3:134" x14ac:dyDescent="0.25">
      <c r="C100" s="8" t="s">
        <v>317</v>
      </c>
      <c r="D100" s="8">
        <v>2501000048</v>
      </c>
      <c r="E100" s="5">
        <v>7</v>
      </c>
      <c r="F100" s="2">
        <v>2</v>
      </c>
      <c r="G100" s="2">
        <v>59</v>
      </c>
      <c r="H100" s="2">
        <v>-1.8194116399126981</v>
      </c>
      <c r="I100" s="2">
        <v>54</v>
      </c>
      <c r="J100" s="2">
        <v>2.1740990784834611</v>
      </c>
      <c r="K100" s="2">
        <v>3300</v>
      </c>
      <c r="L100" s="2">
        <v>-9.5389291214910729E-2</v>
      </c>
      <c r="M100" s="2">
        <v>-0.55730000000000002</v>
      </c>
      <c r="N100" s="2" t="str">
        <f t="shared" si="69"/>
        <v/>
      </c>
      <c r="O100" s="2">
        <f t="shared" si="70"/>
        <v>-0.55730000000000002</v>
      </c>
      <c r="P100" s="2">
        <v>65</v>
      </c>
      <c r="Q100" s="2">
        <v>-1.23</v>
      </c>
      <c r="R100" s="5" t="str">
        <f t="shared" si="71"/>
        <v/>
      </c>
      <c r="S100" s="5">
        <f t="shared" si="72"/>
        <v>-1.23</v>
      </c>
      <c r="T100" s="2">
        <v>7000</v>
      </c>
      <c r="U100" s="2">
        <v>-1.1399999999999999</v>
      </c>
      <c r="V100" s="2" t="str">
        <f t="shared" si="73"/>
        <v/>
      </c>
      <c r="W100" s="2">
        <f t="shared" si="74"/>
        <v>-1.1399999999999999</v>
      </c>
      <c r="Y100" s="76" t="e">
        <f t="shared" si="112"/>
        <v>#VALUE!</v>
      </c>
      <c r="Z100" s="76" t="e">
        <f t="shared" si="113"/>
        <v>#VALUE!</v>
      </c>
      <c r="AA100" s="2" t="str">
        <f t="shared" si="75"/>
        <v/>
      </c>
      <c r="AB100" s="2" t="e">
        <f t="shared" si="76"/>
        <v>#VALUE!</v>
      </c>
      <c r="AC100" s="2" t="s">
        <v>12</v>
      </c>
      <c r="AE100" s="79" t="e">
        <f t="shared" si="114"/>
        <v>#VALUE!</v>
      </c>
      <c r="AF100" s="79" t="e">
        <f t="shared" si="115"/>
        <v>#VALUE!</v>
      </c>
      <c r="AG100" s="2" t="str">
        <f t="shared" si="134"/>
        <v/>
      </c>
      <c r="AH100" s="2" t="e">
        <f t="shared" si="78"/>
        <v>#VALUE!</v>
      </c>
      <c r="AI100" s="2" t="s">
        <v>12</v>
      </c>
      <c r="AK100" s="76" t="e">
        <f t="shared" si="116"/>
        <v>#VALUE!</v>
      </c>
      <c r="AL100" s="76" t="e">
        <f t="shared" si="117"/>
        <v>#VALUE!</v>
      </c>
      <c r="AM100" s="2" t="str">
        <f t="shared" si="79"/>
        <v/>
      </c>
      <c r="AN100" s="2" t="e">
        <f t="shared" si="80"/>
        <v>#VALUE!</v>
      </c>
      <c r="AP100" s="2" t="str">
        <f t="shared" si="81"/>
        <v/>
      </c>
      <c r="AQ100" s="2" t="e">
        <f t="shared" si="82"/>
        <v>#VALUE!</v>
      </c>
      <c r="AR100" s="2" t="s">
        <v>12</v>
      </c>
      <c r="AT100" s="2" t="str">
        <f t="shared" si="83"/>
        <v/>
      </c>
      <c r="AU100" s="2" t="e">
        <f t="shared" si="84"/>
        <v>#VALUE!</v>
      </c>
      <c r="AV100" s="2" t="s">
        <v>12</v>
      </c>
      <c r="AX100" s="2" t="str">
        <f t="shared" si="85"/>
        <v/>
      </c>
      <c r="AY100" s="2" t="e">
        <f t="shared" si="86"/>
        <v>#VALUE!</v>
      </c>
      <c r="BA100" s="78" t="e">
        <f t="shared" si="118"/>
        <v>#VALUE!</v>
      </c>
      <c r="BB100" s="78" t="e">
        <f t="shared" si="119"/>
        <v>#VALUE!</v>
      </c>
      <c r="BC100" s="2" t="e">
        <f t="shared" si="87"/>
        <v>#VALUE!</v>
      </c>
      <c r="BD100" s="2" t="e">
        <f t="shared" si="88"/>
        <v>#VALUE!</v>
      </c>
      <c r="BE100" s="67" t="e">
        <f t="shared" si="120"/>
        <v>#VALUE!</v>
      </c>
      <c r="BF100" s="2" t="s">
        <v>12</v>
      </c>
      <c r="BH100" s="2" t="e">
        <f t="shared" si="89"/>
        <v>#VALUE!</v>
      </c>
      <c r="BI100" s="2" t="e">
        <f t="shared" si="90"/>
        <v>#VALUE!</v>
      </c>
      <c r="BJ100" s="67" t="e">
        <f t="shared" si="91"/>
        <v>#VALUE!</v>
      </c>
      <c r="BK100" s="2" t="s">
        <v>12</v>
      </c>
      <c r="BM100" s="77" t="e">
        <f t="shared" si="136"/>
        <v>#VALUE!</v>
      </c>
      <c r="BN100" s="77" t="e">
        <f t="shared" si="122"/>
        <v>#VALUE!</v>
      </c>
      <c r="BO100" s="2" t="e">
        <f t="shared" si="92"/>
        <v>#VALUE!</v>
      </c>
      <c r="BP100" s="2" t="e">
        <f t="shared" si="93"/>
        <v>#VALUE!</v>
      </c>
      <c r="BQ100" s="67" t="e">
        <f t="shared" si="123"/>
        <v>#VALUE!</v>
      </c>
      <c r="BR100" s="5">
        <v>-1.847424934830274</v>
      </c>
      <c r="BS100" s="75" t="e">
        <f t="shared" si="124"/>
        <v>#VALUE!</v>
      </c>
      <c r="BT100" s="75" t="e">
        <f t="shared" si="125"/>
        <v>#VALUE!</v>
      </c>
      <c r="BU100" s="5" t="e">
        <f t="shared" si="135"/>
        <v>#VALUE!</v>
      </c>
      <c r="BV100" s="5">
        <f t="shared" si="94"/>
        <v>-1.847424934830274</v>
      </c>
      <c r="BW100" s="69">
        <f t="shared" si="95"/>
        <v>7</v>
      </c>
      <c r="BX100" s="2">
        <v>97</v>
      </c>
      <c r="BY100" s="5">
        <v>-0.98743910932381385</v>
      </c>
      <c r="BZ100" s="74" t="e">
        <f t="shared" si="126"/>
        <v>#VALUE!</v>
      </c>
      <c r="CA100" s="74" t="e">
        <f t="shared" si="127"/>
        <v>#VALUE!</v>
      </c>
      <c r="CB100" s="5" t="e">
        <f t="shared" si="96"/>
        <v>#VALUE!</v>
      </c>
      <c r="CC100" s="5">
        <f t="shared" si="97"/>
        <v>-0.98743910932381385</v>
      </c>
      <c r="CD100" s="2" t="e">
        <f t="shared" si="98"/>
        <v>#VALUE!</v>
      </c>
      <c r="CE100" s="69">
        <f t="shared" si="99"/>
        <v>7</v>
      </c>
      <c r="CF100" s="5">
        <v>15600</v>
      </c>
      <c r="CG100" s="5">
        <v>-1.8418456422845519</v>
      </c>
      <c r="CH100" s="72" t="e">
        <f t="shared" si="128"/>
        <v>#VALUE!</v>
      </c>
      <c r="CI100" s="72" t="e">
        <f t="shared" si="129"/>
        <v>#VALUE!</v>
      </c>
      <c r="CJ100" s="5" t="e">
        <f t="shared" si="100"/>
        <v>#VALUE!</v>
      </c>
      <c r="CK100" s="5">
        <f t="shared" si="101"/>
        <v>-1.8418456422845519</v>
      </c>
      <c r="CL100" s="69">
        <f t="shared" si="102"/>
        <v>7</v>
      </c>
      <c r="CM100" s="5">
        <v>-1.4571080604734179</v>
      </c>
      <c r="CN100" s="70">
        <f t="shared" si="103"/>
        <v>0.39031687435685614</v>
      </c>
      <c r="CO100" s="5">
        <f t="shared" si="104"/>
        <v>0.39031687435685614</v>
      </c>
      <c r="CP100" s="5">
        <f>IF(G100&lt;48,"UF", IF(NOT(ISBLANK(CM:CM)), CM:CM, IF(BW:BW=1, BV:BV+Sheet2!B540, IF(Sheet1!BW:BW=2, Sheet1!BV:BV+Sheet2!B541, IF(Sheet1!BW:BW=7, Sheet1!BV:BV+Sheet2!B542,"")))))</f>
        <v>-1.4571080604734179</v>
      </c>
      <c r="CQ100" s="69">
        <f t="shared" si="130"/>
        <v>7</v>
      </c>
      <c r="CR100" s="5">
        <v>101</v>
      </c>
      <c r="CS100" s="5">
        <v>-1.180489872495879</v>
      </c>
      <c r="CT100" s="5">
        <f t="shared" si="105"/>
        <v>-0.19305076317206515</v>
      </c>
      <c r="CU100" s="80">
        <f t="shared" si="106"/>
        <v>-0.19305076317206515</v>
      </c>
      <c r="CV100" s="80">
        <f t="shared" si="107"/>
        <v>-1</v>
      </c>
      <c r="CW100" s="20">
        <f>IF(G100&lt;48,"UF", IF(NOT(ISBLANK(CS100)), CS100, IF(CE100=5, CC100+Sheet2!B529, IF(CE100=6, CC100+Sheet2!B530, IF(CE100=7, CC100+Sheet2!B531,"")))))</f>
        <v>-1.180489872495879</v>
      </c>
      <c r="CX100" s="68">
        <f t="shared" si="131"/>
        <v>7</v>
      </c>
      <c r="CY100" s="5">
        <v>13500</v>
      </c>
      <c r="CZ100" s="5">
        <v>-1.7250608831968159</v>
      </c>
      <c r="DA100" s="5">
        <f t="shared" si="108"/>
        <v>0.116784759087736</v>
      </c>
      <c r="DB100" s="73">
        <f t="shared" si="109"/>
        <v>0.116784759087736</v>
      </c>
      <c r="DC100" s="73">
        <f t="shared" si="110"/>
        <v>1</v>
      </c>
      <c r="DD100" s="5">
        <f>IF(G100&lt;48,"UF", IF(NOT(ISBLANK(CZ:CZ)), CZ:CZ, IF(CL:CL=3, CK:CK+Sheet2!B534, IF(CL:CL=4, CK:CK+Sheet2!B535, IF(CL:CL=7, CK:CK+Sheet2!B536,"")))))</f>
        <v>-1.7250608831968159</v>
      </c>
      <c r="DE100" s="69">
        <f t="shared" si="111"/>
        <v>7</v>
      </c>
      <c r="DF100" s="2">
        <v>2</v>
      </c>
      <c r="DG100" s="2">
        <v>38</v>
      </c>
      <c r="DH100" s="2">
        <v>1</v>
      </c>
      <c r="DI100" s="2">
        <v>2</v>
      </c>
      <c r="DJ100" s="2">
        <v>2</v>
      </c>
      <c r="DK100" s="2">
        <v>110</v>
      </c>
      <c r="DL100" s="2">
        <v>65</v>
      </c>
      <c r="DM100" s="2">
        <v>110</v>
      </c>
      <c r="DN100" s="2">
        <v>65</v>
      </c>
      <c r="DO100" s="2" t="s">
        <v>12</v>
      </c>
      <c r="DP100" s="2" t="s">
        <v>12</v>
      </c>
      <c r="DQ100" s="2">
        <v>2</v>
      </c>
      <c r="DR100" s="2">
        <v>38</v>
      </c>
      <c r="DS100" s="2">
        <v>1</v>
      </c>
      <c r="DT100" s="2">
        <v>114</v>
      </c>
      <c r="DU100" s="2" t="s">
        <v>12</v>
      </c>
      <c r="DV100" s="2">
        <v>2</v>
      </c>
      <c r="DW100" s="2">
        <v>2</v>
      </c>
      <c r="DX100" s="2">
        <v>2</v>
      </c>
      <c r="DY100" s="2">
        <v>2</v>
      </c>
      <c r="DZ100" s="2">
        <v>35</v>
      </c>
      <c r="EA100" s="2">
        <v>35.5</v>
      </c>
      <c r="EB100" s="2">
        <v>46.5</v>
      </c>
      <c r="EC100" s="2">
        <v>1</v>
      </c>
      <c r="ED100" s="2">
        <v>1</v>
      </c>
    </row>
    <row r="101" spans="3:134" x14ac:dyDescent="0.25">
      <c r="C101" s="5" t="s">
        <v>61</v>
      </c>
      <c r="D101" s="8">
        <v>2501000226</v>
      </c>
      <c r="E101" s="2">
        <v>2</v>
      </c>
      <c r="F101" s="2">
        <v>1</v>
      </c>
      <c r="G101" s="2">
        <v>58</v>
      </c>
      <c r="H101" s="2">
        <v>0.53134925850666792</v>
      </c>
      <c r="I101" s="2">
        <v>47</v>
      </c>
      <c r="J101" s="2">
        <v>-1.153005671500261</v>
      </c>
      <c r="K101" s="5">
        <v>3095</v>
      </c>
      <c r="L101" s="2">
        <v>-0.30356882768449761</v>
      </c>
      <c r="M101" s="2">
        <v>0.4652</v>
      </c>
      <c r="N101" s="2">
        <f t="shared" si="69"/>
        <v>0.31447537074666609</v>
      </c>
      <c r="O101" s="2">
        <f t="shared" si="70"/>
        <v>0.4652</v>
      </c>
      <c r="P101" s="2">
        <v>63</v>
      </c>
      <c r="Q101" s="2">
        <v>-1.21</v>
      </c>
      <c r="R101" s="5">
        <f t="shared" si="71"/>
        <v>-8.49716424986946E-3</v>
      </c>
      <c r="S101" s="5">
        <f t="shared" si="72"/>
        <v>-1.21</v>
      </c>
      <c r="T101" s="1">
        <v>7000</v>
      </c>
      <c r="U101" s="2">
        <v>-0.35</v>
      </c>
      <c r="V101" s="2">
        <f t="shared" si="73"/>
        <v>0.2417844138422488</v>
      </c>
      <c r="W101" s="2">
        <f t="shared" si="74"/>
        <v>-0.35</v>
      </c>
      <c r="X101" s="2">
        <v>1.1603000000000001</v>
      </c>
      <c r="Y101" s="76">
        <f t="shared" si="112"/>
        <v>0.62895074149333219</v>
      </c>
      <c r="Z101" s="76">
        <f t="shared" si="113"/>
        <v>1</v>
      </c>
      <c r="AA101" s="2">
        <f t="shared" si="75"/>
        <v>0.26639999999999997</v>
      </c>
      <c r="AB101" s="2">
        <f t="shared" si="76"/>
        <v>1.1603000000000001</v>
      </c>
      <c r="AC101" s="2">
        <v>71</v>
      </c>
      <c r="AD101" s="2">
        <v>-1.17</v>
      </c>
      <c r="AE101" s="79">
        <f t="shared" si="114"/>
        <v>-1.699432849973892E-2</v>
      </c>
      <c r="AF101" s="79">
        <f t="shared" si="115"/>
        <v>-1</v>
      </c>
      <c r="AG101" s="2">
        <f t="shared" si="134"/>
        <v>0.48</v>
      </c>
      <c r="AH101" s="2">
        <f t="shared" si="78"/>
        <v>-1.17</v>
      </c>
      <c r="AI101" s="2">
        <v>9150</v>
      </c>
      <c r="AJ101" s="2">
        <v>0.18</v>
      </c>
      <c r="AK101" s="76">
        <f t="shared" si="116"/>
        <v>0.4835688276844976</v>
      </c>
      <c r="AL101" s="76">
        <f t="shared" si="117"/>
        <v>1</v>
      </c>
      <c r="AM101" s="2">
        <f t="shared" si="79"/>
        <v>-0.13</v>
      </c>
      <c r="AN101" s="2">
        <f t="shared" si="80"/>
        <v>0.18</v>
      </c>
      <c r="AO101" s="2">
        <v>-0.67720000000000002</v>
      </c>
      <c r="AP101" s="2">
        <f t="shared" si="81"/>
        <v>-2.521280045954486</v>
      </c>
      <c r="AQ101" s="2">
        <f t="shared" si="82"/>
        <v>-0.67720000000000002</v>
      </c>
      <c r="AR101" s="2">
        <v>80</v>
      </c>
      <c r="AS101" s="2">
        <v>-0.25</v>
      </c>
      <c r="AT101" s="2">
        <f t="shared" si="83"/>
        <v>0.95823948795121305</v>
      </c>
      <c r="AU101" s="2">
        <f t="shared" si="84"/>
        <v>-0.25</v>
      </c>
      <c r="AV101" s="2">
        <v>9500</v>
      </c>
      <c r="AW101" s="2">
        <v>-0.61</v>
      </c>
      <c r="AX101" s="2">
        <f t="shared" si="85"/>
        <v>-1.3079680529734046</v>
      </c>
      <c r="AY101" s="2">
        <f t="shared" si="86"/>
        <v>-0.61</v>
      </c>
      <c r="AZ101" s="2">
        <v>-3.882260091908972</v>
      </c>
      <c r="BA101" s="78">
        <f t="shared" si="118"/>
        <v>-5.0425600919089719</v>
      </c>
      <c r="BB101" s="78">
        <f t="shared" si="119"/>
        <v>-2</v>
      </c>
      <c r="BC101" s="2">
        <f t="shared" si="87"/>
        <v>-1.1904297216251825</v>
      </c>
      <c r="BD101" s="2">
        <f t="shared" si="88"/>
        <v>-3.882260091908972</v>
      </c>
      <c r="BE101" s="67">
        <f t="shared" si="120"/>
        <v>1</v>
      </c>
      <c r="BF101" s="2">
        <v>88</v>
      </c>
      <c r="BG101" s="2">
        <v>0.74647897590242618</v>
      </c>
      <c r="BH101" s="2">
        <f t="shared" si="89"/>
        <v>0.14944616079810533</v>
      </c>
      <c r="BI101" s="2">
        <f t="shared" si="90"/>
        <v>0.74647897590242618</v>
      </c>
      <c r="BJ101" s="67">
        <f t="shared" si="91"/>
        <v>7</v>
      </c>
      <c r="BK101" s="2">
        <v>9550</v>
      </c>
      <c r="BL101" s="2">
        <v>-2.435936105946809</v>
      </c>
      <c r="BM101" s="77">
        <f t="shared" si="136"/>
        <v>-2.6159361059468091</v>
      </c>
      <c r="BN101" s="77">
        <f t="shared" si="122"/>
        <v>-2</v>
      </c>
      <c r="BO101" s="2">
        <f t="shared" si="92"/>
        <v>-0.54477611216316568</v>
      </c>
      <c r="BP101" s="2">
        <f t="shared" si="93"/>
        <v>-2.435936105946809</v>
      </c>
      <c r="BQ101" s="67">
        <f t="shared" si="123"/>
        <v>4</v>
      </c>
      <c r="BR101" s="5">
        <v>-4.2484891648755472</v>
      </c>
      <c r="BS101" s="75">
        <f t="shared" si="124"/>
        <v>-0.36622907296657514</v>
      </c>
      <c r="BT101" s="75">
        <f t="shared" si="125"/>
        <v>-1</v>
      </c>
      <c r="BU101" s="5" t="str">
        <f t="shared" si="135"/>
        <v/>
      </c>
      <c r="BV101" s="5">
        <f t="shared" si="94"/>
        <v>-4.2484891648755472</v>
      </c>
      <c r="BW101" s="69">
        <f t="shared" si="95"/>
        <v>1</v>
      </c>
      <c r="BX101" s="2">
        <v>95</v>
      </c>
      <c r="BY101" s="5">
        <v>0.19833848239431601</v>
      </c>
      <c r="BZ101" s="74">
        <f t="shared" si="126"/>
        <v>2.6342745883411252</v>
      </c>
      <c r="CA101" s="74">
        <f t="shared" si="127"/>
        <v>2</v>
      </c>
      <c r="CB101" s="5" t="str">
        <f t="shared" si="96"/>
        <v/>
      </c>
      <c r="CC101" s="5">
        <f t="shared" si="97"/>
        <v>0.19833848239431601</v>
      </c>
      <c r="CD101" s="2">
        <f t="shared" si="98"/>
        <v>-0.54814049350811023</v>
      </c>
      <c r="CE101" s="69">
        <f t="shared" si="99"/>
        <v>7</v>
      </c>
      <c r="CF101" s="5">
        <v>11000</v>
      </c>
      <c r="CG101" s="5">
        <v>-2.244328336489497</v>
      </c>
      <c r="CH101" s="72">
        <f t="shared" si="128"/>
        <v>0.19160776945731195</v>
      </c>
      <c r="CI101" s="72">
        <f t="shared" si="129"/>
        <v>1</v>
      </c>
      <c r="CJ101" s="5" t="str">
        <f t="shared" si="100"/>
        <v/>
      </c>
      <c r="CK101" s="5">
        <f t="shared" si="101"/>
        <v>-2.244328336489497</v>
      </c>
      <c r="CL101" s="69">
        <f t="shared" si="102"/>
        <v>4</v>
      </c>
      <c r="CN101" s="70" t="str">
        <f t="shared" si="103"/>
        <v/>
      </c>
      <c r="CO101" s="5">
        <f t="shared" si="104"/>
        <v>0</v>
      </c>
      <c r="CP101" s="5">
        <f>IF(G101&lt;48,"UF", IF(NOT(ISBLANK(CM:CM)), CM:CM, IF(BW:BW=1, BV:BV+Sheet2!B65, IF(Sheet1!BW:BW=2, Sheet1!BV:BV+Sheet2!B66, IF(Sheet1!BW:BW=7, Sheet1!BV:BV+Sheet2!B67,"")))))</f>
        <v>-4.2484891648755472</v>
      </c>
      <c r="CQ101" s="69">
        <f t="shared" si="130"/>
        <v>1</v>
      </c>
      <c r="CR101" s="5" t="s">
        <v>12</v>
      </c>
      <c r="CT101" s="5" t="str">
        <f t="shared" si="105"/>
        <v/>
      </c>
      <c r="CU101" s="80">
        <f t="shared" si="106"/>
        <v>0</v>
      </c>
      <c r="CV101" s="80">
        <f t="shared" si="107"/>
        <v>-1</v>
      </c>
      <c r="CW101" s="20">
        <f>IF(G101&lt;48,"UF", IF(NOT(ISBLANK(CS101)), CS101, IF(CE101=5, CC101+Sheet2!B54, IF(CE101=6, CC101+Sheet2!B55, IF(CE101=7, CC101+Sheet2!B56,"")))))</f>
        <v>0.19833848239431601</v>
      </c>
      <c r="CX101" s="68">
        <f t="shared" si="131"/>
        <v>7</v>
      </c>
      <c r="CY101" s="5" t="s">
        <v>12</v>
      </c>
      <c r="DA101" s="5" t="str">
        <f t="shared" si="108"/>
        <v/>
      </c>
      <c r="DB101" s="73">
        <f t="shared" si="109"/>
        <v>0</v>
      </c>
      <c r="DC101" s="73">
        <f t="shared" si="110"/>
        <v>-1</v>
      </c>
      <c r="DD101" s="5">
        <f>IF(G101&lt;48,"UF", IF(NOT(ISBLANK(CZ:CZ)), CZ:CZ, IF(CL:CL=3, CK:CK+Sheet2!B59, IF(CL:CL=4, CK:CK+Sheet2!B60, IF(CL:CL=7, CK:CK+Sheet2!B61,"")))))</f>
        <v>-2.244328336489497</v>
      </c>
      <c r="DE101" s="69">
        <f t="shared" si="111"/>
        <v>4</v>
      </c>
      <c r="DF101" s="2">
        <v>2</v>
      </c>
      <c r="DG101" s="2">
        <v>29</v>
      </c>
      <c r="DH101" s="2">
        <v>2</v>
      </c>
      <c r="DI101" s="2">
        <v>2</v>
      </c>
      <c r="DJ101" s="2">
        <v>2</v>
      </c>
      <c r="DK101" s="2">
        <v>100</v>
      </c>
      <c r="DL101" s="2">
        <v>65</v>
      </c>
      <c r="DM101" s="2">
        <v>90</v>
      </c>
      <c r="DN101" s="2">
        <v>60</v>
      </c>
      <c r="DO101" s="2">
        <v>80</v>
      </c>
      <c r="DP101" s="2">
        <v>60</v>
      </c>
      <c r="DQ101" s="2">
        <v>2</v>
      </c>
      <c r="DR101" s="2">
        <v>41</v>
      </c>
      <c r="DS101" s="2">
        <v>2</v>
      </c>
      <c r="DT101" s="2">
        <v>91</v>
      </c>
      <c r="DU101" s="2">
        <v>91</v>
      </c>
      <c r="DV101" s="2">
        <v>2</v>
      </c>
      <c r="DW101" s="2">
        <v>2</v>
      </c>
      <c r="DX101" s="2">
        <v>2</v>
      </c>
      <c r="DY101" s="2">
        <v>2</v>
      </c>
      <c r="DZ101" s="2">
        <v>34</v>
      </c>
      <c r="EA101" s="2" t="s">
        <v>12</v>
      </c>
      <c r="EB101" s="2">
        <v>45</v>
      </c>
      <c r="EC101" s="2" t="s">
        <v>12</v>
      </c>
      <c r="ED101" s="2">
        <v>1</v>
      </c>
    </row>
    <row r="102" spans="3:134" x14ac:dyDescent="0.25">
      <c r="C102" s="8" t="s">
        <v>319</v>
      </c>
      <c r="D102" s="8">
        <v>2501000412</v>
      </c>
      <c r="E102" s="5">
        <v>7</v>
      </c>
      <c r="F102" s="2">
        <v>1</v>
      </c>
      <c r="G102" s="2">
        <v>59</v>
      </c>
      <c r="H102" s="2">
        <v>9.6634039386135184E-2</v>
      </c>
      <c r="I102" s="2">
        <v>51</v>
      </c>
      <c r="J102" s="2">
        <v>0.99441714029262385</v>
      </c>
      <c r="K102" s="2">
        <v>3500</v>
      </c>
      <c r="L102" s="2">
        <v>0.57031252552855893</v>
      </c>
      <c r="M102" s="2">
        <v>0.3463</v>
      </c>
      <c r="N102" s="2">
        <f t="shared" si="69"/>
        <v>-0.45761701969306756</v>
      </c>
      <c r="O102" s="2">
        <f t="shared" si="70"/>
        <v>0.3463</v>
      </c>
      <c r="P102" s="2">
        <v>66</v>
      </c>
      <c r="Q102" s="2">
        <v>0.11</v>
      </c>
      <c r="R102" s="5">
        <f t="shared" si="71"/>
        <v>-0.11220857014631191</v>
      </c>
      <c r="S102" s="5">
        <f t="shared" si="72"/>
        <v>0.11</v>
      </c>
      <c r="T102" s="2">
        <v>7600</v>
      </c>
      <c r="U102" s="2">
        <v>0.33</v>
      </c>
      <c r="V102" s="2">
        <f t="shared" si="73"/>
        <v>-0.35015626276427947</v>
      </c>
      <c r="W102" s="2">
        <f t="shared" si="74"/>
        <v>0.33</v>
      </c>
      <c r="X102" s="2">
        <v>-0.81859999999999999</v>
      </c>
      <c r="Y102" s="76">
        <f t="shared" si="112"/>
        <v>-0.91523403938613512</v>
      </c>
      <c r="Z102" s="76">
        <f t="shared" si="113"/>
        <v>-2</v>
      </c>
      <c r="AA102" s="2">
        <f t="shared" si="75"/>
        <v>-0.35649999999999998</v>
      </c>
      <c r="AB102" s="2">
        <f t="shared" si="76"/>
        <v>-0.81859999999999999</v>
      </c>
      <c r="AC102" s="2">
        <v>76</v>
      </c>
      <c r="AD102" s="2">
        <v>0.77</v>
      </c>
      <c r="AE102" s="79">
        <f t="shared" si="114"/>
        <v>-0.22441714029262383</v>
      </c>
      <c r="AF102" s="79">
        <f t="shared" si="115"/>
        <v>-1</v>
      </c>
      <c r="AG102" s="2">
        <f t="shared" si="134"/>
        <v>-4.9999999999999975E-3</v>
      </c>
      <c r="AH102" s="2">
        <f t="shared" si="78"/>
        <v>0.77</v>
      </c>
      <c r="AI102" s="2">
        <v>8800</v>
      </c>
      <c r="AJ102" s="2">
        <v>-0.13</v>
      </c>
      <c r="AK102" s="76">
        <f t="shared" si="116"/>
        <v>-0.70031252552855894</v>
      </c>
      <c r="AL102" s="76">
        <f t="shared" si="117"/>
        <v>-2</v>
      </c>
      <c r="AM102" s="2">
        <f t="shared" si="79"/>
        <v>-0.33999999999999997</v>
      </c>
      <c r="AN102" s="2">
        <f t="shared" si="80"/>
        <v>-0.13</v>
      </c>
      <c r="AO102" s="2">
        <v>-0.60299999999999998</v>
      </c>
      <c r="AP102" s="2">
        <f t="shared" si="81"/>
        <v>-0.84076611572038407</v>
      </c>
      <c r="AQ102" s="2">
        <f t="shared" si="82"/>
        <v>-0.60299999999999998</v>
      </c>
      <c r="AR102" s="2">
        <v>81</v>
      </c>
      <c r="AS102" s="2">
        <v>0.1</v>
      </c>
      <c r="AT102" s="2">
        <f t="shared" si="83"/>
        <v>-0.29862307781549213</v>
      </c>
      <c r="AU102" s="2">
        <f t="shared" si="84"/>
        <v>0.1</v>
      </c>
      <c r="AV102" s="2">
        <v>9800</v>
      </c>
      <c r="AW102" s="2">
        <v>-0.35</v>
      </c>
      <c r="AX102" s="2">
        <f t="shared" si="85"/>
        <v>-0.90148431136150409</v>
      </c>
      <c r="AY102" s="2">
        <f t="shared" si="86"/>
        <v>-0.35</v>
      </c>
      <c r="AZ102" s="2">
        <v>-2.5001322314407681</v>
      </c>
      <c r="BA102" s="78">
        <f t="shared" si="118"/>
        <v>-1.6815322314407681</v>
      </c>
      <c r="BB102" s="78">
        <f t="shared" si="119"/>
        <v>-2</v>
      </c>
      <c r="BC102" s="2" t="str">
        <f t="shared" si="87"/>
        <v/>
      </c>
      <c r="BD102" s="2">
        <f t="shared" si="88"/>
        <v>-2.5001322314407681</v>
      </c>
      <c r="BE102" s="67">
        <f t="shared" si="120"/>
        <v>2</v>
      </c>
      <c r="BF102" s="2">
        <v>86</v>
      </c>
      <c r="BG102" s="2">
        <v>0.1727538443690157</v>
      </c>
      <c r="BH102" s="2" t="str">
        <f t="shared" si="89"/>
        <v/>
      </c>
      <c r="BI102" s="2">
        <f t="shared" si="90"/>
        <v>0.1727538443690157</v>
      </c>
      <c r="BJ102" s="67">
        <f t="shared" si="91"/>
        <v>7</v>
      </c>
      <c r="BK102" s="2">
        <v>10000</v>
      </c>
      <c r="BL102" s="2">
        <v>-1.9329686227230081</v>
      </c>
      <c r="BM102" s="77">
        <f t="shared" si="136"/>
        <v>-1.8029686227230082</v>
      </c>
      <c r="BN102" s="77">
        <f t="shared" si="122"/>
        <v>-2</v>
      </c>
      <c r="BO102" s="2" t="str">
        <f t="shared" si="92"/>
        <v/>
      </c>
      <c r="BP102" s="2">
        <f t="shared" si="93"/>
        <v>-1.9329686227230081</v>
      </c>
      <c r="BQ102" s="67">
        <f t="shared" si="123"/>
        <v>7</v>
      </c>
      <c r="BS102" s="75">
        <f t="shared" si="124"/>
        <v>1.075528282824296</v>
      </c>
      <c r="BT102" s="75">
        <f t="shared" si="125"/>
        <v>2</v>
      </c>
      <c r="BU102" s="5">
        <f t="shared" si="135"/>
        <v>1.075528282824296</v>
      </c>
      <c r="BV102" s="5">
        <f t="shared" si="94"/>
        <v>-1.4246039486164721</v>
      </c>
      <c r="BW102" s="69">
        <f t="shared" si="95"/>
        <v>7</v>
      </c>
      <c r="BX102" s="2" t="s">
        <v>12</v>
      </c>
      <c r="BZ102" s="74">
        <f t="shared" si="126"/>
        <v>1.900595242302189</v>
      </c>
      <c r="CA102" s="74">
        <f t="shared" si="127"/>
        <v>2</v>
      </c>
      <c r="CB102" s="5">
        <f t="shared" si="96"/>
        <v>-0.20512722478983475</v>
      </c>
      <c r="CC102" s="5">
        <f t="shared" si="97"/>
        <v>-3.2373380420819053E-2</v>
      </c>
      <c r="CD102" s="2">
        <f t="shared" si="98"/>
        <v>-0.20512722478983475</v>
      </c>
      <c r="CE102" s="69">
        <f t="shared" si="99"/>
        <v>7</v>
      </c>
      <c r="CF102" s="5" t="s">
        <v>12</v>
      </c>
      <c r="CH102" s="72">
        <f t="shared" si="128"/>
        <v>0.71600163663459537</v>
      </c>
      <c r="CI102" s="72">
        <f t="shared" si="129"/>
        <v>2</v>
      </c>
      <c r="CJ102" s="5">
        <f t="shared" si="100"/>
        <v>0.71600163663459537</v>
      </c>
      <c r="CK102" s="5">
        <f t="shared" si="101"/>
        <v>-1.2169669860884127</v>
      </c>
      <c r="CL102" s="69">
        <f t="shared" si="102"/>
        <v>7</v>
      </c>
      <c r="CM102" s="5">
        <v>-0.34907566579217603</v>
      </c>
      <c r="CN102" s="70">
        <f t="shared" si="103"/>
        <v>1.075528282824296</v>
      </c>
      <c r="CO102" s="5">
        <f t="shared" si="104"/>
        <v>1.075528282824296</v>
      </c>
      <c r="CP102" s="5">
        <f>IF(G102&lt;48,"UF", IF(NOT(ISBLANK(CM:CM)), CM:CM, IF(BW:BW=1, BV:BV+Sheet2!B542, IF(Sheet1!BW:BW=2, Sheet1!BV:BV+Sheet2!B543, IF(Sheet1!BW:BW=7, Sheet1!BV:BV+Sheet2!B544,"")))))</f>
        <v>-0.34907566579217603</v>
      </c>
      <c r="CQ102" s="69">
        <f t="shared" si="130"/>
        <v>7</v>
      </c>
      <c r="CR102" s="5">
        <v>100</v>
      </c>
      <c r="CS102" s="5">
        <v>-0.2375006052106538</v>
      </c>
      <c r="CT102" s="5">
        <f t="shared" si="105"/>
        <v>-0.20512722478983475</v>
      </c>
      <c r="CU102" s="80">
        <f t="shared" si="106"/>
        <v>-0.20512722478983475</v>
      </c>
      <c r="CV102" s="80">
        <f t="shared" si="107"/>
        <v>-1</v>
      </c>
      <c r="CW102" s="20">
        <f>IF(G102&lt;48,"UF", IF(NOT(ISBLANK(CS102)), CS102, IF(CE102=5, CC102+Sheet2!B531, IF(CE102=6, CC102+Sheet2!B532, IF(CE102=7, CC102+Sheet2!B533,"")))))</f>
        <v>-0.2375006052106538</v>
      </c>
      <c r="CX102" s="68">
        <f t="shared" si="131"/>
        <v>7</v>
      </c>
      <c r="CY102" s="5">
        <v>14900</v>
      </c>
      <c r="CZ102" s="5">
        <v>-0.50096534945381743</v>
      </c>
      <c r="DA102" s="5">
        <f t="shared" si="108"/>
        <v>0.71600163663459526</v>
      </c>
      <c r="DB102" s="73">
        <f t="shared" si="109"/>
        <v>0.71600163663459526</v>
      </c>
      <c r="DC102" s="73">
        <f t="shared" si="110"/>
        <v>2</v>
      </c>
      <c r="DD102" s="5">
        <f>IF(G102&lt;48,"UF", IF(NOT(ISBLANK(CZ:CZ)), CZ:CZ, IF(CL:CL=3, CK:CK+Sheet2!B536, IF(CL:CL=4, CK:CK+Sheet2!B537, IF(CL:CL=7, CK:CK+Sheet2!B538,"")))))</f>
        <v>-0.50096534945381743</v>
      </c>
      <c r="DE102" s="69">
        <f t="shared" si="111"/>
        <v>7</v>
      </c>
      <c r="DF102" s="2">
        <v>2</v>
      </c>
      <c r="DG102" s="2">
        <v>40</v>
      </c>
      <c r="DH102" s="2">
        <v>2</v>
      </c>
      <c r="DI102" s="2">
        <v>2</v>
      </c>
      <c r="DJ102" s="2">
        <v>2</v>
      </c>
      <c r="DK102" s="2">
        <v>93</v>
      </c>
      <c r="DL102" s="2">
        <v>51</v>
      </c>
      <c r="DM102" s="2" t="s">
        <v>12</v>
      </c>
      <c r="DN102" s="2" t="s">
        <v>12</v>
      </c>
      <c r="DO102" s="2" t="s">
        <v>12</v>
      </c>
      <c r="DP102" s="2" t="s">
        <v>12</v>
      </c>
      <c r="DQ102" s="2">
        <v>1</v>
      </c>
      <c r="DR102" s="2">
        <v>39</v>
      </c>
      <c r="DS102" s="2">
        <v>1</v>
      </c>
      <c r="DT102" s="2">
        <v>84</v>
      </c>
      <c r="DU102" s="2">
        <v>96</v>
      </c>
      <c r="DV102" s="2">
        <v>2</v>
      </c>
      <c r="DW102" s="2">
        <v>2</v>
      </c>
      <c r="DX102" s="2">
        <v>4</v>
      </c>
      <c r="DY102" s="2">
        <v>2</v>
      </c>
      <c r="DZ102" s="2">
        <v>35.5</v>
      </c>
      <c r="EA102" s="2">
        <v>37</v>
      </c>
      <c r="EB102" s="2">
        <v>47</v>
      </c>
      <c r="EC102" s="2">
        <v>1</v>
      </c>
      <c r="ED102" s="2">
        <v>1</v>
      </c>
    </row>
    <row r="103" spans="3:134" x14ac:dyDescent="0.25">
      <c r="C103" s="5">
        <v>13990222</v>
      </c>
      <c r="D103" s="2">
        <v>2501000544</v>
      </c>
      <c r="E103" s="5" t="s">
        <v>527</v>
      </c>
      <c r="F103" s="2">
        <v>2</v>
      </c>
      <c r="G103" s="2">
        <v>60</v>
      </c>
      <c r="H103" s="2">
        <v>-0.57524318198620272</v>
      </c>
      <c r="I103" s="2">
        <v>48</v>
      </c>
      <c r="J103" s="2">
        <v>-0.99529637274036198</v>
      </c>
      <c r="K103" s="5">
        <v>2925</v>
      </c>
      <c r="L103" s="2">
        <v>-0.90043293048161388</v>
      </c>
      <c r="M103" s="2">
        <v>-1.3182</v>
      </c>
      <c r="N103" s="2" t="str">
        <f t="shared" si="69"/>
        <v/>
      </c>
      <c r="O103" s="2">
        <f t="shared" si="70"/>
        <v>-1.3182</v>
      </c>
      <c r="P103" s="2">
        <v>64</v>
      </c>
      <c r="Q103" s="2">
        <v>-1.7</v>
      </c>
      <c r="R103" s="5" t="str">
        <f t="shared" si="71"/>
        <v/>
      </c>
      <c r="S103" s="5">
        <f t="shared" si="72"/>
        <v>-1.7</v>
      </c>
      <c r="T103" s="1">
        <v>6380</v>
      </c>
      <c r="U103" s="2">
        <v>-1.97</v>
      </c>
      <c r="V103" s="2" t="str">
        <f t="shared" si="73"/>
        <v/>
      </c>
      <c r="W103" s="2">
        <f t="shared" si="74"/>
        <v>-1.97</v>
      </c>
      <c r="Y103" s="76">
        <f t="shared" si="112"/>
        <v>-0.1182068180137974</v>
      </c>
      <c r="Z103" s="76">
        <f t="shared" si="113"/>
        <v>-1</v>
      </c>
      <c r="AA103" s="2">
        <f t="shared" si="75"/>
        <v>0.62474999999999992</v>
      </c>
      <c r="AB103" s="2">
        <f t="shared" si="76"/>
        <v>-0.69345000000000012</v>
      </c>
      <c r="AC103" s="2" t="s">
        <v>12</v>
      </c>
      <c r="AE103" s="79">
        <f t="shared" si="114"/>
        <v>-1.0147036272596379</v>
      </c>
      <c r="AF103" s="79">
        <f t="shared" si="115"/>
        <v>-2</v>
      </c>
      <c r="AG103" s="2">
        <f t="shared" si="134"/>
        <v>-0.30999999999999994</v>
      </c>
      <c r="AH103" s="2">
        <f t="shared" si="78"/>
        <v>-2.0099999999999998</v>
      </c>
      <c r="AI103" s="2" t="s">
        <v>12</v>
      </c>
      <c r="AK103" s="76">
        <f t="shared" si="116"/>
        <v>-0.959567069518386</v>
      </c>
      <c r="AL103" s="76">
        <f t="shared" si="117"/>
        <v>-2</v>
      </c>
      <c r="AM103" s="2">
        <f t="shared" si="79"/>
        <v>0.10999999999999999</v>
      </c>
      <c r="AN103" s="2">
        <f t="shared" si="80"/>
        <v>-1.8599999999999999</v>
      </c>
      <c r="AO103" s="2">
        <v>-0.45050000000000001</v>
      </c>
      <c r="AP103" s="2">
        <f t="shared" si="81"/>
        <v>0.20577352328742657</v>
      </c>
      <c r="AQ103" s="2">
        <f t="shared" si="82"/>
        <v>-0.45050000000000001</v>
      </c>
      <c r="AR103" s="2">
        <v>76</v>
      </c>
      <c r="AS103" s="2">
        <v>-2.3199999999999998</v>
      </c>
      <c r="AT103" s="2">
        <f t="shared" si="83"/>
        <v>2.7522542724148891E-2</v>
      </c>
      <c r="AU103" s="2">
        <f t="shared" si="84"/>
        <v>-2.3199999999999998</v>
      </c>
      <c r="AV103" s="2">
        <v>9000</v>
      </c>
      <c r="AW103" s="2">
        <v>-1.75</v>
      </c>
      <c r="AX103" s="2">
        <f t="shared" si="85"/>
        <v>-4.862932117721952E-2</v>
      </c>
      <c r="AY103" s="2">
        <f t="shared" si="86"/>
        <v>-1.75</v>
      </c>
      <c r="AZ103" s="2">
        <v>-0.28190295342514698</v>
      </c>
      <c r="BA103" s="78">
        <f t="shared" si="118"/>
        <v>0.41154704657485314</v>
      </c>
      <c r="BB103" s="78">
        <f t="shared" si="119"/>
        <v>1</v>
      </c>
      <c r="BC103" s="2">
        <f t="shared" si="87"/>
        <v>-0.2819188019941497</v>
      </c>
      <c r="BD103" s="2">
        <f t="shared" si="88"/>
        <v>-0.28190295342514698</v>
      </c>
      <c r="BE103" s="67">
        <f t="shared" si="120"/>
        <v>7</v>
      </c>
      <c r="BF103" s="2">
        <v>80</v>
      </c>
      <c r="BG103" s="2">
        <v>-1.954954914551702</v>
      </c>
      <c r="BH103" s="2">
        <f t="shared" si="89"/>
        <v>0.29981049812019395</v>
      </c>
      <c r="BI103" s="2">
        <f t="shared" si="90"/>
        <v>-1.954954914551702</v>
      </c>
      <c r="BJ103" s="67">
        <f t="shared" si="91"/>
        <v>7</v>
      </c>
      <c r="BK103" s="2">
        <v>9800</v>
      </c>
      <c r="BL103" s="2">
        <v>-1.9572586423544389</v>
      </c>
      <c r="BM103" s="77">
        <f t="shared" si="136"/>
        <v>-9.725864235443904E-2</v>
      </c>
      <c r="BN103" s="77">
        <f t="shared" si="122"/>
        <v>-1</v>
      </c>
      <c r="BO103" s="2">
        <f t="shared" si="92"/>
        <v>-3.0615214094850646E-2</v>
      </c>
      <c r="BP103" s="2">
        <f t="shared" si="93"/>
        <v>-1.9572586423544389</v>
      </c>
      <c r="BQ103" s="67">
        <f t="shared" si="123"/>
        <v>7</v>
      </c>
      <c r="BR103" s="5">
        <v>-1.2962564059824491</v>
      </c>
      <c r="BS103" s="75">
        <f t="shared" si="124"/>
        <v>-1.0143534525573021</v>
      </c>
      <c r="BT103" s="75">
        <f t="shared" si="125"/>
        <v>-2</v>
      </c>
      <c r="BU103" s="5">
        <f t="shared" si="135"/>
        <v>-0.30982641934461796</v>
      </c>
      <c r="BV103" s="5">
        <f t="shared" si="94"/>
        <v>-1.2962564059824491</v>
      </c>
      <c r="BW103" s="69">
        <f t="shared" si="95"/>
        <v>7</v>
      </c>
      <c r="BX103" s="2">
        <v>90</v>
      </c>
      <c r="BY103" s="5">
        <v>-1.4205685056394179</v>
      </c>
      <c r="BZ103" s="74">
        <f t="shared" si="126"/>
        <v>0.53669013671502097</v>
      </c>
      <c r="CA103" s="74">
        <f t="shared" si="127"/>
        <v>1</v>
      </c>
      <c r="CB103" s="5">
        <f t="shared" si="96"/>
        <v>2.5881961850299451E-2</v>
      </c>
      <c r="CC103" s="5">
        <f t="shared" si="97"/>
        <v>-1.4205685056394179</v>
      </c>
      <c r="CD103" s="2">
        <f t="shared" si="98"/>
        <v>0.53438640891228406</v>
      </c>
      <c r="CE103" s="69">
        <f t="shared" si="99"/>
        <v>7</v>
      </c>
      <c r="CF103" s="5">
        <v>10800</v>
      </c>
      <c r="CG103" s="5">
        <v>-1.8418456422845519</v>
      </c>
      <c r="CH103" s="72">
        <f t="shared" si="128"/>
        <v>0.11541300006988697</v>
      </c>
      <c r="CI103" s="72">
        <f t="shared" si="129"/>
        <v>1</v>
      </c>
      <c r="CJ103" s="5">
        <f t="shared" si="100"/>
        <v>-2.5587420040746434E-2</v>
      </c>
      <c r="CK103" s="5">
        <f t="shared" si="101"/>
        <v>-1.8418456422845519</v>
      </c>
      <c r="CL103" s="69">
        <f t="shared" si="102"/>
        <v>7</v>
      </c>
      <c r="CM103" s="5">
        <v>-0.90155579211438297</v>
      </c>
      <c r="CN103" s="70">
        <f t="shared" si="103"/>
        <v>0.3947006138680661</v>
      </c>
      <c r="CO103" s="5">
        <f t="shared" si="104"/>
        <v>0.3947006138680661</v>
      </c>
      <c r="CP103" s="5">
        <f>IF(G103&lt;48,"UF", IF(NOT(ISBLANK(CM:CM)), CM:CM, IF(BW:BW=1, BV:BV+Sheet2!B213, IF(Sheet1!BW:BW=2, Sheet1!BV:BV+Sheet2!B214, IF(Sheet1!BW:BW=7, Sheet1!BV:BV+Sheet2!B215,"")))))</f>
        <v>-0.90155579211438297</v>
      </c>
      <c r="CQ103" s="69">
        <f t="shared" si="130"/>
        <v>7</v>
      </c>
      <c r="CR103" s="5">
        <v>94.5</v>
      </c>
      <c r="CS103" s="5">
        <v>-1.9031909908511031</v>
      </c>
      <c r="CT103" s="5">
        <f t="shared" si="105"/>
        <v>-0.48262248521168516</v>
      </c>
      <c r="CU103" s="80">
        <f t="shared" si="106"/>
        <v>-0.48262248521168516</v>
      </c>
      <c r="CV103" s="80">
        <f t="shared" si="107"/>
        <v>-1</v>
      </c>
      <c r="CW103" s="20">
        <f>IF(G103&lt;48,"UF", IF(NOT(ISBLANK(CS103)), CS103, IF(CE103=5, CC103+Sheet2!B202, IF(CE103=6, CC103+Sheet2!B203, IF(CE103=7, CC103+Sheet2!B204,"")))))</f>
        <v>-1.9031909908511031</v>
      </c>
      <c r="CX103" s="68">
        <f t="shared" si="131"/>
        <v>7</v>
      </c>
      <c r="CY103" s="5">
        <v>11900</v>
      </c>
      <c r="CZ103" s="5">
        <v>-2.0084334824359318</v>
      </c>
      <c r="DA103" s="5">
        <f t="shared" si="108"/>
        <v>-0.16658784015137984</v>
      </c>
      <c r="DB103" s="73">
        <f t="shared" si="109"/>
        <v>-0.16658784015137984</v>
      </c>
      <c r="DC103" s="73">
        <f t="shared" si="110"/>
        <v>-1</v>
      </c>
      <c r="DD103" s="5">
        <f>IF(G103&lt;48,"UF", IF(NOT(ISBLANK(CZ:CZ)), CZ:CZ, IF(CL:CL=3, CK:CK+Sheet2!B207, IF(CL:CL=4, CK:CK+Sheet2!B208, IF(CL:CL=7, CK:CK+Sheet2!B209,"")))))</f>
        <v>-2.0084334824359318</v>
      </c>
      <c r="DE103" s="69">
        <f t="shared" si="111"/>
        <v>4</v>
      </c>
      <c r="DF103" s="2">
        <v>1</v>
      </c>
      <c r="DG103" s="2">
        <v>25</v>
      </c>
      <c r="DH103" s="2">
        <v>2</v>
      </c>
      <c r="DI103" s="2">
        <v>2</v>
      </c>
      <c r="DJ103" s="2">
        <v>2</v>
      </c>
      <c r="DK103" s="2">
        <v>90</v>
      </c>
      <c r="DL103" s="2">
        <v>50</v>
      </c>
      <c r="DM103" s="2" t="s">
        <v>12</v>
      </c>
      <c r="DN103" s="2" t="s">
        <v>12</v>
      </c>
      <c r="DO103" s="2">
        <v>105</v>
      </c>
      <c r="DP103" s="2">
        <v>60</v>
      </c>
      <c r="DQ103" s="2">
        <v>2</v>
      </c>
      <c r="DR103" s="2">
        <v>40</v>
      </c>
      <c r="DS103" s="2">
        <v>1</v>
      </c>
      <c r="DT103" s="2">
        <v>107</v>
      </c>
      <c r="DU103" s="2">
        <v>83</v>
      </c>
      <c r="DV103" s="2">
        <v>2</v>
      </c>
      <c r="DW103" s="2">
        <v>2</v>
      </c>
      <c r="DX103" s="2">
        <v>2</v>
      </c>
      <c r="DY103" s="2">
        <v>3</v>
      </c>
      <c r="DZ103" s="2">
        <v>48</v>
      </c>
      <c r="EA103" s="2">
        <v>36</v>
      </c>
      <c r="EB103" s="2" t="s">
        <v>12</v>
      </c>
      <c r="EC103" s="2">
        <v>1</v>
      </c>
      <c r="ED103" s="2" t="s">
        <v>12</v>
      </c>
    </row>
    <row r="104" spans="3:134" x14ac:dyDescent="0.25">
      <c r="C104" s="5" t="s">
        <v>93</v>
      </c>
      <c r="D104" s="2">
        <v>2501000684</v>
      </c>
      <c r="E104" s="5">
        <v>2</v>
      </c>
      <c r="F104" s="2">
        <v>2</v>
      </c>
      <c r="G104" s="2">
        <v>60</v>
      </c>
      <c r="H104" s="2">
        <v>0.19507355441265001</v>
      </c>
      <c r="I104" s="2">
        <v>50</v>
      </c>
      <c r="J104" s="2">
        <v>6.1168777667580831E-2</v>
      </c>
      <c r="K104" s="5">
        <v>3415</v>
      </c>
      <c r="L104" s="2">
        <v>0.1394624651982711</v>
      </c>
      <c r="M104" s="2">
        <v>-0.14069999999999999</v>
      </c>
      <c r="N104" s="2">
        <f t="shared" si="69"/>
        <v>2.8363222793675008E-2</v>
      </c>
      <c r="O104" s="2">
        <f t="shared" si="70"/>
        <v>-0.14069999999999999</v>
      </c>
      <c r="P104" s="2">
        <v>70</v>
      </c>
      <c r="Q104" s="2">
        <v>1.1000000000000001</v>
      </c>
      <c r="R104" s="5">
        <f t="shared" si="71"/>
        <v>-1.2405843888337904</v>
      </c>
      <c r="S104" s="5">
        <f t="shared" si="72"/>
        <v>1.1000000000000001</v>
      </c>
      <c r="T104" s="1">
        <v>8400</v>
      </c>
      <c r="U104" s="2">
        <v>0.52</v>
      </c>
      <c r="V104" s="2">
        <f t="shared" si="73"/>
        <v>-0.69973123259913561</v>
      </c>
      <c r="W104" s="2">
        <f t="shared" si="74"/>
        <v>0.52</v>
      </c>
      <c r="X104" s="2">
        <v>0.25180000000000002</v>
      </c>
      <c r="Y104" s="76">
        <f t="shared" si="112"/>
        <v>5.6726445587350016E-2</v>
      </c>
      <c r="Z104" s="76">
        <f t="shared" si="113"/>
        <v>1</v>
      </c>
      <c r="AA104" s="2">
        <f t="shared" si="75"/>
        <v>-0.91900000000000004</v>
      </c>
      <c r="AB104" s="2">
        <f t="shared" si="76"/>
        <v>0.25180000000000002</v>
      </c>
      <c r="AC104" s="2">
        <v>70</v>
      </c>
      <c r="AD104" s="2">
        <v>-2.42</v>
      </c>
      <c r="AE104" s="79">
        <f t="shared" si="114"/>
        <v>-2.4811687776675808</v>
      </c>
      <c r="AF104" s="79">
        <f t="shared" si="115"/>
        <v>-2</v>
      </c>
      <c r="AG104" s="2">
        <f t="shared" si="134"/>
        <v>-0.78500000000000003</v>
      </c>
      <c r="AH104" s="2">
        <f t="shared" si="78"/>
        <v>-2.42</v>
      </c>
      <c r="AI104" s="2">
        <v>8400</v>
      </c>
      <c r="AJ104" s="2">
        <v>-1.26</v>
      </c>
      <c r="AK104" s="76">
        <f t="shared" si="116"/>
        <v>-1.3994624651982712</v>
      </c>
      <c r="AL104" s="76">
        <f t="shared" si="117"/>
        <v>-2</v>
      </c>
      <c r="AM104" s="2">
        <f t="shared" si="79"/>
        <v>-0.66500000000000004</v>
      </c>
      <c r="AN104" s="2">
        <f t="shared" si="80"/>
        <v>-1.26</v>
      </c>
      <c r="AO104" s="2">
        <v>-0.73799999999999999</v>
      </c>
      <c r="AP104" s="2">
        <f t="shared" si="81"/>
        <v>-0.10294044140268983</v>
      </c>
      <c r="AQ104" s="2">
        <f t="shared" si="82"/>
        <v>-0.73799999999999999</v>
      </c>
      <c r="AR104" s="2">
        <v>81</v>
      </c>
      <c r="AS104" s="2">
        <v>-0.47</v>
      </c>
      <c r="AT104" s="2">
        <f t="shared" si="83"/>
        <v>0.94474562723786004</v>
      </c>
      <c r="AU104" s="2">
        <f t="shared" si="84"/>
        <v>-0.47</v>
      </c>
      <c r="AV104" s="2">
        <v>10000</v>
      </c>
      <c r="AW104" s="2">
        <v>-0.81</v>
      </c>
      <c r="AX104" s="2">
        <f t="shared" si="85"/>
        <v>0.3510210816908616</v>
      </c>
      <c r="AY104" s="2">
        <f t="shared" si="86"/>
        <v>-0.81</v>
      </c>
      <c r="AZ104" s="2">
        <v>4.591911719462035E-2</v>
      </c>
      <c r="BA104" s="78">
        <f t="shared" si="118"/>
        <v>-0.20588088280537967</v>
      </c>
      <c r="BB104" s="78">
        <f t="shared" si="119"/>
        <v>-1</v>
      </c>
      <c r="BC104" s="2">
        <f t="shared" si="87"/>
        <v>-1.0474558535817999</v>
      </c>
      <c r="BD104" s="2">
        <f t="shared" si="88"/>
        <v>4.591911719462035E-2</v>
      </c>
      <c r="BE104" s="67">
        <f t="shared" si="120"/>
        <v>7</v>
      </c>
      <c r="BF104" s="2">
        <v>85</v>
      </c>
      <c r="BG104" s="2">
        <v>-0.53050874552427996</v>
      </c>
      <c r="BH104" s="2">
        <f t="shared" si="89"/>
        <v>0.34577266986341809</v>
      </c>
      <c r="BI104" s="2">
        <f t="shared" si="90"/>
        <v>-0.53050874552427996</v>
      </c>
      <c r="BJ104" s="67">
        <f t="shared" si="91"/>
        <v>7</v>
      </c>
      <c r="BK104" s="2">
        <v>12000</v>
      </c>
      <c r="BL104" s="2">
        <v>-0.5579578366182768</v>
      </c>
      <c r="BM104" s="77">
        <f t="shared" si="136"/>
        <v>0.70204216338172321</v>
      </c>
      <c r="BN104" s="77">
        <f t="shared" si="122"/>
        <v>2</v>
      </c>
      <c r="BO104" s="2">
        <f t="shared" si="92"/>
        <v>-0.3058053319140403</v>
      </c>
      <c r="BP104" s="2">
        <f t="shared" si="93"/>
        <v>-0.5579578366182768</v>
      </c>
      <c r="BQ104" s="67">
        <f t="shared" si="123"/>
        <v>7</v>
      </c>
      <c r="BR104" s="5">
        <v>-3.8803675607454</v>
      </c>
      <c r="BS104" s="75">
        <f t="shared" si="124"/>
        <v>-3.9262866779400203</v>
      </c>
      <c r="BT104" s="75">
        <f t="shared" si="125"/>
        <v>-2</v>
      </c>
      <c r="BU104" s="5" t="e">
        <f>IF(#REF!&gt;=36, IF(AND(NOT(ISBLANK(CM:CM)), NOT(ISBLANK(BD:BD))), (CM:CM-BD:BD)/2, ""), "UF")</f>
        <v>#REF!</v>
      </c>
      <c r="BV104" s="5">
        <f t="shared" si="94"/>
        <v>-3.8803675607454</v>
      </c>
      <c r="BW104" s="69">
        <f t="shared" si="95"/>
        <v>1</v>
      </c>
      <c r="BX104" s="2">
        <v>97.5</v>
      </c>
      <c r="BY104" s="5">
        <v>0.56731800959025436</v>
      </c>
      <c r="BZ104" s="74">
        <f t="shared" si="126"/>
        <v>1.125275846208531</v>
      </c>
      <c r="CA104" s="74">
        <f t="shared" si="127"/>
        <v>2</v>
      </c>
      <c r="CB104" s="5" t="str">
        <f t="shared" si="96"/>
        <v/>
      </c>
      <c r="CC104" s="5">
        <f t="shared" si="97"/>
        <v>0.56731800959025436</v>
      </c>
      <c r="CD104" s="2">
        <f t="shared" si="98"/>
        <v>1.0978267551145344</v>
      </c>
      <c r="CE104" s="69">
        <f t="shared" si="99"/>
        <v>7</v>
      </c>
      <c r="CF104" s="5">
        <v>12000</v>
      </c>
      <c r="CG104" s="5">
        <v>-1.7274159957421209</v>
      </c>
      <c r="CH104" s="72">
        <f t="shared" si="128"/>
        <v>-1.169458159123844</v>
      </c>
      <c r="CI104" s="72">
        <f t="shared" si="129"/>
        <v>-2</v>
      </c>
      <c r="CJ104" s="5" t="str">
        <f t="shared" si="100"/>
        <v/>
      </c>
      <c r="CK104" s="5">
        <f t="shared" si="101"/>
        <v>-1.7274159957421209</v>
      </c>
      <c r="CL104" s="69">
        <f t="shared" si="102"/>
        <v>7</v>
      </c>
      <c r="CN104" s="70" t="str">
        <f t="shared" si="103"/>
        <v/>
      </c>
      <c r="CO104" s="5">
        <f t="shared" si="104"/>
        <v>0</v>
      </c>
      <c r="CP104" s="5">
        <f>IF(G104&lt;48,"UF", IF(NOT(ISBLANK(CM:CM)), CM:CM, IF(BW:BW=1, BV:BV+Sheet2!B98, IF(Sheet1!BW:BW=2, Sheet1!BV:BV+Sheet2!B99, IF(Sheet1!BW:BW=7, Sheet1!BV:BV+Sheet2!B100,"")))))</f>
        <v>-3.8803675607454</v>
      </c>
      <c r="CQ104" s="69">
        <f t="shared" si="130"/>
        <v>1</v>
      </c>
      <c r="CR104" s="5" t="s">
        <v>12</v>
      </c>
      <c r="CT104" s="5" t="str">
        <f t="shared" si="105"/>
        <v/>
      </c>
      <c r="CU104" s="80">
        <f t="shared" si="106"/>
        <v>0</v>
      </c>
      <c r="CV104" s="80">
        <f t="shared" si="107"/>
        <v>-1</v>
      </c>
      <c r="CW104" s="20">
        <f>IF(G104&lt;48,"UF", IF(NOT(ISBLANK(CS104)), CS104, IF(CE104=5, CC104+Sheet2!B87, IF(CE104=6, CC104+Sheet2!B88, IF(CE104=7, CC104+Sheet2!B89,"")))))</f>
        <v>0.56731800959025436</v>
      </c>
      <c r="CX104" s="68">
        <f t="shared" si="131"/>
        <v>7</v>
      </c>
      <c r="CY104" s="5" t="s">
        <v>12</v>
      </c>
      <c r="DA104" s="5" t="str">
        <f t="shared" si="108"/>
        <v/>
      </c>
      <c r="DB104" s="73">
        <f t="shared" si="109"/>
        <v>0</v>
      </c>
      <c r="DC104" s="73">
        <f t="shared" si="110"/>
        <v>-1</v>
      </c>
      <c r="DD104" s="5">
        <f>IF(G104&lt;48,"UF", IF(NOT(ISBLANK(CZ:CZ)), CZ:CZ, IF(CL:CL=3, CK:CK+Sheet2!B92, IF(CL:CL=4, CK:CK+Sheet2!B93, IF(CL:CL=7, CK:CK+Sheet2!B94,"")))))</f>
        <v>-1.7274159957421209</v>
      </c>
      <c r="DE104" s="69">
        <f t="shared" si="111"/>
        <v>7</v>
      </c>
      <c r="DF104" s="2">
        <v>2</v>
      </c>
      <c r="DG104" s="2">
        <v>27</v>
      </c>
      <c r="DH104" s="2">
        <v>2</v>
      </c>
      <c r="DI104" s="2">
        <v>2</v>
      </c>
      <c r="DJ104" s="2">
        <v>2</v>
      </c>
      <c r="DK104" s="2">
        <v>80</v>
      </c>
      <c r="DL104" s="2">
        <v>60</v>
      </c>
      <c r="DM104" s="2" t="s">
        <v>12</v>
      </c>
      <c r="DN104" s="2" t="s">
        <v>12</v>
      </c>
      <c r="DO104" s="2" t="s">
        <v>12</v>
      </c>
      <c r="DP104" s="2" t="s">
        <v>12</v>
      </c>
      <c r="DQ104" s="2">
        <v>2</v>
      </c>
      <c r="DR104" s="2">
        <v>39</v>
      </c>
      <c r="DS104" s="2">
        <v>2</v>
      </c>
      <c r="DT104" s="2">
        <v>73</v>
      </c>
      <c r="DU104" s="2" t="s">
        <v>12</v>
      </c>
      <c r="DV104" s="2">
        <v>2</v>
      </c>
      <c r="DW104" s="2">
        <v>3</v>
      </c>
      <c r="DX104" s="2">
        <v>2</v>
      </c>
      <c r="DY104" s="2">
        <v>2</v>
      </c>
      <c r="DZ104" s="2">
        <v>35</v>
      </c>
      <c r="EA104" s="2">
        <v>37</v>
      </c>
      <c r="EB104" s="2">
        <v>46</v>
      </c>
      <c r="EC104" s="2">
        <v>1</v>
      </c>
      <c r="ED104" s="2">
        <v>1</v>
      </c>
    </row>
    <row r="105" spans="3:134" x14ac:dyDescent="0.25">
      <c r="C105" s="5">
        <v>13990225</v>
      </c>
      <c r="D105" s="2">
        <v>2501000765</v>
      </c>
      <c r="E105" s="5" t="s">
        <v>530</v>
      </c>
      <c r="F105" s="2">
        <v>2</v>
      </c>
      <c r="G105" s="2">
        <v>58</v>
      </c>
      <c r="H105" s="2">
        <v>-0.82647443910598217</v>
      </c>
      <c r="I105" s="2">
        <v>50</v>
      </c>
      <c r="J105" s="2">
        <v>6.1168777667580831E-2</v>
      </c>
      <c r="K105" s="5">
        <v>3100</v>
      </c>
      <c r="L105" s="2">
        <v>-0.51686178682742712</v>
      </c>
      <c r="M105" s="2">
        <v>-3.1730999999999998</v>
      </c>
      <c r="N105" s="2">
        <f t="shared" si="69"/>
        <v>-0.73361278044700884</v>
      </c>
      <c r="O105" s="2">
        <f t="shared" si="70"/>
        <v>-3.1730999999999998</v>
      </c>
      <c r="P105" s="2">
        <v>66</v>
      </c>
      <c r="Q105" s="2">
        <v>-0.77</v>
      </c>
      <c r="R105" s="5">
        <f t="shared" si="71"/>
        <v>-1.4505843888337904</v>
      </c>
      <c r="S105" s="5">
        <f t="shared" si="72"/>
        <v>-0.77</v>
      </c>
      <c r="T105" s="1">
        <v>5850</v>
      </c>
      <c r="U105" s="2">
        <v>-2.73</v>
      </c>
      <c r="V105" s="2">
        <f t="shared" si="73"/>
        <v>-1.3815691065862863</v>
      </c>
      <c r="W105" s="2">
        <f t="shared" si="74"/>
        <v>-2.73</v>
      </c>
      <c r="X105" s="2">
        <v>-2.2936999999999999</v>
      </c>
      <c r="Y105" s="76">
        <f t="shared" si="112"/>
        <v>-1.4672255608940177</v>
      </c>
      <c r="Z105" s="76">
        <f t="shared" si="113"/>
        <v>-2</v>
      </c>
      <c r="AA105" s="2">
        <f t="shared" si="75"/>
        <v>-1.5149999999999999</v>
      </c>
      <c r="AB105" s="2">
        <f t="shared" si="76"/>
        <v>-2.2936999999999999</v>
      </c>
      <c r="AC105" s="2">
        <v>69</v>
      </c>
      <c r="AD105" s="2">
        <v>-2.84</v>
      </c>
      <c r="AE105" s="79">
        <f t="shared" si="114"/>
        <v>-2.9011687776675807</v>
      </c>
      <c r="AF105" s="79">
        <f t="shared" si="115"/>
        <v>-2</v>
      </c>
      <c r="AG105" s="2">
        <f t="shared" si="134"/>
        <v>-0.40500000000000003</v>
      </c>
      <c r="AH105" s="2">
        <f t="shared" si="78"/>
        <v>-2.84</v>
      </c>
      <c r="AI105" s="2">
        <v>6700</v>
      </c>
      <c r="AJ105" s="2">
        <v>-3.28</v>
      </c>
      <c r="AK105" s="76">
        <f t="shared" si="116"/>
        <v>-2.7631382131725726</v>
      </c>
      <c r="AL105" s="76">
        <f t="shared" si="117"/>
        <v>-2</v>
      </c>
      <c r="AM105" s="2">
        <f t="shared" si="79"/>
        <v>-0.36499999999999999</v>
      </c>
      <c r="AN105" s="2">
        <f t="shared" si="80"/>
        <v>-3.28</v>
      </c>
      <c r="AO105" s="2">
        <v>-3.8</v>
      </c>
      <c r="AP105" s="2">
        <f t="shared" si="81"/>
        <v>-1.4737282855091254</v>
      </c>
      <c r="AQ105" s="2">
        <f t="shared" si="82"/>
        <v>-3.8</v>
      </c>
      <c r="AR105" s="2">
        <v>78</v>
      </c>
      <c r="AS105" s="2">
        <v>-1.58</v>
      </c>
      <c r="AT105" s="2">
        <f t="shared" si="83"/>
        <v>0.94104615785349299</v>
      </c>
      <c r="AU105" s="2">
        <f t="shared" si="84"/>
        <v>-1.58</v>
      </c>
      <c r="AV105" s="2">
        <v>7400</v>
      </c>
      <c r="AW105" s="2">
        <v>-3.46</v>
      </c>
      <c r="AX105" s="2">
        <f t="shared" si="85"/>
        <v>-0.31565066618653415</v>
      </c>
      <c r="AY105" s="2">
        <f t="shared" si="86"/>
        <v>-3.46</v>
      </c>
      <c r="AZ105" s="2">
        <v>-5.2411565710182506</v>
      </c>
      <c r="BA105" s="78">
        <f t="shared" si="118"/>
        <v>-2.9474565710182508</v>
      </c>
      <c r="BB105" s="78">
        <f t="shared" si="119"/>
        <v>-2</v>
      </c>
      <c r="BC105" s="2">
        <f t="shared" si="87"/>
        <v>-0.76946195110959881</v>
      </c>
      <c r="BD105" s="2">
        <f t="shared" si="88"/>
        <v>-5.2411565710182506</v>
      </c>
      <c r="BE105" s="67">
        <f t="shared" si="120"/>
        <v>1</v>
      </c>
      <c r="BF105" s="2">
        <v>83.5</v>
      </c>
      <c r="BG105" s="2">
        <v>-0.95790768429301398</v>
      </c>
      <c r="BH105" s="2">
        <f t="shared" si="89"/>
        <v>0.23716471826555793</v>
      </c>
      <c r="BI105" s="2">
        <f t="shared" si="90"/>
        <v>-0.95790768429301398</v>
      </c>
      <c r="BJ105" s="67">
        <f t="shared" si="91"/>
        <v>7</v>
      </c>
      <c r="BK105" s="2">
        <v>8500</v>
      </c>
      <c r="BL105" s="2">
        <v>-3.9113013323730681</v>
      </c>
      <c r="BM105" s="77">
        <f t="shared" si="136"/>
        <v>-0.63130133237306829</v>
      </c>
      <c r="BN105" s="77">
        <f t="shared" si="122"/>
        <v>-1</v>
      </c>
      <c r="BO105" s="2">
        <f t="shared" si="92"/>
        <v>-0.22126059257621181</v>
      </c>
      <c r="BP105" s="2">
        <f t="shared" si="93"/>
        <v>-3.9113013323730681</v>
      </c>
      <c r="BQ105" s="67">
        <f t="shared" si="123"/>
        <v>3</v>
      </c>
      <c r="BR105" s="5">
        <v>-6.1083858533287962</v>
      </c>
      <c r="BS105" s="75">
        <f t="shared" si="124"/>
        <v>-0.86722928231054563</v>
      </c>
      <c r="BT105" s="75">
        <f t="shared" si="125"/>
        <v>-2</v>
      </c>
      <c r="BU105" s="5">
        <f>IF(G112&gt;=36, IF(AND(NOT(ISBLANK(CM:CM)), NOT(ISBLANK(BD:BD))), (CM:CM-BD:BD)/2, ""), "UF")</f>
        <v>1.7021835984458757</v>
      </c>
      <c r="BV105" s="5">
        <f t="shared" si="94"/>
        <v>-6.1083858533287962</v>
      </c>
      <c r="BW105" s="69">
        <f t="shared" si="95"/>
        <v>1</v>
      </c>
      <c r="BX105" s="2">
        <v>92</v>
      </c>
      <c r="BY105" s="5">
        <v>-0.8685058452033263</v>
      </c>
      <c r="BZ105" s="74">
        <f t="shared" si="126"/>
        <v>3.0427954871697418</v>
      </c>
      <c r="CA105" s="74">
        <f t="shared" si="127"/>
        <v>2</v>
      </c>
      <c r="CB105" s="5">
        <f t="shared" si="96"/>
        <v>-0.65234904445687758</v>
      </c>
      <c r="CC105" s="5">
        <f t="shared" si="97"/>
        <v>-0.8685058452033263</v>
      </c>
      <c r="CD105" s="2">
        <f t="shared" si="98"/>
        <v>8.9401839089687685E-2</v>
      </c>
      <c r="CE105" s="69">
        <f t="shared" si="99"/>
        <v>7</v>
      </c>
      <c r="CF105" s="5">
        <v>9600</v>
      </c>
      <c r="CG105" s="5">
        <v>-4.1237817777286354</v>
      </c>
      <c r="CH105" s="72">
        <f t="shared" si="128"/>
        <v>-0.21248044535556732</v>
      </c>
      <c r="CI105" s="72">
        <f t="shared" si="129"/>
        <v>-1</v>
      </c>
      <c r="CJ105" s="5">
        <f t="shared" si="100"/>
        <v>0.47655835741485908</v>
      </c>
      <c r="CK105" s="5">
        <f t="shared" si="101"/>
        <v>-4.1237817777286354</v>
      </c>
      <c r="CL105" s="69">
        <f t="shared" si="102"/>
        <v>3</v>
      </c>
      <c r="CM105" s="5">
        <v>-1.8367893741264989</v>
      </c>
      <c r="CN105" s="70">
        <f t="shared" si="103"/>
        <v>4.2715964792022971</v>
      </c>
      <c r="CO105" s="5">
        <f t="shared" si="104"/>
        <v>4.2715964792022971</v>
      </c>
      <c r="CP105" s="5">
        <f>IF(G105&lt;48,"UF", IF(NOT(ISBLANK(CM:CM)), CM:CM, IF(BW:BW=1, BV:BV+Sheet2!B22, IF(Sheet1!BW:BW=2, Sheet1!BV:BV+Sheet2!B23, IF(Sheet1!BW:BW=7, Sheet1!BV:BV+Sheet2!B24,"")))))</f>
        <v>-1.8367893741264989</v>
      </c>
      <c r="CQ105" s="69">
        <f t="shared" si="130"/>
        <v>7</v>
      </c>
      <c r="CR105" s="5">
        <v>93</v>
      </c>
      <c r="CS105" s="5">
        <v>-2.262605773206769</v>
      </c>
      <c r="CT105" s="5">
        <f t="shared" si="105"/>
        <v>-1.3940999280034427</v>
      </c>
      <c r="CU105" s="80">
        <f t="shared" si="106"/>
        <v>-1.3940999280034427</v>
      </c>
      <c r="CV105" s="80">
        <f t="shared" si="107"/>
        <v>-2</v>
      </c>
      <c r="CW105" s="20">
        <f>IF(G105&lt;48,"UF", IF(NOT(ISBLANK(CS105)), CS105, IF(CE105=5, CC105+Sheet2!B11, IF(CE105=6, CC105+Sheet2!B12, IF(CE105=7, CC105+Sheet2!B13,"")))))</f>
        <v>-2.262605773206769</v>
      </c>
      <c r="CX105" s="68">
        <f t="shared" si="131"/>
        <v>6</v>
      </c>
      <c r="CY105" s="5">
        <v>12000</v>
      </c>
      <c r="CZ105" s="5">
        <v>-2.9581846175433499</v>
      </c>
      <c r="DA105" s="5">
        <f t="shared" si="108"/>
        <v>1.1655971601852855</v>
      </c>
      <c r="DB105" s="73">
        <f t="shared" si="109"/>
        <v>1.1655971601852855</v>
      </c>
      <c r="DC105" s="73">
        <f t="shared" si="110"/>
        <v>2</v>
      </c>
      <c r="DD105" s="5">
        <f>IF(G105&lt;48,"UF", IF(NOT(ISBLANK(CZ:CZ)), CZ:CZ, IF(CL:CL=3, CK:CK+Sheet2!B16, IF(CL:CL=4, CK:CK+Sheet2!B17, IF(CL:CL=7, CK:CK+Sheet2!B18,"")))))</f>
        <v>-2.9581846175433499</v>
      </c>
      <c r="DE105" s="69">
        <f t="shared" si="111"/>
        <v>4</v>
      </c>
      <c r="DF105" s="2">
        <v>3</v>
      </c>
      <c r="DG105" s="2">
        <v>31</v>
      </c>
      <c r="DH105" s="2">
        <v>2</v>
      </c>
      <c r="DI105" s="2">
        <v>2</v>
      </c>
      <c r="DJ105" s="2">
        <v>2</v>
      </c>
      <c r="DK105" s="2">
        <v>100</v>
      </c>
      <c r="DL105" s="2">
        <v>60</v>
      </c>
      <c r="DM105" s="2">
        <v>90</v>
      </c>
      <c r="DN105" s="2">
        <v>60</v>
      </c>
      <c r="DO105" s="2">
        <v>100</v>
      </c>
      <c r="DP105" s="2">
        <v>60</v>
      </c>
      <c r="DQ105" s="2">
        <v>2</v>
      </c>
      <c r="DR105" s="2">
        <v>40</v>
      </c>
      <c r="DS105" s="2">
        <v>2</v>
      </c>
      <c r="DT105" s="2">
        <v>83</v>
      </c>
      <c r="DU105" s="2">
        <v>71</v>
      </c>
      <c r="DV105" s="2">
        <v>3</v>
      </c>
      <c r="DW105" s="2">
        <v>2</v>
      </c>
      <c r="DX105" s="2">
        <v>2</v>
      </c>
      <c r="DY105" s="2">
        <v>1</v>
      </c>
      <c r="DZ105" s="2">
        <v>33</v>
      </c>
      <c r="EA105" s="2">
        <v>36</v>
      </c>
      <c r="EB105" s="2">
        <v>46.5</v>
      </c>
      <c r="EC105" s="2">
        <v>1</v>
      </c>
      <c r="ED105" s="2">
        <v>1</v>
      </c>
    </row>
    <row r="106" spans="3:134" x14ac:dyDescent="0.25">
      <c r="C106" s="8" t="s">
        <v>253</v>
      </c>
      <c r="D106" s="8">
        <v>2501000791</v>
      </c>
      <c r="E106" s="5">
        <v>7</v>
      </c>
      <c r="F106" s="2">
        <v>1</v>
      </c>
      <c r="G106" s="2">
        <v>58</v>
      </c>
      <c r="H106" s="2">
        <v>-0.87464581685903731</v>
      </c>
      <c r="I106" s="2">
        <v>50</v>
      </c>
      <c r="J106" s="2">
        <v>0.45756143734440202</v>
      </c>
      <c r="K106" s="2">
        <v>3075</v>
      </c>
      <c r="L106" s="2">
        <v>-0.3485120825123813</v>
      </c>
      <c r="N106" s="2" t="str">
        <f t="shared" si="69"/>
        <v/>
      </c>
      <c r="O106" s="2" t="e">
        <f t="shared" si="70"/>
        <v>#VALUE!</v>
      </c>
      <c r="P106" s="2" t="s">
        <v>12</v>
      </c>
      <c r="R106" s="5" t="str">
        <f t="shared" si="71"/>
        <v/>
      </c>
      <c r="S106" s="5" t="e">
        <f t="shared" si="72"/>
        <v>#VALUE!</v>
      </c>
      <c r="T106" s="2" t="s">
        <v>12</v>
      </c>
      <c r="V106" s="2" t="str">
        <f t="shared" si="73"/>
        <v/>
      </c>
      <c r="W106" s="2" t="e">
        <f t="shared" si="74"/>
        <v>#VALUE!</v>
      </c>
      <c r="Y106" s="76" t="e">
        <f t="shared" si="112"/>
        <v>#VALUE!</v>
      </c>
      <c r="Z106" s="76" t="e">
        <f t="shared" si="113"/>
        <v>#VALUE!</v>
      </c>
      <c r="AA106" s="2" t="str">
        <f t="shared" si="75"/>
        <v/>
      </c>
      <c r="AB106" s="2" t="e">
        <f t="shared" si="76"/>
        <v>#VALUE!</v>
      </c>
      <c r="AC106" s="2" t="s">
        <v>12</v>
      </c>
      <c r="AE106" s="79" t="e">
        <f t="shared" si="114"/>
        <v>#VALUE!</v>
      </c>
      <c r="AF106" s="79" t="e">
        <f t="shared" si="115"/>
        <v>#VALUE!</v>
      </c>
      <c r="AG106" s="2" t="str">
        <f t="shared" si="134"/>
        <v/>
      </c>
      <c r="AH106" s="2" t="e">
        <f t="shared" si="78"/>
        <v>#VALUE!</v>
      </c>
      <c r="AI106" s="2" t="s">
        <v>12</v>
      </c>
      <c r="AK106" s="76" t="e">
        <f t="shared" si="116"/>
        <v>#VALUE!</v>
      </c>
      <c r="AL106" s="76" t="e">
        <f t="shared" si="117"/>
        <v>#VALUE!</v>
      </c>
      <c r="AM106" s="2" t="str">
        <f t="shared" si="79"/>
        <v/>
      </c>
      <c r="AN106" s="2" t="e">
        <f t="shared" si="80"/>
        <v>#VALUE!</v>
      </c>
      <c r="AP106" s="2" t="str">
        <f t="shared" si="81"/>
        <v/>
      </c>
      <c r="AQ106" s="2" t="e">
        <f t="shared" si="82"/>
        <v>#VALUE!</v>
      </c>
      <c r="AR106" s="2" t="s">
        <v>12</v>
      </c>
      <c r="AT106" s="2" t="str">
        <f t="shared" si="83"/>
        <v/>
      </c>
      <c r="AU106" s="2" t="e">
        <f t="shared" si="84"/>
        <v>#VALUE!</v>
      </c>
      <c r="AV106" s="2" t="s">
        <v>12</v>
      </c>
      <c r="AX106" s="2" t="str">
        <f t="shared" si="85"/>
        <v/>
      </c>
      <c r="AY106" s="2" t="e">
        <f t="shared" si="86"/>
        <v>#VALUE!</v>
      </c>
      <c r="BA106" s="78" t="e">
        <f t="shared" si="118"/>
        <v>#VALUE!</v>
      </c>
      <c r="BB106" s="78" t="e">
        <f t="shared" si="119"/>
        <v>#VALUE!</v>
      </c>
      <c r="BC106" s="2" t="str">
        <f t="shared" si="87"/>
        <v/>
      </c>
      <c r="BD106" s="2" t="e">
        <f t="shared" si="88"/>
        <v>#VALUE!</v>
      </c>
      <c r="BE106" s="67" t="e">
        <f t="shared" si="120"/>
        <v>#VALUE!</v>
      </c>
      <c r="BF106" s="2" t="s">
        <v>12</v>
      </c>
      <c r="BH106" s="2" t="str">
        <f t="shared" si="89"/>
        <v/>
      </c>
      <c r="BI106" s="2" t="e">
        <f t="shared" si="90"/>
        <v>#VALUE!</v>
      </c>
      <c r="BJ106" s="67" t="e">
        <f t="shared" si="91"/>
        <v>#VALUE!</v>
      </c>
      <c r="BK106" s="2" t="s">
        <v>12</v>
      </c>
      <c r="BM106" s="77" t="e">
        <f t="shared" si="136"/>
        <v>#VALUE!</v>
      </c>
      <c r="BN106" s="77" t="e">
        <f t="shared" si="122"/>
        <v>#VALUE!</v>
      </c>
      <c r="BO106" s="2" t="str">
        <f t="shared" si="92"/>
        <v/>
      </c>
      <c r="BP106" s="2" t="e">
        <f t="shared" si="93"/>
        <v>#VALUE!</v>
      </c>
      <c r="BQ106" s="67" t="e">
        <f t="shared" si="123"/>
        <v>#VALUE!</v>
      </c>
      <c r="BS106" s="75" t="e">
        <f t="shared" si="124"/>
        <v>#VALUE!</v>
      </c>
      <c r="BT106" s="75" t="e">
        <f t="shared" si="125"/>
        <v>#VALUE!</v>
      </c>
      <c r="BU106" s="5" t="e">
        <f>IF(G114&gt;=36, IF(AND(NOT(ISBLANK(CM:CM)), NOT(ISBLANK(BD:BD))), (CM:CM-BD:BD)/2, ""), "UF")</f>
        <v>#VALUE!</v>
      </c>
      <c r="BV106" s="5" t="e">
        <f t="shared" si="94"/>
        <v>#VALUE!</v>
      </c>
      <c r="BW106" s="69" t="e">
        <f t="shared" si="95"/>
        <v>#VALUE!</v>
      </c>
      <c r="BX106" s="2" t="s">
        <v>12</v>
      </c>
      <c r="BZ106" s="74" t="e">
        <f t="shared" si="126"/>
        <v>#VALUE!</v>
      </c>
      <c r="CA106" s="74" t="e">
        <f t="shared" si="127"/>
        <v>#VALUE!</v>
      </c>
      <c r="CB106" s="5" t="e">
        <f t="shared" si="96"/>
        <v>#VALUE!</v>
      </c>
      <c r="CC106" s="5" t="e">
        <f t="shared" si="97"/>
        <v>#VALUE!</v>
      </c>
      <c r="CD106" s="2" t="e">
        <f t="shared" si="98"/>
        <v>#VALUE!</v>
      </c>
      <c r="CE106" s="69" t="e">
        <f t="shared" si="99"/>
        <v>#VALUE!</v>
      </c>
      <c r="CF106" s="5" t="s">
        <v>12</v>
      </c>
      <c r="CH106" s="72" t="e">
        <f t="shared" si="128"/>
        <v>#VALUE!</v>
      </c>
      <c r="CI106" s="72" t="e">
        <f t="shared" si="129"/>
        <v>#VALUE!</v>
      </c>
      <c r="CJ106" s="5" t="e">
        <f t="shared" si="100"/>
        <v>#VALUE!</v>
      </c>
      <c r="CK106" s="5" t="e">
        <f t="shared" si="101"/>
        <v>#VALUE!</v>
      </c>
      <c r="CL106" s="69" t="e">
        <f t="shared" si="102"/>
        <v>#VALUE!</v>
      </c>
      <c r="CM106" s="5">
        <v>-0.62790647566884583</v>
      </c>
      <c r="CN106" s="70" t="e">
        <f t="shared" si="103"/>
        <v>#VALUE!</v>
      </c>
      <c r="CO106" s="5" t="e">
        <f t="shared" si="104"/>
        <v>#VALUE!</v>
      </c>
      <c r="CP106" s="5">
        <f>IF(G106&lt;48,"UF", IF(NOT(ISBLANK(CM:CM)), CM:CM, IF(BW:BW=1, BV:BV+Sheet2!B448, IF(Sheet1!BW:BW=2, Sheet1!BV:BV+Sheet2!B449, IF(Sheet1!BW:BW=7, Sheet1!BV:BV+Sheet2!B450,"")))))</f>
        <v>-0.62790647566884583</v>
      </c>
      <c r="CQ106" s="69">
        <f t="shared" si="130"/>
        <v>7</v>
      </c>
      <c r="CR106" s="5">
        <v>102</v>
      </c>
      <c r="CS106" s="5">
        <v>0.22021937188297969</v>
      </c>
      <c r="CT106" s="5" t="e">
        <f t="shared" si="105"/>
        <v>#VALUE!</v>
      </c>
      <c r="CU106" s="80" t="e">
        <f t="shared" si="106"/>
        <v>#VALUE!</v>
      </c>
      <c r="CV106" s="80" t="e">
        <f t="shared" si="107"/>
        <v>#VALUE!</v>
      </c>
      <c r="CW106" s="20">
        <f>IF(G106&lt;48,"UF", IF(NOT(ISBLANK(CS106)), CS106, IF(CE106=5, CC106+Sheet2!B437, IF(CE106=6, CC106+Sheet2!B438, IF(CE106=7, CC106+Sheet2!B439,"")))))</f>
        <v>0.22021937188297969</v>
      </c>
      <c r="CX106" s="68">
        <f t="shared" si="131"/>
        <v>7</v>
      </c>
      <c r="CY106" s="5">
        <v>15200</v>
      </c>
      <c r="CZ106" s="5">
        <v>-0.33986503647187699</v>
      </c>
      <c r="DA106" s="5" t="e">
        <f t="shared" si="108"/>
        <v>#VALUE!</v>
      </c>
      <c r="DB106" s="73" t="e">
        <f t="shared" si="109"/>
        <v>#VALUE!</v>
      </c>
      <c r="DC106" s="73" t="e">
        <f t="shared" si="110"/>
        <v>#VALUE!</v>
      </c>
      <c r="DD106" s="5">
        <f>IF(G106&lt;48,"UF", IF(NOT(ISBLANK(CZ:CZ)), CZ:CZ, IF(CL:CL=3, CK:CK+Sheet2!B442, IF(CL:CL=4, CK:CK+Sheet2!B443, IF(CL:CL=7, CK:CK+Sheet2!B444,"")))))</f>
        <v>-0.33986503647187699</v>
      </c>
      <c r="DE106" s="69">
        <f t="shared" si="111"/>
        <v>7</v>
      </c>
      <c r="DF106" s="2">
        <v>2</v>
      </c>
      <c r="DG106" s="2">
        <v>45</v>
      </c>
      <c r="DH106" s="2">
        <v>1</v>
      </c>
      <c r="DI106" s="2">
        <v>2</v>
      </c>
      <c r="DJ106" s="2">
        <v>3</v>
      </c>
      <c r="DK106" s="2" t="s">
        <v>12</v>
      </c>
      <c r="DL106" s="2" t="s">
        <v>12</v>
      </c>
      <c r="DM106" s="2" t="s">
        <v>12</v>
      </c>
      <c r="DN106" s="2" t="s">
        <v>12</v>
      </c>
      <c r="DO106" s="2" t="s">
        <v>12</v>
      </c>
      <c r="DP106" s="2" t="s">
        <v>12</v>
      </c>
      <c r="DQ106" s="2">
        <v>2</v>
      </c>
      <c r="DR106" s="2">
        <v>38</v>
      </c>
      <c r="DS106" s="2">
        <v>2</v>
      </c>
      <c r="DT106" s="2">
        <v>81</v>
      </c>
      <c r="DU106" s="2" t="s">
        <v>12</v>
      </c>
      <c r="DV106" s="2">
        <v>3</v>
      </c>
      <c r="DW106" s="2">
        <v>3</v>
      </c>
      <c r="DX106" s="2">
        <v>3</v>
      </c>
      <c r="DY106" s="2">
        <v>3</v>
      </c>
      <c r="DZ106" s="2">
        <v>33.5</v>
      </c>
      <c r="EA106" s="2" t="s">
        <v>12</v>
      </c>
      <c r="EB106" s="2" t="s">
        <v>12</v>
      </c>
      <c r="EC106" s="2" t="s">
        <v>12</v>
      </c>
      <c r="ED106" s="2" t="s">
        <v>12</v>
      </c>
    </row>
    <row r="107" spans="3:134" x14ac:dyDescent="0.25">
      <c r="C107" s="8" t="s">
        <v>268</v>
      </c>
      <c r="D107" s="8">
        <v>2501000846</v>
      </c>
      <c r="E107" s="5">
        <v>7</v>
      </c>
      <c r="F107" s="2">
        <v>2</v>
      </c>
      <c r="G107" s="2">
        <v>58</v>
      </c>
      <c r="H107" s="2">
        <v>-1.6445271821633869</v>
      </c>
      <c r="I107" s="2">
        <v>47</v>
      </c>
      <c r="J107" s="2">
        <v>-1.5235289479443319</v>
      </c>
      <c r="K107" s="2">
        <v>2540</v>
      </c>
      <c r="L107" s="2">
        <v>-1.800310802253857</v>
      </c>
      <c r="M107" s="2">
        <v>-2.6236999999999999</v>
      </c>
      <c r="N107" s="2">
        <f t="shared" si="69"/>
        <v>-3.7864089183065053E-3</v>
      </c>
      <c r="O107" s="2">
        <f t="shared" si="70"/>
        <v>-2.6236999999999999</v>
      </c>
      <c r="P107" s="2">
        <v>67</v>
      </c>
      <c r="Q107" s="2">
        <v>-0.3</v>
      </c>
      <c r="R107" s="5">
        <f t="shared" si="71"/>
        <v>-0.12823552602783406</v>
      </c>
      <c r="S107" s="5">
        <f t="shared" si="72"/>
        <v>-0.3</v>
      </c>
      <c r="T107" s="2">
        <v>6300</v>
      </c>
      <c r="U107" s="2">
        <v>-2.08</v>
      </c>
      <c r="V107" s="2">
        <f t="shared" si="73"/>
        <v>-0.20984459887307161</v>
      </c>
      <c r="W107" s="2">
        <f t="shared" si="74"/>
        <v>-2.08</v>
      </c>
      <c r="X107" s="2">
        <v>-1.6520999999999999</v>
      </c>
      <c r="Y107" s="76">
        <f t="shared" si="112"/>
        <v>-7.5728178366130106E-3</v>
      </c>
      <c r="Z107" s="76">
        <f t="shared" si="113"/>
        <v>-1</v>
      </c>
      <c r="AA107" s="2">
        <f t="shared" si="75"/>
        <v>-0.65354999999999996</v>
      </c>
      <c r="AB107" s="2">
        <f t="shared" si="76"/>
        <v>-1.6520999999999999</v>
      </c>
      <c r="AC107" s="2">
        <v>71.5</v>
      </c>
      <c r="AD107" s="2">
        <v>-1.78</v>
      </c>
      <c r="AE107" s="79">
        <f t="shared" si="114"/>
        <v>-0.25647105205566811</v>
      </c>
      <c r="AF107" s="79">
        <f t="shared" si="115"/>
        <v>-1</v>
      </c>
      <c r="AG107" s="2">
        <f t="shared" si="134"/>
        <v>-0.54499999999999993</v>
      </c>
      <c r="AH107" s="2">
        <f t="shared" si="78"/>
        <v>-1.78</v>
      </c>
      <c r="AI107" s="2">
        <v>7550</v>
      </c>
      <c r="AJ107" s="2">
        <v>-2.2200000000000002</v>
      </c>
      <c r="AK107" s="76">
        <f t="shared" si="116"/>
        <v>-0.41968919774614322</v>
      </c>
      <c r="AL107" s="76">
        <f t="shared" si="117"/>
        <v>-1</v>
      </c>
      <c r="AM107" s="2">
        <f t="shared" si="79"/>
        <v>6.5000000000000058E-2</v>
      </c>
      <c r="AN107" s="2">
        <f t="shared" si="80"/>
        <v>-2.2200000000000002</v>
      </c>
      <c r="AO107" s="2">
        <v>-1.6071</v>
      </c>
      <c r="AP107" s="2">
        <f t="shared" si="81"/>
        <v>-0.69474902559162799</v>
      </c>
      <c r="AQ107" s="2">
        <f t="shared" si="82"/>
        <v>-1.6071</v>
      </c>
      <c r="AR107" s="2">
        <v>78.5</v>
      </c>
      <c r="AS107" s="2">
        <v>-1.39</v>
      </c>
      <c r="AT107" s="2">
        <f t="shared" si="83"/>
        <v>0.62474562723785998</v>
      </c>
      <c r="AU107" s="2">
        <f t="shared" si="84"/>
        <v>-1.39</v>
      </c>
      <c r="AV107" s="2">
        <v>8800</v>
      </c>
      <c r="AW107" s="2">
        <v>-1.95</v>
      </c>
      <c r="AX107" s="2">
        <f t="shared" si="85"/>
        <v>-0.13848408962483338</v>
      </c>
      <c r="AY107" s="2">
        <f t="shared" si="86"/>
        <v>-1.95</v>
      </c>
      <c r="AZ107" s="2">
        <v>-3.0415980511832559</v>
      </c>
      <c r="BA107" s="78">
        <f t="shared" si="118"/>
        <v>-1.389498051183256</v>
      </c>
      <c r="BB107" s="78">
        <f t="shared" si="119"/>
        <v>-2</v>
      </c>
      <c r="BC107" s="2" t="str">
        <f t="shared" si="87"/>
        <v/>
      </c>
      <c r="BD107" s="2">
        <f t="shared" si="88"/>
        <v>-3.0415980511832559</v>
      </c>
      <c r="BE107" s="67">
        <f t="shared" si="120"/>
        <v>1</v>
      </c>
      <c r="BF107" s="2">
        <v>85</v>
      </c>
      <c r="BG107" s="2">
        <v>-0.53050874552427996</v>
      </c>
      <c r="BH107" s="2">
        <f t="shared" si="89"/>
        <v>0.30823428652330892</v>
      </c>
      <c r="BI107" s="2">
        <f t="shared" si="90"/>
        <v>-0.53050874552427996</v>
      </c>
      <c r="BJ107" s="67">
        <f t="shared" si="91"/>
        <v>7</v>
      </c>
      <c r="BK107" s="2">
        <v>9800</v>
      </c>
      <c r="BL107" s="2">
        <v>-2.496968179249667</v>
      </c>
      <c r="BM107" s="77">
        <f t="shared" si="136"/>
        <v>-0.27696817924966677</v>
      </c>
      <c r="BN107" s="77">
        <f t="shared" si="122"/>
        <v>-1</v>
      </c>
      <c r="BO107" s="2" t="str">
        <f t="shared" si="92"/>
        <v/>
      </c>
      <c r="BP107" s="2">
        <f t="shared" si="93"/>
        <v>-2.496968179249667</v>
      </c>
      <c r="BQ107" s="67">
        <f t="shared" si="123"/>
        <v>4</v>
      </c>
      <c r="BS107" s="75">
        <f t="shared" si="124"/>
        <v>0.64781527234620739</v>
      </c>
      <c r="BT107" s="75">
        <f t="shared" si="125"/>
        <v>1</v>
      </c>
      <c r="BU107" s="5">
        <f>IF(G115&gt;=36, IF(AND(NOT(ISBLANK(CM:CM)), NOT(ISBLANK(BD:BD))), (CM:CM-BD:BD)/2, ""), "UF")</f>
        <v>0.64781527234620739</v>
      </c>
      <c r="BV107" s="5">
        <f t="shared" si="94"/>
        <v>-2.3937827788370485</v>
      </c>
      <c r="BW107" s="69">
        <f t="shared" si="95"/>
        <v>2</v>
      </c>
      <c r="BX107" s="2">
        <v>93.5</v>
      </c>
      <c r="BY107" s="5">
        <v>-0.46529714043007309</v>
      </c>
      <c r="BZ107" s="74">
        <f t="shared" si="126"/>
        <v>2.031671038819594</v>
      </c>
      <c r="CA107" s="74">
        <f t="shared" si="127"/>
        <v>2</v>
      </c>
      <c r="CB107" s="5">
        <f t="shared" si="96"/>
        <v>-0.38791550276389303</v>
      </c>
      <c r="CC107" s="5">
        <f t="shared" si="97"/>
        <v>-0.46529714043007309</v>
      </c>
      <c r="CD107" s="2">
        <f t="shared" si="98"/>
        <v>6.521160509420687E-2</v>
      </c>
      <c r="CE107" s="69">
        <f t="shared" si="99"/>
        <v>7</v>
      </c>
      <c r="CF107" s="5" t="s">
        <v>12</v>
      </c>
      <c r="CH107" s="72">
        <f t="shared" si="128"/>
        <v>0.24426734840686759</v>
      </c>
      <c r="CI107" s="72">
        <f t="shared" si="129"/>
        <v>1</v>
      </c>
      <c r="CJ107" s="5">
        <f t="shared" si="100"/>
        <v>0.24426734840686759</v>
      </c>
      <c r="CK107" s="5">
        <f t="shared" si="101"/>
        <v>-2.2527008308427994</v>
      </c>
      <c r="CL107" s="69">
        <f t="shared" si="102"/>
        <v>4</v>
      </c>
      <c r="CM107" s="5">
        <v>-1.7459675064908411</v>
      </c>
      <c r="CN107" s="70">
        <f t="shared" si="103"/>
        <v>0.64781527234620739</v>
      </c>
      <c r="CO107" s="5">
        <f t="shared" si="104"/>
        <v>0.64781527234620739</v>
      </c>
      <c r="CP107" s="5">
        <f>IF(G107&lt;48,"UF", IF(NOT(ISBLANK(CM:CM)), CM:CM, IF(BW:BW=1, BV:BV+Sheet2!B472, IF(Sheet1!BW:BW=2, Sheet1!BV:BV+Sheet2!B473, IF(Sheet1!BW:BW=7, Sheet1!BV:BV+Sheet2!B474,"")))))</f>
        <v>-1.7459675064908411</v>
      </c>
      <c r="CQ107" s="69">
        <f t="shared" si="130"/>
        <v>7</v>
      </c>
      <c r="CR107" s="5">
        <v>97</v>
      </c>
      <c r="CS107" s="5">
        <v>-1.306339751052066</v>
      </c>
      <c r="CT107" s="5">
        <f t="shared" si="105"/>
        <v>-0.84104261062199293</v>
      </c>
      <c r="CU107" s="80">
        <f t="shared" si="106"/>
        <v>-0.84104261062199293</v>
      </c>
      <c r="CV107" s="80">
        <f t="shared" si="107"/>
        <v>-2</v>
      </c>
      <c r="CW107" s="20">
        <f>IF(G107&lt;48,"UF", IF(NOT(ISBLANK(CS107)), CS107, IF(CE107=5, CC107+Sheet2!B461, IF(CE107=6, CC107+Sheet2!B462, IF(CE107=7, CC107+Sheet2!B463,"")))))</f>
        <v>-1.306339751052066</v>
      </c>
      <c r="CX107" s="68">
        <f t="shared" si="131"/>
        <v>7</v>
      </c>
      <c r="CY107" s="5">
        <v>12400</v>
      </c>
      <c r="CZ107" s="5">
        <v>-2.0084334824359318</v>
      </c>
      <c r="DA107" s="5">
        <f t="shared" si="108"/>
        <v>0.24426734840686759</v>
      </c>
      <c r="DB107" s="73">
        <f t="shared" si="109"/>
        <v>0.24426734840686759</v>
      </c>
      <c r="DC107" s="73">
        <f t="shared" si="110"/>
        <v>1</v>
      </c>
      <c r="DD107" s="5">
        <f>IF(G107&lt;48,"UF", IF(NOT(ISBLANK(CZ:CZ)), CZ:CZ, IF(CL:CL=3, CK:CK+Sheet2!B466, IF(CL:CL=4, CK:CK+Sheet2!B467, IF(CL:CL=7, CK:CK+Sheet2!B468,"")))))</f>
        <v>-2.0084334824359318</v>
      </c>
      <c r="DE107" s="69">
        <f t="shared" si="111"/>
        <v>4</v>
      </c>
      <c r="DF107" s="2">
        <v>2</v>
      </c>
      <c r="DG107" s="2">
        <v>40</v>
      </c>
      <c r="DH107" s="2">
        <v>1</v>
      </c>
      <c r="DI107" s="2">
        <v>2</v>
      </c>
      <c r="DJ107" s="2">
        <v>2</v>
      </c>
      <c r="DK107" s="2">
        <v>100</v>
      </c>
      <c r="DL107" s="2">
        <v>60</v>
      </c>
      <c r="DM107" s="2">
        <v>100</v>
      </c>
      <c r="DN107" s="2">
        <v>60</v>
      </c>
      <c r="DO107" s="2">
        <v>100</v>
      </c>
      <c r="DP107" s="2">
        <v>60</v>
      </c>
      <c r="DQ107" s="2">
        <v>2</v>
      </c>
      <c r="DR107" s="2">
        <v>39</v>
      </c>
      <c r="DS107" s="2">
        <v>1</v>
      </c>
      <c r="DT107" s="2">
        <v>91</v>
      </c>
      <c r="DU107" s="2">
        <v>83</v>
      </c>
      <c r="DV107" s="2">
        <v>2</v>
      </c>
      <c r="DW107" s="2">
        <v>3</v>
      </c>
      <c r="DX107" s="2">
        <v>2</v>
      </c>
      <c r="DY107" s="2">
        <v>3</v>
      </c>
      <c r="DZ107" s="2">
        <v>34</v>
      </c>
      <c r="EA107" s="2">
        <v>35</v>
      </c>
      <c r="EB107" s="2">
        <v>44</v>
      </c>
      <c r="EC107" s="2">
        <v>1</v>
      </c>
      <c r="ED107" s="2">
        <v>1</v>
      </c>
    </row>
    <row r="108" spans="3:134" x14ac:dyDescent="0.25">
      <c r="C108" s="8" t="s">
        <v>295</v>
      </c>
      <c r="D108" s="8">
        <v>2501001028</v>
      </c>
      <c r="E108" s="5">
        <v>7</v>
      </c>
      <c r="F108" s="2">
        <v>1</v>
      </c>
      <c r="G108" s="2">
        <v>58</v>
      </c>
      <c r="H108" s="2">
        <v>-0.78689164777190346</v>
      </c>
      <c r="I108" s="2">
        <v>50</v>
      </c>
      <c r="J108" s="2">
        <v>0.45756143734440202</v>
      </c>
      <c r="K108" s="2">
        <v>3100</v>
      </c>
      <c r="L108" s="2">
        <v>-0.29236112544414727</v>
      </c>
      <c r="M108" s="2">
        <v>-1.4039999999999999</v>
      </c>
      <c r="N108" s="2" t="str">
        <f t="shared" si="69"/>
        <v/>
      </c>
      <c r="O108" s="2">
        <f t="shared" si="70"/>
        <v>-1.4039999999999999</v>
      </c>
      <c r="P108" s="2">
        <v>65</v>
      </c>
      <c r="Q108" s="2">
        <v>-0.33</v>
      </c>
      <c r="R108" s="5" t="str">
        <f t="shared" si="71"/>
        <v/>
      </c>
      <c r="S108" s="5">
        <f t="shared" si="72"/>
        <v>-0.33</v>
      </c>
      <c r="T108" s="2">
        <v>6300</v>
      </c>
      <c r="U108" s="2">
        <v>-1.22</v>
      </c>
      <c r="V108" s="2" t="str">
        <f t="shared" si="73"/>
        <v/>
      </c>
      <c r="W108" s="2">
        <f t="shared" si="74"/>
        <v>-1.22</v>
      </c>
      <c r="Y108" s="76">
        <f t="shared" si="112"/>
        <v>-0.85385835222809647</v>
      </c>
      <c r="Z108" s="76">
        <f t="shared" si="113"/>
        <v>-2</v>
      </c>
      <c r="AA108" s="2">
        <f t="shared" si="75"/>
        <v>-0.23674999999999999</v>
      </c>
      <c r="AB108" s="2">
        <f t="shared" si="76"/>
        <v>-1.6407499999999999</v>
      </c>
      <c r="AC108" s="2" t="s">
        <v>12</v>
      </c>
      <c r="AE108" s="79">
        <f t="shared" si="114"/>
        <v>-0.74756143734440206</v>
      </c>
      <c r="AF108" s="79">
        <f t="shared" si="115"/>
        <v>-2</v>
      </c>
      <c r="AG108" s="2">
        <f t="shared" si="134"/>
        <v>4.0000000000000008E-2</v>
      </c>
      <c r="AH108" s="2">
        <f t="shared" si="78"/>
        <v>-0.29000000000000004</v>
      </c>
      <c r="AI108" s="2" t="s">
        <v>12</v>
      </c>
      <c r="AK108" s="76">
        <f t="shared" si="116"/>
        <v>-0.66763887455585269</v>
      </c>
      <c r="AL108" s="76">
        <f t="shared" si="117"/>
        <v>-1</v>
      </c>
      <c r="AM108" s="2">
        <f t="shared" si="79"/>
        <v>0.26</v>
      </c>
      <c r="AN108" s="2">
        <f t="shared" si="80"/>
        <v>-0.96</v>
      </c>
      <c r="AO108" s="2">
        <v>-0.80349999999999999</v>
      </c>
      <c r="AP108" s="2" t="str">
        <f t="shared" si="81"/>
        <v/>
      </c>
      <c r="AQ108" s="2">
        <f t="shared" si="82"/>
        <v>-0.80349999999999999</v>
      </c>
      <c r="AR108" s="2">
        <v>80</v>
      </c>
      <c r="AS108" s="2">
        <v>-0.25</v>
      </c>
      <c r="AT108" s="2" t="str">
        <f t="shared" si="83"/>
        <v/>
      </c>
      <c r="AU108" s="2">
        <f t="shared" si="84"/>
        <v>-0.25</v>
      </c>
      <c r="AV108" s="2">
        <v>9400</v>
      </c>
      <c r="AW108" s="2">
        <v>-0.7</v>
      </c>
      <c r="AX108" s="2" t="str">
        <f t="shared" si="85"/>
        <v/>
      </c>
      <c r="AY108" s="2">
        <f t="shared" si="86"/>
        <v>-0.7</v>
      </c>
      <c r="BA108" s="78" t="e">
        <f t="shared" si="118"/>
        <v>#VALUE!</v>
      </c>
      <c r="BB108" s="78" t="e">
        <f t="shared" si="119"/>
        <v>#VALUE!</v>
      </c>
      <c r="BC108" s="2" t="str">
        <f t="shared" si="87"/>
        <v/>
      </c>
      <c r="BD108" s="2" t="e">
        <f t="shared" si="88"/>
        <v>#VALUE!</v>
      </c>
      <c r="BE108" s="67" t="e">
        <f t="shared" si="120"/>
        <v>#VALUE!</v>
      </c>
      <c r="BF108" s="2" t="s">
        <v>12</v>
      </c>
      <c r="BH108" s="2" t="str">
        <f t="shared" si="89"/>
        <v/>
      </c>
      <c r="BI108" s="2" t="e">
        <f t="shared" si="90"/>
        <v>#VALUE!</v>
      </c>
      <c r="BJ108" s="67" t="e">
        <f t="shared" si="91"/>
        <v>#VALUE!</v>
      </c>
      <c r="BK108" s="2" t="s">
        <v>12</v>
      </c>
      <c r="BM108" s="77" t="e">
        <f t="shared" si="136"/>
        <v>#VALUE!</v>
      </c>
      <c r="BN108" s="77" t="e">
        <f t="shared" si="122"/>
        <v>#VALUE!</v>
      </c>
      <c r="BO108" s="2" t="str">
        <f t="shared" si="92"/>
        <v/>
      </c>
      <c r="BP108" s="2" t="e">
        <f t="shared" si="93"/>
        <v>#VALUE!</v>
      </c>
      <c r="BQ108" s="67" t="e">
        <f t="shared" si="123"/>
        <v>#VALUE!</v>
      </c>
      <c r="BS108" s="75" t="e">
        <f t="shared" si="124"/>
        <v>#VALUE!</v>
      </c>
      <c r="BT108" s="75" t="e">
        <f t="shared" si="125"/>
        <v>#VALUE!</v>
      </c>
      <c r="BU108" s="5" t="e">
        <f>IF(#REF!&gt;=36, IF(AND(NOT(ISBLANK(CM:CM)), NOT(ISBLANK(BD:BD))), (CM:CM-BD:BD)/2, ""), "UF")</f>
        <v>#REF!</v>
      </c>
      <c r="BV108" s="5" t="e">
        <f t="shared" si="94"/>
        <v>#VALUE!</v>
      </c>
      <c r="BW108" s="69" t="e">
        <f t="shared" si="95"/>
        <v>#VALUE!</v>
      </c>
      <c r="BX108" s="2" t="s">
        <v>12</v>
      </c>
      <c r="BZ108" s="74" t="e">
        <f t="shared" si="126"/>
        <v>#VALUE!</v>
      </c>
      <c r="CA108" s="74" t="e">
        <f t="shared" si="127"/>
        <v>#VALUE!</v>
      </c>
      <c r="CB108" s="5" t="str">
        <f t="shared" si="96"/>
        <v/>
      </c>
      <c r="CC108" s="5" t="e">
        <f t="shared" si="97"/>
        <v>#VALUE!</v>
      </c>
      <c r="CD108" s="2" t="e">
        <f t="shared" si="98"/>
        <v>#VALUE!</v>
      </c>
      <c r="CE108" s="69" t="e">
        <f t="shared" si="99"/>
        <v>#VALUE!</v>
      </c>
      <c r="CF108" s="5" t="s">
        <v>12</v>
      </c>
      <c r="CH108" s="72" t="e">
        <f t="shared" si="128"/>
        <v>#VALUE!</v>
      </c>
      <c r="CI108" s="72" t="e">
        <f t="shared" si="129"/>
        <v>#VALUE!</v>
      </c>
      <c r="CJ108" s="5" t="str">
        <f t="shared" si="100"/>
        <v/>
      </c>
      <c r="CK108" s="5" t="e">
        <f t="shared" si="101"/>
        <v>#VALUE!</v>
      </c>
      <c r="CL108" s="69" t="e">
        <f t="shared" si="102"/>
        <v>#VALUE!</v>
      </c>
      <c r="CN108" s="70" t="str">
        <f t="shared" si="103"/>
        <v/>
      </c>
      <c r="CO108" s="5" t="e">
        <f t="shared" si="104"/>
        <v>#VALUE!</v>
      </c>
      <c r="CP108" s="5" t="e">
        <f>IF(G108&lt;48,"UF", IF(NOT(ISBLANK(CM:CM)), CM:CM, IF(BW:BW=1, BV:BV+Sheet2!B502, IF(Sheet1!BW:BW=2, Sheet1!BV:BV+Sheet2!B503, IF(Sheet1!BW:BW=7, Sheet1!BV:BV+Sheet2!B504,"")))))</f>
        <v>#VALUE!</v>
      </c>
      <c r="CQ108" s="69" t="e">
        <f t="shared" si="130"/>
        <v>#VALUE!</v>
      </c>
      <c r="CR108" s="5" t="s">
        <v>12</v>
      </c>
      <c r="CT108" s="5" t="str">
        <f t="shared" si="105"/>
        <v/>
      </c>
      <c r="CU108" s="80" t="e">
        <f t="shared" si="106"/>
        <v>#VALUE!</v>
      </c>
      <c r="CV108" s="80" t="e">
        <f t="shared" si="107"/>
        <v>#VALUE!</v>
      </c>
      <c r="CW108" s="20" t="e">
        <f>IF(G108&lt;48,"UF", IF(NOT(ISBLANK(CS108)), CS108, IF(CE108=5, CC108+Sheet2!B491, IF(CE108=6, CC108+Sheet2!B492, IF(CE108=7, CC108+Sheet2!B493,"")))))</f>
        <v>#VALUE!</v>
      </c>
      <c r="CX108" s="68" t="e">
        <f t="shared" si="131"/>
        <v>#VALUE!</v>
      </c>
      <c r="CY108" s="5" t="s">
        <v>12</v>
      </c>
      <c r="DA108" s="5" t="str">
        <f t="shared" si="108"/>
        <v/>
      </c>
      <c r="DB108" s="73" t="e">
        <f t="shared" si="109"/>
        <v>#VALUE!</v>
      </c>
      <c r="DC108" s="73" t="e">
        <f t="shared" si="110"/>
        <v>#VALUE!</v>
      </c>
      <c r="DD108" s="5" t="e">
        <f>IF(G108&lt;48,"UF", IF(NOT(ISBLANK(CZ:CZ)), CZ:CZ, IF(CL:CL=3, CK:CK+Sheet2!B496, IF(CL:CL=4, CK:CK+Sheet2!B497, IF(CL:CL=7, CK:CK+Sheet2!B498,"")))))</f>
        <v>#VALUE!</v>
      </c>
      <c r="DE108" s="69" t="e">
        <f t="shared" si="111"/>
        <v>#VALUE!</v>
      </c>
      <c r="DF108" s="2">
        <v>1</v>
      </c>
      <c r="DG108" s="2">
        <v>24</v>
      </c>
      <c r="DH108" s="2">
        <v>1</v>
      </c>
      <c r="DI108" s="2">
        <v>2</v>
      </c>
      <c r="DJ108" s="2">
        <v>2</v>
      </c>
      <c r="DK108" s="2">
        <v>80</v>
      </c>
      <c r="DL108" s="2">
        <v>60</v>
      </c>
      <c r="DM108" s="2" t="s">
        <v>12</v>
      </c>
      <c r="DN108" s="2" t="s">
        <v>12</v>
      </c>
      <c r="DO108" s="2">
        <v>100</v>
      </c>
      <c r="DP108" s="2">
        <v>60</v>
      </c>
      <c r="DQ108" s="2">
        <v>2</v>
      </c>
      <c r="DR108" s="2">
        <v>39</v>
      </c>
      <c r="DS108" s="2">
        <v>2</v>
      </c>
      <c r="DT108" s="2">
        <v>88</v>
      </c>
      <c r="DU108" s="2">
        <v>81</v>
      </c>
      <c r="DV108" s="2">
        <v>2</v>
      </c>
      <c r="DW108" s="2">
        <v>3</v>
      </c>
      <c r="DX108" s="2">
        <v>2</v>
      </c>
      <c r="DY108" s="2">
        <v>3</v>
      </c>
      <c r="DZ108" s="2">
        <v>35</v>
      </c>
      <c r="EA108" s="2">
        <v>34</v>
      </c>
      <c r="EB108" s="2" t="s">
        <v>12</v>
      </c>
      <c r="EC108" s="2">
        <v>1</v>
      </c>
      <c r="ED108" s="2" t="s">
        <v>12</v>
      </c>
    </row>
    <row r="109" spans="3:134" x14ac:dyDescent="0.25">
      <c r="C109" s="8" t="s">
        <v>318</v>
      </c>
      <c r="D109" s="8">
        <v>2501001443</v>
      </c>
      <c r="E109" s="5">
        <v>7</v>
      </c>
      <c r="F109" s="2">
        <v>2</v>
      </c>
      <c r="G109" s="2">
        <v>58</v>
      </c>
      <c r="H109" s="2">
        <v>0.6247913804051638</v>
      </c>
      <c r="I109" s="2">
        <v>53</v>
      </c>
      <c r="J109" s="2">
        <v>1.645866503279491</v>
      </c>
      <c r="K109" s="2">
        <v>4000</v>
      </c>
      <c r="L109" s="2">
        <v>1.2606194118768299</v>
      </c>
      <c r="M109" s="2">
        <v>2.1865000000000001</v>
      </c>
      <c r="N109" s="2">
        <f t="shared" si="69"/>
        <v>0.30850430979741811</v>
      </c>
      <c r="O109" s="2">
        <f t="shared" si="70"/>
        <v>2.1865000000000001</v>
      </c>
      <c r="P109" s="2">
        <v>71</v>
      </c>
      <c r="Q109" s="2">
        <v>1.57</v>
      </c>
      <c r="R109" s="5">
        <f t="shared" si="71"/>
        <v>0.28206674836025447</v>
      </c>
      <c r="S109" s="5">
        <f t="shared" si="72"/>
        <v>1.57</v>
      </c>
      <c r="T109" s="2">
        <v>10500</v>
      </c>
      <c r="U109" s="2">
        <v>2.6</v>
      </c>
      <c r="V109" s="2">
        <f t="shared" si="73"/>
        <v>0.45469029406158501</v>
      </c>
      <c r="W109" s="2">
        <f t="shared" si="74"/>
        <v>2.6</v>
      </c>
      <c r="X109" s="2">
        <v>1.2418</v>
      </c>
      <c r="Y109" s="76">
        <f t="shared" si="112"/>
        <v>0.61700861959483622</v>
      </c>
      <c r="Z109" s="76">
        <f t="shared" si="113"/>
        <v>1</v>
      </c>
      <c r="AA109" s="2" t="str">
        <f t="shared" si="75"/>
        <v/>
      </c>
      <c r="AB109" s="2">
        <f t="shared" si="76"/>
        <v>1.2418</v>
      </c>
      <c r="AC109" s="2">
        <v>81</v>
      </c>
      <c r="AD109" s="2">
        <v>2.21</v>
      </c>
      <c r="AE109" s="79">
        <f t="shared" si="114"/>
        <v>0.56413349672050894</v>
      </c>
      <c r="AF109" s="79">
        <f t="shared" si="115"/>
        <v>1</v>
      </c>
      <c r="AG109" s="2" t="str">
        <f t="shared" si="134"/>
        <v/>
      </c>
      <c r="AH109" s="2">
        <f t="shared" si="78"/>
        <v>2.21</v>
      </c>
      <c r="AI109" s="2">
        <v>12200</v>
      </c>
      <c r="AJ109" s="2">
        <v>2.17</v>
      </c>
      <c r="AK109" s="76">
        <f t="shared" si="116"/>
        <v>0.90938058812317002</v>
      </c>
      <c r="AL109" s="76">
        <f t="shared" si="117"/>
        <v>2</v>
      </c>
      <c r="AM109" s="2" t="str">
        <f t="shared" si="79"/>
        <v/>
      </c>
      <c r="AN109" s="2">
        <f t="shared" si="80"/>
        <v>2.17</v>
      </c>
      <c r="AP109" s="2" t="str">
        <f t="shared" si="81"/>
        <v/>
      </c>
      <c r="AQ109" s="2" t="e">
        <f t="shared" si="82"/>
        <v>#VALUE!</v>
      </c>
      <c r="AR109" s="2" t="s">
        <v>12</v>
      </c>
      <c r="AT109" s="2" t="str">
        <f t="shared" si="83"/>
        <v/>
      </c>
      <c r="AU109" s="2" t="e">
        <f t="shared" si="84"/>
        <v>#VALUE!</v>
      </c>
      <c r="AV109" s="2" t="s">
        <v>12</v>
      </c>
      <c r="AX109" s="2" t="str">
        <f t="shared" si="85"/>
        <v/>
      </c>
      <c r="AY109" s="2" t="e">
        <f t="shared" si="86"/>
        <v>#VALUE!</v>
      </c>
      <c r="BA109" s="78" t="e">
        <f t="shared" si="118"/>
        <v>#VALUE!</v>
      </c>
      <c r="BB109" s="78" t="e">
        <f t="shared" si="119"/>
        <v>#VALUE!</v>
      </c>
      <c r="BC109" s="2" t="str">
        <f t="shared" si="87"/>
        <v/>
      </c>
      <c r="BD109" s="2" t="e">
        <f t="shared" si="88"/>
        <v>#VALUE!</v>
      </c>
      <c r="BE109" s="67" t="e">
        <f t="shared" si="120"/>
        <v>#VALUE!</v>
      </c>
      <c r="BF109" s="2" t="s">
        <v>12</v>
      </c>
      <c r="BH109" s="2" t="str">
        <f t="shared" si="89"/>
        <v/>
      </c>
      <c r="BI109" s="2" t="e">
        <f t="shared" si="90"/>
        <v>#VALUE!</v>
      </c>
      <c r="BJ109" s="67" t="e">
        <f t="shared" si="91"/>
        <v>#VALUE!</v>
      </c>
      <c r="BK109" s="2" t="s">
        <v>12</v>
      </c>
      <c r="BM109" s="77" t="e">
        <f t="shared" si="136"/>
        <v>#VALUE!</v>
      </c>
      <c r="BN109" s="77" t="e">
        <f t="shared" si="122"/>
        <v>#VALUE!</v>
      </c>
      <c r="BO109" s="2" t="str">
        <f t="shared" si="92"/>
        <v/>
      </c>
      <c r="BP109" s="2" t="e">
        <f t="shared" si="93"/>
        <v>#VALUE!</v>
      </c>
      <c r="BQ109" s="67" t="e">
        <f t="shared" si="123"/>
        <v>#VALUE!</v>
      </c>
      <c r="BS109" s="75" t="e">
        <f t="shared" si="124"/>
        <v>#VALUE!</v>
      </c>
      <c r="BT109" s="75" t="e">
        <f t="shared" si="125"/>
        <v>#VALUE!</v>
      </c>
      <c r="BU109" s="5" t="str">
        <f>IF(G116&gt;=36, IF(AND(NOT(ISBLANK(CM:CM)), NOT(ISBLANK(BD:BD))), (CM:CM-BD:BD)/2, ""), "UF")</f>
        <v/>
      </c>
      <c r="BV109" s="5" t="e">
        <f t="shared" si="94"/>
        <v>#VALUE!</v>
      </c>
      <c r="BW109" s="69" t="e">
        <f t="shared" si="95"/>
        <v>#VALUE!</v>
      </c>
      <c r="BX109" s="2" t="s">
        <v>12</v>
      </c>
      <c r="BZ109" s="74" t="e">
        <f t="shared" si="126"/>
        <v>#VALUE!</v>
      </c>
      <c r="CA109" s="74" t="e">
        <f t="shared" si="127"/>
        <v>#VALUE!</v>
      </c>
      <c r="CB109" s="5" t="str">
        <f t="shared" si="96"/>
        <v/>
      </c>
      <c r="CC109" s="5" t="e">
        <f t="shared" si="97"/>
        <v>#VALUE!</v>
      </c>
      <c r="CD109" s="2" t="e">
        <f t="shared" si="98"/>
        <v>#VALUE!</v>
      </c>
      <c r="CE109" s="69" t="e">
        <f t="shared" si="99"/>
        <v>#VALUE!</v>
      </c>
      <c r="CF109" s="5" t="s">
        <v>12</v>
      </c>
      <c r="CH109" s="72" t="e">
        <f t="shared" si="128"/>
        <v>#VALUE!</v>
      </c>
      <c r="CI109" s="72" t="e">
        <f t="shared" si="129"/>
        <v>#VALUE!</v>
      </c>
      <c r="CJ109" s="5" t="str">
        <f t="shared" si="100"/>
        <v/>
      </c>
      <c r="CK109" s="5" t="e">
        <f t="shared" si="101"/>
        <v>#VALUE!</v>
      </c>
      <c r="CL109" s="69" t="e">
        <f t="shared" si="102"/>
        <v>#VALUE!</v>
      </c>
      <c r="CN109" s="70" t="str">
        <f t="shared" si="103"/>
        <v/>
      </c>
      <c r="CO109" s="5" t="e">
        <f t="shared" si="104"/>
        <v>#VALUE!</v>
      </c>
      <c r="CP109" s="5" t="e">
        <f>IF(G109&lt;48,"UF", IF(NOT(ISBLANK(CM:CM)), CM:CM, IF(BW:BW=1, BV:BV+Sheet2!B541, IF(Sheet1!BW:BW=2, Sheet1!BV:BV+Sheet2!B542, IF(Sheet1!BW:BW=7, Sheet1!BV:BV+Sheet2!B543,"")))))</f>
        <v>#VALUE!</v>
      </c>
      <c r="CQ109" s="69" t="e">
        <f t="shared" si="130"/>
        <v>#VALUE!</v>
      </c>
      <c r="CR109" s="5" t="s">
        <v>12</v>
      </c>
      <c r="CT109" s="5" t="str">
        <f t="shared" si="105"/>
        <v/>
      </c>
      <c r="CU109" s="80" t="e">
        <f t="shared" si="106"/>
        <v>#VALUE!</v>
      </c>
      <c r="CV109" s="80" t="e">
        <f t="shared" si="107"/>
        <v>#VALUE!</v>
      </c>
      <c r="CW109" s="20" t="e">
        <f>IF(G109&lt;48,"UF", IF(NOT(ISBLANK(CS109)), CS109, IF(CE109=5, CC109+Sheet2!B530, IF(CE109=6, CC109+Sheet2!B531, IF(CE109=7, CC109+Sheet2!B532,"")))))</f>
        <v>#VALUE!</v>
      </c>
      <c r="CX109" s="68" t="e">
        <f t="shared" si="131"/>
        <v>#VALUE!</v>
      </c>
      <c r="CY109" s="5" t="s">
        <v>12</v>
      </c>
      <c r="DA109" s="5" t="str">
        <f t="shared" si="108"/>
        <v/>
      </c>
      <c r="DB109" s="73" t="e">
        <f t="shared" si="109"/>
        <v>#VALUE!</v>
      </c>
      <c r="DC109" s="73" t="e">
        <f t="shared" si="110"/>
        <v>#VALUE!</v>
      </c>
      <c r="DD109" s="5" t="e">
        <f>IF(G109&lt;48,"UF", IF(NOT(ISBLANK(CZ:CZ)), CZ:CZ, IF(CL:CL=3, CK:CK+Sheet2!B535, IF(CL:CL=4, CK:CK+Sheet2!B536, IF(CL:CL=7, CK:CK+Sheet2!B537,"")))))</f>
        <v>#VALUE!</v>
      </c>
      <c r="DE109" s="69" t="e">
        <f t="shared" si="111"/>
        <v>#VALUE!</v>
      </c>
      <c r="DF109" s="2">
        <v>3</v>
      </c>
      <c r="DG109" s="2">
        <v>39</v>
      </c>
      <c r="DH109" s="2">
        <v>2</v>
      </c>
      <c r="DI109" s="2">
        <v>2</v>
      </c>
      <c r="DJ109" s="2">
        <v>2</v>
      </c>
      <c r="DK109" s="2">
        <v>109</v>
      </c>
      <c r="DL109" s="2">
        <v>53</v>
      </c>
      <c r="DM109" s="2">
        <v>100</v>
      </c>
      <c r="DN109" s="2">
        <v>60</v>
      </c>
      <c r="DO109" s="2">
        <v>100</v>
      </c>
      <c r="DP109" s="2">
        <v>60</v>
      </c>
      <c r="DQ109" s="2">
        <v>2</v>
      </c>
      <c r="DR109" s="2">
        <v>38</v>
      </c>
      <c r="DS109" s="2">
        <v>1</v>
      </c>
      <c r="DT109" s="2">
        <v>97</v>
      </c>
      <c r="DU109" s="2">
        <v>84</v>
      </c>
      <c r="DV109" s="2">
        <v>3</v>
      </c>
      <c r="DW109" s="2">
        <v>3</v>
      </c>
      <c r="DX109" s="2">
        <v>2</v>
      </c>
      <c r="DY109" s="2">
        <v>2</v>
      </c>
      <c r="DZ109" s="2">
        <v>36</v>
      </c>
      <c r="EA109" s="2" t="s">
        <v>12</v>
      </c>
      <c r="EB109" s="2">
        <v>49</v>
      </c>
      <c r="EC109" s="2" t="s">
        <v>12</v>
      </c>
      <c r="ED109" s="2">
        <v>1</v>
      </c>
    </row>
    <row r="110" spans="3:134" x14ac:dyDescent="0.25">
      <c r="C110" s="2">
        <v>13990312</v>
      </c>
      <c r="D110" s="2">
        <v>2501001699</v>
      </c>
      <c r="E110" s="5">
        <v>2</v>
      </c>
      <c r="F110" s="2">
        <v>2</v>
      </c>
      <c r="G110" s="2">
        <v>60</v>
      </c>
      <c r="H110" s="2">
        <v>-0.6385838573016166</v>
      </c>
      <c r="I110" s="2">
        <v>50</v>
      </c>
      <c r="J110" s="2">
        <v>6.1168777667580831E-2</v>
      </c>
      <c r="K110" s="5">
        <v>3155</v>
      </c>
      <c r="L110" s="2">
        <v>-0.39923287817718478</v>
      </c>
      <c r="M110" s="2">
        <v>-2.2909999999999999</v>
      </c>
      <c r="N110" s="2">
        <f t="shared" si="69"/>
        <v>-0.6257580713491917</v>
      </c>
      <c r="O110" s="2">
        <f t="shared" si="70"/>
        <v>-2.2909999999999999</v>
      </c>
      <c r="P110" s="2">
        <v>69.5</v>
      </c>
      <c r="Q110" s="2">
        <v>0.87</v>
      </c>
      <c r="R110" s="5">
        <f t="shared" si="71"/>
        <v>0.48941561116620957</v>
      </c>
      <c r="S110" s="5">
        <f t="shared" si="72"/>
        <v>0.87</v>
      </c>
      <c r="T110" s="1">
        <v>6960</v>
      </c>
      <c r="U110" s="2">
        <v>-1.19</v>
      </c>
      <c r="V110" s="2">
        <f t="shared" si="73"/>
        <v>-0.18538356091140762</v>
      </c>
      <c r="W110" s="2">
        <f t="shared" si="74"/>
        <v>-1.19</v>
      </c>
      <c r="X110" s="2">
        <v>-1.8900999999999999</v>
      </c>
      <c r="Y110" s="76">
        <f t="shared" si="112"/>
        <v>-1.2515161426983834</v>
      </c>
      <c r="Z110" s="76">
        <f t="shared" si="113"/>
        <v>-2</v>
      </c>
      <c r="AA110" s="2">
        <f t="shared" si="75"/>
        <v>-1.3714999999999999</v>
      </c>
      <c r="AB110" s="2">
        <f t="shared" si="76"/>
        <v>-1.8900999999999999</v>
      </c>
      <c r="AC110" s="2">
        <v>78.2</v>
      </c>
      <c r="AD110" s="2">
        <v>1.04</v>
      </c>
      <c r="AE110" s="79">
        <f t="shared" si="114"/>
        <v>0.97883122233241915</v>
      </c>
      <c r="AF110" s="79">
        <f t="shared" si="115"/>
        <v>2</v>
      </c>
      <c r="AG110" s="2">
        <f t="shared" si="134"/>
        <v>-2.0000000000000018E-2</v>
      </c>
      <c r="AH110" s="2">
        <f t="shared" si="78"/>
        <v>1.04</v>
      </c>
      <c r="AI110" s="2">
        <v>8870</v>
      </c>
      <c r="AJ110" s="2">
        <v>-0.77</v>
      </c>
      <c r="AK110" s="76">
        <f t="shared" si="116"/>
        <v>-0.37076712182281524</v>
      </c>
      <c r="AL110" s="76">
        <f t="shared" si="117"/>
        <v>-1</v>
      </c>
      <c r="AM110" s="2">
        <f t="shared" si="79"/>
        <v>0.18999999999999995</v>
      </c>
      <c r="AN110" s="2">
        <f t="shared" si="80"/>
        <v>-0.77</v>
      </c>
      <c r="AO110" s="2">
        <v>-1.873</v>
      </c>
      <c r="AP110" s="2">
        <f t="shared" si="81"/>
        <v>-0.79331854915855615</v>
      </c>
      <c r="AQ110" s="2">
        <f t="shared" si="82"/>
        <v>-1.873</v>
      </c>
      <c r="AR110" s="2">
        <v>84.5</v>
      </c>
      <c r="AS110" s="2">
        <v>0.83</v>
      </c>
      <c r="AT110" s="2">
        <f t="shared" si="83"/>
        <v>-0.21525747606636497</v>
      </c>
      <c r="AU110" s="2">
        <f t="shared" si="84"/>
        <v>0.83</v>
      </c>
      <c r="AV110" s="2">
        <v>10000</v>
      </c>
      <c r="AW110" s="2">
        <v>-0.81</v>
      </c>
      <c r="AX110" s="2">
        <f t="shared" si="85"/>
        <v>-0.5284228432035355</v>
      </c>
      <c r="AY110" s="2">
        <f t="shared" si="86"/>
        <v>-0.81</v>
      </c>
      <c r="AZ110" s="2">
        <v>-3.4767370983171122</v>
      </c>
      <c r="BA110" s="78">
        <f t="shared" si="118"/>
        <v>-1.5866370983171123</v>
      </c>
      <c r="BB110" s="78">
        <f t="shared" si="119"/>
        <v>-2</v>
      </c>
      <c r="BC110" s="2">
        <f t="shared" si="87"/>
        <v>-0.57878081323525732</v>
      </c>
      <c r="BD110" s="2">
        <f t="shared" si="88"/>
        <v>-3.4767370983171122</v>
      </c>
      <c r="BE110" s="67">
        <f t="shared" si="120"/>
        <v>1</v>
      </c>
      <c r="BF110" s="2">
        <v>89</v>
      </c>
      <c r="BG110" s="2">
        <v>0.60948504786727009</v>
      </c>
      <c r="BH110" s="2">
        <f t="shared" si="89"/>
        <v>-0.21429725496709393</v>
      </c>
      <c r="BI110" s="2">
        <f t="shared" si="90"/>
        <v>0.60948504786727009</v>
      </c>
      <c r="BJ110" s="67">
        <f t="shared" si="91"/>
        <v>7</v>
      </c>
      <c r="BK110" s="2">
        <v>10500</v>
      </c>
      <c r="BL110" s="2">
        <v>-1.826845686407071</v>
      </c>
      <c r="BM110" s="77">
        <f t="shared" si="136"/>
        <v>-1.056845686407071</v>
      </c>
      <c r="BN110" s="77">
        <f t="shared" si="122"/>
        <v>-2</v>
      </c>
      <c r="BO110" s="2">
        <f t="shared" si="92"/>
        <v>-0.36218941155469436</v>
      </c>
      <c r="BP110" s="2">
        <f t="shared" si="93"/>
        <v>-1.826845686407071</v>
      </c>
      <c r="BQ110" s="67">
        <f t="shared" si="123"/>
        <v>7</v>
      </c>
      <c r="BR110" s="5">
        <v>-3.6093424397057721</v>
      </c>
      <c r="BS110" s="75">
        <f t="shared" si="124"/>
        <v>-0.13260534138865987</v>
      </c>
      <c r="BT110" s="75">
        <f t="shared" si="125"/>
        <v>-1</v>
      </c>
      <c r="BU110" s="5">
        <f>IF(G117&gt;=36, IF(AND(NOT(ISBLANK(CM:CM)), NOT(ISBLANK(BD:BD))), (CM:CM-BD:BD)/2, ""), "UF")</f>
        <v>-0.36091117791381921</v>
      </c>
      <c r="BV110" s="5">
        <f t="shared" si="94"/>
        <v>-3.6093424397057721</v>
      </c>
      <c r="BW110" s="69">
        <f t="shared" si="95"/>
        <v>1</v>
      </c>
      <c r="BX110" s="2">
        <v>96</v>
      </c>
      <c r="BY110" s="5">
        <v>0.18710823509871821</v>
      </c>
      <c r="BZ110" s="74">
        <f t="shared" si="126"/>
        <v>2.0139539215057893</v>
      </c>
      <c r="CA110" s="74">
        <f t="shared" si="127"/>
        <v>2</v>
      </c>
      <c r="CB110" s="5">
        <f t="shared" si="96"/>
        <v>-0.24701481229563785</v>
      </c>
      <c r="CC110" s="5">
        <f t="shared" si="97"/>
        <v>0.18710823509871821</v>
      </c>
      <c r="CD110" s="2">
        <f t="shared" si="98"/>
        <v>-0.42237681276855188</v>
      </c>
      <c r="CE110" s="69">
        <f t="shared" si="99"/>
        <v>7</v>
      </c>
      <c r="CF110" s="5">
        <v>11800</v>
      </c>
      <c r="CG110" s="5">
        <v>-1.8965682346640831</v>
      </c>
      <c r="CH110" s="72">
        <f t="shared" si="128"/>
        <v>-6.9722548257012074E-2</v>
      </c>
      <c r="CI110" s="72">
        <f t="shared" si="129"/>
        <v>-1</v>
      </c>
      <c r="CJ110" s="5">
        <f t="shared" si="100"/>
        <v>-0.13947958840072949</v>
      </c>
      <c r="CK110" s="5">
        <f t="shared" si="101"/>
        <v>-1.8965682346640831</v>
      </c>
      <c r="CL110" s="69">
        <f t="shared" si="102"/>
        <v>7</v>
      </c>
      <c r="CM110" s="5">
        <v>-4.1985594541447506</v>
      </c>
      <c r="CN110" s="70">
        <f t="shared" si="103"/>
        <v>-0.58921701443897856</v>
      </c>
      <c r="CO110" s="5">
        <f t="shared" si="104"/>
        <v>-0.58921701443897856</v>
      </c>
      <c r="CP110" s="5">
        <f>IF(G110&lt;48,"UF", IF(NOT(ISBLANK(CM:CM)), CM:CM, IF(BW:BW=1, BV:BV+Sheet2!B115, IF(Sheet1!BW:BW=2, Sheet1!BV:BV+Sheet2!B116, IF(Sheet1!BW:BW=7, Sheet1!BV:BV+Sheet2!B117,"")))))</f>
        <v>-4.1985594541447506</v>
      </c>
      <c r="CQ110" s="69">
        <f t="shared" si="130"/>
        <v>1</v>
      </c>
      <c r="CR110" s="5">
        <v>103</v>
      </c>
      <c r="CS110" s="5">
        <v>0.1154554232759944</v>
      </c>
      <c r="CT110" s="5">
        <f t="shared" si="105"/>
        <v>-7.1652811822723816E-2</v>
      </c>
      <c r="CU110" s="80">
        <f t="shared" si="106"/>
        <v>-7.1652811822723816E-2</v>
      </c>
      <c r="CV110" s="80">
        <f t="shared" si="107"/>
        <v>-1</v>
      </c>
      <c r="CW110" s="20">
        <f>IF(G110&lt;48,"UF", IF(NOT(ISBLANK(CS110)), CS110, IF(CE110=5, CC110+Sheet2!B104, IF(CE110=6, CC110+Sheet2!B105, IF(CE110=7, CC110+Sheet2!B106,"")))))</f>
        <v>0.1154554232759944</v>
      </c>
      <c r="CX110" s="68">
        <f t="shared" si="131"/>
        <v>7</v>
      </c>
      <c r="CY110" s="5">
        <v>13000</v>
      </c>
      <c r="CZ110" s="5">
        <v>-2.10580486320853</v>
      </c>
      <c r="DA110" s="5">
        <f t="shared" si="108"/>
        <v>-0.20923662854444691</v>
      </c>
      <c r="DB110" s="73">
        <f t="shared" si="109"/>
        <v>-0.20923662854444691</v>
      </c>
      <c r="DC110" s="73">
        <f t="shared" si="110"/>
        <v>-1</v>
      </c>
      <c r="DD110" s="5">
        <f>IF(G110&lt;48,"UF", IF(NOT(ISBLANK(CZ:CZ)), CZ:CZ, IF(CL:CL=3, CK:CK+Sheet2!B109, IF(CL:CL=4, CK:CK+Sheet2!B110, IF(CL:CL=7, CK:CK+Sheet2!B111,"")))))</f>
        <v>-2.10580486320853</v>
      </c>
      <c r="DE110" s="69">
        <f t="shared" si="111"/>
        <v>4</v>
      </c>
      <c r="DF110" s="2">
        <v>2</v>
      </c>
      <c r="DG110" s="2">
        <v>42</v>
      </c>
      <c r="DH110" s="2">
        <v>2</v>
      </c>
      <c r="DI110" s="2">
        <v>1</v>
      </c>
      <c r="DJ110" s="2">
        <v>2</v>
      </c>
      <c r="DK110" s="2">
        <v>110</v>
      </c>
      <c r="DL110" s="2">
        <v>60</v>
      </c>
      <c r="DM110" s="2">
        <v>100</v>
      </c>
      <c r="DN110" s="2">
        <v>60</v>
      </c>
      <c r="DO110" s="2">
        <v>90</v>
      </c>
      <c r="DP110" s="2">
        <v>60</v>
      </c>
      <c r="DQ110" s="2">
        <v>2</v>
      </c>
      <c r="DR110" s="2">
        <v>37</v>
      </c>
      <c r="DS110" s="2">
        <v>2</v>
      </c>
      <c r="DT110" s="2">
        <v>82.5</v>
      </c>
      <c r="DU110" s="2">
        <v>73</v>
      </c>
      <c r="DV110" s="2">
        <v>2</v>
      </c>
      <c r="DW110" s="2">
        <v>2</v>
      </c>
      <c r="DX110" s="2">
        <v>2</v>
      </c>
      <c r="DY110" s="2">
        <v>1</v>
      </c>
      <c r="DZ110" s="2">
        <v>35</v>
      </c>
      <c r="EA110" s="2">
        <v>35.299999999999997</v>
      </c>
      <c r="EB110" s="2">
        <v>47.1</v>
      </c>
      <c r="EC110" s="2">
        <v>1</v>
      </c>
      <c r="ED110" s="2">
        <v>1</v>
      </c>
    </row>
    <row r="111" spans="3:134" x14ac:dyDescent="0.25">
      <c r="C111" s="8" t="s">
        <v>44</v>
      </c>
      <c r="D111" s="4">
        <v>2501001826</v>
      </c>
      <c r="E111" s="2" t="s">
        <v>528</v>
      </c>
      <c r="F111" s="2">
        <v>1</v>
      </c>
      <c r="G111" s="2">
        <v>57</v>
      </c>
      <c r="H111" s="2">
        <v>-1.991064614720983</v>
      </c>
      <c r="I111" s="2">
        <v>50</v>
      </c>
      <c r="J111" s="2">
        <v>0.45756143734440202</v>
      </c>
      <c r="K111" s="5">
        <v>2775</v>
      </c>
      <c r="L111" s="2">
        <v>-1.045564393389995</v>
      </c>
      <c r="N111" s="2">
        <f t="shared" si="69"/>
        <v>0.76573230736049147</v>
      </c>
      <c r="O111" s="2">
        <f t="shared" si="70"/>
        <v>-1.2253323073604916</v>
      </c>
      <c r="P111" s="2" t="s">
        <v>12</v>
      </c>
      <c r="R111" s="5">
        <f t="shared" si="71"/>
        <v>-1.0087807186722011</v>
      </c>
      <c r="S111" s="5">
        <f t="shared" si="72"/>
        <v>-0.55121928132779907</v>
      </c>
      <c r="T111" s="1" t="s">
        <v>12</v>
      </c>
      <c r="V111" s="2">
        <f t="shared" si="73"/>
        <v>-9.7217803305002515E-2</v>
      </c>
      <c r="W111" s="2">
        <f t="shared" si="74"/>
        <v>-1.1427821966949976</v>
      </c>
      <c r="X111" s="2">
        <v>-0.45960000000000001</v>
      </c>
      <c r="Y111" s="76">
        <f t="shared" si="112"/>
        <v>1.5314646147209829</v>
      </c>
      <c r="Z111" s="76">
        <f t="shared" si="113"/>
        <v>2</v>
      </c>
      <c r="AA111" s="2">
        <f t="shared" si="75"/>
        <v>-0.11454035933610046</v>
      </c>
      <c r="AB111" s="2">
        <f t="shared" si="76"/>
        <v>-0.45960000000000001</v>
      </c>
      <c r="AC111" s="2">
        <v>70</v>
      </c>
      <c r="AD111" s="2">
        <v>-1.56</v>
      </c>
      <c r="AE111" s="79">
        <f t="shared" si="114"/>
        <v>-2.0175614373444022</v>
      </c>
      <c r="AF111" s="79">
        <f t="shared" si="115"/>
        <v>-2</v>
      </c>
      <c r="AG111" s="2">
        <f t="shared" si="134"/>
        <v>-0.53439035933610057</v>
      </c>
      <c r="AH111" s="2">
        <f t="shared" si="78"/>
        <v>-1.56</v>
      </c>
      <c r="AI111" s="2">
        <v>7700</v>
      </c>
      <c r="AJ111" s="2">
        <v>-1.24</v>
      </c>
      <c r="AK111" s="76">
        <f t="shared" si="116"/>
        <v>-0.19443560661000503</v>
      </c>
      <c r="AL111" s="76">
        <f t="shared" si="117"/>
        <v>-1</v>
      </c>
      <c r="AM111" s="2">
        <f t="shared" si="79"/>
        <v>-0.19860890165250122</v>
      </c>
      <c r="AN111" s="2">
        <f t="shared" si="80"/>
        <v>-1.24</v>
      </c>
      <c r="AO111" s="2">
        <v>-0.78029999999999999</v>
      </c>
      <c r="AP111" s="2">
        <f t="shared" si="81"/>
        <v>-1.4633424577470104</v>
      </c>
      <c r="AQ111" s="2">
        <f t="shared" si="82"/>
        <v>-0.78029999999999999</v>
      </c>
      <c r="AR111" s="2">
        <v>76</v>
      </c>
      <c r="AS111" s="2">
        <v>-1.62</v>
      </c>
      <c r="AT111" s="2">
        <f t="shared" si="83"/>
        <v>0.72307336982547998</v>
      </c>
      <c r="AU111" s="2">
        <f t="shared" si="84"/>
        <v>-1.62</v>
      </c>
      <c r="AV111" s="2">
        <v>8500</v>
      </c>
      <c r="AW111" s="2">
        <v>-1.54</v>
      </c>
      <c r="AX111" s="2">
        <f t="shared" si="85"/>
        <v>-0.80839276939604743</v>
      </c>
      <c r="AY111" s="2">
        <f t="shared" si="86"/>
        <v>-1.54</v>
      </c>
      <c r="AZ111" s="2">
        <v>-3.3862849154940209</v>
      </c>
      <c r="BA111" s="78">
        <f t="shared" si="118"/>
        <v>-2.9266849154940209</v>
      </c>
      <c r="BB111" s="78">
        <f t="shared" si="119"/>
        <v>-2</v>
      </c>
      <c r="BC111" s="2">
        <f t="shared" si="87"/>
        <v>-0.401363822644077</v>
      </c>
      <c r="BD111" s="2">
        <f t="shared" si="88"/>
        <v>-3.3862849154940209</v>
      </c>
      <c r="BE111" s="67">
        <f t="shared" si="120"/>
        <v>1</v>
      </c>
      <c r="BF111" s="2">
        <v>85</v>
      </c>
      <c r="BG111" s="2">
        <v>-0.11385326034904</v>
      </c>
      <c r="BH111" s="2">
        <f t="shared" si="89"/>
        <v>0.43752647748899398</v>
      </c>
      <c r="BI111" s="2">
        <f t="shared" si="90"/>
        <v>-0.11385326034904</v>
      </c>
      <c r="BJ111" s="67">
        <f t="shared" si="91"/>
        <v>7</v>
      </c>
      <c r="BK111" s="2">
        <v>9200</v>
      </c>
      <c r="BL111" s="2">
        <v>-2.8567855387920948</v>
      </c>
      <c r="BM111" s="77">
        <f t="shared" si="136"/>
        <v>-1.6167855387920949</v>
      </c>
      <c r="BN111" s="77">
        <f t="shared" si="122"/>
        <v>-2</v>
      </c>
      <c r="BO111" s="2">
        <f t="shared" si="92"/>
        <v>2.3984969554481372E-2</v>
      </c>
      <c r="BP111" s="2">
        <f t="shared" si="93"/>
        <v>-2.8567855387920948</v>
      </c>
      <c r="BQ111" s="67">
        <f t="shared" si="123"/>
        <v>4</v>
      </c>
      <c r="BR111" s="5">
        <v>-1.984391467932231</v>
      </c>
      <c r="BS111" s="75">
        <f t="shared" si="124"/>
        <v>1.4018934475617899</v>
      </c>
      <c r="BT111" s="75">
        <f t="shared" si="125"/>
        <v>2</v>
      </c>
      <c r="BU111" s="5" t="str">
        <f>IF(G118&gt;=36, IF(AND(NOT(ISBLANK(CM:CM)), NOT(ISBLANK(BD:BD))), (CM:CM-BD:BD)/2, ""), "UF")</f>
        <v/>
      </c>
      <c r="BV111" s="5">
        <f t="shared" si="94"/>
        <v>-1.984391467932231</v>
      </c>
      <c r="BW111" s="69">
        <f t="shared" si="95"/>
        <v>7</v>
      </c>
      <c r="BX111" s="2">
        <v>93</v>
      </c>
      <c r="BY111" s="5">
        <v>-0.30742056753301811</v>
      </c>
      <c r="BZ111" s="74">
        <f t="shared" si="126"/>
        <v>2.5493649712590769</v>
      </c>
      <c r="CA111" s="74">
        <f t="shared" si="127"/>
        <v>2</v>
      </c>
      <c r="CB111" s="5" t="str">
        <f t="shared" si="96"/>
        <v/>
      </c>
      <c r="CC111" s="5">
        <f t="shared" si="97"/>
        <v>-0.30742056753301811</v>
      </c>
      <c r="CD111" s="2">
        <f t="shared" si="98"/>
        <v>-0.1935673071839781</v>
      </c>
      <c r="CE111" s="69">
        <f t="shared" si="99"/>
        <v>7</v>
      </c>
      <c r="CF111" s="5">
        <v>9000</v>
      </c>
      <c r="CG111" s="5">
        <v>-1.4680450913365559</v>
      </c>
      <c r="CH111" s="72">
        <f t="shared" si="128"/>
        <v>1.3887404474555389</v>
      </c>
      <c r="CI111" s="72">
        <f t="shared" si="129"/>
        <v>2</v>
      </c>
      <c r="CJ111" s="5" t="str">
        <f t="shared" si="100"/>
        <v/>
      </c>
      <c r="CK111" s="5">
        <f t="shared" si="101"/>
        <v>-1.4680450913365559</v>
      </c>
      <c r="CL111" s="69">
        <f t="shared" si="102"/>
        <v>7</v>
      </c>
      <c r="CN111" s="70" t="str">
        <f t="shared" si="103"/>
        <v/>
      </c>
      <c r="CO111" s="5">
        <f t="shared" si="104"/>
        <v>0</v>
      </c>
      <c r="CP111" s="5">
        <f>IF(G111&lt;48,"UF", IF(NOT(ISBLANK(CM:CM)), CM:CM, IF(BW:BW=1, BV:BV+Sheet2!B68, IF(Sheet1!BW:BW=2, Sheet1!BV:BV+Sheet2!B69, IF(Sheet1!BW:BW=7, Sheet1!BV:BV+Sheet2!B70,"")))))</f>
        <v>-1.984391467932231</v>
      </c>
      <c r="CQ111" s="69">
        <f t="shared" si="130"/>
        <v>7</v>
      </c>
      <c r="CR111" s="5" t="s">
        <v>12</v>
      </c>
      <c r="CT111" s="5" t="str">
        <f t="shared" si="105"/>
        <v/>
      </c>
      <c r="CU111" s="80">
        <f t="shared" si="106"/>
        <v>0</v>
      </c>
      <c r="CV111" s="80">
        <f t="shared" si="107"/>
        <v>-1</v>
      </c>
      <c r="CW111" s="20">
        <f>IF(G111&lt;48,"UF", IF(NOT(ISBLANK(CS111)), CS111, IF(CE111=5, CC111+Sheet2!B57, IF(CE111=6, CC111+Sheet2!B58, IF(CE111=7, CC111+Sheet2!B59,"")))))</f>
        <v>-0.30742056753301811</v>
      </c>
      <c r="CX111" s="68">
        <f t="shared" si="131"/>
        <v>7</v>
      </c>
      <c r="CY111" s="5" t="s">
        <v>12</v>
      </c>
      <c r="DA111" s="5" t="str">
        <f t="shared" si="108"/>
        <v/>
      </c>
      <c r="DB111" s="73">
        <f t="shared" si="109"/>
        <v>0</v>
      </c>
      <c r="DC111" s="73">
        <f t="shared" si="110"/>
        <v>-1</v>
      </c>
      <c r="DD111" s="5">
        <f>IF(G111&lt;48,"UF", IF(NOT(ISBLANK(CZ:CZ)), CZ:CZ, IF(CL:CL=3, CK:CK+Sheet2!B62, IF(CL:CL=4, CK:CK+Sheet2!B63, IF(CL:CL=7, CK:CK+Sheet2!B64,"")))))</f>
        <v>-1.4680450913365559</v>
      </c>
      <c r="DE111" s="69">
        <f t="shared" si="111"/>
        <v>7</v>
      </c>
      <c r="DF111" s="2">
        <v>5</v>
      </c>
      <c r="DG111" s="2">
        <v>42</v>
      </c>
      <c r="DH111" s="2">
        <v>1</v>
      </c>
      <c r="DI111" s="2">
        <v>2</v>
      </c>
      <c r="DJ111" s="2">
        <v>2</v>
      </c>
      <c r="DK111" s="2">
        <v>100</v>
      </c>
      <c r="DL111" s="2">
        <v>60</v>
      </c>
      <c r="DM111" s="2">
        <v>100</v>
      </c>
      <c r="DN111" s="2">
        <v>60</v>
      </c>
      <c r="DO111" s="2">
        <v>115</v>
      </c>
      <c r="DP111" s="2">
        <v>70</v>
      </c>
      <c r="DQ111" s="2">
        <v>1</v>
      </c>
      <c r="DR111" s="2">
        <v>37</v>
      </c>
      <c r="DS111" s="2">
        <v>2</v>
      </c>
      <c r="DT111" s="2">
        <v>86</v>
      </c>
      <c r="DU111" s="2">
        <v>70</v>
      </c>
      <c r="DV111" s="2">
        <v>2</v>
      </c>
      <c r="DW111" s="2">
        <v>2</v>
      </c>
      <c r="DX111" s="2">
        <v>2</v>
      </c>
      <c r="DY111" s="2">
        <v>2</v>
      </c>
      <c r="DZ111" s="2">
        <v>35.5</v>
      </c>
      <c r="EA111" s="2" t="s">
        <v>12</v>
      </c>
      <c r="EB111" s="2">
        <v>43.5</v>
      </c>
      <c r="EC111" s="2" t="s">
        <v>12</v>
      </c>
      <c r="ED111" s="2">
        <v>1</v>
      </c>
    </row>
    <row r="112" spans="3:134" x14ac:dyDescent="0.25">
      <c r="C112" s="8" t="s">
        <v>270</v>
      </c>
      <c r="D112" s="8">
        <v>2501001941</v>
      </c>
      <c r="E112" s="5">
        <v>7</v>
      </c>
      <c r="F112" s="2">
        <v>2</v>
      </c>
      <c r="G112" s="2">
        <v>57</v>
      </c>
      <c r="H112" s="2">
        <v>-3.8279726503744951</v>
      </c>
      <c r="I112" s="2">
        <v>53</v>
      </c>
      <c r="J112" s="2">
        <v>1.645866503279491</v>
      </c>
      <c r="K112" s="2">
        <v>2640</v>
      </c>
      <c r="L112" s="2">
        <v>-1.558478531490455</v>
      </c>
      <c r="M112" s="2">
        <v>-8.3799999999999999E-2</v>
      </c>
      <c r="N112" s="2">
        <f t="shared" si="69"/>
        <v>2.0007363251872476</v>
      </c>
      <c r="O112" s="2">
        <f t="shared" si="70"/>
        <v>-8.3799999999999999E-2</v>
      </c>
      <c r="P112" s="2">
        <v>69</v>
      </c>
      <c r="Q112" s="2">
        <v>0.63</v>
      </c>
      <c r="R112" s="5">
        <f t="shared" si="71"/>
        <v>-0.5579332516397455</v>
      </c>
      <c r="S112" s="5">
        <f t="shared" si="72"/>
        <v>0.63</v>
      </c>
      <c r="T112" s="2">
        <v>8200</v>
      </c>
      <c r="U112" s="2">
        <v>0.3</v>
      </c>
      <c r="V112" s="2">
        <f t="shared" si="73"/>
        <v>0.98923926574522747</v>
      </c>
      <c r="W112" s="2">
        <f t="shared" si="74"/>
        <v>0.3</v>
      </c>
      <c r="X112" s="2">
        <v>0.17349999999999999</v>
      </c>
      <c r="Y112" s="76">
        <f t="shared" si="112"/>
        <v>4.0014726503744953</v>
      </c>
      <c r="Z112" s="76">
        <f t="shared" si="113"/>
        <v>2</v>
      </c>
      <c r="AA112" s="2">
        <f t="shared" si="75"/>
        <v>0.17919999999999997</v>
      </c>
      <c r="AB112" s="2">
        <f t="shared" si="76"/>
        <v>0.17349999999999999</v>
      </c>
      <c r="AC112" s="2">
        <v>77</v>
      </c>
      <c r="AD112" s="2">
        <v>0.53</v>
      </c>
      <c r="AE112" s="79">
        <f t="shared" si="114"/>
        <v>-1.115866503279491</v>
      </c>
      <c r="AF112" s="79">
        <f t="shared" si="115"/>
        <v>-2</v>
      </c>
      <c r="AG112" s="2">
        <f t="shared" si="134"/>
        <v>-0.36499999999999999</v>
      </c>
      <c r="AH112" s="2">
        <f t="shared" si="78"/>
        <v>0.53</v>
      </c>
      <c r="AI112" s="2">
        <v>10100</v>
      </c>
      <c r="AJ112" s="2">
        <v>0.42</v>
      </c>
      <c r="AK112" s="76">
        <f t="shared" si="116"/>
        <v>1.9784785314904549</v>
      </c>
      <c r="AL112" s="76">
        <f t="shared" si="117"/>
        <v>2</v>
      </c>
      <c r="AM112" s="2">
        <f t="shared" si="79"/>
        <v>0.17</v>
      </c>
      <c r="AN112" s="2">
        <f t="shared" si="80"/>
        <v>0.42</v>
      </c>
      <c r="AO112" s="2">
        <v>0.98839999999999995</v>
      </c>
      <c r="AP112" s="2">
        <f t="shared" si="81"/>
        <v>0.1561329111898799</v>
      </c>
      <c r="AQ112" s="2">
        <f t="shared" si="82"/>
        <v>0.98839999999999995</v>
      </c>
      <c r="AR112" s="2">
        <v>82</v>
      </c>
      <c r="AS112" s="2">
        <v>-0.1</v>
      </c>
      <c r="AT112" s="2">
        <f t="shared" si="83"/>
        <v>-0.53025437276214005</v>
      </c>
      <c r="AU112" s="2">
        <f t="shared" si="84"/>
        <v>-0.1</v>
      </c>
      <c r="AV112" s="2">
        <v>11750</v>
      </c>
      <c r="AW112" s="2">
        <v>0.64</v>
      </c>
      <c r="AX112" s="2">
        <f t="shared" si="85"/>
        <v>-0.31726709648501278</v>
      </c>
      <c r="AY112" s="2">
        <f t="shared" si="86"/>
        <v>0.64</v>
      </c>
      <c r="AZ112" s="2">
        <v>0.48576582237975979</v>
      </c>
      <c r="BA112" s="78">
        <f t="shared" si="118"/>
        <v>0.31226582237975981</v>
      </c>
      <c r="BB112" s="78">
        <f t="shared" si="119"/>
        <v>1</v>
      </c>
      <c r="BC112" s="2">
        <f t="shared" si="87"/>
        <v>-0.51690201277448489</v>
      </c>
      <c r="BD112" s="2">
        <f t="shared" si="88"/>
        <v>0.48576582237975979</v>
      </c>
      <c r="BE112" s="67">
        <f t="shared" si="120"/>
        <v>7</v>
      </c>
      <c r="BF112" s="2">
        <v>85</v>
      </c>
      <c r="BG112" s="2">
        <v>-0.53050874552427996</v>
      </c>
      <c r="BH112" s="2">
        <f t="shared" si="89"/>
        <v>-0.16623147084191728</v>
      </c>
      <c r="BI112" s="2">
        <f t="shared" si="90"/>
        <v>-0.53050874552427996</v>
      </c>
      <c r="BJ112" s="67">
        <f t="shared" si="91"/>
        <v>7</v>
      </c>
      <c r="BK112" s="2">
        <v>12450</v>
      </c>
      <c r="BL112" s="2">
        <v>-0.2145341929700256</v>
      </c>
      <c r="BM112" s="77">
        <f t="shared" si="136"/>
        <v>-0.63453419297002556</v>
      </c>
      <c r="BN112" s="77">
        <f t="shared" si="122"/>
        <v>-1</v>
      </c>
      <c r="BO112" s="2">
        <f t="shared" si="92"/>
        <v>-0.4566125420041911</v>
      </c>
      <c r="BP112" s="2">
        <f t="shared" si="93"/>
        <v>-0.2145341929700256</v>
      </c>
      <c r="BQ112" s="67">
        <f t="shared" si="123"/>
        <v>7</v>
      </c>
      <c r="BR112" s="5">
        <v>-0.5623060383234546</v>
      </c>
      <c r="BS112" s="75">
        <f t="shared" si="124"/>
        <v>-1.0480718607032145</v>
      </c>
      <c r="BT112" s="75">
        <f t="shared" si="125"/>
        <v>-2</v>
      </c>
      <c r="BU112" s="5" t="e">
        <f>IF(#REF!&gt;=36, IF(AND(NOT(ISBLANK(CM:CM)), NOT(ISBLANK(BD:BD))), (CM:CM-BD:BD)/2, ""), "UF")</f>
        <v>#REF!</v>
      </c>
      <c r="BV112" s="5">
        <f t="shared" si="94"/>
        <v>-0.5623060383234546</v>
      </c>
      <c r="BW112" s="69">
        <f t="shared" si="95"/>
        <v>7</v>
      </c>
      <c r="BX112" s="2">
        <v>93</v>
      </c>
      <c r="BY112" s="5">
        <v>-0.59869441252575184</v>
      </c>
      <c r="BZ112" s="74">
        <f t="shared" si="126"/>
        <v>-0.38416021955572621</v>
      </c>
      <c r="CA112" s="74">
        <f t="shared" si="127"/>
        <v>-1</v>
      </c>
      <c r="CB112" s="5">
        <f t="shared" si="96"/>
        <v>-0.26891790148672451</v>
      </c>
      <c r="CC112" s="5">
        <f t="shared" si="97"/>
        <v>-0.59869441252575184</v>
      </c>
      <c r="CD112" s="2">
        <f t="shared" si="98"/>
        <v>-6.8185667001471884E-2</v>
      </c>
      <c r="CE112" s="69">
        <f t="shared" si="99"/>
        <v>7</v>
      </c>
      <c r="CF112" s="5">
        <v>13300</v>
      </c>
      <c r="CG112" s="5">
        <v>-0.7298376260125734</v>
      </c>
      <c r="CH112" s="72">
        <f t="shared" si="128"/>
        <v>-0.51530343304254778</v>
      </c>
      <c r="CI112" s="72">
        <f t="shared" si="129"/>
        <v>-1</v>
      </c>
      <c r="CJ112" s="5">
        <f t="shared" si="100"/>
        <v>-0.44457081470244714</v>
      </c>
      <c r="CK112" s="5">
        <f t="shared" si="101"/>
        <v>-0.7298376260125734</v>
      </c>
      <c r="CL112" s="69">
        <f t="shared" si="102"/>
        <v>7</v>
      </c>
      <c r="CM112" s="5">
        <v>-0.59744264600004937</v>
      </c>
      <c r="CN112" s="70">
        <f t="shared" si="103"/>
        <v>-3.5136607676594767E-2</v>
      </c>
      <c r="CO112" s="5">
        <f t="shared" si="104"/>
        <v>-3.5136607676594767E-2</v>
      </c>
      <c r="CP112" s="5">
        <f>IF(G112&lt;48,"UF", IF(NOT(ISBLANK(CM:CM)), CM:CM, IF(BW:BW=1, BV:BV+Sheet2!B474, IF(Sheet1!BW:BW=2, Sheet1!BV:BV+Sheet2!B475, IF(Sheet1!BW:BW=7, Sheet1!BV:BV+Sheet2!B476,"")))))</f>
        <v>-0.59744264600004937</v>
      </c>
      <c r="CQ112" s="69">
        <f t="shared" si="130"/>
        <v>7</v>
      </c>
      <c r="CR112" s="5">
        <v>98</v>
      </c>
      <c r="CS112" s="5">
        <v>-1.068344548497729</v>
      </c>
      <c r="CT112" s="5">
        <f t="shared" si="105"/>
        <v>-0.46965013597197713</v>
      </c>
      <c r="CU112" s="80">
        <f t="shared" si="106"/>
        <v>-0.46965013597197713</v>
      </c>
      <c r="CV112" s="80">
        <f t="shared" si="107"/>
        <v>-1</v>
      </c>
      <c r="CW112" s="20">
        <f>IF(G112&lt;48,"UF", IF(NOT(ISBLANK(CS112)), CS112, IF(CE112=5, CC112+Sheet2!B463, IF(CE112=6, CC112+Sheet2!B464, IF(CE112=7, CC112+Sheet2!B465,"")))))</f>
        <v>-1.068344548497729</v>
      </c>
      <c r="CX112" s="68">
        <f t="shared" si="131"/>
        <v>7</v>
      </c>
      <c r="CY112" s="5">
        <v>14400</v>
      </c>
      <c r="CZ112" s="5">
        <v>-1.1036758223749199</v>
      </c>
      <c r="DA112" s="5">
        <f t="shared" si="108"/>
        <v>-0.3738381963623465</v>
      </c>
      <c r="DB112" s="73">
        <f t="shared" si="109"/>
        <v>-0.3738381963623465</v>
      </c>
      <c r="DC112" s="73">
        <f t="shared" si="110"/>
        <v>-1</v>
      </c>
      <c r="DD112" s="5">
        <f>IF(G112&lt;48,"UF", IF(NOT(ISBLANK(CZ:CZ)), CZ:CZ, IF(CL:CL=3, CK:CK+Sheet2!B468, IF(CL:CL=4, CK:CK+Sheet2!B469, IF(CL:CL=7, CK:CK+Sheet2!B470,"")))))</f>
        <v>-1.1036758223749199</v>
      </c>
      <c r="DE112" s="69">
        <f t="shared" si="111"/>
        <v>7</v>
      </c>
      <c r="DF112" s="2">
        <v>1</v>
      </c>
      <c r="DG112" s="2">
        <v>39</v>
      </c>
      <c r="DH112" s="2">
        <v>2</v>
      </c>
      <c r="DI112" s="2">
        <v>2</v>
      </c>
      <c r="DJ112" s="2">
        <v>2</v>
      </c>
      <c r="DK112" s="2">
        <v>100</v>
      </c>
      <c r="DL112" s="2">
        <v>60</v>
      </c>
      <c r="DM112" s="2">
        <v>90</v>
      </c>
      <c r="DN112" s="2">
        <v>60</v>
      </c>
      <c r="DO112" s="2" t="s">
        <v>12</v>
      </c>
      <c r="DP112" s="2" t="s">
        <v>12</v>
      </c>
      <c r="DQ112" s="2">
        <v>1</v>
      </c>
      <c r="DR112" s="2">
        <v>38</v>
      </c>
      <c r="DS112" s="2">
        <v>1</v>
      </c>
      <c r="DT112" s="2">
        <v>96</v>
      </c>
      <c r="DU112" s="2">
        <v>86</v>
      </c>
      <c r="DV112" s="2">
        <v>2</v>
      </c>
      <c r="DW112" s="2">
        <v>2</v>
      </c>
      <c r="DX112" s="2">
        <v>2</v>
      </c>
      <c r="DY112" s="2">
        <v>3</v>
      </c>
      <c r="DZ112" s="2">
        <v>35</v>
      </c>
      <c r="EA112" s="2" t="s">
        <v>12</v>
      </c>
      <c r="EB112" s="2">
        <v>46</v>
      </c>
      <c r="EC112" s="2" t="s">
        <v>12</v>
      </c>
      <c r="ED112" s="2">
        <v>1</v>
      </c>
    </row>
    <row r="113" spans="3:134" x14ac:dyDescent="0.25">
      <c r="C113" s="8" t="s">
        <v>243</v>
      </c>
      <c r="D113" s="8">
        <v>2501003101</v>
      </c>
      <c r="E113" s="5">
        <v>7</v>
      </c>
      <c r="F113" s="2">
        <v>2</v>
      </c>
      <c r="G113" s="2">
        <v>56</v>
      </c>
      <c r="H113" s="2">
        <v>-2.038510606018678</v>
      </c>
      <c r="I113" s="2">
        <v>52</v>
      </c>
      <c r="J113" s="2">
        <v>1.117633928075521</v>
      </c>
      <c r="K113" s="2">
        <v>3000</v>
      </c>
      <c r="L113" s="2">
        <v>-0.73426392472567259</v>
      </c>
      <c r="M113" s="2">
        <v>-1.7724</v>
      </c>
      <c r="N113" s="2">
        <f t="shared" si="69"/>
        <v>0.86705530300933897</v>
      </c>
      <c r="O113" s="2">
        <f t="shared" si="70"/>
        <v>-1.7724</v>
      </c>
      <c r="P113" s="2">
        <v>69</v>
      </c>
      <c r="Q113" s="2">
        <v>0.63</v>
      </c>
      <c r="R113" s="5">
        <f t="shared" si="71"/>
        <v>-1.3438169640377606</v>
      </c>
      <c r="S113" s="5">
        <f t="shared" si="72"/>
        <v>0.63</v>
      </c>
      <c r="T113" s="2">
        <v>7150</v>
      </c>
      <c r="U113" s="2">
        <v>-0.95</v>
      </c>
      <c r="V113" s="2">
        <f t="shared" si="73"/>
        <v>-0.20786803763716366</v>
      </c>
      <c r="W113" s="2">
        <f t="shared" si="74"/>
        <v>-0.95</v>
      </c>
      <c r="X113" s="2">
        <v>-0.3044</v>
      </c>
      <c r="Y113" s="76">
        <f t="shared" si="112"/>
        <v>1.7341106060186779</v>
      </c>
      <c r="Z113" s="76">
        <f t="shared" si="113"/>
        <v>2</v>
      </c>
      <c r="AA113" s="2">
        <f t="shared" si="75"/>
        <v>-0.79654999999999998</v>
      </c>
      <c r="AB113" s="2">
        <f t="shared" si="76"/>
        <v>-0.3044</v>
      </c>
      <c r="AC113" s="2">
        <v>72</v>
      </c>
      <c r="AD113" s="2">
        <v>-1.57</v>
      </c>
      <c r="AE113" s="79">
        <f t="shared" si="114"/>
        <v>-2.6876339280755213</v>
      </c>
      <c r="AF113" s="79">
        <f t="shared" si="115"/>
        <v>-2</v>
      </c>
      <c r="AG113" s="2">
        <f t="shared" si="134"/>
        <v>-0.87999999999999989</v>
      </c>
      <c r="AH113" s="2">
        <f t="shared" si="78"/>
        <v>-1.57</v>
      </c>
      <c r="AI113" s="2">
        <v>8500</v>
      </c>
      <c r="AJ113" s="2">
        <v>-1.1499999999999999</v>
      </c>
      <c r="AK113" s="76">
        <f t="shared" si="116"/>
        <v>-0.41573607527432732</v>
      </c>
      <c r="AL113" s="76">
        <f t="shared" si="117"/>
        <v>-1</v>
      </c>
      <c r="AM113" s="2">
        <f t="shared" si="79"/>
        <v>-0.20500000000000007</v>
      </c>
      <c r="AN113" s="2">
        <f t="shared" si="80"/>
        <v>-1.1499999999999999</v>
      </c>
      <c r="AO113" s="2">
        <v>-0.96309999999999996</v>
      </c>
      <c r="AP113" s="2" t="str">
        <f t="shared" si="81"/>
        <v/>
      </c>
      <c r="AQ113" s="2">
        <f t="shared" si="82"/>
        <v>-0.96309999999999996</v>
      </c>
      <c r="AR113" s="2">
        <v>81</v>
      </c>
      <c r="AS113" s="2">
        <v>-1.1299999999999999</v>
      </c>
      <c r="AT113" s="2" t="str">
        <f t="shared" si="83"/>
        <v/>
      </c>
      <c r="AU113" s="2">
        <f t="shared" si="84"/>
        <v>-1.1299999999999999</v>
      </c>
      <c r="AV113" s="2">
        <v>9400</v>
      </c>
      <c r="AW113" s="2">
        <v>-1.36</v>
      </c>
      <c r="AX113" s="2" t="str">
        <f t="shared" si="85"/>
        <v/>
      </c>
      <c r="AY113" s="2">
        <f t="shared" si="86"/>
        <v>-1.36</v>
      </c>
      <c r="BA113" s="78" t="e">
        <f t="shared" si="118"/>
        <v>#VALUE!</v>
      </c>
      <c r="BB113" s="78" t="e">
        <f t="shared" si="119"/>
        <v>#VALUE!</v>
      </c>
      <c r="BC113" s="2" t="str">
        <f t="shared" si="87"/>
        <v/>
      </c>
      <c r="BD113" s="2" t="e">
        <f t="shared" si="88"/>
        <v>#VALUE!</v>
      </c>
      <c r="BE113" s="67" t="e">
        <f t="shared" si="120"/>
        <v>#VALUE!</v>
      </c>
      <c r="BF113" s="2" t="s">
        <v>12</v>
      </c>
      <c r="BH113" s="2" t="str">
        <f t="shared" si="89"/>
        <v/>
      </c>
      <c r="BI113" s="2" t="e">
        <f t="shared" si="90"/>
        <v>#VALUE!</v>
      </c>
      <c r="BJ113" s="67" t="e">
        <f t="shared" si="91"/>
        <v>#VALUE!</v>
      </c>
      <c r="BK113" s="2" t="s">
        <v>12</v>
      </c>
      <c r="BM113" s="77" t="e">
        <f t="shared" si="136"/>
        <v>#VALUE!</v>
      </c>
      <c r="BN113" s="77" t="e">
        <f t="shared" si="122"/>
        <v>#VALUE!</v>
      </c>
      <c r="BO113" s="2" t="str">
        <f t="shared" si="92"/>
        <v/>
      </c>
      <c r="BP113" s="2" t="e">
        <f t="shared" si="93"/>
        <v>#VALUE!</v>
      </c>
      <c r="BQ113" s="67" t="e">
        <f t="shared" si="123"/>
        <v>#VALUE!</v>
      </c>
      <c r="BS113" s="75" t="e">
        <f t="shared" si="124"/>
        <v>#VALUE!</v>
      </c>
      <c r="BT113" s="75" t="e">
        <f t="shared" si="125"/>
        <v>#VALUE!</v>
      </c>
      <c r="BU113" s="5" t="str">
        <f>IF(G120&gt;=36, IF(AND(NOT(ISBLANK(CM:CM)), NOT(ISBLANK(BD:BD))), (CM:CM-BD:BD)/2, ""), "UF")</f>
        <v/>
      </c>
      <c r="BV113" s="5" t="e">
        <f t="shared" si="94"/>
        <v>#VALUE!</v>
      </c>
      <c r="BW113" s="69" t="e">
        <f t="shared" si="95"/>
        <v>#VALUE!</v>
      </c>
      <c r="BX113" s="2" t="s">
        <v>12</v>
      </c>
      <c r="BZ113" s="74" t="e">
        <f t="shared" si="126"/>
        <v>#VALUE!</v>
      </c>
      <c r="CA113" s="74" t="e">
        <f t="shared" si="127"/>
        <v>#VALUE!</v>
      </c>
      <c r="CB113" s="5" t="str">
        <f t="shared" si="96"/>
        <v/>
      </c>
      <c r="CC113" s="5" t="e">
        <f t="shared" si="97"/>
        <v>#VALUE!</v>
      </c>
      <c r="CD113" s="2" t="e">
        <f t="shared" si="98"/>
        <v>#VALUE!</v>
      </c>
      <c r="CE113" s="69" t="e">
        <f t="shared" si="99"/>
        <v>#VALUE!</v>
      </c>
      <c r="CF113" s="5" t="s">
        <v>12</v>
      </c>
      <c r="CH113" s="72" t="e">
        <f t="shared" si="128"/>
        <v>#VALUE!</v>
      </c>
      <c r="CI113" s="72" t="e">
        <f t="shared" si="129"/>
        <v>#VALUE!</v>
      </c>
      <c r="CJ113" s="5" t="str">
        <f t="shared" si="100"/>
        <v/>
      </c>
      <c r="CK113" s="5" t="e">
        <f t="shared" si="101"/>
        <v>#VALUE!</v>
      </c>
      <c r="CL113" s="69" t="e">
        <f t="shared" si="102"/>
        <v>#VALUE!</v>
      </c>
      <c r="CN113" s="70" t="str">
        <f t="shared" si="103"/>
        <v/>
      </c>
      <c r="CO113" s="5" t="e">
        <f t="shared" si="104"/>
        <v>#VALUE!</v>
      </c>
      <c r="CP113" s="5" t="e">
        <f>IF(G113&lt;48,"UF", IF(NOT(ISBLANK(CM:CM)), CM:CM, IF(BW:BW=1, BV:BV+Sheet2!B432, IF(Sheet1!BW:BW=2, Sheet1!BV:BV+Sheet2!B433, IF(Sheet1!BW:BW=7, Sheet1!BV:BV+Sheet2!B434,"")))))</f>
        <v>#VALUE!</v>
      </c>
      <c r="CQ113" s="69" t="e">
        <f t="shared" si="130"/>
        <v>#VALUE!</v>
      </c>
      <c r="CR113" s="5" t="s">
        <v>12</v>
      </c>
      <c r="CT113" s="5" t="str">
        <f t="shared" si="105"/>
        <v/>
      </c>
      <c r="CU113" s="80" t="e">
        <f t="shared" si="106"/>
        <v>#VALUE!</v>
      </c>
      <c r="CV113" s="80" t="e">
        <f t="shared" si="107"/>
        <v>#VALUE!</v>
      </c>
      <c r="CW113" s="20" t="e">
        <f>IF(G113&lt;48,"UF", IF(NOT(ISBLANK(CS113)), CS113, IF(CE113=5, CC113+Sheet2!B421, IF(CE113=6, CC113+Sheet2!B422, IF(CE113=7, CC113+Sheet2!B423,"")))))</f>
        <v>#VALUE!</v>
      </c>
      <c r="CX113" s="68" t="e">
        <f t="shared" si="131"/>
        <v>#VALUE!</v>
      </c>
      <c r="CY113" s="5" t="s">
        <v>12</v>
      </c>
      <c r="DA113" s="5" t="str">
        <f t="shared" si="108"/>
        <v/>
      </c>
      <c r="DB113" s="73" t="e">
        <f t="shared" si="109"/>
        <v>#VALUE!</v>
      </c>
      <c r="DC113" s="73" t="e">
        <f t="shared" si="110"/>
        <v>#VALUE!</v>
      </c>
      <c r="DD113" s="5" t="e">
        <f>IF(G113&lt;48,"UF", IF(NOT(ISBLANK(CZ:CZ)), CZ:CZ, IF(CL:CL=3, CK:CK+Sheet2!B426, IF(CL:CL=4, CK:CK+Sheet2!B427, IF(CL:CL=7, CK:CK+Sheet2!B428,"")))))</f>
        <v>#VALUE!</v>
      </c>
      <c r="DE113" s="69" t="e">
        <f t="shared" si="111"/>
        <v>#VALUE!</v>
      </c>
      <c r="DF113" s="2">
        <v>1</v>
      </c>
      <c r="DG113" s="2">
        <v>37</v>
      </c>
      <c r="DH113" s="2">
        <v>1</v>
      </c>
      <c r="DI113" s="2">
        <v>2</v>
      </c>
      <c r="DJ113" s="2">
        <v>2</v>
      </c>
      <c r="DK113" s="2" t="s">
        <v>12</v>
      </c>
      <c r="DL113" s="2" t="s">
        <v>12</v>
      </c>
      <c r="DM113" s="2">
        <v>130</v>
      </c>
      <c r="DN113" s="2">
        <v>80</v>
      </c>
      <c r="DO113" s="2" t="s">
        <v>12</v>
      </c>
      <c r="DP113" s="2" t="s">
        <v>12</v>
      </c>
      <c r="DQ113" s="2">
        <v>2</v>
      </c>
      <c r="DR113" s="2">
        <v>41</v>
      </c>
      <c r="DS113" s="2">
        <v>1</v>
      </c>
      <c r="DT113" s="2">
        <v>106</v>
      </c>
      <c r="DU113" s="2">
        <v>85</v>
      </c>
      <c r="DV113" s="2">
        <v>4</v>
      </c>
      <c r="DW113" s="2">
        <v>2</v>
      </c>
      <c r="DX113" s="2">
        <v>2</v>
      </c>
      <c r="DY113" s="2">
        <v>3</v>
      </c>
      <c r="DZ113" s="2">
        <v>34</v>
      </c>
      <c r="EA113" s="2" t="s">
        <v>12</v>
      </c>
      <c r="EB113" s="2">
        <v>45</v>
      </c>
      <c r="EC113" s="2" t="s">
        <v>12</v>
      </c>
      <c r="ED113" s="2">
        <v>1</v>
      </c>
    </row>
    <row r="114" spans="3:134" x14ac:dyDescent="0.25">
      <c r="C114" s="8" t="s">
        <v>357</v>
      </c>
      <c r="D114" s="2">
        <v>2501003128</v>
      </c>
      <c r="E114" s="5">
        <v>7</v>
      </c>
      <c r="F114" s="2">
        <v>1</v>
      </c>
      <c r="G114" s="2">
        <v>59</v>
      </c>
      <c r="H114" s="2">
        <v>-1.4647636225604881</v>
      </c>
      <c r="I114" s="2">
        <v>52</v>
      </c>
      <c r="J114" s="2">
        <v>1.531272843240846</v>
      </c>
      <c r="K114" s="2">
        <v>3150</v>
      </c>
      <c r="L114" s="2">
        <v>-0.18089455544006011</v>
      </c>
      <c r="M114" s="2">
        <v>-0.99570000000000003</v>
      </c>
      <c r="N114" s="2">
        <f t="shared" si="69"/>
        <v>0.26588181128024402</v>
      </c>
      <c r="O114" s="2">
        <f t="shared" si="70"/>
        <v>-0.99570000000000003</v>
      </c>
      <c r="P114" s="2">
        <v>68</v>
      </c>
      <c r="Q114" s="2">
        <v>0.99</v>
      </c>
      <c r="R114" s="5">
        <f t="shared" si="71"/>
        <v>-0.47563642162042302</v>
      </c>
      <c r="S114" s="5">
        <f t="shared" si="72"/>
        <v>0.99</v>
      </c>
      <c r="T114" s="2">
        <v>7150</v>
      </c>
      <c r="U114" s="2">
        <v>-0.17</v>
      </c>
      <c r="V114" s="2">
        <f t="shared" si="73"/>
        <v>-6.9552722279969947E-2</v>
      </c>
      <c r="W114" s="2">
        <f t="shared" si="74"/>
        <v>-0.17</v>
      </c>
      <c r="X114" s="2">
        <v>-0.93300000000000005</v>
      </c>
      <c r="Y114" s="76">
        <f t="shared" si="112"/>
        <v>0.53176362256048804</v>
      </c>
      <c r="Z114" s="76">
        <f t="shared" si="113"/>
        <v>1</v>
      </c>
      <c r="AA114" s="2">
        <f t="shared" si="75"/>
        <v>-1.1311499999999999</v>
      </c>
      <c r="AB114" s="2">
        <f t="shared" si="76"/>
        <v>-0.93300000000000005</v>
      </c>
      <c r="AC114" s="2">
        <v>75.5</v>
      </c>
      <c r="AD114" s="2">
        <v>0.57999999999999996</v>
      </c>
      <c r="AE114" s="79">
        <f t="shared" si="114"/>
        <v>-0.95127284324084604</v>
      </c>
      <c r="AF114" s="79">
        <f t="shared" si="115"/>
        <v>-2</v>
      </c>
      <c r="AG114" s="2">
        <f t="shared" si="134"/>
        <v>-0.27500000000000002</v>
      </c>
      <c r="AH114" s="2">
        <f t="shared" si="78"/>
        <v>0.57999999999999996</v>
      </c>
      <c r="AI114" s="2">
        <v>8600</v>
      </c>
      <c r="AJ114" s="2">
        <v>-0.32</v>
      </c>
      <c r="AK114" s="76">
        <f t="shared" si="116"/>
        <v>-0.13910544455993989</v>
      </c>
      <c r="AL114" s="76">
        <f t="shared" si="117"/>
        <v>-1</v>
      </c>
      <c r="AM114" s="2">
        <f t="shared" si="79"/>
        <v>-0.21999999999999997</v>
      </c>
      <c r="AN114" s="2">
        <f t="shared" si="80"/>
        <v>-0.32</v>
      </c>
      <c r="AO114" s="2">
        <v>-1.2723</v>
      </c>
      <c r="AP114" s="2">
        <f t="shared" si="81"/>
        <v>-0.95198743871386593</v>
      </c>
      <c r="AQ114" s="2">
        <f t="shared" si="82"/>
        <v>-1.2723</v>
      </c>
      <c r="AR114" s="2">
        <v>82</v>
      </c>
      <c r="AS114" s="2">
        <v>0.44</v>
      </c>
      <c r="AT114" s="2">
        <f t="shared" si="83"/>
        <v>8.3239487951213109E-2</v>
      </c>
      <c r="AU114" s="2">
        <f t="shared" si="84"/>
        <v>0.44</v>
      </c>
      <c r="AV114" s="2">
        <v>9500</v>
      </c>
      <c r="AW114" s="2">
        <v>-0.61</v>
      </c>
      <c r="AX114" s="2">
        <f t="shared" si="85"/>
        <v>-0.68546166583965595</v>
      </c>
      <c r="AY114" s="2">
        <f t="shared" si="86"/>
        <v>-0.61</v>
      </c>
      <c r="AZ114" s="2">
        <v>-2.8369748774277319</v>
      </c>
      <c r="BA114" s="78">
        <f t="shared" si="118"/>
        <v>-1.9039748774277319</v>
      </c>
      <c r="BB114" s="78">
        <f t="shared" si="119"/>
        <v>-2</v>
      </c>
      <c r="BC114" s="2">
        <f t="shared" si="87"/>
        <v>-0.49558418002577165</v>
      </c>
      <c r="BD114" s="2">
        <f t="shared" si="88"/>
        <v>-2.8369748774277319</v>
      </c>
      <c r="BE114" s="67">
        <f t="shared" si="120"/>
        <v>2</v>
      </c>
      <c r="BF114" s="2">
        <v>88</v>
      </c>
      <c r="BG114" s="2">
        <v>0.74647897590242618</v>
      </c>
      <c r="BH114" s="2">
        <f t="shared" si="89"/>
        <v>3.1295282998266374E-3</v>
      </c>
      <c r="BI114" s="2">
        <f t="shared" si="90"/>
        <v>0.74647897590242618</v>
      </c>
      <c r="BJ114" s="67">
        <f t="shared" si="91"/>
        <v>7</v>
      </c>
      <c r="BK114" s="2">
        <v>10230</v>
      </c>
      <c r="BL114" s="2">
        <v>-1.690923331679312</v>
      </c>
      <c r="BM114" s="77">
        <f t="shared" si="136"/>
        <v>-1.3709233316793119</v>
      </c>
      <c r="BN114" s="77">
        <f t="shared" si="122"/>
        <v>-2</v>
      </c>
      <c r="BO114" s="2">
        <f t="shared" si="92"/>
        <v>-0.22187307089010735</v>
      </c>
      <c r="BP114" s="2">
        <f t="shared" si="93"/>
        <v>-1.690923331679312</v>
      </c>
      <c r="BQ114" s="67">
        <f t="shared" si="123"/>
        <v>7</v>
      </c>
      <c r="BR114" s="5">
        <v>-2.7590525400773149</v>
      </c>
      <c r="BS114" s="75">
        <f t="shared" si="124"/>
        <v>7.7922337350416981E-2</v>
      </c>
      <c r="BT114" s="75">
        <f t="shared" si="125"/>
        <v>1</v>
      </c>
      <c r="BU114" s="5">
        <f>IF(G121&gt;=36, IF(AND(NOT(ISBLANK(CM:CM)), NOT(ISBLANK(BD:BD))), (CM:CM-BD:BD)/2, ""), "UF")</f>
        <v>0.60212327432891743</v>
      </c>
      <c r="BV114" s="5">
        <f t="shared" si="94"/>
        <v>-2.7590525400773149</v>
      </c>
      <c r="BW114" s="69">
        <f t="shared" si="95"/>
        <v>2</v>
      </c>
      <c r="BX114" s="2">
        <v>96</v>
      </c>
      <c r="BY114" s="5">
        <v>0.44938858489947991</v>
      </c>
      <c r="BZ114" s="74">
        <f t="shared" si="126"/>
        <v>2.1403119165787921</v>
      </c>
      <c r="CA114" s="74">
        <f t="shared" si="127"/>
        <v>2</v>
      </c>
      <c r="CB114" s="5">
        <f t="shared" si="96"/>
        <v>-0.37712116245827293</v>
      </c>
      <c r="CC114" s="5">
        <f t="shared" si="97"/>
        <v>0.44938858489947991</v>
      </c>
      <c r="CD114" s="2">
        <f t="shared" si="98"/>
        <v>-0.29709039100294626</v>
      </c>
      <c r="CE114" s="69">
        <f t="shared" si="99"/>
        <v>7</v>
      </c>
      <c r="CF114" s="5">
        <v>12100</v>
      </c>
      <c r="CG114" s="5">
        <v>-1.2756192126703221</v>
      </c>
      <c r="CH114" s="72">
        <f t="shared" si="128"/>
        <v>0.41530411900898989</v>
      </c>
      <c r="CI114" s="72">
        <f t="shared" si="129"/>
        <v>1</v>
      </c>
      <c r="CJ114" s="5">
        <f t="shared" si="100"/>
        <v>0.33068404746424851</v>
      </c>
      <c r="CK114" s="5">
        <f t="shared" si="101"/>
        <v>-1.2756192126703221</v>
      </c>
      <c r="CL114" s="69">
        <f t="shared" si="102"/>
        <v>7</v>
      </c>
      <c r="CM114" s="5">
        <v>-1.632728328769897</v>
      </c>
      <c r="CN114" s="70">
        <f t="shared" si="103"/>
        <v>1.1263242113074179</v>
      </c>
      <c r="CO114" s="5">
        <f t="shared" si="104"/>
        <v>1.1263242113074179</v>
      </c>
      <c r="CP114" s="5">
        <f>IF(G114&lt;48,"UF", IF(NOT(ISBLANK(CM:CM)), CM:CM, IF(BW:BW=1, BV:BV+Sheet2!B596, IF(Sheet1!BW:BW=2, Sheet1!BV:BV+Sheet2!B597, IF(Sheet1!BW:BW=7, Sheet1!BV:BV+Sheet2!B598,"")))))</f>
        <v>-1.632728328769897</v>
      </c>
      <c r="CQ114" s="69">
        <f t="shared" si="130"/>
        <v>7</v>
      </c>
      <c r="CR114" s="5">
        <v>101</v>
      </c>
      <c r="CS114" s="5">
        <v>-7.7633490141196491E-3</v>
      </c>
      <c r="CT114" s="5">
        <f t="shared" si="105"/>
        <v>-0.45715193391359954</v>
      </c>
      <c r="CU114" s="80">
        <f t="shared" si="106"/>
        <v>-0.45715193391359954</v>
      </c>
      <c r="CV114" s="80">
        <f t="shared" si="107"/>
        <v>-1</v>
      </c>
      <c r="CW114" s="20">
        <f>IF(G114&lt;48,"UF", IF(NOT(ISBLANK(CS114)), CS114, IF(CE114=5, CC114+Sheet2!B585, IF(CE114=6, CC114+Sheet2!B586, IF(CE114=7, CC114+Sheet2!B587,"")))))</f>
        <v>-7.7633490141196491E-3</v>
      </c>
      <c r="CX114" s="68">
        <f t="shared" si="131"/>
        <v>7</v>
      </c>
      <c r="CY114" s="5">
        <v>14000</v>
      </c>
      <c r="CZ114" s="5">
        <v>-1.029555236750815</v>
      </c>
      <c r="DA114" s="5">
        <f t="shared" si="108"/>
        <v>0.24606397591950713</v>
      </c>
      <c r="DB114" s="73">
        <f t="shared" si="109"/>
        <v>0.24606397591950713</v>
      </c>
      <c r="DC114" s="73">
        <f t="shared" si="110"/>
        <v>1</v>
      </c>
      <c r="DD114" s="5">
        <f>IF(G114&lt;48,"UF", IF(NOT(ISBLANK(CZ:CZ)), CZ:CZ, IF(CL:CL=3, CK:CK+Sheet2!B590, IF(CL:CL=4, CK:CK+Sheet2!B591, IF(CL:CL=7, CK:CK+Sheet2!B592,"")))))</f>
        <v>-1.029555236750815</v>
      </c>
      <c r="DE114" s="69">
        <f t="shared" si="111"/>
        <v>7</v>
      </c>
      <c r="DF114" s="2">
        <v>2</v>
      </c>
      <c r="DG114" s="2">
        <v>34</v>
      </c>
      <c r="DH114" s="2">
        <v>1</v>
      </c>
      <c r="DI114" s="2">
        <v>2</v>
      </c>
      <c r="DJ114" s="2">
        <v>2</v>
      </c>
      <c r="DK114" s="2">
        <v>90</v>
      </c>
      <c r="DL114" s="2">
        <v>60</v>
      </c>
      <c r="DM114" s="2">
        <v>90</v>
      </c>
      <c r="DN114" s="2">
        <v>60</v>
      </c>
      <c r="DO114" s="2">
        <v>90</v>
      </c>
      <c r="DP114" s="2">
        <v>60</v>
      </c>
      <c r="DQ114" s="2">
        <v>1</v>
      </c>
      <c r="DR114" s="2">
        <v>39</v>
      </c>
      <c r="DS114" s="2">
        <v>2</v>
      </c>
      <c r="DT114" s="2">
        <v>80.5</v>
      </c>
      <c r="DU114" s="2">
        <v>69</v>
      </c>
      <c r="DV114" s="2">
        <v>4</v>
      </c>
      <c r="DW114" s="2">
        <v>2</v>
      </c>
      <c r="DX114" s="2">
        <v>4</v>
      </c>
      <c r="DY114" s="2">
        <v>2</v>
      </c>
      <c r="DZ114" s="2">
        <v>34</v>
      </c>
      <c r="EA114" s="2">
        <v>34.799999999999997</v>
      </c>
      <c r="EB114" s="2">
        <v>44.3</v>
      </c>
      <c r="EC114" s="2">
        <v>4</v>
      </c>
      <c r="ED114" s="2">
        <v>1</v>
      </c>
    </row>
    <row r="115" spans="3:134" x14ac:dyDescent="0.25">
      <c r="D115" s="2">
        <v>2501003241</v>
      </c>
      <c r="E115" s="5" t="s">
        <v>527</v>
      </c>
      <c r="F115" s="2">
        <v>2</v>
      </c>
      <c r="G115" s="2">
        <v>59</v>
      </c>
      <c r="H115" s="2">
        <v>-2.0718236785277702</v>
      </c>
      <c r="I115" s="2">
        <v>52</v>
      </c>
      <c r="J115" s="2">
        <v>1.117633928075521</v>
      </c>
      <c r="K115" s="5">
        <v>2991</v>
      </c>
      <c r="L115" s="2">
        <v>-0.75406029586714196</v>
      </c>
      <c r="M115" s="2">
        <v>-0.98350000000000004</v>
      </c>
      <c r="N115" s="2">
        <f t="shared" si="69"/>
        <v>0.49666183926388507</v>
      </c>
      <c r="O115" s="2">
        <f t="shared" si="70"/>
        <v>-0.98350000000000004</v>
      </c>
      <c r="P115" s="2">
        <v>68</v>
      </c>
      <c r="Q115" s="2">
        <v>0.17</v>
      </c>
      <c r="R115" s="5">
        <f t="shared" si="71"/>
        <v>-1.3438169640377606</v>
      </c>
      <c r="S115" s="5">
        <f t="shared" si="72"/>
        <v>0.17</v>
      </c>
      <c r="T115" s="1">
        <v>7400</v>
      </c>
      <c r="U115" s="2">
        <v>-0.64</v>
      </c>
      <c r="V115" s="2">
        <f t="shared" si="73"/>
        <v>-0.472969852066429</v>
      </c>
      <c r="W115" s="2">
        <f t="shared" si="74"/>
        <v>-0.64</v>
      </c>
      <c r="X115" s="2">
        <v>-1.0785</v>
      </c>
      <c r="Y115" s="76">
        <f t="shared" si="112"/>
        <v>0.99332367852777015</v>
      </c>
      <c r="Z115" s="76">
        <f t="shared" si="113"/>
        <v>2</v>
      </c>
      <c r="AA115" s="2">
        <f t="shared" si="75"/>
        <v>-0.97509999999999997</v>
      </c>
      <c r="AB115" s="2">
        <f t="shared" si="76"/>
        <v>-1.0785</v>
      </c>
      <c r="AC115" s="2">
        <v>72</v>
      </c>
      <c r="AD115" s="2">
        <v>-1.57</v>
      </c>
      <c r="AE115" s="79">
        <f t="shared" si="114"/>
        <v>-2.6876339280755213</v>
      </c>
      <c r="AF115" s="79">
        <f t="shared" si="115"/>
        <v>-2</v>
      </c>
      <c r="AG115" s="2">
        <f t="shared" si="134"/>
        <v>-0.69</v>
      </c>
      <c r="AH115" s="2">
        <f t="shared" si="78"/>
        <v>-1.57</v>
      </c>
      <c r="AI115" s="2">
        <v>8000</v>
      </c>
      <c r="AJ115" s="2">
        <v>-1.7</v>
      </c>
      <c r="AK115" s="76">
        <f t="shared" si="116"/>
        <v>-0.94593970413285799</v>
      </c>
      <c r="AL115" s="76">
        <f t="shared" si="117"/>
        <v>-2</v>
      </c>
      <c r="AM115" s="2">
        <f t="shared" si="79"/>
        <v>-0.65500000000000003</v>
      </c>
      <c r="AN115" s="2">
        <f t="shared" si="80"/>
        <v>-1.7</v>
      </c>
      <c r="AO115" s="2">
        <v>-1.7802</v>
      </c>
      <c r="AP115" s="2">
        <f t="shared" si="81"/>
        <v>-0.44776009777953052</v>
      </c>
      <c r="AQ115" s="2">
        <f t="shared" si="82"/>
        <v>-1.7802</v>
      </c>
      <c r="AR115" s="2">
        <v>79</v>
      </c>
      <c r="AS115" s="2">
        <v>-1.21</v>
      </c>
      <c r="AT115" s="2">
        <f t="shared" si="83"/>
        <v>-0.33488419639099642</v>
      </c>
      <c r="AU115" s="2">
        <f t="shared" si="84"/>
        <v>-1.21</v>
      </c>
      <c r="AV115" s="2">
        <v>8800</v>
      </c>
      <c r="AW115" s="2">
        <v>-1.95</v>
      </c>
      <c r="AX115" s="2">
        <f t="shared" si="85"/>
        <v>-0.81901081260396047</v>
      </c>
      <c r="AY115" s="2">
        <f t="shared" si="86"/>
        <v>-1.95</v>
      </c>
      <c r="AZ115" s="2">
        <v>-1.9740201955590611</v>
      </c>
      <c r="BA115" s="78">
        <f t="shared" si="118"/>
        <v>-0.89552019555906104</v>
      </c>
      <c r="BB115" s="78">
        <f t="shared" si="119"/>
        <v>-2</v>
      </c>
      <c r="BC115" s="2">
        <f t="shared" si="87"/>
        <v>-0.69934610729955649</v>
      </c>
      <c r="BD115" s="2">
        <f t="shared" si="88"/>
        <v>-1.9740201955590611</v>
      </c>
      <c r="BE115" s="67">
        <f t="shared" si="120"/>
        <v>7</v>
      </c>
      <c r="BF115" s="2">
        <v>79</v>
      </c>
      <c r="BG115" s="2">
        <v>-2.2397683927819929</v>
      </c>
      <c r="BH115" s="2">
        <f t="shared" si="89"/>
        <v>-0.16434717381957467</v>
      </c>
      <c r="BI115" s="2">
        <f t="shared" si="90"/>
        <v>-2.2397683927819929</v>
      </c>
      <c r="BJ115" s="67">
        <f t="shared" si="91"/>
        <v>6</v>
      </c>
      <c r="BK115" s="2">
        <v>9000</v>
      </c>
      <c r="BL115" s="2">
        <v>-3.3380216252079209</v>
      </c>
      <c r="BM115" s="77">
        <f t="shared" si="136"/>
        <v>-1.6380216252079209</v>
      </c>
      <c r="BN115" s="77">
        <f t="shared" si="122"/>
        <v>-2</v>
      </c>
      <c r="BO115" s="2">
        <f t="shared" si="92"/>
        <v>-0.57006704728412239</v>
      </c>
      <c r="BP115" s="2">
        <f t="shared" si="93"/>
        <v>-3.3380216252079209</v>
      </c>
      <c r="BQ115" s="67">
        <f t="shared" si="123"/>
        <v>3</v>
      </c>
      <c r="BR115" s="5">
        <v>-3.8782383218986691</v>
      </c>
      <c r="BS115" s="75">
        <f t="shared" si="124"/>
        <v>-1.9042181263396081</v>
      </c>
      <c r="BT115" s="75">
        <f t="shared" si="125"/>
        <v>-2</v>
      </c>
      <c r="BU115" s="5" t="str">
        <f>IF(G122&gt;=36, IF(AND(NOT(ISBLANK(CM:CM)), NOT(ISBLANK(BD:BD))), (CM:CM-BD:BD)/2, ""), "UF")</f>
        <v/>
      </c>
      <c r="BV115" s="5">
        <f t="shared" si="94"/>
        <v>-3.8782383218986691</v>
      </c>
      <c r="BW115" s="69">
        <f t="shared" si="95"/>
        <v>1</v>
      </c>
      <c r="BX115" s="2">
        <v>89</v>
      </c>
      <c r="BY115" s="5">
        <v>-1.703041521458724</v>
      </c>
      <c r="BZ115" s="74">
        <f t="shared" si="126"/>
        <v>1.6349801037491969</v>
      </c>
      <c r="CA115" s="74">
        <f t="shared" si="127"/>
        <v>2</v>
      </c>
      <c r="CB115" s="5" t="str">
        <f t="shared" si="96"/>
        <v/>
      </c>
      <c r="CC115" s="5">
        <f t="shared" si="97"/>
        <v>-1.703041521458724</v>
      </c>
      <c r="CD115" s="2">
        <f t="shared" si="98"/>
        <v>0.53672687132326891</v>
      </c>
      <c r="CE115" s="69">
        <f t="shared" si="99"/>
        <v>7</v>
      </c>
      <c r="CF115" s="5">
        <v>10000</v>
      </c>
      <c r="CG115" s="5">
        <v>-3.660201141852367</v>
      </c>
      <c r="CH115" s="72">
        <f t="shared" si="128"/>
        <v>-0.32217951664444611</v>
      </c>
      <c r="CI115" s="72">
        <f t="shared" si="129"/>
        <v>-1</v>
      </c>
      <c r="CJ115" s="5" t="str">
        <f t="shared" si="100"/>
        <v/>
      </c>
      <c r="CK115" s="5">
        <f t="shared" si="101"/>
        <v>-3.660201141852367</v>
      </c>
      <c r="CL115" s="69">
        <f t="shared" si="102"/>
        <v>3</v>
      </c>
      <c r="CN115" s="70" t="str">
        <f t="shared" si="103"/>
        <v/>
      </c>
      <c r="CO115" s="5">
        <f t="shared" si="104"/>
        <v>0</v>
      </c>
      <c r="CP115" s="5">
        <f>IF(G115&lt;48,"UF", IF(NOT(ISBLANK(CM:CM)), CM:CM, IF(BW:BW=1, BV:BV+Sheet2!B237, IF(Sheet1!BW:BW=2, Sheet1!BV:BV+Sheet2!B238, IF(Sheet1!BW:BW=7, Sheet1!BV:BV+Sheet2!B239,"")))))</f>
        <v>-3.8782383218986691</v>
      </c>
      <c r="CQ115" s="69">
        <f t="shared" si="130"/>
        <v>1</v>
      </c>
      <c r="CR115" s="5" t="s">
        <v>12</v>
      </c>
      <c r="CT115" s="5" t="str">
        <f t="shared" si="105"/>
        <v/>
      </c>
      <c r="CU115" s="80">
        <f t="shared" si="106"/>
        <v>0</v>
      </c>
      <c r="CV115" s="80">
        <f t="shared" si="107"/>
        <v>-1</v>
      </c>
      <c r="CW115" s="20">
        <f>IF(G115&lt;48,"UF", IF(NOT(ISBLANK(CS115)), CS115, IF(CE115=5, CC115+Sheet2!B226, IF(CE115=6, CC115+Sheet2!B227, IF(CE115=7, CC115+Sheet2!B228,"")))))</f>
        <v>-1.703041521458724</v>
      </c>
      <c r="CX115" s="68">
        <f t="shared" si="131"/>
        <v>7</v>
      </c>
      <c r="CY115" s="5" t="s">
        <v>12</v>
      </c>
      <c r="DA115" s="5" t="str">
        <f t="shared" si="108"/>
        <v/>
      </c>
      <c r="DB115" s="73">
        <f t="shared" si="109"/>
        <v>0</v>
      </c>
      <c r="DC115" s="73">
        <f t="shared" si="110"/>
        <v>-1</v>
      </c>
      <c r="DD115" s="5">
        <f>IF(G115&lt;48,"UF", IF(NOT(ISBLANK(CZ:CZ)), CZ:CZ, IF(CL:CL=3, CK:CK+Sheet2!B231, IF(CL:CL=4, CK:CK+Sheet2!B232, IF(CL:CL=7, CK:CK+Sheet2!B233,"")))))</f>
        <v>-3.660201141852367</v>
      </c>
      <c r="DE115" s="69">
        <f t="shared" si="111"/>
        <v>3</v>
      </c>
      <c r="DF115" s="2">
        <v>3</v>
      </c>
      <c r="DG115" s="2">
        <v>33</v>
      </c>
      <c r="DH115" s="2">
        <v>2</v>
      </c>
      <c r="DI115" s="2">
        <v>2</v>
      </c>
      <c r="DJ115" s="2">
        <v>2</v>
      </c>
      <c r="DK115" s="2">
        <v>90</v>
      </c>
      <c r="DL115" s="2">
        <v>50</v>
      </c>
      <c r="DM115" s="2">
        <v>85</v>
      </c>
      <c r="DN115" s="2">
        <v>45</v>
      </c>
      <c r="DO115" s="2">
        <v>80</v>
      </c>
      <c r="DP115" s="2">
        <v>40</v>
      </c>
      <c r="DQ115" s="2">
        <v>2</v>
      </c>
      <c r="DR115" s="2">
        <v>38</v>
      </c>
      <c r="DS115" s="2">
        <v>1</v>
      </c>
      <c r="DT115" s="2">
        <v>81</v>
      </c>
      <c r="DU115" s="2">
        <v>75</v>
      </c>
      <c r="DV115" s="2">
        <v>2</v>
      </c>
      <c r="DW115" s="2">
        <v>2</v>
      </c>
      <c r="DX115" s="2">
        <v>2</v>
      </c>
      <c r="DY115" s="2">
        <v>2</v>
      </c>
      <c r="DZ115" s="2">
        <v>34</v>
      </c>
      <c r="EA115" s="2">
        <v>36</v>
      </c>
      <c r="EB115" s="2">
        <v>44.5</v>
      </c>
      <c r="EC115" s="2">
        <v>1</v>
      </c>
      <c r="ED115" s="2">
        <v>1</v>
      </c>
    </row>
    <row r="116" spans="3:134" x14ac:dyDescent="0.25">
      <c r="C116" s="8" t="s">
        <v>351</v>
      </c>
      <c r="D116" s="2">
        <v>2501003381</v>
      </c>
      <c r="E116" s="5">
        <v>7</v>
      </c>
      <c r="F116" s="2">
        <v>1</v>
      </c>
      <c r="G116" s="2">
        <v>59</v>
      </c>
      <c r="H116" s="2">
        <v>-1.5730730422209309</v>
      </c>
      <c r="I116" s="2">
        <v>51</v>
      </c>
      <c r="J116" s="2">
        <v>0.99441714029262385</v>
      </c>
      <c r="K116" s="2">
        <v>3000</v>
      </c>
      <c r="L116" s="2">
        <v>-0.51868017376649433</v>
      </c>
      <c r="N116" s="2">
        <f t="shared" si="69"/>
        <v>0.99833652111046545</v>
      </c>
      <c r="O116" s="2">
        <f t="shared" si="70"/>
        <v>-0.57473652111046547</v>
      </c>
      <c r="P116" s="2" t="s">
        <v>12</v>
      </c>
      <c r="R116" s="5">
        <f t="shared" si="71"/>
        <v>-0.49720857014631192</v>
      </c>
      <c r="S116" s="5">
        <f t="shared" si="72"/>
        <v>0.49720857014631192</v>
      </c>
      <c r="T116" s="2" t="s">
        <v>12</v>
      </c>
      <c r="V116" s="2">
        <f t="shared" si="73"/>
        <v>0.41434008688324719</v>
      </c>
      <c r="W116" s="2">
        <f t="shared" si="74"/>
        <v>-0.10434008688324714</v>
      </c>
      <c r="X116" s="2">
        <v>0.42359999999999998</v>
      </c>
      <c r="Y116" s="76">
        <f t="shared" si="112"/>
        <v>1.9966730422209309</v>
      </c>
      <c r="Z116" s="76">
        <f t="shared" si="113"/>
        <v>2</v>
      </c>
      <c r="AA116" s="2">
        <f t="shared" si="75"/>
        <v>0.63194571492684415</v>
      </c>
      <c r="AB116" s="2">
        <f t="shared" si="76"/>
        <v>0.42359999999999998</v>
      </c>
      <c r="AC116" s="2">
        <v>74</v>
      </c>
      <c r="AD116" s="2">
        <v>0</v>
      </c>
      <c r="AE116" s="79">
        <f t="shared" si="114"/>
        <v>-0.99441714029262385</v>
      </c>
      <c r="AF116" s="79">
        <f t="shared" si="115"/>
        <v>-2</v>
      </c>
      <c r="AG116" s="2">
        <f t="shared" si="134"/>
        <v>-0.54360428507315595</v>
      </c>
      <c r="AH116" s="2">
        <f t="shared" si="78"/>
        <v>0</v>
      </c>
      <c r="AI116" s="2">
        <v>9300</v>
      </c>
      <c r="AJ116" s="2">
        <v>0.31</v>
      </c>
      <c r="AK116" s="76">
        <f t="shared" si="116"/>
        <v>0.82868017376649439</v>
      </c>
      <c r="AL116" s="76">
        <f t="shared" si="117"/>
        <v>2</v>
      </c>
      <c r="AM116" s="2">
        <f t="shared" si="79"/>
        <v>0.51717004344162354</v>
      </c>
      <c r="AN116" s="2">
        <f t="shared" si="80"/>
        <v>0.31</v>
      </c>
      <c r="AO116" s="2">
        <v>1.7611000000000001</v>
      </c>
      <c r="AP116" s="2" t="str">
        <f t="shared" si="81"/>
        <v/>
      </c>
      <c r="AQ116" s="2">
        <f t="shared" si="82"/>
        <v>1.7611000000000001</v>
      </c>
      <c r="AR116" s="2">
        <v>79</v>
      </c>
      <c r="AS116" s="2">
        <v>-0.59</v>
      </c>
      <c r="AT116" s="2" t="str">
        <f t="shared" si="83"/>
        <v/>
      </c>
      <c r="AU116" s="2">
        <f t="shared" si="84"/>
        <v>-0.59</v>
      </c>
      <c r="AV116" s="2">
        <v>11500</v>
      </c>
      <c r="AW116" s="2">
        <v>0.93</v>
      </c>
      <c r="AX116" s="2" t="str">
        <f t="shared" si="85"/>
        <v/>
      </c>
      <c r="AY116" s="2">
        <f t="shared" si="86"/>
        <v>0.93</v>
      </c>
      <c r="BA116" s="78">
        <f t="shared" si="118"/>
        <v>-0.76793972706316294</v>
      </c>
      <c r="BB116" s="78">
        <f t="shared" si="119"/>
        <v>-2</v>
      </c>
      <c r="BC116" s="2">
        <f t="shared" si="87"/>
        <v>-2.1054397270631631</v>
      </c>
      <c r="BD116" s="2">
        <f t="shared" si="88"/>
        <v>-0.34433972706316296</v>
      </c>
      <c r="BE116" s="67">
        <f t="shared" si="120"/>
        <v>7</v>
      </c>
      <c r="BF116" s="2" t="s">
        <v>12</v>
      </c>
      <c r="BH116" s="2">
        <f t="shared" si="89"/>
        <v>1.0020740528393612</v>
      </c>
      <c r="BI116" s="2">
        <f t="shared" si="90"/>
        <v>0.41207405283936127</v>
      </c>
      <c r="BJ116" s="67">
        <f t="shared" si="91"/>
        <v>7</v>
      </c>
      <c r="BK116" s="2" t="s">
        <v>12</v>
      </c>
      <c r="BM116" s="77">
        <f t="shared" si="136"/>
        <v>0.10788357362478446</v>
      </c>
      <c r="BN116" s="77">
        <f t="shared" si="122"/>
        <v>1</v>
      </c>
      <c r="BO116" s="2">
        <f t="shared" si="92"/>
        <v>-0.51211642637521559</v>
      </c>
      <c r="BP116" s="2">
        <f t="shared" si="93"/>
        <v>0.41788357362478445</v>
      </c>
      <c r="BQ116" s="67">
        <f t="shared" si="123"/>
        <v>7</v>
      </c>
      <c r="BR116" s="5">
        <v>-4.5552191811894893</v>
      </c>
      <c r="BS116" s="75">
        <f t="shared" si="124"/>
        <v>-4.2108794541263261</v>
      </c>
      <c r="BT116" s="75">
        <f t="shared" si="125"/>
        <v>-2</v>
      </c>
      <c r="BU116" s="5">
        <f>IF(G123&gt;=36, IF(AND(NOT(ISBLANK(CM:CM)), NOT(ISBLANK(BD:BD))), (CM:CM-BD:BD)/2, ""), "UF")</f>
        <v>-0.16542240478521392</v>
      </c>
      <c r="BV116" s="5">
        <f t="shared" si="94"/>
        <v>-4.5552191811894893</v>
      </c>
      <c r="BW116" s="69">
        <f t="shared" si="95"/>
        <v>1</v>
      </c>
      <c r="BX116" s="2">
        <v>104</v>
      </c>
      <c r="BY116" s="5">
        <v>2.4162221585180839</v>
      </c>
      <c r="BZ116" s="74">
        <f t="shared" si="126"/>
        <v>1.9983385848932995</v>
      </c>
      <c r="CA116" s="74">
        <f t="shared" si="127"/>
        <v>2</v>
      </c>
      <c r="CB116" s="5">
        <f t="shared" si="96"/>
        <v>-3.9255868629417046E-2</v>
      </c>
      <c r="CC116" s="5">
        <f t="shared" si="97"/>
        <v>2.4162221585180839</v>
      </c>
      <c r="CD116" s="2">
        <f t="shared" si="98"/>
        <v>2.0041481056787225</v>
      </c>
      <c r="CE116" s="69" t="str">
        <f t="shared" si="99"/>
        <v/>
      </c>
      <c r="CF116" s="5">
        <v>13000</v>
      </c>
      <c r="CG116" s="5">
        <v>-0.60634927912564673</v>
      </c>
      <c r="CH116" s="72">
        <f t="shared" si="128"/>
        <v>-1.0242328527504312</v>
      </c>
      <c r="CI116" s="72">
        <f t="shared" si="129"/>
        <v>-2</v>
      </c>
      <c r="CJ116" s="5">
        <f t="shared" si="100"/>
        <v>-0.35278760641932017</v>
      </c>
      <c r="CK116" s="5">
        <f t="shared" si="101"/>
        <v>-0.60634927912564673</v>
      </c>
      <c r="CL116" s="69">
        <f t="shared" si="102"/>
        <v>7</v>
      </c>
      <c r="CM116" s="5">
        <v>-0.67518453663359079</v>
      </c>
      <c r="CN116" s="70">
        <f t="shared" si="103"/>
        <v>3.8800346445558986</v>
      </c>
      <c r="CO116" s="5">
        <f t="shared" si="104"/>
        <v>3.8800346445558986</v>
      </c>
      <c r="CP116" s="5">
        <f>IF(G116&lt;48,"UF", IF(NOT(ISBLANK(CM:CM)), CM:CM, IF(BW:BW=1, BV:BV+Sheet2!B584, IF(Sheet1!BW:BW=2, Sheet1!BV:BV+Sheet2!B585, IF(Sheet1!BW:BW=7, Sheet1!BV:BV+Sheet2!B586,"")))))</f>
        <v>-0.67518453663359079</v>
      </c>
      <c r="CQ116" s="69">
        <f t="shared" si="130"/>
        <v>7</v>
      </c>
      <c r="CR116" s="5">
        <v>102.5</v>
      </c>
      <c r="CS116" s="5">
        <v>0.33356231558052718</v>
      </c>
      <c r="CT116" s="5">
        <f t="shared" si="105"/>
        <v>-2.0826598429375567</v>
      </c>
      <c r="CU116" s="80">
        <f t="shared" si="106"/>
        <v>-2.0826598429375567</v>
      </c>
      <c r="CV116" s="80">
        <f t="shared" si="107"/>
        <v>-2</v>
      </c>
      <c r="CW116" s="20">
        <f>IF(G116&lt;48,"UF", IF(NOT(ISBLANK(CS116)), CS116, IF(CE116=5, CC116+Sheet2!B573, IF(CE116=6, CC116+Sheet2!B574, IF(CE116=7, CC116+Sheet2!B575,"")))))</f>
        <v>0.33356231558052718</v>
      </c>
      <c r="CX116" s="68">
        <f t="shared" si="131"/>
        <v>7</v>
      </c>
      <c r="CY116" s="5">
        <v>15300</v>
      </c>
      <c r="CZ116" s="5">
        <v>-0.28769163921385582</v>
      </c>
      <c r="DA116" s="5">
        <f t="shared" si="108"/>
        <v>0.31865763991179091</v>
      </c>
      <c r="DB116" s="73">
        <f t="shared" si="109"/>
        <v>0.31865763991179091</v>
      </c>
      <c r="DC116" s="73">
        <f t="shared" si="110"/>
        <v>1</v>
      </c>
      <c r="DD116" s="5">
        <f>IF(G116&lt;48,"UF", IF(NOT(ISBLANK(CZ:CZ)), CZ:CZ, IF(CL:CL=3, CK:CK+Sheet2!B578, IF(CL:CL=4, CK:CK+Sheet2!B579, IF(CL:CL=7, CK:CK+Sheet2!B580,"")))))</f>
        <v>-0.28769163921385582</v>
      </c>
      <c r="DE116" s="69">
        <f t="shared" si="111"/>
        <v>7</v>
      </c>
      <c r="DF116" s="2">
        <v>3</v>
      </c>
      <c r="DG116" s="2">
        <v>36</v>
      </c>
      <c r="DH116" s="2">
        <v>2</v>
      </c>
      <c r="DI116" s="2">
        <v>2</v>
      </c>
      <c r="DJ116" s="2">
        <v>2</v>
      </c>
      <c r="DK116" s="2">
        <v>90</v>
      </c>
      <c r="DL116" s="2">
        <v>60</v>
      </c>
      <c r="DM116" s="2">
        <v>110</v>
      </c>
      <c r="DN116" s="2">
        <v>60</v>
      </c>
      <c r="DO116" s="2">
        <v>100</v>
      </c>
      <c r="DP116" s="2">
        <v>60</v>
      </c>
      <c r="DQ116" s="2">
        <v>2</v>
      </c>
      <c r="DR116" s="2">
        <v>38</v>
      </c>
      <c r="DS116" s="2">
        <v>2</v>
      </c>
      <c r="DT116" s="2">
        <v>77</v>
      </c>
      <c r="DU116" s="2">
        <v>70</v>
      </c>
      <c r="DV116" s="2">
        <v>2</v>
      </c>
      <c r="DW116" s="2">
        <v>2</v>
      </c>
      <c r="DX116" s="2">
        <v>2</v>
      </c>
      <c r="DY116" s="2">
        <v>1</v>
      </c>
      <c r="DZ116" s="2">
        <v>32</v>
      </c>
      <c r="EA116" s="2">
        <v>35.5</v>
      </c>
      <c r="EB116" s="2">
        <v>44</v>
      </c>
      <c r="EC116" s="2">
        <v>1</v>
      </c>
      <c r="ED116" s="2">
        <v>1</v>
      </c>
    </row>
    <row r="117" spans="3:134" x14ac:dyDescent="0.25">
      <c r="C117" s="5" t="s">
        <v>380</v>
      </c>
      <c r="D117" s="10">
        <v>2501003543</v>
      </c>
      <c r="E117" s="5">
        <v>4</v>
      </c>
      <c r="F117" s="2">
        <v>2</v>
      </c>
      <c r="G117" s="2">
        <v>50</v>
      </c>
      <c r="H117" s="2">
        <v>-0.83593697359552199</v>
      </c>
      <c r="I117" s="2">
        <v>52</v>
      </c>
      <c r="J117" s="2">
        <v>1.117633928075521</v>
      </c>
      <c r="K117" s="5">
        <v>3350</v>
      </c>
      <c r="L117" s="2">
        <v>7.3647417021721496E-3</v>
      </c>
      <c r="M117" s="2">
        <v>-0.65539999999999998</v>
      </c>
      <c r="N117" s="2">
        <f t="shared" si="69"/>
        <v>0.34606848679776098</v>
      </c>
      <c r="O117" s="2">
        <f t="shared" si="70"/>
        <v>-0.65539999999999998</v>
      </c>
      <c r="P117" s="2">
        <v>68</v>
      </c>
      <c r="Q117" s="2">
        <v>0.17</v>
      </c>
      <c r="R117" s="5">
        <f t="shared" si="71"/>
        <v>-1.1338169640377604</v>
      </c>
      <c r="S117" s="5">
        <f t="shared" si="72"/>
        <v>0.17</v>
      </c>
      <c r="T117" s="1">
        <v>7600</v>
      </c>
      <c r="U117" s="2">
        <v>-0.4</v>
      </c>
      <c r="V117" s="2">
        <f t="shared" si="73"/>
        <v>-0.3986823708510861</v>
      </c>
      <c r="W117" s="2">
        <f t="shared" si="74"/>
        <v>-0.4</v>
      </c>
      <c r="X117" s="2">
        <v>-0.14380000000000001</v>
      </c>
      <c r="Y117" s="76">
        <f t="shared" si="112"/>
        <v>0.69213697359552195</v>
      </c>
      <c r="Z117" s="76">
        <f t="shared" si="113"/>
        <v>2</v>
      </c>
      <c r="AA117" s="2">
        <f t="shared" si="75"/>
        <v>-0.31025000000000003</v>
      </c>
      <c r="AB117" s="2">
        <f t="shared" si="76"/>
        <v>-0.14380000000000001</v>
      </c>
      <c r="AC117" s="2">
        <v>73</v>
      </c>
      <c r="AD117" s="2">
        <v>-1.1499999999999999</v>
      </c>
      <c r="AE117" s="79">
        <f t="shared" si="114"/>
        <v>-2.2676339280755209</v>
      </c>
      <c r="AF117" s="79">
        <f t="shared" si="115"/>
        <v>-2</v>
      </c>
      <c r="AG117" s="2">
        <f t="shared" si="134"/>
        <v>-1.2449999999999999</v>
      </c>
      <c r="AH117" s="2">
        <f t="shared" si="78"/>
        <v>-1.1499999999999999</v>
      </c>
      <c r="AI117" s="2">
        <v>8850</v>
      </c>
      <c r="AJ117" s="2">
        <v>-0.79</v>
      </c>
      <c r="AK117" s="76">
        <f t="shared" si="116"/>
        <v>-0.7973647417021722</v>
      </c>
      <c r="AL117" s="76">
        <f t="shared" si="117"/>
        <v>-2</v>
      </c>
      <c r="AM117" s="2">
        <f t="shared" si="79"/>
        <v>-0.67500000000000004</v>
      </c>
      <c r="AN117" s="2">
        <f t="shared" si="80"/>
        <v>-0.79</v>
      </c>
      <c r="AO117" s="2">
        <v>-0.45050000000000001</v>
      </c>
      <c r="AP117" s="2">
        <f t="shared" si="81"/>
        <v>-0.30730951413982432</v>
      </c>
      <c r="AQ117" s="2">
        <f t="shared" si="82"/>
        <v>-0.45050000000000001</v>
      </c>
      <c r="AR117" s="2">
        <v>76</v>
      </c>
      <c r="AS117" s="2">
        <v>-2.3199999999999998</v>
      </c>
      <c r="AT117" s="2">
        <f t="shared" si="83"/>
        <v>-0.40247745727585105</v>
      </c>
      <c r="AU117" s="2">
        <f t="shared" si="84"/>
        <v>-2.3199999999999998</v>
      </c>
      <c r="AV117" s="2">
        <v>9000</v>
      </c>
      <c r="AW117" s="2">
        <v>-1.75</v>
      </c>
      <c r="AX117" s="2">
        <f t="shared" si="85"/>
        <v>-0.75485168653485357</v>
      </c>
      <c r="AY117" s="2">
        <f t="shared" si="86"/>
        <v>-1.75</v>
      </c>
      <c r="AZ117" s="2">
        <v>-0.75841902827964869</v>
      </c>
      <c r="BA117" s="78">
        <f t="shared" si="118"/>
        <v>-0.61461902827964865</v>
      </c>
      <c r="BB117" s="78">
        <f t="shared" si="119"/>
        <v>-1</v>
      </c>
      <c r="BC117" s="2">
        <f t="shared" si="87"/>
        <v>3.9383335627777606E-2</v>
      </c>
      <c r="BD117" s="2">
        <f t="shared" si="88"/>
        <v>-0.75841902827964869</v>
      </c>
      <c r="BE117" s="67">
        <f t="shared" si="120"/>
        <v>7</v>
      </c>
      <c r="BF117" s="2">
        <v>80</v>
      </c>
      <c r="BG117" s="2">
        <v>-1.954954914551702</v>
      </c>
      <c r="BH117" s="2">
        <f t="shared" si="89"/>
        <v>-0.71373851114989229</v>
      </c>
      <c r="BI117" s="2">
        <f t="shared" si="90"/>
        <v>-1.954954914551702</v>
      </c>
      <c r="BJ117" s="67">
        <f t="shared" si="91"/>
        <v>7</v>
      </c>
      <c r="BK117" s="2">
        <v>10000</v>
      </c>
      <c r="BL117" s="2">
        <v>-2.2997033730697072</v>
      </c>
      <c r="BM117" s="77">
        <f t="shared" si="136"/>
        <v>-1.5097033730697071</v>
      </c>
      <c r="BN117" s="77">
        <f t="shared" si="122"/>
        <v>-2</v>
      </c>
      <c r="BO117" s="2">
        <f t="shared" si="92"/>
        <v>-0.63673371395078904</v>
      </c>
      <c r="BP117" s="2">
        <f t="shared" si="93"/>
        <v>-2.2997033730697072</v>
      </c>
      <c r="BQ117" s="67">
        <f t="shared" si="123"/>
        <v>4</v>
      </c>
      <c r="BR117" s="5">
        <v>-0.33234999311666719</v>
      </c>
      <c r="BS117" s="75">
        <f t="shared" si="124"/>
        <v>0.4260690351629815</v>
      </c>
      <c r="BT117" s="75">
        <f t="shared" si="125"/>
        <v>1</v>
      </c>
      <c r="BU117" s="5" t="e">
        <f>IF(#REF!&gt;=36, IF(AND(NOT(ISBLANK(CM:CM)), NOT(ISBLANK(BD:BD))), (CM:CM-BD:BD)/2, ""), "UF")</f>
        <v>#REF!</v>
      </c>
      <c r="BV117" s="5">
        <f t="shared" si="94"/>
        <v>-0.33234999311666719</v>
      </c>
      <c r="BW117" s="69">
        <f t="shared" si="95"/>
        <v>7</v>
      </c>
      <c r="BX117" s="2">
        <v>80</v>
      </c>
      <c r="BY117" s="5">
        <v>-4.4612155334496766</v>
      </c>
      <c r="BZ117" s="74">
        <f t="shared" si="126"/>
        <v>-2.1615121603799694</v>
      </c>
      <c r="CA117" s="74">
        <f t="shared" si="127"/>
        <v>-2</v>
      </c>
      <c r="CB117" s="5" t="str">
        <f t="shared" si="96"/>
        <v/>
      </c>
      <c r="CC117" s="5">
        <f t="shared" si="97"/>
        <v>-4.4612155334496766</v>
      </c>
      <c r="CD117" s="2">
        <f t="shared" si="98"/>
        <v>-2.5062606188979748</v>
      </c>
      <c r="CE117" s="69">
        <f t="shared" si="99"/>
        <v>5</v>
      </c>
      <c r="CF117" s="5">
        <v>10000</v>
      </c>
      <c r="CG117" s="5">
        <v>-3.660201141852367</v>
      </c>
      <c r="CH117" s="72">
        <f t="shared" si="128"/>
        <v>-1.3604977687826598</v>
      </c>
      <c r="CI117" s="72">
        <f t="shared" si="129"/>
        <v>-2</v>
      </c>
      <c r="CJ117" s="5" t="str">
        <f t="shared" si="100"/>
        <v/>
      </c>
      <c r="CK117" s="5">
        <f t="shared" si="101"/>
        <v>-3.660201141852367</v>
      </c>
      <c r="CL117" s="69">
        <f t="shared" si="102"/>
        <v>3</v>
      </c>
      <c r="CN117" s="70" t="str">
        <f t="shared" si="103"/>
        <v/>
      </c>
      <c r="CO117" s="5">
        <f t="shared" si="104"/>
        <v>0</v>
      </c>
      <c r="CP117" s="5">
        <f>IF(G117&lt;48,"UF", IF(NOT(ISBLANK(CM:CM)), CM:CM, IF(BW:BW=1, BV:BV+Sheet2!B184, IF(Sheet1!BW:BW=2, Sheet1!BV:BV+Sheet2!B185, IF(Sheet1!BW:BW=7, Sheet1!BV:BV+Sheet2!B186,"")))))</f>
        <v>-0.33234999311666719</v>
      </c>
      <c r="CQ117" s="69">
        <f t="shared" si="130"/>
        <v>7</v>
      </c>
      <c r="CR117" s="5" t="s">
        <v>12</v>
      </c>
      <c r="CT117" s="5" t="str">
        <f t="shared" si="105"/>
        <v/>
      </c>
      <c r="CU117" s="80">
        <f t="shared" si="106"/>
        <v>0</v>
      </c>
      <c r="CV117" s="80">
        <f t="shared" si="107"/>
        <v>-1</v>
      </c>
      <c r="CW117" s="20">
        <f>IF(G117&lt;48,"UF", IF(NOT(ISBLANK(CS117)), CS117, IF(CE117=5, CC117+Sheet2!B173, IF(CE117=6, CC117+Sheet2!B174, IF(CE117=7, CC117+Sheet2!B175,"")))))</f>
        <v>-4.4612155334496766</v>
      </c>
      <c r="CX117" s="68">
        <f t="shared" si="131"/>
        <v>5</v>
      </c>
      <c r="CY117" s="5" t="s">
        <v>12</v>
      </c>
      <c r="DA117" s="5" t="str">
        <f t="shared" si="108"/>
        <v/>
      </c>
      <c r="DB117" s="73">
        <f t="shared" si="109"/>
        <v>0</v>
      </c>
      <c r="DC117" s="73">
        <f t="shared" si="110"/>
        <v>-1</v>
      </c>
      <c r="DD117" s="5">
        <f>IF(G117&lt;48,"UF", IF(NOT(ISBLANK(CZ:CZ)), CZ:CZ, IF(CL:CL=3, CK:CK+Sheet2!B178, IF(CL:CL=4, CK:CK+Sheet2!B179, IF(CL:CL=7, CK:CK+Sheet2!B180,"")))))</f>
        <v>-3.660201141852367</v>
      </c>
      <c r="DE117" s="69">
        <f t="shared" si="111"/>
        <v>3</v>
      </c>
      <c r="DF117" s="2">
        <v>3</v>
      </c>
      <c r="DG117" s="2">
        <v>30</v>
      </c>
      <c r="DH117" s="2">
        <v>2</v>
      </c>
      <c r="DI117" s="2">
        <v>2</v>
      </c>
      <c r="DJ117" s="2">
        <v>2</v>
      </c>
      <c r="DK117" s="2">
        <v>100</v>
      </c>
      <c r="DL117" s="2">
        <v>60</v>
      </c>
      <c r="DM117" s="2">
        <v>90</v>
      </c>
      <c r="DN117" s="2">
        <v>60</v>
      </c>
      <c r="DO117" s="2">
        <v>90</v>
      </c>
      <c r="DP117" s="2">
        <v>60</v>
      </c>
      <c r="DQ117" s="2">
        <v>2</v>
      </c>
      <c r="DR117" s="2">
        <v>40</v>
      </c>
      <c r="DS117" s="2">
        <v>2</v>
      </c>
      <c r="DT117" s="2">
        <v>96</v>
      </c>
      <c r="DU117" s="2">
        <v>80</v>
      </c>
      <c r="DV117" s="2">
        <v>4</v>
      </c>
      <c r="DW117" s="2">
        <v>3</v>
      </c>
      <c r="DX117" s="2">
        <v>2</v>
      </c>
      <c r="DY117" s="2">
        <v>2</v>
      </c>
      <c r="DZ117" s="2">
        <v>35</v>
      </c>
      <c r="EA117" s="2">
        <v>36</v>
      </c>
      <c r="EB117" s="2">
        <v>44</v>
      </c>
      <c r="EC117" s="2">
        <v>1</v>
      </c>
      <c r="ED117" s="2">
        <v>1</v>
      </c>
    </row>
    <row r="118" spans="3:134" x14ac:dyDescent="0.25">
      <c r="C118" s="8" t="s">
        <v>192</v>
      </c>
      <c r="D118" s="4">
        <v>2501004051</v>
      </c>
      <c r="E118" s="5">
        <v>7</v>
      </c>
      <c r="F118" s="2">
        <v>1</v>
      </c>
      <c r="G118" s="2">
        <v>55</v>
      </c>
      <c r="H118" s="2">
        <v>-0.4084869000686987</v>
      </c>
      <c r="I118" s="2">
        <v>51</v>
      </c>
      <c r="J118" s="2">
        <v>0.99441714029262385</v>
      </c>
      <c r="K118" s="1">
        <v>3340</v>
      </c>
      <c r="L118" s="2">
        <v>0.2329663685851048</v>
      </c>
      <c r="M118" s="2">
        <v>-0.92710000000000004</v>
      </c>
      <c r="N118" s="2" t="str">
        <f t="shared" si="69"/>
        <v/>
      </c>
      <c r="O118" s="2">
        <f t="shared" si="70"/>
        <v>-0.92710000000000004</v>
      </c>
      <c r="P118" s="2">
        <v>66.5</v>
      </c>
      <c r="Q118" s="2">
        <v>0.33</v>
      </c>
      <c r="R118" s="5" t="str">
        <f t="shared" si="71"/>
        <v/>
      </c>
      <c r="S118" s="5">
        <f t="shared" si="72"/>
        <v>0.33</v>
      </c>
      <c r="T118" s="1">
        <v>6880</v>
      </c>
      <c r="U118" s="2">
        <v>-0.49</v>
      </c>
      <c r="V118" s="2" t="str">
        <f t="shared" si="73"/>
        <v/>
      </c>
      <c r="W118" s="2">
        <f t="shared" si="74"/>
        <v>-0.49</v>
      </c>
      <c r="Y118" s="76">
        <f t="shared" si="112"/>
        <v>-1.3405630999313014</v>
      </c>
      <c r="Z118" s="76">
        <f t="shared" si="113"/>
        <v>-2</v>
      </c>
      <c r="AA118" s="2">
        <f t="shared" si="75"/>
        <v>-0.82195000000000007</v>
      </c>
      <c r="AB118" s="2">
        <f t="shared" si="76"/>
        <v>-1.74905</v>
      </c>
      <c r="AC118" s="2" t="s">
        <v>12</v>
      </c>
      <c r="AE118" s="79">
        <f t="shared" si="114"/>
        <v>-0.43441714029262379</v>
      </c>
      <c r="AF118" s="79">
        <f t="shared" si="115"/>
        <v>-1</v>
      </c>
      <c r="AG118" s="2">
        <f t="shared" si="134"/>
        <v>0.23</v>
      </c>
      <c r="AH118" s="2">
        <f t="shared" si="78"/>
        <v>0.56000000000000005</v>
      </c>
      <c r="AI118" s="2" t="s">
        <v>12</v>
      </c>
      <c r="AK118" s="76">
        <f t="shared" si="116"/>
        <v>-0.69796636858510475</v>
      </c>
      <c r="AL118" s="76">
        <f t="shared" si="117"/>
        <v>-2</v>
      </c>
      <c r="AM118" s="2">
        <f t="shared" si="79"/>
        <v>2.4999999999999994E-2</v>
      </c>
      <c r="AN118" s="2">
        <f t="shared" si="80"/>
        <v>-0.46499999999999997</v>
      </c>
      <c r="AO118" s="2">
        <v>-1.3139000000000001</v>
      </c>
      <c r="AP118" s="2" t="str">
        <f t="shared" si="81"/>
        <v/>
      </c>
      <c r="AQ118" s="2">
        <f t="shared" si="82"/>
        <v>-1.3139000000000001</v>
      </c>
      <c r="AR118" s="2">
        <v>83</v>
      </c>
      <c r="AS118" s="2">
        <v>0.79</v>
      </c>
      <c r="AT118" s="2" t="str">
        <f t="shared" si="83"/>
        <v/>
      </c>
      <c r="AU118" s="2">
        <f t="shared" si="84"/>
        <v>0.79</v>
      </c>
      <c r="AV118" s="2">
        <v>9700</v>
      </c>
      <c r="AW118" s="2">
        <v>-0.44</v>
      </c>
      <c r="AX118" s="2" t="str">
        <f t="shared" si="85"/>
        <v/>
      </c>
      <c r="AY118" s="2">
        <f t="shared" si="86"/>
        <v>-0.44</v>
      </c>
      <c r="BA118" s="78" t="e">
        <f t="shared" si="118"/>
        <v>#VALUE!</v>
      </c>
      <c r="BB118" s="78" t="e">
        <f t="shared" si="119"/>
        <v>#VALUE!</v>
      </c>
      <c r="BC118" s="2" t="str">
        <f t="shared" si="87"/>
        <v/>
      </c>
      <c r="BD118" s="2" t="e">
        <f t="shared" si="88"/>
        <v>#VALUE!</v>
      </c>
      <c r="BE118" s="67" t="e">
        <f t="shared" si="120"/>
        <v>#VALUE!</v>
      </c>
      <c r="BF118" s="2" t="s">
        <v>12</v>
      </c>
      <c r="BH118" s="2" t="str">
        <f t="shared" si="89"/>
        <v/>
      </c>
      <c r="BI118" s="2" t="e">
        <f t="shared" si="90"/>
        <v>#VALUE!</v>
      </c>
      <c r="BJ118" s="67" t="e">
        <f t="shared" si="91"/>
        <v>#VALUE!</v>
      </c>
      <c r="BK118" s="2" t="s">
        <v>12</v>
      </c>
      <c r="BM118" s="77" t="e">
        <f t="shared" si="136"/>
        <v>#VALUE!</v>
      </c>
      <c r="BN118" s="77" t="e">
        <f t="shared" si="122"/>
        <v>#VALUE!</v>
      </c>
      <c r="BO118" s="2" t="str">
        <f t="shared" si="92"/>
        <v/>
      </c>
      <c r="BP118" s="2" t="e">
        <f t="shared" si="93"/>
        <v>#VALUE!</v>
      </c>
      <c r="BQ118" s="67" t="e">
        <f t="shared" si="123"/>
        <v>#VALUE!</v>
      </c>
      <c r="BS118" s="75" t="e">
        <f t="shared" si="124"/>
        <v>#VALUE!</v>
      </c>
      <c r="BT118" s="75" t="e">
        <f t="shared" si="125"/>
        <v>#VALUE!</v>
      </c>
      <c r="BU118" s="5" t="str">
        <f>IF(G124&gt;=36, IF(AND(NOT(ISBLANK(CM:CM)), NOT(ISBLANK(BD:BD))), (CM:CM-BD:BD)/2, ""), "UF")</f>
        <v/>
      </c>
      <c r="BV118" s="5" t="e">
        <f t="shared" si="94"/>
        <v>#VALUE!</v>
      </c>
      <c r="BW118" s="69" t="e">
        <f t="shared" si="95"/>
        <v>#VALUE!</v>
      </c>
      <c r="BX118" s="2" t="s">
        <v>12</v>
      </c>
      <c r="BZ118" s="74" t="e">
        <f t="shared" si="126"/>
        <v>#VALUE!</v>
      </c>
      <c r="CA118" s="74" t="e">
        <f t="shared" si="127"/>
        <v>#VALUE!</v>
      </c>
      <c r="CB118" s="5" t="str">
        <f t="shared" si="96"/>
        <v/>
      </c>
      <c r="CC118" s="5" t="e">
        <f t="shared" si="97"/>
        <v>#VALUE!</v>
      </c>
      <c r="CD118" s="2" t="e">
        <f t="shared" si="98"/>
        <v>#VALUE!</v>
      </c>
      <c r="CE118" s="69" t="e">
        <f t="shared" si="99"/>
        <v>#VALUE!</v>
      </c>
      <c r="CF118" s="5" t="s">
        <v>12</v>
      </c>
      <c r="CH118" s="72" t="e">
        <f t="shared" si="128"/>
        <v>#VALUE!</v>
      </c>
      <c r="CI118" s="72" t="e">
        <f t="shared" si="129"/>
        <v>#VALUE!</v>
      </c>
      <c r="CJ118" s="5" t="str">
        <f t="shared" si="100"/>
        <v/>
      </c>
      <c r="CK118" s="5" t="e">
        <f t="shared" si="101"/>
        <v>#VALUE!</v>
      </c>
      <c r="CL118" s="69" t="e">
        <f t="shared" si="102"/>
        <v>#VALUE!</v>
      </c>
      <c r="CN118" s="70" t="str">
        <f t="shared" si="103"/>
        <v/>
      </c>
      <c r="CO118" s="5" t="e">
        <f t="shared" si="104"/>
        <v>#VALUE!</v>
      </c>
      <c r="CP118" s="5" t="e">
        <f>IF(G118&lt;48,"UF", IF(NOT(ISBLANK(CM:CM)), CM:CM, IF(BW:BW=1, BV:BV+Sheet2!B365, IF(Sheet1!BW:BW=2, Sheet1!BV:BV+Sheet2!B366, IF(Sheet1!BW:BW=7, Sheet1!BV:BV+Sheet2!B367,"")))))</f>
        <v>#VALUE!</v>
      </c>
      <c r="CQ118" s="69" t="e">
        <f t="shared" si="130"/>
        <v>#VALUE!</v>
      </c>
      <c r="CR118" s="5" t="s">
        <v>12</v>
      </c>
      <c r="CT118" s="5" t="str">
        <f t="shared" si="105"/>
        <v/>
      </c>
      <c r="CU118" s="80" t="e">
        <f t="shared" si="106"/>
        <v>#VALUE!</v>
      </c>
      <c r="CV118" s="80" t="e">
        <f t="shared" si="107"/>
        <v>#VALUE!</v>
      </c>
      <c r="CW118" s="20" t="e">
        <f>IF(G118&lt;48,"UF", IF(NOT(ISBLANK(CS118)), CS118, IF(CE118=5, CC118+Sheet2!B354, IF(CE118=6, CC118+Sheet2!B355, IF(CE118=7, CC118+Sheet2!B356,"")))))</f>
        <v>#VALUE!</v>
      </c>
      <c r="CX118" s="68" t="e">
        <f t="shared" si="131"/>
        <v>#VALUE!</v>
      </c>
      <c r="CY118" s="5" t="s">
        <v>12</v>
      </c>
      <c r="DA118" s="5" t="str">
        <f t="shared" si="108"/>
        <v/>
      </c>
      <c r="DB118" s="73" t="e">
        <f t="shared" si="109"/>
        <v>#VALUE!</v>
      </c>
      <c r="DC118" s="73" t="e">
        <f t="shared" si="110"/>
        <v>#VALUE!</v>
      </c>
      <c r="DD118" s="5" t="e">
        <f>IF(G118&lt;48,"UF", IF(NOT(ISBLANK(CZ:CZ)), CZ:CZ, IF(CL:CL=3, CK:CK+Sheet2!B359, IF(CL:CL=4, CK:CK+Sheet2!B360, IF(CL:CL=7, CK:CK+Sheet2!B361,"")))))</f>
        <v>#VALUE!</v>
      </c>
      <c r="DE118" s="69" t="e">
        <f t="shared" si="111"/>
        <v>#VALUE!</v>
      </c>
      <c r="DF118" s="2">
        <v>2</v>
      </c>
      <c r="DG118" s="2">
        <v>29</v>
      </c>
      <c r="DH118" s="2">
        <v>1</v>
      </c>
      <c r="DI118" s="2">
        <v>2</v>
      </c>
      <c r="DJ118" s="2">
        <v>3</v>
      </c>
      <c r="DK118" s="2" t="s">
        <v>12</v>
      </c>
      <c r="DL118" s="2" t="s">
        <v>12</v>
      </c>
      <c r="DM118" s="2" t="s">
        <v>12</v>
      </c>
      <c r="DN118" s="2" t="s">
        <v>12</v>
      </c>
      <c r="DO118" s="2" t="s">
        <v>12</v>
      </c>
      <c r="DP118" s="2" t="s">
        <v>12</v>
      </c>
      <c r="DQ118" s="2" t="s">
        <v>12</v>
      </c>
      <c r="DR118" s="2">
        <v>39</v>
      </c>
      <c r="DS118" s="2">
        <v>3</v>
      </c>
      <c r="DT118" s="2" t="s">
        <v>12</v>
      </c>
      <c r="DU118" s="2" t="s">
        <v>12</v>
      </c>
      <c r="DV118" s="2">
        <v>3</v>
      </c>
      <c r="DW118" s="2">
        <v>2</v>
      </c>
      <c r="DX118" s="2">
        <v>2</v>
      </c>
      <c r="DY118" s="2">
        <v>3</v>
      </c>
      <c r="DZ118" s="2">
        <v>36</v>
      </c>
      <c r="EA118" s="2">
        <v>36</v>
      </c>
      <c r="EB118" s="2" t="s">
        <v>12</v>
      </c>
      <c r="EC118" s="2">
        <v>1</v>
      </c>
      <c r="ED118" s="2" t="s">
        <v>12</v>
      </c>
    </row>
    <row r="119" spans="3:134" x14ac:dyDescent="0.25">
      <c r="C119" s="2">
        <v>13990501</v>
      </c>
      <c r="D119" s="2">
        <v>2501004094</v>
      </c>
      <c r="E119" s="5" t="s">
        <v>527</v>
      </c>
      <c r="F119" s="2">
        <v>2</v>
      </c>
      <c r="G119" s="2">
        <v>59</v>
      </c>
      <c r="H119" s="2">
        <v>-2.7622253432096389</v>
      </c>
      <c r="I119" s="2">
        <v>50</v>
      </c>
      <c r="J119" s="2">
        <v>6.1168777667580831E-2</v>
      </c>
      <c r="K119" s="5">
        <v>2600</v>
      </c>
      <c r="L119" s="2">
        <v>-1.654483181853698</v>
      </c>
      <c r="M119" s="2">
        <v>-0.58709999999999996</v>
      </c>
      <c r="N119" s="2">
        <f t="shared" si="69"/>
        <v>0.95856267160481945</v>
      </c>
      <c r="O119" s="2">
        <f t="shared" si="70"/>
        <v>-0.58709999999999996</v>
      </c>
      <c r="P119" s="2">
        <v>60</v>
      </c>
      <c r="Q119" s="2">
        <v>-3.57</v>
      </c>
      <c r="R119" s="5">
        <f t="shared" si="71"/>
        <v>-1.2405843888337904</v>
      </c>
      <c r="S119" s="5">
        <f t="shared" si="72"/>
        <v>-3.57</v>
      </c>
      <c r="T119" s="1">
        <v>5950</v>
      </c>
      <c r="U119" s="2">
        <v>-2.58</v>
      </c>
      <c r="V119" s="2">
        <f t="shared" si="73"/>
        <v>-0.1977584090731509</v>
      </c>
      <c r="W119" s="2">
        <f t="shared" si="74"/>
        <v>-2.58</v>
      </c>
      <c r="X119" s="2">
        <v>-0.84509999999999996</v>
      </c>
      <c r="Y119" s="76">
        <f t="shared" si="112"/>
        <v>1.9171253432096389</v>
      </c>
      <c r="Z119" s="76">
        <f t="shared" si="113"/>
        <v>2</v>
      </c>
      <c r="AA119" s="2">
        <f t="shared" si="75"/>
        <v>1.6310499999999999</v>
      </c>
      <c r="AB119" s="2">
        <f t="shared" si="76"/>
        <v>-0.84509999999999996</v>
      </c>
      <c r="AC119" s="2">
        <v>70</v>
      </c>
      <c r="AD119" s="2">
        <v>-2.42</v>
      </c>
      <c r="AE119" s="79">
        <f t="shared" si="114"/>
        <v>-2.4811687776675808</v>
      </c>
      <c r="AF119" s="79">
        <f t="shared" si="115"/>
        <v>-2</v>
      </c>
      <c r="AG119" s="2">
        <f t="shared" si="134"/>
        <v>0.625</v>
      </c>
      <c r="AH119" s="2">
        <f t="shared" si="78"/>
        <v>-2.42</v>
      </c>
      <c r="AI119" s="2">
        <v>7700</v>
      </c>
      <c r="AJ119" s="2">
        <v>-2.0499999999999998</v>
      </c>
      <c r="AK119" s="76">
        <f t="shared" si="116"/>
        <v>-0.3955168181463018</v>
      </c>
      <c r="AL119" s="76">
        <f t="shared" si="117"/>
        <v>-1</v>
      </c>
      <c r="AM119" s="2">
        <f t="shared" si="79"/>
        <v>0.46500000000000008</v>
      </c>
      <c r="AN119" s="2">
        <f t="shared" si="80"/>
        <v>-2.0499999999999998</v>
      </c>
      <c r="AO119" s="2">
        <v>-0.30790000000000001</v>
      </c>
      <c r="AP119" s="2" t="str">
        <f t="shared" si="81"/>
        <v/>
      </c>
      <c r="AQ119" s="2">
        <f t="shared" si="82"/>
        <v>-0.30790000000000001</v>
      </c>
      <c r="AR119" s="2">
        <v>76</v>
      </c>
      <c r="AS119" s="2">
        <v>-2.3199999999999998</v>
      </c>
      <c r="AT119" s="2" t="str">
        <f t="shared" si="83"/>
        <v/>
      </c>
      <c r="AU119" s="2">
        <f t="shared" si="84"/>
        <v>-2.3199999999999998</v>
      </c>
      <c r="AV119" s="2">
        <v>9100</v>
      </c>
      <c r="AW119" s="2">
        <v>-1.65</v>
      </c>
      <c r="AX119" s="2" t="str">
        <f t="shared" si="85"/>
        <v/>
      </c>
      <c r="AY119" s="2">
        <f t="shared" si="86"/>
        <v>-1.65</v>
      </c>
      <c r="BA119" s="78" t="e">
        <f t="shared" si="118"/>
        <v>#VALUE!</v>
      </c>
      <c r="BB119" s="78" t="e">
        <f t="shared" si="119"/>
        <v>#VALUE!</v>
      </c>
      <c r="BC119" s="2" t="str">
        <f t="shared" si="87"/>
        <v/>
      </c>
      <c r="BD119" s="2" t="e">
        <f t="shared" si="88"/>
        <v>#VALUE!</v>
      </c>
      <c r="BE119" s="67" t="e">
        <f t="shared" si="120"/>
        <v>#VALUE!</v>
      </c>
      <c r="BF119" s="2" t="s">
        <v>12</v>
      </c>
      <c r="BH119" s="2" t="str">
        <f t="shared" si="89"/>
        <v/>
      </c>
      <c r="BI119" s="2" t="e">
        <f t="shared" si="90"/>
        <v>#VALUE!</v>
      </c>
      <c r="BJ119" s="67" t="e">
        <f t="shared" si="91"/>
        <v>#VALUE!</v>
      </c>
      <c r="BK119" s="2" t="s">
        <v>12</v>
      </c>
      <c r="BM119" s="77" t="e">
        <f t="shared" si="136"/>
        <v>#VALUE!</v>
      </c>
      <c r="BN119" s="77" t="e">
        <f t="shared" si="122"/>
        <v>#VALUE!</v>
      </c>
      <c r="BO119" s="2" t="str">
        <f t="shared" si="92"/>
        <v/>
      </c>
      <c r="BP119" s="2" t="e">
        <f t="shared" si="93"/>
        <v>#VALUE!</v>
      </c>
      <c r="BQ119" s="67" t="e">
        <f t="shared" si="123"/>
        <v>#VALUE!</v>
      </c>
      <c r="BS119" s="75" t="e">
        <f t="shared" si="124"/>
        <v>#VALUE!</v>
      </c>
      <c r="BT119" s="75" t="e">
        <f t="shared" si="125"/>
        <v>#VALUE!</v>
      </c>
      <c r="BU119" s="5" t="e">
        <f>IF(G125&gt;=36, IF(AND(NOT(ISBLANK(CM:CM)), NOT(ISBLANK(BD:BD))), (CM:CM-BD:BD)/2, ""), "UF")</f>
        <v>#VALUE!</v>
      </c>
      <c r="BV119" s="5" t="e">
        <f t="shared" si="94"/>
        <v>#VALUE!</v>
      </c>
      <c r="BW119" s="69" t="e">
        <f t="shared" si="95"/>
        <v>#VALUE!</v>
      </c>
      <c r="BX119" s="2" t="s">
        <v>12</v>
      </c>
      <c r="BZ119" s="74" t="e">
        <f t="shared" si="126"/>
        <v>#VALUE!</v>
      </c>
      <c r="CA119" s="74" t="e">
        <f t="shared" si="127"/>
        <v>#VALUE!</v>
      </c>
      <c r="CB119" s="5" t="e">
        <f t="shared" si="96"/>
        <v>#VALUE!</v>
      </c>
      <c r="CC119" s="5" t="e">
        <f t="shared" si="97"/>
        <v>#VALUE!</v>
      </c>
      <c r="CD119" s="2" t="e">
        <f t="shared" si="98"/>
        <v>#VALUE!</v>
      </c>
      <c r="CE119" s="69" t="e">
        <f t="shared" si="99"/>
        <v>#VALUE!</v>
      </c>
      <c r="CF119" s="5" t="s">
        <v>12</v>
      </c>
      <c r="CH119" s="72" t="e">
        <f t="shared" si="128"/>
        <v>#VALUE!</v>
      </c>
      <c r="CI119" s="72" t="e">
        <f t="shared" si="129"/>
        <v>#VALUE!</v>
      </c>
      <c r="CJ119" s="5" t="e">
        <f t="shared" si="100"/>
        <v>#VALUE!</v>
      </c>
      <c r="CK119" s="5" t="e">
        <f t="shared" si="101"/>
        <v>#VALUE!</v>
      </c>
      <c r="CL119" s="69" t="e">
        <f t="shared" si="102"/>
        <v>#VALUE!</v>
      </c>
      <c r="CM119" s="5">
        <v>-1.8367893741264989</v>
      </c>
      <c r="CN119" s="70" t="e">
        <f t="shared" si="103"/>
        <v>#VALUE!</v>
      </c>
      <c r="CO119" s="5" t="e">
        <f t="shared" si="104"/>
        <v>#VALUE!</v>
      </c>
      <c r="CP119" s="5">
        <f>IF(G119&lt;48,"UF", IF(NOT(ISBLANK(CM:CM)), CM:CM, IF(BW:BW=1, BV:BV+Sheet2!B132, IF(Sheet1!BW:BW=2, Sheet1!BV:BV+Sheet2!B133, IF(Sheet1!BW:BW=7, Sheet1!BV:BV+Sheet2!B134,"")))))</f>
        <v>-1.8367893741264989</v>
      </c>
      <c r="CQ119" s="69">
        <f t="shared" si="130"/>
        <v>7</v>
      </c>
      <c r="CR119" s="5">
        <v>93</v>
      </c>
      <c r="CS119" s="5">
        <v>-2.262605773206769</v>
      </c>
      <c r="CT119" s="5" t="e">
        <f t="shared" si="105"/>
        <v>#VALUE!</v>
      </c>
      <c r="CU119" s="80" t="e">
        <f t="shared" si="106"/>
        <v>#VALUE!</v>
      </c>
      <c r="CV119" s="80" t="e">
        <f t="shared" si="107"/>
        <v>#VALUE!</v>
      </c>
      <c r="CW119" s="20">
        <f>IF(G119&lt;48,"UF", IF(NOT(ISBLANK(CS119)), CS119, IF(CE119=5, CC119+Sheet2!B121, IF(CE119=6, CC119+Sheet2!B122, IF(CE119=7, CC119+Sheet2!B123,"")))))</f>
        <v>-2.262605773206769</v>
      </c>
      <c r="CX119" s="68">
        <f t="shared" si="131"/>
        <v>6</v>
      </c>
      <c r="CY119" s="5">
        <v>12000</v>
      </c>
      <c r="CZ119" s="5">
        <v>-2.9581846175433499</v>
      </c>
      <c r="DA119" s="5" t="e">
        <f t="shared" si="108"/>
        <v>#VALUE!</v>
      </c>
      <c r="DB119" s="73" t="e">
        <f t="shared" si="109"/>
        <v>#VALUE!</v>
      </c>
      <c r="DC119" s="73" t="e">
        <f t="shared" si="110"/>
        <v>#VALUE!</v>
      </c>
      <c r="DD119" s="5">
        <f>IF(G119&lt;48,"UF", IF(NOT(ISBLANK(CZ:CZ)), CZ:CZ, IF(CL:CL=3, CK:CK+Sheet2!B126, IF(CL:CL=4, CK:CK+Sheet2!B127, IF(CL:CL=7, CK:CK+Sheet2!B128,"")))))</f>
        <v>-2.9581846175433499</v>
      </c>
      <c r="DE119" s="69">
        <f t="shared" si="111"/>
        <v>4</v>
      </c>
      <c r="DF119" s="2">
        <v>3</v>
      </c>
      <c r="DG119" s="2">
        <v>30</v>
      </c>
      <c r="DH119" s="2">
        <v>2</v>
      </c>
      <c r="DI119" s="2">
        <v>2</v>
      </c>
      <c r="DJ119" s="2">
        <v>2</v>
      </c>
      <c r="DK119" s="2">
        <v>90</v>
      </c>
      <c r="DL119" s="2">
        <v>60</v>
      </c>
      <c r="DM119" s="2">
        <v>110</v>
      </c>
      <c r="DN119" s="2">
        <v>70</v>
      </c>
      <c r="DO119" s="2">
        <v>110</v>
      </c>
      <c r="DP119" s="2">
        <v>65</v>
      </c>
      <c r="DQ119" s="2">
        <v>2</v>
      </c>
      <c r="DR119" s="2">
        <v>40</v>
      </c>
      <c r="DS119" s="2">
        <v>1</v>
      </c>
      <c r="DT119" s="2">
        <v>77</v>
      </c>
      <c r="DU119" s="2">
        <v>80</v>
      </c>
      <c r="DV119" s="2">
        <v>2</v>
      </c>
      <c r="DW119" s="2">
        <v>3</v>
      </c>
      <c r="DX119" s="2">
        <v>2</v>
      </c>
      <c r="DY119" s="2">
        <v>3</v>
      </c>
      <c r="DZ119" s="2">
        <v>32</v>
      </c>
      <c r="EA119" s="2" t="s">
        <v>12</v>
      </c>
      <c r="EB119" s="2">
        <v>45</v>
      </c>
      <c r="EC119" s="2" t="s">
        <v>12</v>
      </c>
      <c r="ED119" s="2">
        <v>1</v>
      </c>
    </row>
    <row r="120" spans="3:134" x14ac:dyDescent="0.25">
      <c r="C120" s="5" t="s">
        <v>25</v>
      </c>
      <c r="D120" s="2">
        <v>2501004612</v>
      </c>
      <c r="E120" s="5">
        <v>2</v>
      </c>
      <c r="F120" s="2">
        <v>1</v>
      </c>
      <c r="G120" s="2">
        <v>53</v>
      </c>
      <c r="H120" s="2">
        <v>-2.7019484078547631</v>
      </c>
      <c r="I120" s="2">
        <v>54</v>
      </c>
      <c r="J120" s="2">
        <v>2.604984249137289</v>
      </c>
      <c r="K120" s="5">
        <v>3090</v>
      </c>
      <c r="L120" s="2">
        <v>-0.44348547267291533</v>
      </c>
      <c r="N120" s="2">
        <f t="shared" si="69"/>
        <v>1.1996742039273816</v>
      </c>
      <c r="O120" s="2">
        <f t="shared" si="70"/>
        <v>-1.5022742039273815</v>
      </c>
      <c r="P120" s="2" t="s">
        <v>12</v>
      </c>
      <c r="R120" s="5">
        <f t="shared" si="71"/>
        <v>-1.4974921245686446</v>
      </c>
      <c r="S120" s="5">
        <f t="shared" si="72"/>
        <v>1.1074921245686444</v>
      </c>
      <c r="T120" s="1" t="s">
        <v>12</v>
      </c>
      <c r="V120" s="2">
        <f t="shared" si="73"/>
        <v>6.7427363364576665E-3</v>
      </c>
      <c r="W120" s="2">
        <f t="shared" si="74"/>
        <v>-0.43674273633645766</v>
      </c>
      <c r="X120" s="2">
        <v>-0.30259999999999998</v>
      </c>
      <c r="Y120" s="76">
        <f t="shared" si="112"/>
        <v>2.3993484078547631</v>
      </c>
      <c r="Z120" s="76">
        <f t="shared" si="113"/>
        <v>2</v>
      </c>
      <c r="AA120" s="2" t="str">
        <f t="shared" si="75"/>
        <v/>
      </c>
      <c r="AB120" s="2">
        <f t="shared" si="76"/>
        <v>-0.30259999999999998</v>
      </c>
      <c r="AC120" s="2">
        <v>73</v>
      </c>
      <c r="AD120" s="2">
        <v>-0.39</v>
      </c>
      <c r="AE120" s="79">
        <f t="shared" si="114"/>
        <v>-2.9949842491372891</v>
      </c>
      <c r="AF120" s="79">
        <f t="shared" si="115"/>
        <v>-2</v>
      </c>
      <c r="AG120" s="2" t="str">
        <f t="shared" si="134"/>
        <v/>
      </c>
      <c r="AH120" s="2">
        <f t="shared" si="78"/>
        <v>-0.39</v>
      </c>
      <c r="AI120" s="2">
        <v>7800</v>
      </c>
      <c r="AJ120" s="2">
        <v>-0.43</v>
      </c>
      <c r="AK120" s="76">
        <f t="shared" si="116"/>
        <v>1.3485472672915333E-2</v>
      </c>
      <c r="AL120" s="76">
        <f t="shared" si="117"/>
        <v>1</v>
      </c>
      <c r="AM120" s="2" t="str">
        <f t="shared" si="79"/>
        <v/>
      </c>
      <c r="AN120" s="2">
        <f t="shared" si="80"/>
        <v>-0.43</v>
      </c>
      <c r="AP120" s="2" t="str">
        <f t="shared" si="81"/>
        <v/>
      </c>
      <c r="AQ120" s="2" t="e">
        <f t="shared" si="82"/>
        <v>#VALUE!</v>
      </c>
      <c r="AR120" s="2" t="s">
        <v>12</v>
      </c>
      <c r="AT120" s="2" t="str">
        <f t="shared" si="83"/>
        <v/>
      </c>
      <c r="AU120" s="2" t="e">
        <f t="shared" si="84"/>
        <v>#VALUE!</v>
      </c>
      <c r="AV120" s="2" t="s">
        <v>12</v>
      </c>
      <c r="AX120" s="2" t="str">
        <f t="shared" si="85"/>
        <v/>
      </c>
      <c r="AY120" s="2" t="e">
        <f t="shared" si="86"/>
        <v>#VALUE!</v>
      </c>
      <c r="BA120" s="78" t="e">
        <f t="shared" si="118"/>
        <v>#VALUE!</v>
      </c>
      <c r="BB120" s="78" t="e">
        <f t="shared" si="119"/>
        <v>#VALUE!</v>
      </c>
      <c r="BC120" s="2" t="e">
        <f t="shared" si="87"/>
        <v>#VALUE!</v>
      </c>
      <c r="BD120" s="2" t="e">
        <f t="shared" si="88"/>
        <v>#VALUE!</v>
      </c>
      <c r="BE120" s="67" t="e">
        <f t="shared" si="120"/>
        <v>#VALUE!</v>
      </c>
      <c r="BF120" s="2" t="s">
        <v>12</v>
      </c>
      <c r="BH120" s="2" t="e">
        <f t="shared" si="89"/>
        <v>#VALUE!</v>
      </c>
      <c r="BI120" s="2" t="e">
        <f t="shared" si="90"/>
        <v>#VALUE!</v>
      </c>
      <c r="BJ120" s="67" t="e">
        <f t="shared" si="91"/>
        <v>#VALUE!</v>
      </c>
      <c r="BK120" s="2" t="s">
        <v>12</v>
      </c>
      <c r="BM120" s="77" t="e">
        <f t="shared" si="136"/>
        <v>#VALUE!</v>
      </c>
      <c r="BN120" s="77" t="e">
        <f t="shared" si="122"/>
        <v>#VALUE!</v>
      </c>
      <c r="BO120" s="2" t="e">
        <f t="shared" si="92"/>
        <v>#VALUE!</v>
      </c>
      <c r="BP120" s="2" t="e">
        <f t="shared" si="93"/>
        <v>#VALUE!</v>
      </c>
      <c r="BQ120" s="67" t="e">
        <f t="shared" si="123"/>
        <v>#VALUE!</v>
      </c>
      <c r="BR120" s="5">
        <v>-3.8735573106186649</v>
      </c>
      <c r="BS120" s="75" t="e">
        <f t="shared" si="124"/>
        <v>#VALUE!</v>
      </c>
      <c r="BT120" s="75" t="e">
        <f t="shared" si="125"/>
        <v>#VALUE!</v>
      </c>
      <c r="BU120" s="5" t="e">
        <f>IF(G127&gt;=36, IF(AND(NOT(ISBLANK(CM:CM)), NOT(ISBLANK(BD:BD))), (CM:CM-BD:BD)/2, ""), "UF")</f>
        <v>#VALUE!</v>
      </c>
      <c r="BV120" s="5">
        <f t="shared" si="94"/>
        <v>-3.8735573106186649</v>
      </c>
      <c r="BW120" s="69">
        <f t="shared" si="95"/>
        <v>1</v>
      </c>
      <c r="BX120" s="2">
        <v>92</v>
      </c>
      <c r="BY120" s="5">
        <v>-0.56216774754318422</v>
      </c>
      <c r="BZ120" s="74" t="e">
        <f t="shared" si="126"/>
        <v>#VALUE!</v>
      </c>
      <c r="CA120" s="74" t="e">
        <f t="shared" si="127"/>
        <v>#VALUE!</v>
      </c>
      <c r="CB120" s="5" t="e">
        <f t="shared" si="96"/>
        <v>#VALUE!</v>
      </c>
      <c r="CC120" s="5">
        <f t="shared" si="97"/>
        <v>-0.56216774754318422</v>
      </c>
      <c r="CD120" s="2" t="e">
        <f t="shared" si="98"/>
        <v>#VALUE!</v>
      </c>
      <c r="CE120" s="69">
        <f t="shared" si="99"/>
        <v>7</v>
      </c>
      <c r="CF120" s="5">
        <v>10500</v>
      </c>
      <c r="CG120" s="5">
        <v>-2.7526214730512719</v>
      </c>
      <c r="CH120" s="72" t="e">
        <f t="shared" si="128"/>
        <v>#VALUE!</v>
      </c>
      <c r="CI120" s="72" t="e">
        <f t="shared" si="129"/>
        <v>#VALUE!</v>
      </c>
      <c r="CJ120" s="5" t="e">
        <f t="shared" si="100"/>
        <v>#VALUE!</v>
      </c>
      <c r="CK120" s="5">
        <f t="shared" si="101"/>
        <v>-2.7526214730512719</v>
      </c>
      <c r="CL120" s="69">
        <f t="shared" si="102"/>
        <v>4</v>
      </c>
      <c r="CM120" s="5">
        <v>-3.725950442546353</v>
      </c>
      <c r="CN120" s="70">
        <f t="shared" si="103"/>
        <v>0.14760686807231194</v>
      </c>
      <c r="CO120" s="5">
        <f t="shared" si="104"/>
        <v>0.14760686807231194</v>
      </c>
      <c r="CP120" s="5">
        <f>IF(G120&lt;48,"UF", IF(NOT(ISBLANK(CM:CM)), CM:CM, IF(BW:BW=1, BV:BV+Sheet2!B47, IF(Sheet1!BW:BW=2, Sheet1!BV:BV+Sheet2!B48, IF(Sheet1!BW:BW=7, Sheet1!BV:BV+Sheet2!B49,"")))))</f>
        <v>-3.725950442546353</v>
      </c>
      <c r="CQ120" s="69">
        <f t="shared" si="130"/>
        <v>1</v>
      </c>
      <c r="CR120" s="5">
        <v>100</v>
      </c>
      <c r="CS120" s="5">
        <v>-0.2375006052106538</v>
      </c>
      <c r="CT120" s="5">
        <f t="shared" si="105"/>
        <v>0.32466714233253041</v>
      </c>
      <c r="CU120" s="80">
        <f t="shared" si="106"/>
        <v>0.32466714233253041</v>
      </c>
      <c r="CV120" s="80">
        <f t="shared" si="107"/>
        <v>1</v>
      </c>
      <c r="CW120" s="20">
        <f>IF(G120&lt;48,"UF", IF(NOT(ISBLANK(CS120)), CS120, IF(CE120=5, CC120+Sheet2!B36, IF(CE120=6, CC120+Sheet2!B37, IF(CE120=7, CC120+Sheet2!B38,"")))))</f>
        <v>-0.2375006052106538</v>
      </c>
      <c r="CX120" s="68">
        <f t="shared" si="131"/>
        <v>7</v>
      </c>
      <c r="CY120" s="5">
        <v>12400</v>
      </c>
      <c r="CZ120" s="5">
        <v>-2.1774362778022391</v>
      </c>
      <c r="DA120" s="5">
        <f t="shared" si="108"/>
        <v>0.57518519524903278</v>
      </c>
      <c r="DB120" s="73">
        <f t="shared" si="109"/>
        <v>0.57518519524903278</v>
      </c>
      <c r="DC120" s="73">
        <f t="shared" si="110"/>
        <v>1</v>
      </c>
      <c r="DD120" s="5">
        <f>IF(G120&lt;48,"UF", IF(NOT(ISBLANK(CZ:CZ)), CZ:CZ, IF(CL:CL=3, CK:CK+Sheet2!B41, IF(CL:CL=4, CK:CK+Sheet2!B42, IF(CL:CL=7, CK:CK+Sheet2!B43,"")))))</f>
        <v>-2.1774362778022391</v>
      </c>
      <c r="DE120" s="69">
        <f t="shared" si="111"/>
        <v>4</v>
      </c>
      <c r="DF120" s="2">
        <v>2</v>
      </c>
      <c r="DG120" s="2">
        <v>22</v>
      </c>
      <c r="DH120" s="2">
        <v>2</v>
      </c>
      <c r="DI120" s="2">
        <v>2</v>
      </c>
      <c r="DJ120" s="2">
        <v>2</v>
      </c>
      <c r="DK120" s="2">
        <v>90</v>
      </c>
      <c r="DL120" s="2">
        <v>60</v>
      </c>
      <c r="DM120" s="2">
        <v>90</v>
      </c>
      <c r="DN120" s="2">
        <v>50</v>
      </c>
      <c r="DO120" s="2">
        <v>100</v>
      </c>
      <c r="DP120" s="2">
        <v>65</v>
      </c>
      <c r="DQ120" s="2">
        <v>2</v>
      </c>
      <c r="DR120" s="2">
        <v>40</v>
      </c>
      <c r="DS120" s="2">
        <v>1</v>
      </c>
      <c r="DT120" s="2">
        <v>101</v>
      </c>
      <c r="DU120" s="2">
        <v>67</v>
      </c>
      <c r="DV120" s="2">
        <v>3</v>
      </c>
      <c r="DW120" s="2">
        <v>3</v>
      </c>
      <c r="DX120" s="2">
        <v>3</v>
      </c>
      <c r="DY120" s="2">
        <v>2</v>
      </c>
      <c r="DZ120" s="2">
        <v>36</v>
      </c>
      <c r="EA120" s="2" t="s">
        <v>12</v>
      </c>
      <c r="EB120" s="2">
        <v>43</v>
      </c>
      <c r="EC120" s="2">
        <v>3</v>
      </c>
      <c r="ED120" s="2">
        <v>1</v>
      </c>
    </row>
    <row r="121" spans="3:134" x14ac:dyDescent="0.25">
      <c r="C121" s="2">
        <v>13990516</v>
      </c>
      <c r="D121" s="2">
        <v>2501004922</v>
      </c>
      <c r="E121" s="5">
        <v>6</v>
      </c>
      <c r="F121" s="2">
        <v>2</v>
      </c>
      <c r="G121" s="2">
        <v>58</v>
      </c>
      <c r="H121" s="2">
        <v>-2.7833116521128671</v>
      </c>
      <c r="I121" s="2">
        <v>51</v>
      </c>
      <c r="J121" s="2">
        <v>0.58940135287155082</v>
      </c>
      <c r="K121" s="5">
        <v>2700</v>
      </c>
      <c r="L121" s="2">
        <v>-1.4162320057858351</v>
      </c>
      <c r="M121" s="2">
        <v>-0.61909999999999998</v>
      </c>
      <c r="N121" s="2">
        <f t="shared" si="69"/>
        <v>0.94050582605643362</v>
      </c>
      <c r="O121" s="2">
        <f t="shared" si="70"/>
        <v>-0.61909999999999998</v>
      </c>
      <c r="P121" s="2">
        <v>67</v>
      </c>
      <c r="Q121" s="2">
        <v>-0.3</v>
      </c>
      <c r="R121" s="5">
        <f t="shared" si="71"/>
        <v>-0.44970067643577538</v>
      </c>
      <c r="S121" s="5">
        <f t="shared" si="72"/>
        <v>-0.3</v>
      </c>
      <c r="T121" s="1">
        <v>7400</v>
      </c>
      <c r="U121" s="2">
        <v>-0.64</v>
      </c>
      <c r="V121" s="2">
        <f t="shared" si="73"/>
        <v>0.28811600289291756</v>
      </c>
      <c r="W121" s="2">
        <f t="shared" si="74"/>
        <v>-0.64</v>
      </c>
      <c r="X121" s="2">
        <v>-0.90229999999999999</v>
      </c>
      <c r="Y121" s="76">
        <f t="shared" si="112"/>
        <v>1.8810116521128672</v>
      </c>
      <c r="Z121" s="76">
        <f t="shared" si="113"/>
        <v>2</v>
      </c>
      <c r="AA121" s="2">
        <f t="shared" si="75"/>
        <v>5.9499999999999831E-3</v>
      </c>
      <c r="AB121" s="2">
        <f t="shared" si="76"/>
        <v>-0.90229999999999999</v>
      </c>
      <c r="AC121" s="2">
        <v>75</v>
      </c>
      <c r="AD121" s="2">
        <v>-0.31</v>
      </c>
      <c r="AE121" s="79">
        <f t="shared" si="114"/>
        <v>-0.89940135287155076</v>
      </c>
      <c r="AF121" s="79">
        <f t="shared" si="115"/>
        <v>-2</v>
      </c>
      <c r="AG121" s="2">
        <f t="shared" si="134"/>
        <v>-0.64</v>
      </c>
      <c r="AH121" s="2">
        <f t="shared" si="78"/>
        <v>-0.31</v>
      </c>
      <c r="AI121" s="2">
        <v>8800</v>
      </c>
      <c r="AJ121" s="2">
        <v>-0.84</v>
      </c>
      <c r="AK121" s="76">
        <f t="shared" si="116"/>
        <v>0.57623200578583511</v>
      </c>
      <c r="AL121" s="76">
        <f t="shared" si="117"/>
        <v>1</v>
      </c>
      <c r="AM121" s="2">
        <f t="shared" si="79"/>
        <v>-0.26499999999999996</v>
      </c>
      <c r="AN121" s="2">
        <f t="shared" si="80"/>
        <v>-0.84</v>
      </c>
      <c r="AO121" s="2">
        <v>-0.28810000000000002</v>
      </c>
      <c r="AP121" s="2">
        <f t="shared" si="81"/>
        <v>-3.7098313599670529E-2</v>
      </c>
      <c r="AQ121" s="2">
        <f t="shared" si="82"/>
        <v>-0.28810000000000002</v>
      </c>
      <c r="AR121" s="2">
        <v>78</v>
      </c>
      <c r="AS121" s="2">
        <v>-1.58</v>
      </c>
      <c r="AT121" s="2">
        <f t="shared" si="83"/>
        <v>-0.39518087397616597</v>
      </c>
      <c r="AU121" s="2">
        <f t="shared" si="84"/>
        <v>-1.58</v>
      </c>
      <c r="AV121" s="2">
        <v>9600</v>
      </c>
      <c r="AW121" s="2">
        <v>-1.17</v>
      </c>
      <c r="AX121" s="2">
        <f t="shared" si="85"/>
        <v>-0.44777947849485006</v>
      </c>
      <c r="AY121" s="2">
        <f t="shared" si="86"/>
        <v>-1.17</v>
      </c>
      <c r="AZ121" s="2">
        <v>-0.97649662719934105</v>
      </c>
      <c r="BA121" s="78">
        <f t="shared" si="118"/>
        <v>-7.4196627199341059E-2</v>
      </c>
      <c r="BB121" s="78">
        <f t="shared" si="119"/>
        <v>-1</v>
      </c>
      <c r="BC121" s="2">
        <f t="shared" si="87"/>
        <v>-0.62398653682985394</v>
      </c>
      <c r="BD121" s="2">
        <f t="shared" si="88"/>
        <v>-0.97649662719934105</v>
      </c>
      <c r="BE121" s="67">
        <f t="shared" si="120"/>
        <v>7</v>
      </c>
      <c r="BF121" s="2">
        <v>83</v>
      </c>
      <c r="BG121" s="2">
        <v>-1.100361747952332</v>
      </c>
      <c r="BH121" s="2">
        <f t="shared" si="89"/>
        <v>-4.1013840486241314E-2</v>
      </c>
      <c r="BI121" s="2">
        <f t="shared" si="90"/>
        <v>-1.100361747952332</v>
      </c>
      <c r="BJ121" s="67">
        <f t="shared" si="91"/>
        <v>7</v>
      </c>
      <c r="BK121" s="2">
        <v>10600</v>
      </c>
      <c r="BL121" s="2">
        <v>-1.7355589569897001</v>
      </c>
      <c r="BM121" s="77">
        <f t="shared" si="136"/>
        <v>-0.89555895698970012</v>
      </c>
      <c r="BN121" s="77">
        <f t="shared" si="122"/>
        <v>-2</v>
      </c>
      <c r="BO121" s="2">
        <f t="shared" si="92"/>
        <v>-0.48418003641833735</v>
      </c>
      <c r="BP121" s="2">
        <f t="shared" si="93"/>
        <v>-1.7355589569897001</v>
      </c>
      <c r="BQ121" s="67">
        <f t="shared" si="123"/>
        <v>7</v>
      </c>
      <c r="BR121" s="5">
        <v>-2.160059610489562</v>
      </c>
      <c r="BS121" s="75">
        <f t="shared" si="124"/>
        <v>-1.183562983290221</v>
      </c>
      <c r="BT121" s="75">
        <f t="shared" si="125"/>
        <v>-2</v>
      </c>
      <c r="BU121" s="5" t="e">
        <f>IF(#REF!&gt;=36, IF(AND(NOT(ISBLANK(CM:CM)), NOT(ISBLANK(BD:BD))), (CM:CM-BD:BD)/2, ""), "UF")</f>
        <v>#REF!</v>
      </c>
      <c r="BV121" s="5">
        <f t="shared" si="94"/>
        <v>-2.160059610489562</v>
      </c>
      <c r="BW121" s="69">
        <f t="shared" si="95"/>
        <v>2</v>
      </c>
      <c r="BX121" s="2">
        <v>89</v>
      </c>
      <c r="BY121" s="5">
        <v>-1.703041521458724</v>
      </c>
      <c r="BZ121" s="74">
        <f t="shared" si="126"/>
        <v>3.251743553097608E-2</v>
      </c>
      <c r="CA121" s="74">
        <f t="shared" si="127"/>
        <v>1</v>
      </c>
      <c r="CB121" s="5">
        <f t="shared" si="96"/>
        <v>-4.3463904871182013E-2</v>
      </c>
      <c r="CC121" s="5">
        <f t="shared" si="97"/>
        <v>-1.703041521458724</v>
      </c>
      <c r="CD121" s="2">
        <f t="shared" si="98"/>
        <v>-0.60267977350639201</v>
      </c>
      <c r="CE121" s="69">
        <f t="shared" si="99"/>
        <v>7</v>
      </c>
      <c r="CF121" s="5">
        <v>11000</v>
      </c>
      <c r="CG121" s="5">
        <v>-2.622540109255012</v>
      </c>
      <c r="CH121" s="72">
        <f t="shared" si="128"/>
        <v>-0.88698115226531193</v>
      </c>
      <c r="CI121" s="72">
        <f t="shared" si="129"/>
        <v>-2</v>
      </c>
      <c r="CJ121" s="5">
        <f t="shared" si="100"/>
        <v>5.2490368964420719E-3</v>
      </c>
      <c r="CK121" s="5">
        <f t="shared" si="101"/>
        <v>-2.622540109255012</v>
      </c>
      <c r="CL121" s="69">
        <f t="shared" si="102"/>
        <v>4</v>
      </c>
      <c r="CM121" s="5">
        <v>-1.4474972777920121</v>
      </c>
      <c r="CN121" s="70">
        <f t="shared" si="103"/>
        <v>0.71256233269754987</v>
      </c>
      <c r="CO121" s="5">
        <f t="shared" si="104"/>
        <v>0.71256233269754987</v>
      </c>
      <c r="CP121" s="5">
        <f>IF(G121&lt;48,"UF", IF(NOT(ISBLANK(CM:CM)), CM:CM, IF(BW:BW=1, BV:BV+Sheet2!B329, IF(Sheet1!BW:BW=2, Sheet1!BV:BV+Sheet2!B330, IF(Sheet1!BW:BW=7, Sheet1!BV:BV+Sheet2!B331,"")))))</f>
        <v>-1.4474972777920121</v>
      </c>
      <c r="CQ121" s="69">
        <f t="shared" si="130"/>
        <v>7</v>
      </c>
      <c r="CR121" s="5">
        <v>97.5</v>
      </c>
      <c r="CS121" s="5">
        <v>-1.187289557694696</v>
      </c>
      <c r="CT121" s="5">
        <f t="shared" si="105"/>
        <v>0.51575196376402799</v>
      </c>
      <c r="CU121" s="80">
        <f t="shared" si="106"/>
        <v>0.51575196376402799</v>
      </c>
      <c r="CV121" s="80">
        <f t="shared" si="107"/>
        <v>1</v>
      </c>
      <c r="CW121" s="20">
        <f>IF(G121&lt;48,"UF", IF(NOT(ISBLANK(CS121)), CS121, IF(CE121=5, CC121+Sheet2!B318, IF(CE121=6, CC121+Sheet2!B319, IF(CE121=7, CC121+Sheet2!B320,"")))))</f>
        <v>-1.187289557694696</v>
      </c>
      <c r="CX121" s="68">
        <f t="shared" si="131"/>
        <v>7</v>
      </c>
      <c r="CY121" s="5">
        <v>13500</v>
      </c>
      <c r="CZ121" s="5">
        <v>-1.7250608831968159</v>
      </c>
      <c r="DA121" s="5">
        <f t="shared" si="108"/>
        <v>0.89747922605819608</v>
      </c>
      <c r="DB121" s="73">
        <f t="shared" si="109"/>
        <v>0.89747922605819608</v>
      </c>
      <c r="DC121" s="73">
        <f t="shared" si="110"/>
        <v>2</v>
      </c>
      <c r="DD121" s="5">
        <f>IF(G121&lt;48,"UF", IF(NOT(ISBLANK(CZ:CZ)), CZ:CZ, IF(CL:CL=3, CK:CK+Sheet2!B323, IF(CL:CL=4, CK:CK+Sheet2!B324, IF(CL:CL=7, CK:CK+Sheet2!B325,"")))))</f>
        <v>-1.7250608831968159</v>
      </c>
      <c r="DE121" s="69">
        <f t="shared" si="111"/>
        <v>7</v>
      </c>
      <c r="DF121" s="2">
        <v>1</v>
      </c>
      <c r="DG121" s="2">
        <v>36</v>
      </c>
      <c r="DH121" s="2">
        <v>2</v>
      </c>
      <c r="DI121" s="2">
        <v>2</v>
      </c>
      <c r="DJ121" s="2">
        <v>2</v>
      </c>
      <c r="DK121" s="2">
        <v>120</v>
      </c>
      <c r="DL121" s="2">
        <v>60</v>
      </c>
      <c r="DM121" s="2">
        <v>120</v>
      </c>
      <c r="DN121" s="2">
        <v>60</v>
      </c>
      <c r="DO121" s="2">
        <v>115</v>
      </c>
      <c r="DP121" s="2">
        <v>70</v>
      </c>
      <c r="DQ121" s="2">
        <v>1</v>
      </c>
      <c r="DR121" s="2">
        <v>41</v>
      </c>
      <c r="DS121" s="2">
        <v>2</v>
      </c>
      <c r="DT121" s="2">
        <v>86</v>
      </c>
      <c r="DU121" s="2">
        <v>71.5</v>
      </c>
      <c r="DV121" s="2">
        <v>2</v>
      </c>
      <c r="DW121" s="2">
        <v>2</v>
      </c>
      <c r="DX121" s="2">
        <v>2</v>
      </c>
      <c r="DY121" s="2">
        <v>2</v>
      </c>
      <c r="DZ121" s="2">
        <v>34.5</v>
      </c>
      <c r="EA121" s="2">
        <v>36</v>
      </c>
      <c r="EB121" s="2">
        <v>45</v>
      </c>
      <c r="EC121" s="2">
        <v>1</v>
      </c>
      <c r="ED121" s="2">
        <v>1</v>
      </c>
    </row>
    <row r="122" spans="3:134" x14ac:dyDescent="0.25">
      <c r="C122" s="2">
        <v>13990515</v>
      </c>
      <c r="D122" s="2">
        <v>2501005457</v>
      </c>
      <c r="E122" s="5" t="s">
        <v>527</v>
      </c>
      <c r="F122" s="2">
        <v>2</v>
      </c>
      <c r="G122" s="2">
        <v>58</v>
      </c>
      <c r="H122" s="2">
        <v>-2.3742687572027048</v>
      </c>
      <c r="I122" s="2">
        <v>51</v>
      </c>
      <c r="J122" s="2">
        <v>0.58940135287155082</v>
      </c>
      <c r="K122" s="5">
        <v>2800</v>
      </c>
      <c r="L122" s="2">
        <v>-1.1836609161134151</v>
      </c>
      <c r="M122" s="2">
        <v>0.49480000000000002</v>
      </c>
      <c r="N122" s="2">
        <f t="shared" si="69"/>
        <v>0.85998437860135235</v>
      </c>
      <c r="O122" s="2">
        <f t="shared" si="70"/>
        <v>0.49480000000000002</v>
      </c>
      <c r="P122" s="2">
        <v>64</v>
      </c>
      <c r="Q122" s="2">
        <v>-1.7</v>
      </c>
      <c r="R122" s="5">
        <f t="shared" si="71"/>
        <v>-0.86970067643577531</v>
      </c>
      <c r="S122" s="5">
        <f t="shared" si="72"/>
        <v>-1.7</v>
      </c>
      <c r="T122" s="1">
        <v>7400</v>
      </c>
      <c r="U122" s="2">
        <v>-0.64</v>
      </c>
      <c r="V122" s="2">
        <f t="shared" si="73"/>
        <v>1.6830458056707576E-2</v>
      </c>
      <c r="W122" s="2">
        <f t="shared" si="74"/>
        <v>-0.64</v>
      </c>
      <c r="X122" s="2">
        <v>-0.65429999999999999</v>
      </c>
      <c r="Y122" s="76">
        <f t="shared" si="112"/>
        <v>1.7199687572027047</v>
      </c>
      <c r="Z122" s="76">
        <f t="shared" si="113"/>
        <v>2</v>
      </c>
      <c r="AA122" s="2">
        <f t="shared" si="75"/>
        <v>0.42909999999999998</v>
      </c>
      <c r="AB122" s="2">
        <f t="shared" si="76"/>
        <v>-0.65429999999999999</v>
      </c>
      <c r="AC122" s="2">
        <v>73</v>
      </c>
      <c r="AD122" s="2">
        <v>-1.1499999999999999</v>
      </c>
      <c r="AE122" s="79">
        <f t="shared" si="114"/>
        <v>-1.7394013528715506</v>
      </c>
      <c r="AF122" s="79">
        <f t="shared" si="115"/>
        <v>-2</v>
      </c>
      <c r="AG122" s="2">
        <f t="shared" si="134"/>
        <v>5.9999999999999942E-2</v>
      </c>
      <c r="AH122" s="2">
        <f t="shared" si="78"/>
        <v>-1.1499999999999999</v>
      </c>
      <c r="AI122" s="2">
        <v>8500</v>
      </c>
      <c r="AJ122" s="2">
        <v>-1.1499999999999999</v>
      </c>
      <c r="AK122" s="76">
        <f t="shared" si="116"/>
        <v>3.3660916113415151E-2</v>
      </c>
      <c r="AL122" s="76">
        <f t="shared" si="117"/>
        <v>1</v>
      </c>
      <c r="AM122" s="2">
        <f t="shared" si="79"/>
        <v>-0.45500000000000002</v>
      </c>
      <c r="AN122" s="2">
        <f t="shared" si="80"/>
        <v>-1.1499999999999999</v>
      </c>
      <c r="AO122" s="2">
        <v>-0.84179999999999999</v>
      </c>
      <c r="AP122" s="2">
        <f t="shared" si="81"/>
        <v>-0.51233123764116595</v>
      </c>
      <c r="AQ122" s="2">
        <f t="shared" si="82"/>
        <v>-0.84179999999999999</v>
      </c>
      <c r="AR122" s="2">
        <v>78</v>
      </c>
      <c r="AS122" s="2">
        <v>-1.58</v>
      </c>
      <c r="AT122" s="2">
        <f t="shared" si="83"/>
        <v>-0.40247745727585105</v>
      </c>
      <c r="AU122" s="2">
        <f t="shared" si="84"/>
        <v>-1.58</v>
      </c>
      <c r="AV122" s="2">
        <v>9200</v>
      </c>
      <c r="AW122" s="2">
        <v>-1.55</v>
      </c>
      <c r="AX122" s="2">
        <f t="shared" si="85"/>
        <v>-0.87830377624243505</v>
      </c>
      <c r="AY122" s="2">
        <f t="shared" si="86"/>
        <v>-1.55</v>
      </c>
      <c r="AZ122" s="2">
        <v>-1.678962475282332</v>
      </c>
      <c r="BA122" s="78">
        <f t="shared" si="118"/>
        <v>-1.0246624752823319</v>
      </c>
      <c r="BB122" s="78">
        <f t="shared" si="119"/>
        <v>-2</v>
      </c>
      <c r="BC122" s="2">
        <f t="shared" si="87"/>
        <v>-0.41564248974951495</v>
      </c>
      <c r="BD122" s="2">
        <f t="shared" si="88"/>
        <v>-1.678962475282332</v>
      </c>
      <c r="BE122" s="67">
        <f t="shared" si="120"/>
        <v>7</v>
      </c>
      <c r="BF122" s="2">
        <v>80</v>
      </c>
      <c r="BG122" s="2">
        <v>-1.954954914551702</v>
      </c>
      <c r="BH122" s="2">
        <f t="shared" si="89"/>
        <v>-0.13665464858951534</v>
      </c>
      <c r="BI122" s="2">
        <f t="shared" si="90"/>
        <v>-1.954954914551702</v>
      </c>
      <c r="BJ122" s="67">
        <f t="shared" si="91"/>
        <v>7</v>
      </c>
      <c r="BK122" s="2">
        <v>9400</v>
      </c>
      <c r="BL122" s="2">
        <v>-2.90660755248487</v>
      </c>
      <c r="BM122" s="77">
        <f t="shared" si="136"/>
        <v>-1.7566075524848701</v>
      </c>
      <c r="BN122" s="77">
        <f t="shared" si="122"/>
        <v>-2</v>
      </c>
      <c r="BO122" s="2">
        <f t="shared" si="92"/>
        <v>-0.42252126785979532</v>
      </c>
      <c r="BP122" s="2">
        <f t="shared" si="93"/>
        <v>-2.90660755248487</v>
      </c>
      <c r="BQ122" s="67">
        <f t="shared" si="123"/>
        <v>4</v>
      </c>
      <c r="BR122" s="5">
        <v>-2.0887274692485449</v>
      </c>
      <c r="BS122" s="75">
        <f t="shared" si="124"/>
        <v>-0.40976499396621291</v>
      </c>
      <c r="BT122" s="75">
        <f t="shared" si="125"/>
        <v>-1</v>
      </c>
      <c r="BU122" s="5" t="e">
        <f>IF(#REF!&gt;=36, IF(AND(NOT(ISBLANK(CM:CM)), NOT(ISBLANK(BD:BD))), (CM:CM-BD:BD)/2, ""), "UF")</f>
        <v>#REF!</v>
      </c>
      <c r="BV122" s="5">
        <f t="shared" si="94"/>
        <v>-2.0887274692485449</v>
      </c>
      <c r="BW122" s="69">
        <f t="shared" si="95"/>
        <v>2</v>
      </c>
      <c r="BX122" s="2">
        <v>88</v>
      </c>
      <c r="BY122" s="5">
        <v>-1.9899639457685461</v>
      </c>
      <c r="BZ122" s="74">
        <f t="shared" si="126"/>
        <v>0.91664360671632394</v>
      </c>
      <c r="CA122" s="74">
        <f t="shared" si="127"/>
        <v>2</v>
      </c>
      <c r="CB122" s="5">
        <f t="shared" si="96"/>
        <v>-0.39421520610888339</v>
      </c>
      <c r="CC122" s="5">
        <f t="shared" si="97"/>
        <v>-1.9899639457685461</v>
      </c>
      <c r="CD122" s="2">
        <f t="shared" si="98"/>
        <v>-3.5009031216844066E-2</v>
      </c>
      <c r="CE122" s="69">
        <f t="shared" si="99"/>
        <v>7</v>
      </c>
      <c r="CF122" s="5">
        <v>10800</v>
      </c>
      <c r="CG122" s="5">
        <v>-2.817563803579386</v>
      </c>
      <c r="CH122" s="72">
        <f t="shared" si="128"/>
        <v>8.9043748905484055E-2</v>
      </c>
      <c r="CI122" s="72">
        <f t="shared" si="129"/>
        <v>1</v>
      </c>
      <c r="CJ122" s="5">
        <f t="shared" si="100"/>
        <v>-0.11931400976522699</v>
      </c>
      <c r="CK122" s="5">
        <f t="shared" si="101"/>
        <v>-2.817563803579386</v>
      </c>
      <c r="CL122" s="69">
        <f t="shared" si="102"/>
        <v>4</v>
      </c>
      <c r="CM122" s="5">
        <v>-1.3919966237149819</v>
      </c>
      <c r="CN122" s="70">
        <f t="shared" si="103"/>
        <v>0.69673084553356301</v>
      </c>
      <c r="CO122" s="5">
        <f t="shared" si="104"/>
        <v>0.69673084553356301</v>
      </c>
      <c r="CP122" s="5">
        <f>IF(G122&lt;48,"UF", IF(NOT(ISBLANK(CM:CM)), CM:CM, IF(BW:BW=1, BV:BV+Sheet2!B223, IF(Sheet1!BW:BW=2, Sheet1!BV:BV+Sheet2!B224, IF(Sheet1!BW:BW=7, Sheet1!BV:BV+Sheet2!B225,"")))))</f>
        <v>-1.3919966237149819</v>
      </c>
      <c r="CQ122" s="69">
        <f t="shared" si="130"/>
        <v>7</v>
      </c>
      <c r="CR122" s="5">
        <v>91</v>
      </c>
      <c r="CS122" s="5">
        <v>-2.7433853267694688</v>
      </c>
      <c r="CT122" s="5">
        <f t="shared" si="105"/>
        <v>-0.75342138100092271</v>
      </c>
      <c r="CU122" s="80">
        <f t="shared" si="106"/>
        <v>-0.75342138100092271</v>
      </c>
      <c r="CV122" s="80">
        <f t="shared" si="107"/>
        <v>-2</v>
      </c>
      <c r="CW122" s="20">
        <f>IF(G122&lt;48,"UF", IF(NOT(ISBLANK(CS122)), CS122, IF(CE122=5, CC122+Sheet2!B212, IF(CE122=6, CC122+Sheet2!B213, IF(CE122=7, CC122+Sheet2!B214,"")))))</f>
        <v>-2.7433853267694688</v>
      </c>
      <c r="CX122" s="68">
        <f t="shared" si="131"/>
        <v>6</v>
      </c>
      <c r="CY122" s="5">
        <v>11800</v>
      </c>
      <c r="CZ122" s="5">
        <v>-3.145235572015324</v>
      </c>
      <c r="DA122" s="5">
        <f t="shared" si="108"/>
        <v>-0.32767176843593804</v>
      </c>
      <c r="DB122" s="73">
        <f t="shared" si="109"/>
        <v>-0.32767176843593804</v>
      </c>
      <c r="DC122" s="73">
        <f t="shared" si="110"/>
        <v>-1</v>
      </c>
      <c r="DD122" s="5">
        <f>IF(G122&lt;48,"UF", IF(NOT(ISBLANK(CZ:CZ)), CZ:CZ, IF(CL:CL=3, CK:CK+Sheet2!B217, IF(CL:CL=4, CK:CK+Sheet2!B218, IF(CL:CL=7, CK:CK+Sheet2!B219,"")))))</f>
        <v>-3.145235572015324</v>
      </c>
      <c r="DE122" s="69">
        <f t="shared" si="111"/>
        <v>3</v>
      </c>
      <c r="DF122" s="2">
        <v>1</v>
      </c>
      <c r="DG122" s="2">
        <v>28</v>
      </c>
      <c r="DH122" s="2">
        <v>2</v>
      </c>
      <c r="DI122" s="2">
        <v>2</v>
      </c>
      <c r="DJ122" s="2">
        <v>2</v>
      </c>
      <c r="DK122" s="2">
        <v>110</v>
      </c>
      <c r="DL122" s="2">
        <v>60</v>
      </c>
      <c r="DM122" s="2">
        <v>100</v>
      </c>
      <c r="DN122" s="2">
        <v>60</v>
      </c>
      <c r="DO122" s="2">
        <v>100</v>
      </c>
      <c r="DP122" s="2">
        <v>60</v>
      </c>
      <c r="DQ122" s="2">
        <v>2</v>
      </c>
      <c r="DR122" s="2">
        <v>37</v>
      </c>
      <c r="DS122" s="2">
        <v>1</v>
      </c>
      <c r="DT122" s="2">
        <v>98</v>
      </c>
      <c r="DU122" s="2">
        <v>95</v>
      </c>
      <c r="DV122" s="2">
        <v>4</v>
      </c>
      <c r="DW122" s="2">
        <v>2</v>
      </c>
      <c r="DX122" s="2">
        <v>3</v>
      </c>
      <c r="DY122" s="2">
        <v>2</v>
      </c>
      <c r="DZ122" s="2">
        <v>33</v>
      </c>
      <c r="EA122" s="2" t="s">
        <v>12</v>
      </c>
      <c r="EB122" s="2">
        <v>43</v>
      </c>
      <c r="EC122" s="2" t="s">
        <v>12</v>
      </c>
      <c r="ED122" s="2">
        <v>1</v>
      </c>
    </row>
    <row r="123" spans="3:134" x14ac:dyDescent="0.25">
      <c r="C123" s="8" t="s">
        <v>100</v>
      </c>
      <c r="D123" s="2">
        <v>2501005473</v>
      </c>
      <c r="E123" s="5" t="s">
        <v>528</v>
      </c>
      <c r="F123" s="2">
        <v>1</v>
      </c>
      <c r="G123" s="2">
        <v>58</v>
      </c>
      <c r="H123" s="2">
        <v>-4.0184980213754304</v>
      </c>
      <c r="I123" s="2">
        <v>45</v>
      </c>
      <c r="J123" s="2">
        <v>-2.2267170773967009</v>
      </c>
      <c r="K123" s="5">
        <v>1850</v>
      </c>
      <c r="L123" s="2">
        <v>-3.504838103034488</v>
      </c>
      <c r="M123" s="2">
        <v>-1.1392</v>
      </c>
      <c r="N123" s="2" t="str">
        <f t="shared" si="69"/>
        <v/>
      </c>
      <c r="O123" s="2">
        <f t="shared" si="70"/>
        <v>-1.1392</v>
      </c>
      <c r="P123" s="2">
        <v>65</v>
      </c>
      <c r="Q123" s="2">
        <v>-0.33</v>
      </c>
      <c r="R123" s="5" t="str">
        <f t="shared" si="71"/>
        <v/>
      </c>
      <c r="S123" s="5">
        <f t="shared" si="72"/>
        <v>-0.33</v>
      </c>
      <c r="T123" s="1">
        <v>6450</v>
      </c>
      <c r="U123" s="2">
        <v>-1.02</v>
      </c>
      <c r="V123" s="2" t="str">
        <f t="shared" si="73"/>
        <v/>
      </c>
      <c r="W123" s="2">
        <f t="shared" si="74"/>
        <v>-1.02</v>
      </c>
      <c r="Y123" s="76">
        <f t="shared" si="112"/>
        <v>2.2266980213754306</v>
      </c>
      <c r="Z123" s="76">
        <f t="shared" si="113"/>
        <v>2</v>
      </c>
      <c r="AA123" s="2">
        <f t="shared" si="75"/>
        <v>-0.65259999999999996</v>
      </c>
      <c r="AB123" s="2">
        <f t="shared" si="76"/>
        <v>-1.7917999999999998</v>
      </c>
      <c r="AC123" s="2" t="s">
        <v>12</v>
      </c>
      <c r="AE123" s="79">
        <f t="shared" si="114"/>
        <v>2.1117170773967011</v>
      </c>
      <c r="AF123" s="79">
        <f t="shared" si="115"/>
        <v>2</v>
      </c>
      <c r="AG123" s="2">
        <f t="shared" si="134"/>
        <v>0.21500000000000002</v>
      </c>
      <c r="AH123" s="2">
        <f t="shared" si="78"/>
        <v>-0.11499999999999999</v>
      </c>
      <c r="AI123" s="2" t="s">
        <v>12</v>
      </c>
      <c r="AK123" s="76">
        <f t="shared" si="116"/>
        <v>2.4648381030344879</v>
      </c>
      <c r="AL123" s="76">
        <f t="shared" si="117"/>
        <v>2</v>
      </c>
      <c r="AM123" s="2">
        <f t="shared" si="79"/>
        <v>-2.0000000000000018E-2</v>
      </c>
      <c r="AN123" s="2">
        <f t="shared" si="80"/>
        <v>-1.04</v>
      </c>
      <c r="AO123" s="2">
        <v>-1.6352</v>
      </c>
      <c r="AP123" s="2">
        <f t="shared" si="81"/>
        <v>-0.96651451112184006</v>
      </c>
      <c r="AQ123" s="2">
        <f t="shared" si="82"/>
        <v>-1.6352</v>
      </c>
      <c r="AR123" s="2">
        <v>81</v>
      </c>
      <c r="AS123" s="2">
        <v>0.1</v>
      </c>
      <c r="AT123" s="2">
        <f t="shared" si="83"/>
        <v>5.7336982547999404E-4</v>
      </c>
      <c r="AU123" s="2">
        <f t="shared" si="84"/>
        <v>0.1</v>
      </c>
      <c r="AV123" s="2">
        <v>9000</v>
      </c>
      <c r="AW123" s="2">
        <v>-1.06</v>
      </c>
      <c r="AX123" s="2">
        <f t="shared" si="85"/>
        <v>-1.0350514721014989</v>
      </c>
      <c r="AY123" s="2">
        <f t="shared" si="86"/>
        <v>-1.06</v>
      </c>
      <c r="AZ123" s="2">
        <v>-3.72482902224368</v>
      </c>
      <c r="BA123" s="78">
        <f t="shared" si="118"/>
        <v>-1.9330290222436801</v>
      </c>
      <c r="BB123" s="78">
        <f t="shared" si="119"/>
        <v>-2</v>
      </c>
      <c r="BC123" s="2" t="str">
        <f t="shared" si="87"/>
        <v/>
      </c>
      <c r="BD123" s="2">
        <f t="shared" si="88"/>
        <v>-3.72482902224368</v>
      </c>
      <c r="BE123" s="67">
        <f t="shared" si="120"/>
        <v>1</v>
      </c>
      <c r="BF123" s="2">
        <v>85</v>
      </c>
      <c r="BG123" s="2">
        <v>-0.11385326034904</v>
      </c>
      <c r="BH123" s="2" t="str">
        <f t="shared" si="89"/>
        <v/>
      </c>
      <c r="BI123" s="2">
        <f t="shared" si="90"/>
        <v>-0.11385326034904</v>
      </c>
      <c r="BJ123" s="67">
        <f t="shared" si="91"/>
        <v>7</v>
      </c>
      <c r="BK123" s="2">
        <v>9000</v>
      </c>
      <c r="BL123" s="2">
        <v>-3.1101029442029979</v>
      </c>
      <c r="BM123" s="77">
        <f t="shared" si="136"/>
        <v>-2.0701029442029979</v>
      </c>
      <c r="BN123" s="77">
        <f t="shared" si="122"/>
        <v>-2</v>
      </c>
      <c r="BO123" s="2" t="str">
        <f t="shared" si="92"/>
        <v/>
      </c>
      <c r="BP123" s="2">
        <f t="shared" si="93"/>
        <v>-3.1101029442029979</v>
      </c>
      <c r="BQ123" s="67">
        <f t="shared" si="123"/>
        <v>3</v>
      </c>
      <c r="BS123" s="75" t="e">
        <f t="shared" si="124"/>
        <v>#REF!</v>
      </c>
      <c r="BT123" s="75" t="e">
        <f t="shared" si="125"/>
        <v>#REF!</v>
      </c>
      <c r="BU123" s="5" t="e">
        <f>IF(#REF!&gt;=36, IF(AND(NOT(ISBLANK(CM:CM)), NOT(ISBLANK(BD:BD))), (CM:CM-BD:BD)/2, ""), "UF")</f>
        <v>#REF!</v>
      </c>
      <c r="BV123" s="5" t="e">
        <f t="shared" si="94"/>
        <v>#REF!</v>
      </c>
      <c r="BW123" s="69" t="e">
        <f t="shared" si="95"/>
        <v>#REF!</v>
      </c>
      <c r="BX123" s="2" t="s">
        <v>12</v>
      </c>
      <c r="BZ123" s="74">
        <f t="shared" si="126"/>
        <v>2.5843980436192822</v>
      </c>
      <c r="CA123" s="74">
        <f t="shared" si="127"/>
        <v>2</v>
      </c>
      <c r="CB123" s="5">
        <f t="shared" si="96"/>
        <v>-0.41185164023467563</v>
      </c>
      <c r="CC123" s="5">
        <f t="shared" si="97"/>
        <v>-0.52570490058371566</v>
      </c>
      <c r="CD123" s="2">
        <f t="shared" si="98"/>
        <v>-0.41185164023467569</v>
      </c>
      <c r="CE123" s="69">
        <f t="shared" si="99"/>
        <v>7</v>
      </c>
      <c r="CF123" s="5" t="s">
        <v>12</v>
      </c>
      <c r="CH123" s="72">
        <f t="shared" si="128"/>
        <v>-0.13401167605403241</v>
      </c>
      <c r="CI123" s="72">
        <f t="shared" si="129"/>
        <v>-1</v>
      </c>
      <c r="CJ123" s="5">
        <f t="shared" si="100"/>
        <v>-0.13401167605403264</v>
      </c>
      <c r="CK123" s="5">
        <f t="shared" si="101"/>
        <v>-3.2441146202570303</v>
      </c>
      <c r="CL123" s="69">
        <f t="shared" si="102"/>
        <v>3</v>
      </c>
      <c r="CM123" s="5">
        <v>-5.0139531987342751</v>
      </c>
      <c r="CN123" s="70" t="e">
        <f t="shared" si="103"/>
        <v>#REF!</v>
      </c>
      <c r="CO123" s="5" t="e">
        <f t="shared" si="104"/>
        <v>#REF!</v>
      </c>
      <c r="CP123" s="5">
        <f>IF(G123&lt;48,"UF", IF(NOT(ISBLANK(CM:CM)), CM:CM, IF(BW:BW=1, BV:BV+Sheet2!B103, IF(Sheet1!BW:BW=2, Sheet1!BV:BV+Sheet2!B104, IF(Sheet1!BW:BW=7, Sheet1!BV:BV+Sheet2!B105,"")))))</f>
        <v>-5.0139531987342751</v>
      </c>
      <c r="CQ123" s="69">
        <f t="shared" si="130"/>
        <v>1</v>
      </c>
      <c r="CR123" s="5">
        <v>97</v>
      </c>
      <c r="CS123" s="5">
        <v>-0.93755654081839124</v>
      </c>
      <c r="CT123" s="5">
        <f t="shared" si="105"/>
        <v>-0.41185164023467558</v>
      </c>
      <c r="CU123" s="80">
        <f t="shared" si="106"/>
        <v>-0.41185164023467558</v>
      </c>
      <c r="CV123" s="80">
        <f t="shared" si="107"/>
        <v>-1</v>
      </c>
      <c r="CW123" s="20">
        <f>IF(G123&lt;48,"UF", IF(NOT(ISBLANK(CS123)), CS123, IF(CE123=5, CC123+Sheet2!B92, IF(CE123=6, CC123+Sheet2!B93, IF(CE123=7, CC123+Sheet2!B94,"")))))</f>
        <v>-0.93755654081839124</v>
      </c>
      <c r="CX123" s="68">
        <f t="shared" si="131"/>
        <v>7</v>
      </c>
      <c r="CY123" s="5">
        <v>11100</v>
      </c>
      <c r="CZ123" s="5">
        <v>-3.3781262963110632</v>
      </c>
      <c r="DA123" s="5">
        <f t="shared" si="108"/>
        <v>-0.13401167605403286</v>
      </c>
      <c r="DB123" s="73">
        <f t="shared" si="109"/>
        <v>-0.13401167605403286</v>
      </c>
      <c r="DC123" s="73">
        <f t="shared" si="110"/>
        <v>-1</v>
      </c>
      <c r="DD123" s="5">
        <f>IF(G123&lt;48,"UF", IF(NOT(ISBLANK(CZ:CZ)), CZ:CZ, IF(CL:CL=3, CK:CK+Sheet2!B97, IF(CL:CL=4, CK:CK+Sheet2!B98, IF(CL:CL=7, CK:CK+Sheet2!B99,"")))))</f>
        <v>-3.3781262963110632</v>
      </c>
      <c r="DE123" s="69">
        <f t="shared" si="111"/>
        <v>3</v>
      </c>
      <c r="DF123" s="2">
        <v>2</v>
      </c>
      <c r="DG123" s="2">
        <v>42</v>
      </c>
      <c r="DH123" s="2">
        <v>1</v>
      </c>
      <c r="DI123" s="2">
        <v>2</v>
      </c>
      <c r="DJ123" s="2">
        <v>2</v>
      </c>
      <c r="DK123" s="2" t="s">
        <v>12</v>
      </c>
      <c r="DL123" s="2" t="s">
        <v>12</v>
      </c>
      <c r="DM123" s="2">
        <v>110</v>
      </c>
      <c r="DN123" s="2">
        <v>70</v>
      </c>
      <c r="DO123" s="2">
        <v>100</v>
      </c>
      <c r="DP123" s="2">
        <v>60</v>
      </c>
      <c r="DQ123" s="2">
        <v>2</v>
      </c>
      <c r="DR123" s="2">
        <v>37</v>
      </c>
      <c r="DS123" s="2">
        <v>1</v>
      </c>
      <c r="DT123" s="2">
        <v>67</v>
      </c>
      <c r="DU123" s="2">
        <v>99</v>
      </c>
      <c r="DV123" s="2">
        <v>2</v>
      </c>
      <c r="DW123" s="2">
        <v>2</v>
      </c>
      <c r="DX123" s="2">
        <v>2</v>
      </c>
      <c r="DY123" s="2">
        <v>3</v>
      </c>
      <c r="DZ123" s="2">
        <v>32</v>
      </c>
      <c r="EA123" s="2">
        <v>34</v>
      </c>
      <c r="EB123" s="2">
        <v>46.5</v>
      </c>
      <c r="EC123" s="2">
        <v>1</v>
      </c>
      <c r="ED123" s="2">
        <v>1</v>
      </c>
    </row>
    <row r="124" spans="3:134" x14ac:dyDescent="0.25">
      <c r="C124" s="2">
        <v>13990519</v>
      </c>
      <c r="D124" s="2">
        <v>2501005554</v>
      </c>
      <c r="E124" s="5">
        <v>6</v>
      </c>
      <c r="F124" s="2">
        <v>1</v>
      </c>
      <c r="G124" s="2">
        <v>58</v>
      </c>
      <c r="H124" s="2">
        <v>-1.4531923774712969</v>
      </c>
      <c r="I124" s="2">
        <v>49</v>
      </c>
      <c r="J124" s="2">
        <v>-7.9294265603816944E-2</v>
      </c>
      <c r="K124" s="5">
        <v>2800</v>
      </c>
      <c r="L124" s="2">
        <v>-0.98574519678023331</v>
      </c>
      <c r="M124" s="2">
        <v>-0.47489999999999999</v>
      </c>
      <c r="N124" s="2">
        <f t="shared" si="69"/>
        <v>0.49679618873564846</v>
      </c>
      <c r="O124" s="2">
        <f t="shared" si="70"/>
        <v>-0.47489999999999999</v>
      </c>
      <c r="P124" s="2">
        <v>63</v>
      </c>
      <c r="Q124" s="2">
        <v>-1.21</v>
      </c>
      <c r="R124" s="5">
        <f t="shared" si="71"/>
        <v>-0.74035286719809157</v>
      </c>
      <c r="S124" s="5">
        <f t="shared" si="72"/>
        <v>-1.21</v>
      </c>
      <c r="T124" s="1">
        <v>6430</v>
      </c>
      <c r="U124" s="2">
        <v>-1.05</v>
      </c>
      <c r="V124" s="2">
        <f t="shared" si="73"/>
        <v>-0.12712740160988334</v>
      </c>
      <c r="W124" s="2">
        <f t="shared" si="74"/>
        <v>-1.05</v>
      </c>
      <c r="X124" s="2">
        <v>-0.45960000000000001</v>
      </c>
      <c r="Y124" s="76">
        <f t="shared" si="112"/>
        <v>0.99359237747129692</v>
      </c>
      <c r="Z124" s="76">
        <f t="shared" si="113"/>
        <v>2</v>
      </c>
      <c r="AA124" s="2">
        <f t="shared" si="75"/>
        <v>-6.3749999999999973E-2</v>
      </c>
      <c r="AB124" s="2">
        <f t="shared" si="76"/>
        <v>-0.45960000000000001</v>
      </c>
      <c r="AC124" s="2">
        <v>70</v>
      </c>
      <c r="AD124" s="2">
        <v>-1.56</v>
      </c>
      <c r="AE124" s="79">
        <f t="shared" si="114"/>
        <v>-1.4807057343961831</v>
      </c>
      <c r="AF124" s="79">
        <f t="shared" si="115"/>
        <v>-2</v>
      </c>
      <c r="AG124" s="2">
        <f t="shared" si="134"/>
        <v>0.13999999999999996</v>
      </c>
      <c r="AH124" s="2">
        <f t="shared" si="78"/>
        <v>-1.56</v>
      </c>
      <c r="AI124" s="2">
        <v>7700</v>
      </c>
      <c r="AJ124" s="2">
        <v>-1.24</v>
      </c>
      <c r="AK124" s="76">
        <f t="shared" si="116"/>
        <v>-0.25425480321976668</v>
      </c>
      <c r="AL124" s="76">
        <f t="shared" si="117"/>
        <v>-1</v>
      </c>
      <c r="AM124" s="2">
        <f t="shared" si="79"/>
        <v>-0.21999999999999997</v>
      </c>
      <c r="AN124" s="2">
        <f t="shared" si="80"/>
        <v>-1.24</v>
      </c>
      <c r="AO124" s="2">
        <v>-1.3374999999999999</v>
      </c>
      <c r="AP124" s="2">
        <f t="shared" si="81"/>
        <v>-0.7445512834575585</v>
      </c>
      <c r="AQ124" s="2">
        <f t="shared" si="82"/>
        <v>-1.3374999999999999</v>
      </c>
      <c r="AR124" s="2">
        <v>78</v>
      </c>
      <c r="AS124" s="2">
        <v>-0.93</v>
      </c>
      <c r="AT124" s="2">
        <f t="shared" si="83"/>
        <v>7.8717440457535259E-3</v>
      </c>
      <c r="AU124" s="2">
        <f t="shared" si="84"/>
        <v>-0.93</v>
      </c>
      <c r="AV124" s="2">
        <v>8550</v>
      </c>
      <c r="AW124" s="2">
        <v>-1.49</v>
      </c>
      <c r="AX124" s="2">
        <f t="shared" si="85"/>
        <v>-0.93505147210149897</v>
      </c>
      <c r="AY124" s="2">
        <f t="shared" si="86"/>
        <v>-1.49</v>
      </c>
      <c r="AZ124" s="2">
        <v>-1.948702566915117</v>
      </c>
      <c r="BA124" s="78">
        <f t="shared" si="118"/>
        <v>-1.489102566915117</v>
      </c>
      <c r="BB124" s="78">
        <f t="shared" si="119"/>
        <v>-2</v>
      </c>
      <c r="BC124" s="2">
        <f t="shared" si="87"/>
        <v>8.5492981392738976E-2</v>
      </c>
      <c r="BD124" s="2">
        <f t="shared" si="88"/>
        <v>-1.948702566915117</v>
      </c>
      <c r="BE124" s="67">
        <f t="shared" si="120"/>
        <v>7</v>
      </c>
      <c r="BF124" s="2">
        <v>80</v>
      </c>
      <c r="BG124" s="2">
        <v>-1.544256511908493</v>
      </c>
      <c r="BH124" s="2">
        <f t="shared" si="89"/>
        <v>-0.13470673443773562</v>
      </c>
      <c r="BI124" s="2">
        <f t="shared" si="90"/>
        <v>-1.544256511908493</v>
      </c>
      <c r="BJ124" s="67">
        <f t="shared" si="91"/>
        <v>7</v>
      </c>
      <c r="BK124" s="2">
        <v>9000</v>
      </c>
      <c r="BL124" s="2">
        <v>-3.1101029442029979</v>
      </c>
      <c r="BM124" s="77">
        <f t="shared" si="136"/>
        <v>-1.8701029442029979</v>
      </c>
      <c r="BN124" s="77">
        <f t="shared" si="122"/>
        <v>-2</v>
      </c>
      <c r="BO124" s="2">
        <f t="shared" si="92"/>
        <v>-9.6917025825797351E-2</v>
      </c>
      <c r="BP124" s="2">
        <f t="shared" si="93"/>
        <v>-3.1101029442029979</v>
      </c>
      <c r="BQ124" s="67">
        <f t="shared" si="123"/>
        <v>3</v>
      </c>
      <c r="BR124" s="5">
        <v>-1.081021055821783</v>
      </c>
      <c r="BS124" s="75">
        <f t="shared" si="124"/>
        <v>0.86768151109333402</v>
      </c>
      <c r="BT124" s="75">
        <f t="shared" si="125"/>
        <v>2</v>
      </c>
      <c r="BU124" s="5">
        <f>IF(G130&gt;=36, IF(AND(NOT(ISBLANK(CM:CM)), NOT(ISBLANK(BD:BD))), (CM:CM-BD:BD)/2, ""), "UF")</f>
        <v>0.82658668919104317</v>
      </c>
      <c r="BV124" s="5">
        <f t="shared" si="94"/>
        <v>-1.081021055821783</v>
      </c>
      <c r="BW124" s="69">
        <f t="shared" si="95"/>
        <v>7</v>
      </c>
      <c r="BX124" s="2">
        <v>89</v>
      </c>
      <c r="BY124" s="5">
        <v>-1.3341202033132069</v>
      </c>
      <c r="BZ124" s="74">
        <f t="shared" si="126"/>
        <v>1.775982740889791</v>
      </c>
      <c r="CA124" s="74">
        <f t="shared" si="127"/>
        <v>2</v>
      </c>
      <c r="CB124" s="5">
        <f t="shared" si="96"/>
        <v>6.5313129465581987E-2</v>
      </c>
      <c r="CC124" s="5">
        <f t="shared" si="97"/>
        <v>-1.3341202033132069</v>
      </c>
      <c r="CD124" s="2">
        <f t="shared" si="98"/>
        <v>0.21013630859528609</v>
      </c>
      <c r="CE124" s="69">
        <f t="shared" si="99"/>
        <v>7</v>
      </c>
      <c r="CF124" s="5">
        <v>11500</v>
      </c>
      <c r="CG124" s="5">
        <v>-1.780751077477392</v>
      </c>
      <c r="CH124" s="72">
        <f t="shared" si="128"/>
        <v>1.3293518667256059</v>
      </c>
      <c r="CI124" s="72">
        <f t="shared" si="129"/>
        <v>2</v>
      </c>
      <c r="CJ124" s="5">
        <f t="shared" si="100"/>
        <v>0.87680158465658498</v>
      </c>
      <c r="CK124" s="5">
        <f t="shared" si="101"/>
        <v>-1.780751077477392</v>
      </c>
      <c r="CL124" s="69">
        <f t="shared" si="102"/>
        <v>7</v>
      </c>
      <c r="CM124" s="5">
        <v>-0.29552918853303078</v>
      </c>
      <c r="CN124" s="70">
        <f t="shared" si="103"/>
        <v>0.7854918672887522</v>
      </c>
      <c r="CO124" s="5">
        <f t="shared" si="104"/>
        <v>0.7854918672887522</v>
      </c>
      <c r="CP124" s="5">
        <f>IF(G124&lt;48,"UF", IF(NOT(ISBLANK(CM:CM)), CM:CM, IF(BW:BW=1, BV:BV+Sheet2!B330, IF(Sheet1!BW:BW=2, Sheet1!BV:BV+Sheet2!B331, IF(Sheet1!BW:BW=7, Sheet1!BV:BV+Sheet2!B332,"")))))</f>
        <v>-0.29552918853303078</v>
      </c>
      <c r="CQ124" s="69">
        <f t="shared" si="130"/>
        <v>7</v>
      </c>
      <c r="CR124" s="5">
        <v>95</v>
      </c>
      <c r="CS124" s="5">
        <v>-1.413630252977329</v>
      </c>
      <c r="CT124" s="5">
        <f t="shared" si="105"/>
        <v>-7.9510049664122118E-2</v>
      </c>
      <c r="CU124" s="80">
        <f t="shared" si="106"/>
        <v>-7.9510049664122118E-2</v>
      </c>
      <c r="CV124" s="80">
        <f t="shared" si="107"/>
        <v>-1</v>
      </c>
      <c r="CW124" s="20">
        <f>IF(G124&lt;48,"UF", IF(NOT(ISBLANK(CS124)), CS124, IF(CE124=5, CC124+Sheet2!B319, IF(CE124=6, CC124+Sheet2!B320, IF(CE124=7, CC124+Sheet2!B321,"")))))</f>
        <v>-1.413630252977329</v>
      </c>
      <c r="CX124" s="68">
        <f t="shared" si="131"/>
        <v>7</v>
      </c>
      <c r="CY124" s="5">
        <v>13500</v>
      </c>
      <c r="CZ124" s="5">
        <v>-1.356499774889828</v>
      </c>
      <c r="DA124" s="5">
        <f t="shared" si="108"/>
        <v>0.42425130258756405</v>
      </c>
      <c r="DB124" s="73">
        <f t="shared" si="109"/>
        <v>0.42425130258756405</v>
      </c>
      <c r="DC124" s="73">
        <f t="shared" si="110"/>
        <v>1</v>
      </c>
      <c r="DD124" s="5">
        <f>IF(G124&lt;48,"UF", IF(NOT(ISBLANK(CZ:CZ)), CZ:CZ, IF(CL:CL=3, CK:CK+Sheet2!B324, IF(CL:CL=4, CK:CK+Sheet2!B325, IF(CL:CL=7, CK:CK+Sheet2!B326,"")))))</f>
        <v>-1.356499774889828</v>
      </c>
      <c r="DE124" s="69">
        <f t="shared" si="111"/>
        <v>7</v>
      </c>
      <c r="DF124" s="2">
        <v>1</v>
      </c>
      <c r="DG124" s="2">
        <v>30</v>
      </c>
      <c r="DH124" s="2">
        <v>2</v>
      </c>
      <c r="DI124" s="2">
        <v>2</v>
      </c>
      <c r="DJ124" s="2">
        <v>2</v>
      </c>
      <c r="DK124" s="2">
        <v>100</v>
      </c>
      <c r="DL124" s="2">
        <v>65</v>
      </c>
      <c r="DM124" s="2">
        <v>110</v>
      </c>
      <c r="DN124" s="2">
        <v>65</v>
      </c>
      <c r="DO124" s="2">
        <v>120</v>
      </c>
      <c r="DP124" s="2">
        <v>75</v>
      </c>
      <c r="DQ124" s="2">
        <v>2</v>
      </c>
      <c r="DR124" s="2">
        <v>39</v>
      </c>
      <c r="DS124" s="2">
        <v>2</v>
      </c>
      <c r="DT124" s="2">
        <v>85</v>
      </c>
      <c r="DU124" s="2">
        <v>88</v>
      </c>
      <c r="DV124" s="2">
        <v>2</v>
      </c>
      <c r="DW124" s="2">
        <v>2</v>
      </c>
      <c r="DX124" s="2">
        <v>2</v>
      </c>
      <c r="DY124" s="2">
        <v>2</v>
      </c>
      <c r="DZ124" s="2">
        <v>31</v>
      </c>
      <c r="EA124" s="2">
        <v>33.5</v>
      </c>
      <c r="EB124" s="2">
        <v>45.5</v>
      </c>
      <c r="EC124" s="2">
        <v>1</v>
      </c>
      <c r="ED124" s="2">
        <v>1</v>
      </c>
    </row>
    <row r="125" spans="3:134" x14ac:dyDescent="0.25">
      <c r="D125" s="2">
        <v>2501005619</v>
      </c>
      <c r="E125" s="5">
        <v>7</v>
      </c>
      <c r="F125" s="2">
        <v>2</v>
      </c>
      <c r="G125" s="2">
        <v>58</v>
      </c>
      <c r="H125" s="2">
        <v>-0.35781050698855699</v>
      </c>
      <c r="I125" s="2">
        <v>53</v>
      </c>
      <c r="J125" s="2">
        <v>1.645866503279491</v>
      </c>
      <c r="K125" s="2">
        <v>3640</v>
      </c>
      <c r="L125" s="2">
        <v>0.58446637772371202</v>
      </c>
      <c r="M125" s="2">
        <v>-0.95599999999999996</v>
      </c>
      <c r="N125" s="2">
        <f t="shared" si="69"/>
        <v>-0.55619474650572154</v>
      </c>
      <c r="O125" s="2">
        <f t="shared" si="70"/>
        <v>-0.95599999999999996</v>
      </c>
      <c r="P125" s="2">
        <v>67</v>
      </c>
      <c r="Q125" s="2">
        <v>-0.3</v>
      </c>
      <c r="R125" s="5">
        <f t="shared" si="71"/>
        <v>-1.1879332516397456</v>
      </c>
      <c r="S125" s="5">
        <f t="shared" si="72"/>
        <v>-0.3</v>
      </c>
      <c r="T125" s="2">
        <v>7200</v>
      </c>
      <c r="U125" s="2">
        <v>-0.89</v>
      </c>
      <c r="V125" s="2">
        <f t="shared" si="73"/>
        <v>-1.0322331888618561</v>
      </c>
      <c r="W125" s="2">
        <f t="shared" si="74"/>
        <v>-0.89</v>
      </c>
      <c r="X125" s="2">
        <v>-1.4702</v>
      </c>
      <c r="Y125" s="76">
        <f t="shared" si="112"/>
        <v>-1.1123894930114431</v>
      </c>
      <c r="Z125" s="76">
        <f t="shared" si="113"/>
        <v>-2</v>
      </c>
      <c r="AA125" s="2">
        <f t="shared" si="75"/>
        <v>0.42984999999999995</v>
      </c>
      <c r="AB125" s="2">
        <f t="shared" si="76"/>
        <v>-1.4702</v>
      </c>
      <c r="AC125" s="2">
        <v>74</v>
      </c>
      <c r="AD125" s="2">
        <v>-0.73</v>
      </c>
      <c r="AE125" s="79">
        <f t="shared" si="114"/>
        <v>-2.3758665032794912</v>
      </c>
      <c r="AF125" s="79">
        <f t="shared" si="115"/>
        <v>-2</v>
      </c>
      <c r="AG125" s="2">
        <f t="shared" si="134"/>
        <v>-0.27</v>
      </c>
      <c r="AH125" s="2">
        <f t="shared" si="78"/>
        <v>-0.73</v>
      </c>
      <c r="AI125" s="2">
        <v>8200</v>
      </c>
      <c r="AJ125" s="2">
        <v>-1.48</v>
      </c>
      <c r="AK125" s="76">
        <f t="shared" si="116"/>
        <v>-2.0644663777237122</v>
      </c>
      <c r="AL125" s="76">
        <f t="shared" si="117"/>
        <v>-2</v>
      </c>
      <c r="AM125" s="2">
        <f t="shared" si="79"/>
        <v>0.38500000000000001</v>
      </c>
      <c r="AN125" s="2">
        <f t="shared" si="80"/>
        <v>-1.48</v>
      </c>
      <c r="AO125" s="2">
        <v>0.55969999999999998</v>
      </c>
      <c r="AP125" s="2">
        <f t="shared" si="81"/>
        <v>0.169786033789877</v>
      </c>
      <c r="AQ125" s="2">
        <f t="shared" si="82"/>
        <v>0.55969999999999998</v>
      </c>
      <c r="AR125" s="2">
        <v>80</v>
      </c>
      <c r="AS125" s="2">
        <v>-0.84</v>
      </c>
      <c r="AT125" s="2">
        <f t="shared" si="83"/>
        <v>9.9745627237860013E-2</v>
      </c>
      <c r="AU125" s="2">
        <f t="shared" si="84"/>
        <v>-0.84</v>
      </c>
      <c r="AV125" s="2">
        <v>10800</v>
      </c>
      <c r="AW125" s="2">
        <v>-0.12</v>
      </c>
      <c r="AX125" s="2">
        <f t="shared" si="85"/>
        <v>4.9691280614988953E-2</v>
      </c>
      <c r="AY125" s="2">
        <f t="shared" si="86"/>
        <v>-0.12</v>
      </c>
      <c r="AZ125" s="2">
        <v>-1.130627932420246</v>
      </c>
      <c r="BA125" s="78">
        <f t="shared" si="118"/>
        <v>0.339572067579754</v>
      </c>
      <c r="BB125" s="78">
        <f t="shared" si="119"/>
        <v>1</v>
      </c>
      <c r="BC125" s="2" t="str">
        <f t="shared" si="87"/>
        <v/>
      </c>
      <c r="BD125" s="2">
        <f t="shared" si="88"/>
        <v>-1.130627932420246</v>
      </c>
      <c r="BE125" s="67">
        <f t="shared" si="120"/>
        <v>7</v>
      </c>
      <c r="BF125" s="2">
        <v>85</v>
      </c>
      <c r="BG125" s="2">
        <v>-0.53050874552427996</v>
      </c>
      <c r="BH125" s="2" t="str">
        <f t="shared" si="89"/>
        <v/>
      </c>
      <c r="BI125" s="2">
        <f t="shared" si="90"/>
        <v>-0.53050874552427996</v>
      </c>
      <c r="BJ125" s="67">
        <f t="shared" si="91"/>
        <v>7</v>
      </c>
      <c r="BK125" s="2">
        <v>11000</v>
      </c>
      <c r="BL125" s="2">
        <v>-1.3806174387700221</v>
      </c>
      <c r="BM125" s="77">
        <f t="shared" si="136"/>
        <v>9.9382561229977906E-2</v>
      </c>
      <c r="BN125" s="77">
        <f t="shared" si="122"/>
        <v>1</v>
      </c>
      <c r="BO125" s="2" t="str">
        <f t="shared" si="92"/>
        <v/>
      </c>
      <c r="BP125" s="2">
        <f t="shared" si="93"/>
        <v>-1.3806174387700221</v>
      </c>
      <c r="BQ125" s="67">
        <f t="shared" si="123"/>
        <v>7</v>
      </c>
      <c r="BS125" s="75">
        <f t="shared" si="124"/>
        <v>0.41713948086245545</v>
      </c>
      <c r="BT125" s="75">
        <f t="shared" si="125"/>
        <v>1</v>
      </c>
      <c r="BU125" s="5">
        <f>IF(G131&gt;=36, IF(AND(NOT(ISBLANK(CM:CM)), NOT(ISBLANK(BD:BD))), (CM:CM-BD:BD)/2, ""), "UF")</f>
        <v>0.41713948086245545</v>
      </c>
      <c r="BV125" s="5">
        <f t="shared" si="94"/>
        <v>-0.7134884515577905</v>
      </c>
      <c r="BW125" s="69">
        <f t="shared" si="95"/>
        <v>7</v>
      </c>
      <c r="BX125" s="2" t="s">
        <v>12</v>
      </c>
      <c r="BZ125" s="74">
        <f t="shared" si="126"/>
        <v>0.69997927901385326</v>
      </c>
      <c r="CA125" s="74">
        <f t="shared" si="127"/>
        <v>2</v>
      </c>
      <c r="CB125" s="5">
        <f t="shared" si="96"/>
        <v>-0.15012941423188886</v>
      </c>
      <c r="CC125" s="5">
        <f t="shared" si="97"/>
        <v>-0.68063815975616881</v>
      </c>
      <c r="CD125" s="2">
        <f t="shared" si="98"/>
        <v>-0.15012941423188886</v>
      </c>
      <c r="CE125" s="69">
        <f t="shared" si="99"/>
        <v>7</v>
      </c>
      <c r="CF125" s="5" t="s">
        <v>12</v>
      </c>
      <c r="CH125" s="72">
        <f t="shared" si="128"/>
        <v>0.32572371502831721</v>
      </c>
      <c r="CI125" s="72">
        <f t="shared" si="129"/>
        <v>1</v>
      </c>
      <c r="CJ125" s="5">
        <f t="shared" si="100"/>
        <v>0.32572371502831715</v>
      </c>
      <c r="CK125" s="5">
        <f t="shared" si="101"/>
        <v>-1.0548937237417049</v>
      </c>
      <c r="CL125" s="69">
        <f t="shared" si="102"/>
        <v>7</v>
      </c>
      <c r="CM125" s="5">
        <v>-0.29634897069533511</v>
      </c>
      <c r="CN125" s="70">
        <f t="shared" si="103"/>
        <v>0.41713948086245539</v>
      </c>
      <c r="CO125" s="5">
        <f t="shared" si="104"/>
        <v>0.41713948086245539</v>
      </c>
      <c r="CP125" s="5">
        <f>IF(G125&lt;48,"UF", IF(NOT(ISBLANK(CM:CM)), CM:CM, IF(BW:BW=1, BV:BV+Sheet2!B593, IF(Sheet1!BW:BW=2, Sheet1!BV:BV+Sheet2!B594, IF(Sheet1!BW:BW=7, Sheet1!BV:BV+Sheet2!B595,"")))))</f>
        <v>-0.29634897069533511</v>
      </c>
      <c r="CQ125" s="69">
        <f t="shared" si="130"/>
        <v>7</v>
      </c>
      <c r="CR125" s="5">
        <v>99</v>
      </c>
      <c r="CS125" s="5">
        <v>-0.83076757398805767</v>
      </c>
      <c r="CT125" s="5">
        <f t="shared" si="105"/>
        <v>-0.15012941423188886</v>
      </c>
      <c r="CU125" s="80">
        <f t="shared" si="106"/>
        <v>-0.15012941423188886</v>
      </c>
      <c r="CV125" s="80">
        <f t="shared" si="107"/>
        <v>-1</v>
      </c>
      <c r="CW125" s="20">
        <f>IF(G125&lt;48,"UF", IF(NOT(ISBLANK(CS125)), CS125, IF(CE125=5, CC125+Sheet2!B582, IF(CE125=6, CC125+Sheet2!B583, IF(CE125=7, CC125+Sheet2!B584,"")))))</f>
        <v>-0.83076757398805767</v>
      </c>
      <c r="CX125" s="68">
        <f t="shared" si="131"/>
        <v>7</v>
      </c>
      <c r="CY125" s="5">
        <v>15000</v>
      </c>
      <c r="CZ125" s="5">
        <v>-0.72917000871338777</v>
      </c>
      <c r="DA125" s="5">
        <f t="shared" si="108"/>
        <v>0.3257237150283171</v>
      </c>
      <c r="DB125" s="73">
        <f t="shared" si="109"/>
        <v>0.3257237150283171</v>
      </c>
      <c r="DC125" s="73">
        <f t="shared" si="110"/>
        <v>1</v>
      </c>
      <c r="DD125" s="5">
        <f>IF(G125&lt;48,"UF", IF(NOT(ISBLANK(CZ:CZ)), CZ:CZ, IF(CL:CL=3, CK:CK+Sheet2!B587, IF(CL:CL=4, CK:CK+Sheet2!B588, IF(CL:CL=7, CK:CK+Sheet2!B589,"")))))</f>
        <v>-0.72917000871338777</v>
      </c>
      <c r="DE125" s="69">
        <f t="shared" si="111"/>
        <v>7</v>
      </c>
      <c r="DF125" s="2">
        <v>3</v>
      </c>
      <c r="DG125" s="2">
        <v>30</v>
      </c>
      <c r="DH125" s="2">
        <v>2</v>
      </c>
      <c r="DI125" s="2">
        <v>2</v>
      </c>
      <c r="DJ125" s="2">
        <v>1</v>
      </c>
      <c r="DK125" s="2">
        <v>130</v>
      </c>
      <c r="DL125" s="2">
        <v>80</v>
      </c>
      <c r="DM125" s="2">
        <v>130</v>
      </c>
      <c r="DN125" s="2">
        <v>85</v>
      </c>
      <c r="DO125" s="2">
        <v>136</v>
      </c>
      <c r="DP125" s="2">
        <v>92</v>
      </c>
      <c r="DQ125" s="2">
        <v>1</v>
      </c>
      <c r="DR125" s="2">
        <v>38</v>
      </c>
      <c r="DS125" s="2">
        <v>1</v>
      </c>
      <c r="DT125" s="2">
        <v>130</v>
      </c>
      <c r="DU125" s="2">
        <v>85</v>
      </c>
      <c r="DV125" s="2">
        <v>2</v>
      </c>
      <c r="DW125" s="2">
        <v>2</v>
      </c>
      <c r="DX125" s="2">
        <v>2</v>
      </c>
      <c r="DY125" s="2">
        <v>3</v>
      </c>
      <c r="DZ125" s="2">
        <v>36.5</v>
      </c>
      <c r="EA125" s="2">
        <v>37</v>
      </c>
      <c r="EB125" s="2">
        <v>46.2</v>
      </c>
      <c r="EC125" s="2">
        <v>1</v>
      </c>
      <c r="ED125" s="2">
        <v>1</v>
      </c>
    </row>
    <row r="126" spans="3:134" x14ac:dyDescent="0.25">
      <c r="C126" s="8" t="s">
        <v>271</v>
      </c>
      <c r="D126" s="8">
        <v>2501006402</v>
      </c>
      <c r="E126" s="5">
        <v>7</v>
      </c>
      <c r="F126" s="2">
        <v>2</v>
      </c>
      <c r="G126" s="2">
        <v>54</v>
      </c>
      <c r="H126" s="2">
        <v>-1.356709275592892</v>
      </c>
      <c r="I126" s="2">
        <v>48</v>
      </c>
      <c r="J126" s="2">
        <v>-0.99529637274036198</v>
      </c>
      <c r="K126" s="2">
        <v>2720</v>
      </c>
      <c r="L126" s="2">
        <v>-1.369274444933275</v>
      </c>
      <c r="N126" s="2" t="str">
        <f t="shared" si="69"/>
        <v/>
      </c>
      <c r="O126" s="2" t="e">
        <f t="shared" si="70"/>
        <v>#VALUE!</v>
      </c>
      <c r="P126" s="2" t="s">
        <v>12</v>
      </c>
      <c r="R126" s="5" t="str">
        <f t="shared" si="71"/>
        <v/>
      </c>
      <c r="S126" s="5" t="e">
        <f t="shared" si="72"/>
        <v>#VALUE!</v>
      </c>
      <c r="T126" s="2" t="s">
        <v>12</v>
      </c>
      <c r="V126" s="2" t="str">
        <f t="shared" si="73"/>
        <v/>
      </c>
      <c r="W126" s="2" t="e">
        <f t="shared" si="74"/>
        <v>#VALUE!</v>
      </c>
      <c r="Y126" s="76" t="e">
        <f t="shared" si="112"/>
        <v>#VALUE!</v>
      </c>
      <c r="Z126" s="76" t="e">
        <f t="shared" si="113"/>
        <v>#VALUE!</v>
      </c>
      <c r="AA126" s="2" t="str">
        <f t="shared" si="75"/>
        <v/>
      </c>
      <c r="AB126" s="2" t="e">
        <f t="shared" si="76"/>
        <v>#VALUE!</v>
      </c>
      <c r="AC126" s="2" t="s">
        <v>12</v>
      </c>
      <c r="AE126" s="79" t="e">
        <f t="shared" si="114"/>
        <v>#VALUE!</v>
      </c>
      <c r="AF126" s="79" t="e">
        <f t="shared" si="115"/>
        <v>#VALUE!</v>
      </c>
      <c r="AG126" s="2" t="str">
        <f t="shared" si="134"/>
        <v/>
      </c>
      <c r="AH126" s="2" t="e">
        <f t="shared" si="78"/>
        <v>#VALUE!</v>
      </c>
      <c r="AI126" s="2" t="s">
        <v>12</v>
      </c>
      <c r="AK126" s="76" t="e">
        <f t="shared" si="116"/>
        <v>#VALUE!</v>
      </c>
      <c r="AL126" s="76" t="e">
        <f t="shared" si="117"/>
        <v>#VALUE!</v>
      </c>
      <c r="AM126" s="2" t="str">
        <f t="shared" si="79"/>
        <v/>
      </c>
      <c r="AN126" s="2" t="e">
        <f t="shared" si="80"/>
        <v>#VALUE!</v>
      </c>
      <c r="AP126" s="2" t="str">
        <f t="shared" si="81"/>
        <v/>
      </c>
      <c r="AQ126" s="2" t="e">
        <f t="shared" si="82"/>
        <v>#VALUE!</v>
      </c>
      <c r="AR126" s="2" t="s">
        <v>12</v>
      </c>
      <c r="AT126" s="2" t="str">
        <f t="shared" si="83"/>
        <v/>
      </c>
      <c r="AU126" s="2" t="e">
        <f t="shared" si="84"/>
        <v>#VALUE!</v>
      </c>
      <c r="AV126" s="2" t="s">
        <v>12</v>
      </c>
      <c r="AX126" s="2" t="str">
        <f t="shared" si="85"/>
        <v/>
      </c>
      <c r="AY126" s="2" t="e">
        <f t="shared" si="86"/>
        <v>#VALUE!</v>
      </c>
      <c r="BA126" s="78" t="e">
        <f t="shared" si="118"/>
        <v>#VALUE!</v>
      </c>
      <c r="BB126" s="78" t="e">
        <f t="shared" si="119"/>
        <v>#VALUE!</v>
      </c>
      <c r="BC126" s="2" t="str">
        <f t="shared" si="87"/>
        <v/>
      </c>
      <c r="BD126" s="2" t="e">
        <f t="shared" si="88"/>
        <v>#VALUE!</v>
      </c>
      <c r="BE126" s="67" t="e">
        <f t="shared" si="120"/>
        <v>#VALUE!</v>
      </c>
      <c r="BF126" s="2" t="s">
        <v>12</v>
      </c>
      <c r="BH126" s="2" t="str">
        <f t="shared" si="89"/>
        <v/>
      </c>
      <c r="BI126" s="2" t="e">
        <f t="shared" si="90"/>
        <v>#VALUE!</v>
      </c>
      <c r="BJ126" s="67" t="e">
        <f t="shared" si="91"/>
        <v>#VALUE!</v>
      </c>
      <c r="BK126" s="2" t="s">
        <v>12</v>
      </c>
      <c r="BM126" s="77" t="e">
        <f t="shared" si="136"/>
        <v>#VALUE!</v>
      </c>
      <c r="BN126" s="77" t="e">
        <f t="shared" si="122"/>
        <v>#VALUE!</v>
      </c>
      <c r="BO126" s="2" t="str">
        <f t="shared" si="92"/>
        <v/>
      </c>
      <c r="BP126" s="2" t="e">
        <f t="shared" si="93"/>
        <v>#VALUE!</v>
      </c>
      <c r="BQ126" s="67" t="e">
        <f t="shared" si="123"/>
        <v>#VALUE!</v>
      </c>
      <c r="BS126" s="75" t="e">
        <f t="shared" si="124"/>
        <v>#VALUE!</v>
      </c>
      <c r="BT126" s="75" t="e">
        <f t="shared" si="125"/>
        <v>#VALUE!</v>
      </c>
      <c r="BU126" s="5" t="e">
        <f>IF(G132&gt;=36, IF(AND(NOT(ISBLANK(CM:CM)), NOT(ISBLANK(BD:BD))), (CM:CM-BD:BD)/2, ""), "UF")</f>
        <v>#VALUE!</v>
      </c>
      <c r="BV126" s="5" t="e">
        <f t="shared" si="94"/>
        <v>#VALUE!</v>
      </c>
      <c r="BW126" s="69" t="e">
        <f t="shared" si="95"/>
        <v>#VALUE!</v>
      </c>
      <c r="BX126" s="2" t="s">
        <v>12</v>
      </c>
      <c r="BZ126" s="74" t="e">
        <f t="shared" si="126"/>
        <v>#VALUE!</v>
      </c>
      <c r="CA126" s="74" t="e">
        <f t="shared" si="127"/>
        <v>#VALUE!</v>
      </c>
      <c r="CB126" s="5" t="e">
        <f t="shared" si="96"/>
        <v>#VALUE!</v>
      </c>
      <c r="CC126" s="5" t="e">
        <f t="shared" si="97"/>
        <v>#VALUE!</v>
      </c>
      <c r="CD126" s="2" t="e">
        <f t="shared" si="98"/>
        <v>#VALUE!</v>
      </c>
      <c r="CE126" s="69" t="e">
        <f t="shared" si="99"/>
        <v>#VALUE!</v>
      </c>
      <c r="CF126" s="5" t="s">
        <v>12</v>
      </c>
      <c r="CH126" s="72" t="e">
        <f t="shared" si="128"/>
        <v>#VALUE!</v>
      </c>
      <c r="CI126" s="72" t="e">
        <f t="shared" si="129"/>
        <v>#VALUE!</v>
      </c>
      <c r="CJ126" s="5" t="e">
        <f t="shared" si="100"/>
        <v>#VALUE!</v>
      </c>
      <c r="CK126" s="5" t="e">
        <f t="shared" si="101"/>
        <v>#VALUE!</v>
      </c>
      <c r="CL126" s="69" t="e">
        <f t="shared" si="102"/>
        <v>#VALUE!</v>
      </c>
      <c r="CM126" s="5">
        <v>-1.908361502898217</v>
      </c>
      <c r="CN126" s="70" t="e">
        <f t="shared" si="103"/>
        <v>#VALUE!</v>
      </c>
      <c r="CO126" s="5" t="e">
        <f t="shared" si="104"/>
        <v>#VALUE!</v>
      </c>
      <c r="CP126" s="5">
        <f>IF(G126&lt;48,"UF", IF(NOT(ISBLANK(CM:CM)), CM:CM, IF(BW:BW=1, BV:BV+Sheet2!B475, IF(Sheet1!BW:BW=2, Sheet1!BV:BV+Sheet2!B476, IF(Sheet1!BW:BW=7, Sheet1!BV:BV+Sheet2!B477,"")))))</f>
        <v>-1.908361502898217</v>
      </c>
      <c r="CQ126" s="69">
        <f t="shared" si="130"/>
        <v>7</v>
      </c>
      <c r="CR126" s="5">
        <v>97</v>
      </c>
      <c r="CS126" s="5">
        <v>-1.306339751052066</v>
      </c>
      <c r="CT126" s="5" t="e">
        <f t="shared" si="105"/>
        <v>#VALUE!</v>
      </c>
      <c r="CU126" s="80" t="e">
        <f t="shared" si="106"/>
        <v>#VALUE!</v>
      </c>
      <c r="CV126" s="80" t="e">
        <f t="shared" si="107"/>
        <v>#VALUE!</v>
      </c>
      <c r="CW126" s="20">
        <f>IF(G126&lt;48,"UF", IF(NOT(ISBLANK(CS126)), CS126, IF(CE126=5, CC126+Sheet2!B464, IF(CE126=6, CC126+Sheet2!B465, IF(CE126=7, CC126+Sheet2!B466,"")))))</f>
        <v>-1.306339751052066</v>
      </c>
      <c r="CX126" s="68">
        <f t="shared" si="131"/>
        <v>7</v>
      </c>
      <c r="CY126" s="5">
        <v>13000</v>
      </c>
      <c r="CZ126" s="5">
        <v>-2.10580486320853</v>
      </c>
      <c r="DA126" s="5" t="e">
        <f t="shared" si="108"/>
        <v>#VALUE!</v>
      </c>
      <c r="DB126" s="73" t="e">
        <f t="shared" si="109"/>
        <v>#VALUE!</v>
      </c>
      <c r="DC126" s="73" t="e">
        <f t="shared" si="110"/>
        <v>#VALUE!</v>
      </c>
      <c r="DD126" s="5">
        <f>IF(G126&lt;48,"UF", IF(NOT(ISBLANK(CZ:CZ)), CZ:CZ, IF(CL:CL=3, CK:CK+Sheet2!B469, IF(CL:CL=4, CK:CK+Sheet2!B470, IF(CL:CL=7, CK:CK+Sheet2!B471,"")))))</f>
        <v>-2.10580486320853</v>
      </c>
      <c r="DE126" s="69">
        <f t="shared" si="111"/>
        <v>4</v>
      </c>
      <c r="DF126" s="2">
        <v>3</v>
      </c>
      <c r="DG126" s="2">
        <v>32</v>
      </c>
      <c r="DH126" s="2">
        <v>2</v>
      </c>
      <c r="DI126" s="2">
        <v>2</v>
      </c>
      <c r="DJ126" s="2">
        <v>3</v>
      </c>
      <c r="DK126" s="2" t="s">
        <v>12</v>
      </c>
      <c r="DL126" s="2" t="s">
        <v>12</v>
      </c>
      <c r="DM126" s="2" t="s">
        <v>12</v>
      </c>
      <c r="DN126" s="2" t="s">
        <v>12</v>
      </c>
      <c r="DO126" s="2" t="s">
        <v>12</v>
      </c>
      <c r="DP126" s="2" t="s">
        <v>12</v>
      </c>
      <c r="DQ126" s="2">
        <v>2</v>
      </c>
      <c r="DR126" s="2">
        <v>38</v>
      </c>
      <c r="DS126" s="2">
        <v>3</v>
      </c>
      <c r="DT126" s="2" t="s">
        <v>12</v>
      </c>
      <c r="DU126" s="2" t="s">
        <v>12</v>
      </c>
      <c r="DV126" s="2">
        <v>3</v>
      </c>
      <c r="DW126" s="2">
        <v>3</v>
      </c>
      <c r="DX126" s="2">
        <v>3</v>
      </c>
      <c r="DY126" s="2">
        <v>2</v>
      </c>
      <c r="DZ126" s="2">
        <v>34</v>
      </c>
      <c r="EA126" s="2" t="s">
        <v>12</v>
      </c>
      <c r="EB126" s="2" t="s">
        <v>12</v>
      </c>
      <c r="EC126" s="2" t="s">
        <v>12</v>
      </c>
      <c r="ED126" s="2" t="s">
        <v>12</v>
      </c>
    </row>
    <row r="127" spans="3:134" x14ac:dyDescent="0.25">
      <c r="C127" s="8" t="s">
        <v>163</v>
      </c>
      <c r="D127" s="2">
        <v>2501006437</v>
      </c>
      <c r="E127" s="2" t="s">
        <v>529</v>
      </c>
      <c r="F127" s="2">
        <v>1</v>
      </c>
      <c r="G127" s="2">
        <v>55</v>
      </c>
      <c r="H127" s="2">
        <v>-2.0531111734881771</v>
      </c>
      <c r="I127" s="2">
        <v>49</v>
      </c>
      <c r="J127" s="2">
        <v>-7.9294265603816944E-2</v>
      </c>
      <c r="K127" s="5">
        <v>2650</v>
      </c>
      <c r="L127" s="2">
        <v>-1.349779635002901</v>
      </c>
      <c r="N127" s="2" t="str">
        <f t="shared" si="69"/>
        <v/>
      </c>
      <c r="O127" s="2" t="e">
        <f t="shared" si="70"/>
        <v>#VALUE!</v>
      </c>
      <c r="P127" s="2" t="s">
        <v>12</v>
      </c>
      <c r="R127" s="5" t="str">
        <f t="shared" si="71"/>
        <v/>
      </c>
      <c r="S127" s="5" t="e">
        <f t="shared" si="72"/>
        <v>#VALUE!</v>
      </c>
      <c r="T127" s="1">
        <v>6350</v>
      </c>
      <c r="U127" s="2">
        <v>-1.1499999999999999</v>
      </c>
      <c r="V127" s="2" t="str">
        <f t="shared" si="73"/>
        <v/>
      </c>
      <c r="W127" s="2">
        <f t="shared" si="74"/>
        <v>-1.1499999999999999</v>
      </c>
      <c r="Y127" s="76" t="e">
        <f t="shared" si="112"/>
        <v>#VALUE!</v>
      </c>
      <c r="Z127" s="76" t="e">
        <f t="shared" si="113"/>
        <v>#VALUE!</v>
      </c>
      <c r="AA127" s="2" t="e">
        <f t="shared" si="75"/>
        <v>#VALUE!</v>
      </c>
      <c r="AB127" s="2" t="e">
        <f t="shared" si="76"/>
        <v>#VALUE!</v>
      </c>
      <c r="AC127" s="2" t="s">
        <v>12</v>
      </c>
      <c r="AE127" s="79" t="e">
        <f t="shared" si="114"/>
        <v>#VALUE!</v>
      </c>
      <c r="AF127" s="79" t="e">
        <f t="shared" si="115"/>
        <v>#VALUE!</v>
      </c>
      <c r="AG127" s="2" t="e">
        <f t="shared" si="134"/>
        <v>#VALUE!</v>
      </c>
      <c r="AH127" s="2" t="e">
        <f t="shared" si="78"/>
        <v>#VALUE!</v>
      </c>
      <c r="AI127" s="2" t="s">
        <v>12</v>
      </c>
      <c r="AK127" s="76">
        <f t="shared" si="116"/>
        <v>0.17477963500290117</v>
      </c>
      <c r="AL127" s="76">
        <f t="shared" si="117"/>
        <v>1</v>
      </c>
      <c r="AM127" s="2">
        <f t="shared" si="79"/>
        <v>-2.5000000000000022E-2</v>
      </c>
      <c r="AN127" s="2">
        <f t="shared" si="80"/>
        <v>-1.1749999999999998</v>
      </c>
      <c r="AO127" s="2">
        <v>-1.2276</v>
      </c>
      <c r="AP127" s="2" t="e">
        <f t="shared" si="81"/>
        <v>#VALUE!</v>
      </c>
      <c r="AQ127" s="2">
        <f t="shared" si="82"/>
        <v>-1.2276</v>
      </c>
      <c r="AR127" s="2">
        <v>79</v>
      </c>
      <c r="AS127" s="2">
        <v>-0.59</v>
      </c>
      <c r="AT127" s="2" t="e">
        <f t="shared" si="83"/>
        <v>#VALUE!</v>
      </c>
      <c r="AU127" s="2">
        <f t="shared" si="84"/>
        <v>-0.59</v>
      </c>
      <c r="AV127" s="2">
        <v>8850</v>
      </c>
      <c r="AW127" s="2">
        <v>-1.2</v>
      </c>
      <c r="AX127" s="2">
        <f t="shared" si="85"/>
        <v>-1.2362795877718555</v>
      </c>
      <c r="AY127" s="2">
        <f t="shared" si="86"/>
        <v>-1.2</v>
      </c>
      <c r="AZ127" s="2">
        <v>-4.081511912543303</v>
      </c>
      <c r="BA127" s="78" t="e">
        <f t="shared" si="118"/>
        <v>#VALUE!</v>
      </c>
      <c r="BB127" s="78" t="e">
        <f t="shared" si="119"/>
        <v>#VALUE!</v>
      </c>
      <c r="BC127" s="2">
        <f t="shared" si="87"/>
        <v>-1.1665188537035078</v>
      </c>
      <c r="BD127" s="2">
        <f t="shared" si="88"/>
        <v>-4.081511912543303</v>
      </c>
      <c r="BE127" s="67">
        <f t="shared" si="120"/>
        <v>1</v>
      </c>
      <c r="BF127" s="2">
        <v>82</v>
      </c>
      <c r="BG127" s="2">
        <v>-0.39018491541285161</v>
      </c>
      <c r="BH127" s="2">
        <f t="shared" si="89"/>
        <v>-2.788281326687847E-2</v>
      </c>
      <c r="BI127" s="2">
        <f t="shared" si="90"/>
        <v>-0.39018491541285161</v>
      </c>
      <c r="BJ127" s="67">
        <f t="shared" si="91"/>
        <v>7</v>
      </c>
      <c r="BK127" s="2">
        <v>8600</v>
      </c>
      <c r="BL127" s="2">
        <v>-3.6475591755437109</v>
      </c>
      <c r="BM127" s="77">
        <f t="shared" si="136"/>
        <v>-2.4725591755437111</v>
      </c>
      <c r="BN127" s="77">
        <f t="shared" si="122"/>
        <v>-2</v>
      </c>
      <c r="BO127" s="2">
        <f t="shared" si="92"/>
        <v>-0.70413219718684539</v>
      </c>
      <c r="BP127" s="2">
        <f t="shared" si="93"/>
        <v>-3.6475591755437109</v>
      </c>
      <c r="BQ127" s="67">
        <f t="shared" si="123"/>
        <v>3</v>
      </c>
      <c r="BR127" s="5">
        <v>-4.7271565611105233</v>
      </c>
      <c r="BS127" s="75">
        <f t="shared" si="124"/>
        <v>-0.64564464856722026</v>
      </c>
      <c r="BT127" s="75">
        <f t="shared" si="125"/>
        <v>-1</v>
      </c>
      <c r="BU127" s="5">
        <f>IF(G133&gt;=36, IF(AND(NOT(ISBLANK(CM:CM)), NOT(ISBLANK(BD:BD))), (CM:CM-BD:BD)/2, ""), "UF")</f>
        <v>1.0322268341206096</v>
      </c>
      <c r="BV127" s="5">
        <f t="shared" si="94"/>
        <v>-4.7271565611105233</v>
      </c>
      <c r="BW127" s="69">
        <f t="shared" si="95"/>
        <v>1</v>
      </c>
      <c r="BX127" s="2">
        <v>89</v>
      </c>
      <c r="BY127" s="5">
        <v>-0.67364843980063538</v>
      </c>
      <c r="BZ127" s="74">
        <f t="shared" si="126"/>
        <v>2.9739107357430754</v>
      </c>
      <c r="CA127" s="74">
        <f t="shared" si="127"/>
        <v>2</v>
      </c>
      <c r="CB127" s="5">
        <f t="shared" si="96"/>
        <v>-0.5718374690758512</v>
      </c>
      <c r="CC127" s="5">
        <f t="shared" si="97"/>
        <v>-0.67364843980063538</v>
      </c>
      <c r="CD127" s="2">
        <f t="shared" si="98"/>
        <v>-0.28346352438778377</v>
      </c>
      <c r="CE127" s="69">
        <f t="shared" si="99"/>
        <v>7</v>
      </c>
      <c r="CF127" s="5">
        <v>10000</v>
      </c>
      <c r="CG127" s="5">
        <v>-3.3123965915605358</v>
      </c>
      <c r="CH127" s="72">
        <f t="shared" si="128"/>
        <v>0.33516258398317511</v>
      </c>
      <c r="CI127" s="72">
        <f t="shared" si="129"/>
        <v>1</v>
      </c>
      <c r="CJ127" s="5">
        <f t="shared" si="100"/>
        <v>0.56539956320727436</v>
      </c>
      <c r="CK127" s="5">
        <f t="shared" si="101"/>
        <v>-3.3123965915605358</v>
      </c>
      <c r="CL127" s="69">
        <f t="shared" si="102"/>
        <v>3</v>
      </c>
      <c r="CM127" s="5">
        <v>-2.0170582443020839</v>
      </c>
      <c r="CN127" s="70">
        <f t="shared" si="103"/>
        <v>2.7100983168084394</v>
      </c>
      <c r="CO127" s="5">
        <f t="shared" si="104"/>
        <v>2.7100983168084394</v>
      </c>
      <c r="CP127" s="5">
        <f>IF(G127&lt;48,"UF", IF(NOT(ISBLANK(CM:CM)), CM:CM, IF(BW:BW=1, BV:BV+Sheet2!B107, IF(Sheet1!BW:BW=2, Sheet1!BV:BV+Sheet2!B108, IF(Sheet1!BW:BW=7, Sheet1!BV:BV+Sheet2!B109,"")))))</f>
        <v>-2.0170582443020839</v>
      </c>
      <c r="CQ127" s="69">
        <f t="shared" si="130"/>
        <v>2</v>
      </c>
      <c r="CR127" s="5">
        <v>94.5</v>
      </c>
      <c r="CS127" s="5">
        <v>-1.533859853564554</v>
      </c>
      <c r="CT127" s="5">
        <f t="shared" si="105"/>
        <v>-0.86021141376391863</v>
      </c>
      <c r="CU127" s="80">
        <f t="shared" si="106"/>
        <v>-0.86021141376391863</v>
      </c>
      <c r="CV127" s="80">
        <f t="shared" si="107"/>
        <v>-2</v>
      </c>
      <c r="CW127" s="20">
        <f>IF(G127&lt;48,"UF", IF(NOT(ISBLANK(CS127)), CS127, IF(CE127=5, CC127+Sheet2!B96, IF(CE127=6, CC127+Sheet2!B97, IF(CE127=7, CC127+Sheet2!B98,"")))))</f>
        <v>-1.533859853564554</v>
      </c>
      <c r="CX127" s="68">
        <f t="shared" si="131"/>
        <v>7</v>
      </c>
      <c r="CY127" s="5">
        <v>12000</v>
      </c>
      <c r="CZ127" s="5">
        <v>-2.5167600491291622</v>
      </c>
      <c r="DA127" s="5">
        <f t="shared" si="108"/>
        <v>0.79563654243137361</v>
      </c>
      <c r="DB127" s="73">
        <f t="shared" si="109"/>
        <v>0.79563654243137361</v>
      </c>
      <c r="DC127" s="73">
        <f t="shared" si="110"/>
        <v>2</v>
      </c>
      <c r="DD127" s="5">
        <f>IF(G127&lt;48,"UF", IF(NOT(ISBLANK(CZ:CZ)), CZ:CZ, IF(CL:CL=3, CK:CK+Sheet2!B101, IF(CL:CL=4, CK:CK+Sheet2!B102, IF(CL:CL=7, CK:CK+Sheet2!B103,"")))))</f>
        <v>-2.5167600491291622</v>
      </c>
      <c r="DE127" s="69">
        <f t="shared" si="111"/>
        <v>4</v>
      </c>
      <c r="DF127" s="2">
        <v>1</v>
      </c>
      <c r="DG127" s="2">
        <v>22</v>
      </c>
      <c r="DH127" s="2">
        <v>2</v>
      </c>
      <c r="DI127" s="2">
        <v>2</v>
      </c>
      <c r="DJ127" s="2">
        <v>2</v>
      </c>
      <c r="DK127" s="2">
        <v>120</v>
      </c>
      <c r="DL127" s="2">
        <v>60</v>
      </c>
      <c r="DM127" s="2">
        <v>115</v>
      </c>
      <c r="DN127" s="2">
        <v>70</v>
      </c>
      <c r="DO127" s="2">
        <v>120</v>
      </c>
      <c r="DP127" s="2">
        <v>80</v>
      </c>
      <c r="DQ127" s="2">
        <v>1</v>
      </c>
      <c r="DR127" s="2">
        <v>38</v>
      </c>
      <c r="DS127" s="2">
        <v>1</v>
      </c>
      <c r="DT127" s="2">
        <v>81.5</v>
      </c>
      <c r="DU127" s="2">
        <v>95</v>
      </c>
      <c r="DV127" s="2">
        <v>2</v>
      </c>
      <c r="DW127" s="2">
        <v>2</v>
      </c>
      <c r="DX127" s="2">
        <v>2</v>
      </c>
      <c r="DY127" s="2">
        <v>2</v>
      </c>
      <c r="DZ127" s="2">
        <v>34</v>
      </c>
      <c r="EA127" s="2">
        <v>34.5</v>
      </c>
      <c r="EB127" s="2">
        <v>43.5</v>
      </c>
      <c r="EC127" s="2">
        <v>1</v>
      </c>
      <c r="ED127" s="2">
        <v>1</v>
      </c>
    </row>
    <row r="128" spans="3:134" x14ac:dyDescent="0.25">
      <c r="C128" s="9" t="s">
        <v>365</v>
      </c>
      <c r="D128" s="4">
        <v>2501006542</v>
      </c>
      <c r="E128" s="2" t="s">
        <v>527</v>
      </c>
      <c r="F128" s="2">
        <v>1</v>
      </c>
      <c r="G128" s="2">
        <v>55</v>
      </c>
      <c r="H128" s="2">
        <v>-2.7236817069035868</v>
      </c>
      <c r="I128" s="2">
        <v>51</v>
      </c>
      <c r="J128" s="2">
        <v>0.99441714029262385</v>
      </c>
      <c r="K128" s="5">
        <v>2700</v>
      </c>
      <c r="L128" s="2">
        <v>-1.2270493270806959</v>
      </c>
      <c r="M128" s="2">
        <v>-0.35680000000000001</v>
      </c>
      <c r="N128" s="2">
        <f t="shared" si="69"/>
        <v>1.2599908534517934</v>
      </c>
      <c r="O128" s="2">
        <f t="shared" si="70"/>
        <v>-0.35680000000000001</v>
      </c>
      <c r="P128" s="2">
        <v>67</v>
      </c>
      <c r="Q128" s="2">
        <v>0.55000000000000004</v>
      </c>
      <c r="R128" s="5">
        <f t="shared" si="71"/>
        <v>-1.082208570146312</v>
      </c>
      <c r="S128" s="5">
        <f t="shared" si="72"/>
        <v>0.55000000000000004</v>
      </c>
      <c r="T128" s="1">
        <v>7350</v>
      </c>
      <c r="U128" s="2">
        <v>0.05</v>
      </c>
      <c r="V128" s="2">
        <f t="shared" si="73"/>
        <v>0.20352466354034798</v>
      </c>
      <c r="W128" s="2">
        <f t="shared" si="74"/>
        <v>0.05</v>
      </c>
      <c r="X128" s="2">
        <v>-0.20369999999999999</v>
      </c>
      <c r="Y128" s="76">
        <f t="shared" si="112"/>
        <v>2.5199817069035868</v>
      </c>
      <c r="Z128" s="76">
        <f t="shared" si="113"/>
        <v>2</v>
      </c>
      <c r="AA128" s="2">
        <f t="shared" si="75"/>
        <v>-0.93974999999999997</v>
      </c>
      <c r="AB128" s="2">
        <f t="shared" si="76"/>
        <v>-0.20369999999999999</v>
      </c>
      <c r="AC128" s="2">
        <v>71</v>
      </c>
      <c r="AD128" s="2">
        <v>-1.17</v>
      </c>
      <c r="AE128" s="79">
        <f t="shared" si="114"/>
        <v>-2.164417140292624</v>
      </c>
      <c r="AF128" s="79">
        <f t="shared" si="115"/>
        <v>-2</v>
      </c>
      <c r="AG128" s="2">
        <f t="shared" si="134"/>
        <v>-0.4</v>
      </c>
      <c r="AH128" s="2">
        <f t="shared" si="78"/>
        <v>-1.17</v>
      </c>
      <c r="AI128" s="2">
        <v>8100</v>
      </c>
      <c r="AJ128" s="2">
        <v>-0.82</v>
      </c>
      <c r="AK128" s="76">
        <f t="shared" si="116"/>
        <v>0.40704932708069597</v>
      </c>
      <c r="AL128" s="76">
        <f t="shared" si="117"/>
        <v>1</v>
      </c>
      <c r="AM128" s="2">
        <f t="shared" si="79"/>
        <v>-0.55500000000000005</v>
      </c>
      <c r="AN128" s="2">
        <f t="shared" si="80"/>
        <v>-0.82</v>
      </c>
      <c r="AO128" s="2">
        <v>-1.3294999999999999</v>
      </c>
      <c r="AP128" s="2" t="str">
        <f t="shared" si="81"/>
        <v/>
      </c>
      <c r="AQ128" s="2">
        <f t="shared" si="82"/>
        <v>-1.3294999999999999</v>
      </c>
      <c r="AR128" s="2">
        <v>80</v>
      </c>
      <c r="AS128" s="2">
        <v>-0.25</v>
      </c>
      <c r="AT128" s="2" t="str">
        <f t="shared" si="83"/>
        <v/>
      </c>
      <c r="AU128" s="2">
        <f t="shared" si="84"/>
        <v>-0.25</v>
      </c>
      <c r="AV128" s="2">
        <v>9000</v>
      </c>
      <c r="AW128" s="2">
        <v>-1.06</v>
      </c>
      <c r="AX128" s="2" t="str">
        <f t="shared" si="85"/>
        <v/>
      </c>
      <c r="AY128" s="2">
        <f t="shared" si="86"/>
        <v>-1.06</v>
      </c>
      <c r="BA128" s="78">
        <f t="shared" si="118"/>
        <v>-1.6128792369532425</v>
      </c>
      <c r="BB128" s="78">
        <f t="shared" si="119"/>
        <v>-2</v>
      </c>
      <c r="BC128" s="2">
        <f t="shared" si="87"/>
        <v>-0.48707923695324268</v>
      </c>
      <c r="BD128" s="2">
        <f t="shared" si="88"/>
        <v>-1.8165792369532425</v>
      </c>
      <c r="BE128" s="67">
        <f t="shared" si="120"/>
        <v>7</v>
      </c>
      <c r="BF128" s="2" t="s">
        <v>12</v>
      </c>
      <c r="BH128" s="2">
        <f t="shared" si="89"/>
        <v>-0.44802598601020133</v>
      </c>
      <c r="BI128" s="2">
        <f t="shared" si="90"/>
        <v>-0.69802598601020138</v>
      </c>
      <c r="BJ128" s="67">
        <f t="shared" si="91"/>
        <v>7</v>
      </c>
      <c r="BK128" s="2" t="s">
        <v>12</v>
      </c>
      <c r="BM128" s="77">
        <f t="shared" si="136"/>
        <v>-0.9328673255808998</v>
      </c>
      <c r="BN128" s="77">
        <f t="shared" si="122"/>
        <v>-2</v>
      </c>
      <c r="BO128" s="2">
        <f t="shared" si="92"/>
        <v>-0.6928673255808997</v>
      </c>
      <c r="BP128" s="2">
        <f t="shared" si="93"/>
        <v>-1.7528673255808997</v>
      </c>
      <c r="BQ128" s="67">
        <f t="shared" si="123"/>
        <v>7</v>
      </c>
      <c r="BR128" s="5">
        <v>-2.790737710859728</v>
      </c>
      <c r="BS128" s="75">
        <f t="shared" si="124"/>
        <v>-0.97415847390648547</v>
      </c>
      <c r="BT128" s="75">
        <f t="shared" si="125"/>
        <v>-2</v>
      </c>
      <c r="BU128" s="5">
        <f>IF(G135&gt;=36, IF(AND(NOT(ISBLANK(CM:CM)), NOT(ISBLANK(BD:BD))), (CM:CM-BD:BD)/2, ""), "UF")</f>
        <v>-0.41072171773223032</v>
      </c>
      <c r="BV128" s="5">
        <f t="shared" si="94"/>
        <v>-2.790737710859728</v>
      </c>
      <c r="BW128" s="69">
        <f t="shared" si="95"/>
        <v>2</v>
      </c>
      <c r="BX128" s="2">
        <v>88</v>
      </c>
      <c r="BY128" s="5">
        <v>-1.5940779580306039</v>
      </c>
      <c r="BZ128" s="74">
        <f t="shared" si="126"/>
        <v>0.15878936755029582</v>
      </c>
      <c r="CA128" s="74">
        <f t="shared" si="127"/>
        <v>1</v>
      </c>
      <c r="CB128" s="5">
        <f t="shared" si="96"/>
        <v>-0.23830372071727735</v>
      </c>
      <c r="CC128" s="5">
        <f t="shared" si="97"/>
        <v>-1.5940779580306039</v>
      </c>
      <c r="CD128" s="2">
        <f t="shared" si="98"/>
        <v>-0.89605197202040254</v>
      </c>
      <c r="CE128" s="69">
        <f t="shared" si="99"/>
        <v>7</v>
      </c>
      <c r="CF128" s="5">
        <v>10150</v>
      </c>
      <c r="CG128" s="5">
        <v>-3.1386019767426991</v>
      </c>
      <c r="CH128" s="72">
        <f t="shared" si="128"/>
        <v>-1.3857346511617994</v>
      </c>
      <c r="CI128" s="72">
        <f t="shared" si="129"/>
        <v>-2</v>
      </c>
      <c r="CJ128" s="5">
        <f t="shared" si="100"/>
        <v>-0.38194636177413122</v>
      </c>
      <c r="CK128" s="5">
        <f t="shared" si="101"/>
        <v>-3.1386019767426991</v>
      </c>
      <c r="CL128" s="69">
        <f t="shared" si="102"/>
        <v>3</v>
      </c>
      <c r="CM128" s="5">
        <v>-2.6380226724177032</v>
      </c>
      <c r="CN128" s="70">
        <f t="shared" si="103"/>
        <v>0.15271503844202483</v>
      </c>
      <c r="CO128" s="5">
        <f t="shared" si="104"/>
        <v>0.15271503844202483</v>
      </c>
      <c r="CP128" s="5">
        <f>IF(G128&lt;48,"UF", IF(NOT(ISBLANK(CM:CM)), CM:CM, IF(BW:BW=1, BV:BV+Sheet2!B231, IF(Sheet1!BW:BW=2, Sheet1!BV:BV+Sheet2!B232, IF(Sheet1!BW:BW=7, Sheet1!BV:BV+Sheet2!B233,"")))))</f>
        <v>-2.6380226724177032</v>
      </c>
      <c r="CQ128" s="69">
        <f t="shared" si="130"/>
        <v>2</v>
      </c>
      <c r="CR128" s="5">
        <v>96</v>
      </c>
      <c r="CS128" s="5">
        <v>-1.1746334274447561</v>
      </c>
      <c r="CT128" s="5">
        <f t="shared" si="105"/>
        <v>0.41944453058584785</v>
      </c>
      <c r="CU128" s="80">
        <f t="shared" si="106"/>
        <v>0.41944453058584785</v>
      </c>
      <c r="CV128" s="80">
        <f t="shared" si="107"/>
        <v>1</v>
      </c>
      <c r="CW128" s="20">
        <f>IF(G128&lt;48,"UF", IF(NOT(ISBLANK(CS128)), CS128, IF(CE128=5, CC128+Sheet2!B220, IF(CE128=6, CC128+Sheet2!B221, IF(CE128=7, CC128+Sheet2!B222,"")))))</f>
        <v>-1.1746334274447561</v>
      </c>
      <c r="CX128" s="68">
        <f t="shared" si="131"/>
        <v>7</v>
      </c>
      <c r="CY128" s="5">
        <v>12000</v>
      </c>
      <c r="CZ128" s="5">
        <v>-2.5167600491291622</v>
      </c>
      <c r="DA128" s="5">
        <f t="shared" si="108"/>
        <v>0.62184192761353696</v>
      </c>
      <c r="DB128" s="73">
        <f t="shared" si="109"/>
        <v>0.62184192761353696</v>
      </c>
      <c r="DC128" s="73">
        <f t="shared" si="110"/>
        <v>1</v>
      </c>
      <c r="DD128" s="5">
        <f>IF(G128&lt;48,"UF", IF(NOT(ISBLANK(CZ:CZ)), CZ:CZ, IF(CL:CL=3, CK:CK+Sheet2!B225, IF(CL:CL=4, CK:CK+Sheet2!B226, IF(CL:CL=7, CK:CK+Sheet2!B227,"")))))</f>
        <v>-2.5167600491291622</v>
      </c>
      <c r="DE128" s="69">
        <f t="shared" si="111"/>
        <v>4</v>
      </c>
      <c r="DF128" s="2">
        <v>2</v>
      </c>
      <c r="DG128" s="2">
        <v>28</v>
      </c>
      <c r="DH128" s="2">
        <v>2</v>
      </c>
      <c r="DI128" s="2">
        <v>2</v>
      </c>
      <c r="DJ128" s="2">
        <v>3</v>
      </c>
      <c r="DK128" s="2" t="s">
        <v>12</v>
      </c>
      <c r="DL128" s="2" t="s">
        <v>12</v>
      </c>
      <c r="DM128" s="2" t="s">
        <v>12</v>
      </c>
      <c r="DN128" s="2" t="s">
        <v>12</v>
      </c>
      <c r="DO128" s="2">
        <v>110</v>
      </c>
      <c r="DP128" s="2">
        <v>60</v>
      </c>
      <c r="DQ128" s="2">
        <v>1</v>
      </c>
      <c r="DR128" s="2">
        <v>38</v>
      </c>
      <c r="DS128" s="2">
        <v>1</v>
      </c>
      <c r="DT128" s="2">
        <v>111</v>
      </c>
      <c r="DU128" s="2">
        <v>84</v>
      </c>
      <c r="DV128" s="2">
        <v>4</v>
      </c>
      <c r="DW128" s="2">
        <v>2</v>
      </c>
      <c r="DX128" s="2">
        <v>4</v>
      </c>
      <c r="DY128" s="2">
        <v>1</v>
      </c>
      <c r="DZ128" s="2">
        <v>34.5</v>
      </c>
      <c r="EA128" s="2" t="s">
        <v>12</v>
      </c>
      <c r="EB128" s="2">
        <v>44.5</v>
      </c>
      <c r="EC128" s="2" t="s">
        <v>12</v>
      </c>
      <c r="ED128" s="2">
        <v>1</v>
      </c>
    </row>
    <row r="129" spans="2:134" x14ac:dyDescent="0.25">
      <c r="C129" t="s">
        <v>418</v>
      </c>
      <c r="D129" s="3">
        <v>2501007042</v>
      </c>
      <c r="E129" s="3">
        <v>7</v>
      </c>
      <c r="F129" s="2">
        <v>1</v>
      </c>
      <c r="G129" s="2">
        <v>58</v>
      </c>
      <c r="H129">
        <v>-4.365187578425747</v>
      </c>
      <c r="I129" s="2">
        <v>50</v>
      </c>
      <c r="J129">
        <v>0.45756143734440202</v>
      </c>
      <c r="K129" s="2">
        <v>2200</v>
      </c>
      <c r="L129" s="2">
        <v>-2.525207093956924</v>
      </c>
      <c r="N129" s="2">
        <f t="shared" si="69"/>
        <v>2.8365171746346753</v>
      </c>
      <c r="O129" s="2">
        <f t="shared" si="70"/>
        <v>-1.5286704037910717</v>
      </c>
      <c r="P129" s="2" t="s">
        <v>12</v>
      </c>
      <c r="R129" s="5">
        <f t="shared" si="71"/>
        <v>-0.72903120982326053</v>
      </c>
      <c r="S129" s="5">
        <f t="shared" si="72"/>
        <v>-0.27146977247885851</v>
      </c>
      <c r="T129" s="2" t="s">
        <v>12</v>
      </c>
      <c r="V129" s="2">
        <f t="shared" si="73"/>
        <v>1.456448192802271</v>
      </c>
      <c r="W129" s="2">
        <f t="shared" si="74"/>
        <v>-1.068758901154653</v>
      </c>
      <c r="X129" s="2">
        <v>1.3078467708436039</v>
      </c>
      <c r="Y129" s="76">
        <f t="shared" si="112"/>
        <v>5.6730343492693507</v>
      </c>
      <c r="Z129" s="76">
        <f t="shared" si="113"/>
        <v>2</v>
      </c>
      <c r="AA129" s="2">
        <f t="shared" si="75"/>
        <v>0.65092121640432277</v>
      </c>
      <c r="AB129" s="2">
        <f t="shared" si="76"/>
        <v>1.3078467708436039</v>
      </c>
      <c r="AC129" s="2">
        <v>72</v>
      </c>
      <c r="AD129" s="2">
        <v>-1.0005009823021189</v>
      </c>
      <c r="AE129" s="79">
        <f t="shared" si="114"/>
        <v>-1.4580624196465211</v>
      </c>
      <c r="AF129" s="79">
        <f t="shared" si="115"/>
        <v>-2</v>
      </c>
      <c r="AG129" s="2">
        <f t="shared" si="134"/>
        <v>-6.5684182312802653E-2</v>
      </c>
      <c r="AH129" s="2">
        <f t="shared" si="78"/>
        <v>-1.0005009823021189</v>
      </c>
      <c r="AI129" s="2">
        <v>9500</v>
      </c>
      <c r="AJ129" s="2">
        <v>0.3876892916476179</v>
      </c>
      <c r="AK129" s="76">
        <f t="shared" si="116"/>
        <v>2.912896385604542</v>
      </c>
      <c r="AL129" s="76">
        <f t="shared" si="117"/>
        <v>2</v>
      </c>
      <c r="AM129" s="2">
        <f t="shared" si="79"/>
        <v>0.78819589041281768</v>
      </c>
      <c r="AN129" s="2">
        <f t="shared" si="80"/>
        <v>0.3876892916476179</v>
      </c>
      <c r="AO129" s="2">
        <v>1.0303726603297869</v>
      </c>
      <c r="AP129" s="2">
        <f t="shared" si="81"/>
        <v>-0.97147288774835772</v>
      </c>
      <c r="AQ129" s="2">
        <f t="shared" si="82"/>
        <v>1.0303726603297869</v>
      </c>
      <c r="AR129" s="2">
        <v>80</v>
      </c>
      <c r="AS129" s="2">
        <v>-0.40283813710446381</v>
      </c>
      <c r="AT129" s="2">
        <f t="shared" si="83"/>
        <v>0.58662741333556734</v>
      </c>
      <c r="AU129" s="2">
        <f t="shared" si="84"/>
        <v>-0.40283813710446381</v>
      </c>
      <c r="AV129" s="2">
        <v>11000</v>
      </c>
      <c r="AW129" s="2">
        <v>0.50763287967098236</v>
      </c>
      <c r="AX129" s="2">
        <f t="shared" si="85"/>
        <v>-0.4482056600806319</v>
      </c>
      <c r="AY129" s="2">
        <f t="shared" si="86"/>
        <v>0.50763287967098236</v>
      </c>
      <c r="AZ129" s="2">
        <v>-0.63509900465311153</v>
      </c>
      <c r="BA129" s="78">
        <f t="shared" si="118"/>
        <v>-1.9429457754967154</v>
      </c>
      <c r="BB129" s="78">
        <f t="shared" si="119"/>
        <v>-2</v>
      </c>
      <c r="BC129" s="2">
        <f t="shared" si="87"/>
        <v>-0.79573632362761526</v>
      </c>
      <c r="BD129" s="2">
        <f t="shared" si="88"/>
        <v>-0.63509900465311153</v>
      </c>
      <c r="BE129" s="67">
        <f t="shared" si="120"/>
        <v>7</v>
      </c>
      <c r="BF129" s="2">
        <v>86</v>
      </c>
      <c r="BG129" s="2">
        <v>0.1727538443690157</v>
      </c>
      <c r="BH129" s="2">
        <f t="shared" si="89"/>
        <v>-1.0599448386592825E-2</v>
      </c>
      <c r="BI129" s="2">
        <f t="shared" si="90"/>
        <v>0.1727538443690157</v>
      </c>
      <c r="BJ129" s="67">
        <f t="shared" si="91"/>
        <v>7</v>
      </c>
      <c r="BK129" s="2">
        <v>11500</v>
      </c>
      <c r="BL129" s="2">
        <v>-0.5087220285136459</v>
      </c>
      <c r="BM129" s="77">
        <f t="shared" si="136"/>
        <v>-0.89641132016126379</v>
      </c>
      <c r="BN129" s="77">
        <f t="shared" si="122"/>
        <v>-2</v>
      </c>
      <c r="BO129" s="2">
        <f t="shared" si="92"/>
        <v>-0.56798390364849205</v>
      </c>
      <c r="BP129" s="2">
        <f t="shared" si="93"/>
        <v>-0.5087220285136459</v>
      </c>
      <c r="BQ129" s="67">
        <f t="shared" si="123"/>
        <v>7</v>
      </c>
      <c r="BR129" s="2">
        <v>-1.356836310553059</v>
      </c>
      <c r="BS129" s="75">
        <f t="shared" si="124"/>
        <v>-0.72173730589994745</v>
      </c>
      <c r="BT129" s="75">
        <f t="shared" si="125"/>
        <v>-2</v>
      </c>
      <c r="BU129" s="5" t="e">
        <f>IF(#REF!&gt;=36, IF(AND(NOT(ISBLANK(CM:CM)), NOT(ISBLANK(BD:BD))), (CM:CM-BD:BD)/2, ""), "UF")</f>
        <v>#REF!</v>
      </c>
      <c r="BV129" s="5">
        <f t="shared" si="94"/>
        <v>-1.356836310553059</v>
      </c>
      <c r="BW129" s="69">
        <f t="shared" si="95"/>
        <v>7</v>
      </c>
      <c r="BX129" s="2">
        <v>92.5</v>
      </c>
      <c r="BY129" s="2">
        <v>-0.43463648226424229</v>
      </c>
      <c r="BZ129" s="74">
        <f t="shared" si="126"/>
        <v>7.4085546249403611E-2</v>
      </c>
      <c r="CA129" s="74">
        <f t="shared" si="127"/>
        <v>1</v>
      </c>
      <c r="CB129" s="5">
        <f t="shared" si="96"/>
        <v>-0.37910934594323509</v>
      </c>
      <c r="CC129" s="5">
        <f t="shared" si="97"/>
        <v>-0.43463648226424229</v>
      </c>
      <c r="CD129" s="2">
        <f t="shared" si="98"/>
        <v>-0.60739032663325798</v>
      </c>
      <c r="CE129" s="69">
        <f t="shared" si="99"/>
        <v>7</v>
      </c>
      <c r="CF129" s="5">
        <v>12200</v>
      </c>
      <c r="CG129" s="2">
        <v>-1.1963188312744939</v>
      </c>
      <c r="CH129" s="72">
        <f t="shared" si="128"/>
        <v>-0.687596802760848</v>
      </c>
      <c r="CI129" s="72">
        <f t="shared" si="129"/>
        <v>-2</v>
      </c>
      <c r="CJ129" s="5">
        <f t="shared" si="100"/>
        <v>-0.42388887318809104</v>
      </c>
      <c r="CK129" s="5">
        <f t="shared" si="101"/>
        <v>-1.1963188312744939</v>
      </c>
      <c r="CL129" s="69">
        <f t="shared" si="102"/>
        <v>7</v>
      </c>
      <c r="CM129" s="2">
        <v>-1.395066343304725</v>
      </c>
      <c r="CN129" s="70">
        <f t="shared" si="103"/>
        <v>-3.8230032751666032E-2</v>
      </c>
      <c r="CO129" s="5">
        <f t="shared" si="104"/>
        <v>-3.8230032751666032E-2</v>
      </c>
      <c r="CP129" s="5">
        <f>IF(G129&lt;48,"UF", IF(NOT(ISBLANK(CM:CM)), CM:CM, IF(BW:BW=1, BV:BV+Sheet2!B644, IF(Sheet1!BW:BW=2, Sheet1!BV:BV+Sheet2!B645, IF(Sheet1!BW:BW=7, Sheet1!BV:BV+Sheet2!B646,"")))))</f>
        <v>-1.395066343304725</v>
      </c>
      <c r="CQ129" s="69">
        <f t="shared" si="130"/>
        <v>7</v>
      </c>
      <c r="CR129" s="5">
        <v>98.5</v>
      </c>
      <c r="CS129" s="2">
        <v>-0.58546484751745453</v>
      </c>
      <c r="CT129" s="5">
        <f t="shared" si="105"/>
        <v>-0.15082836525321225</v>
      </c>
      <c r="CU129" s="80">
        <f t="shared" si="106"/>
        <v>-0.15082836525321225</v>
      </c>
      <c r="CV129" s="80">
        <f t="shared" si="107"/>
        <v>-1</v>
      </c>
      <c r="CW129" s="20">
        <f>IF(G129&lt;48,"UF", IF(NOT(ISBLANK(CS129)), CS129, IF(CE129=5, CC129+Sheet2!B633, IF(CE129=6, CC129+Sheet2!B634, IF(CE129=7, CC129+Sheet2!B635,"")))))</f>
        <v>-0.58546484751745453</v>
      </c>
      <c r="CX129" s="68">
        <f t="shared" si="131"/>
        <v>7</v>
      </c>
      <c r="CY129" s="5">
        <v>13500</v>
      </c>
      <c r="CZ129" s="5">
        <v>-1.356499774889828</v>
      </c>
      <c r="DA129" s="5">
        <f t="shared" si="108"/>
        <v>-0.16018094361533408</v>
      </c>
      <c r="DB129" s="73">
        <f t="shared" si="109"/>
        <v>-0.16018094361533408</v>
      </c>
      <c r="DC129" s="73">
        <f t="shared" si="110"/>
        <v>-1</v>
      </c>
      <c r="DD129" s="5">
        <f>IF(G129&lt;48,"UF", IF(NOT(ISBLANK(CZ:CZ)), CZ:CZ, IF(CL:CL=3, CK:CK+Sheet2!B638, IF(CL:CL=4, CK:CK+Sheet2!B639, IF(CL:CL=7, CK:CK+Sheet2!B640,"")))))</f>
        <v>-1.356499774889828</v>
      </c>
      <c r="DE129" s="69">
        <f t="shared" si="111"/>
        <v>7</v>
      </c>
      <c r="DF129" s="2">
        <v>2</v>
      </c>
      <c r="DG129" s="2">
        <v>23</v>
      </c>
      <c r="DH129" s="2">
        <v>2</v>
      </c>
      <c r="DI129" s="2">
        <v>2</v>
      </c>
      <c r="DJ129" s="2">
        <v>2</v>
      </c>
      <c r="DK129" s="2">
        <v>105</v>
      </c>
      <c r="DL129" s="2">
        <v>60</v>
      </c>
      <c r="DM129" s="2">
        <v>100</v>
      </c>
      <c r="DN129" s="2">
        <v>60</v>
      </c>
      <c r="DO129" s="2">
        <v>105</v>
      </c>
      <c r="DP129" s="2">
        <v>50</v>
      </c>
      <c r="DQ129" s="2">
        <v>2</v>
      </c>
      <c r="DR129" s="2">
        <v>38</v>
      </c>
      <c r="DS129" s="2">
        <v>2</v>
      </c>
      <c r="DT129" s="2">
        <v>82</v>
      </c>
      <c r="DU129" s="2">
        <v>67.5</v>
      </c>
      <c r="DV129" s="2">
        <v>2</v>
      </c>
      <c r="DW129" s="2">
        <v>2</v>
      </c>
      <c r="DX129" s="2">
        <v>2</v>
      </c>
      <c r="DY129" s="2">
        <v>2</v>
      </c>
      <c r="DZ129" s="2">
        <v>31</v>
      </c>
      <c r="EA129" s="2">
        <v>35</v>
      </c>
      <c r="EB129" s="2">
        <v>46.5</v>
      </c>
      <c r="EC129" s="2">
        <v>1</v>
      </c>
      <c r="ED129" s="2">
        <v>1</v>
      </c>
    </row>
    <row r="130" spans="2:134" x14ac:dyDescent="0.25">
      <c r="C130" s="8" t="s">
        <v>276</v>
      </c>
      <c r="D130" s="8">
        <v>2501007050</v>
      </c>
      <c r="E130" s="5">
        <v>7</v>
      </c>
      <c r="F130" s="2">
        <v>2</v>
      </c>
      <c r="G130" s="2">
        <v>54</v>
      </c>
      <c r="H130" s="2">
        <v>0.2156378110257661</v>
      </c>
      <c r="I130" s="2">
        <v>51</v>
      </c>
      <c r="J130" s="2">
        <v>0.58940135287155082</v>
      </c>
      <c r="K130" s="2">
        <v>3560</v>
      </c>
      <c r="L130" s="2">
        <v>0.42835047262389858</v>
      </c>
      <c r="M130" s="2">
        <v>0.98209999999999997</v>
      </c>
      <c r="N130" s="2">
        <f t="shared" ref="N130:N193" si="137">IF(AND(NOT(ISBLANK(H:H)), NOT(ISBLANK(X:X))), (X:X - H:H)/2, "")</f>
        <v>-8.8768905512883051E-2</v>
      </c>
      <c r="O130" s="2">
        <f t="shared" ref="O130:O193" si="138">IF(NOT(ISBLANK(M:M)),M:M,IF(AND(NOT(ISBLANK(N:N)),NOT(ISBLANK(H:H))),H:H+N:N,""))</f>
        <v>0.98209999999999997</v>
      </c>
      <c r="P130" s="2">
        <v>68</v>
      </c>
      <c r="Q130" s="2">
        <v>0.17</v>
      </c>
      <c r="R130" s="5">
        <f t="shared" ref="R130:R193" si="139">IF(AND(NOT(ISBLANK(J130)), NOT(ISBLANK(AD130))), (AD130 - J130)/2, "")</f>
        <v>0.49529932356422463</v>
      </c>
      <c r="S130" s="5">
        <f t="shared" ref="S130:S193" si="140">IF(NOT(ISBLANK(Q130)),Q130,IF(AND(NOT(ISBLANK(J130)),NOT(ISBLANK(R130))),J130+R130,""))</f>
        <v>0.17</v>
      </c>
      <c r="T130" s="2">
        <v>8700</v>
      </c>
      <c r="U130" s="2">
        <v>0.84</v>
      </c>
      <c r="V130" s="2">
        <f t="shared" ref="V130:V193" si="141">IF(AND(NOT(ISBLANK(L130)), NOT(ISBLANK(AJ130))), (AJ130 - L130)/2, "")</f>
        <v>0.24082476368805072</v>
      </c>
      <c r="W130" s="2">
        <f t="shared" ref="W130:W193" si="142">IF(NOT(ISBLANK(U130)), U130, IF(AND(NOT(ISBLANK(L130)), NOT(ISBLANK(V130))), L130 + V130, ""))</f>
        <v>0.84</v>
      </c>
      <c r="X130" s="2">
        <v>3.8100000000000002E-2</v>
      </c>
      <c r="Y130" s="76">
        <f t="shared" si="112"/>
        <v>-0.1775378110257661</v>
      </c>
      <c r="Z130" s="76">
        <f t="shared" si="113"/>
        <v>-1</v>
      </c>
      <c r="AA130" s="2">
        <f t="shared" ref="AA130:AA193" si="143">IF(AND(NOT(ISBLANK(S:S)), NOT(ISBLANK(AO:AO))), (AO:AO- S:S)/2, "")</f>
        <v>0.56270000000000009</v>
      </c>
      <c r="AB130" s="2">
        <f t="shared" ref="AB130:AB193" si="144">IF(NOT(ISBLANK(X:X)),X:X,IF(AND(NOT(ISBLANK(O:O)),NOT(ISBLANK(AA:AA))),O:O+AA:AA,""))</f>
        <v>3.8100000000000002E-2</v>
      </c>
      <c r="AC130" s="2">
        <v>79.5</v>
      </c>
      <c r="AD130" s="2">
        <v>1.58</v>
      </c>
      <c r="AE130" s="79">
        <f t="shared" si="114"/>
        <v>0.99059864712844925</v>
      </c>
      <c r="AF130" s="79">
        <f t="shared" si="115"/>
        <v>2</v>
      </c>
      <c r="AG130" s="2">
        <f t="shared" si="134"/>
        <v>-4.0000000000000008E-2</v>
      </c>
      <c r="AH130" s="2">
        <f t="shared" ref="AH130:AH193" si="145">IF(NOT(ISBLANK(AD130)), AD130, IF(AND(NOT(ISBLANK(S130)), NOT(ISBLANK(AG130))), S130 + AG130, ""))</f>
        <v>1.58</v>
      </c>
      <c r="AI130" s="2">
        <v>10650</v>
      </c>
      <c r="AJ130" s="2">
        <v>0.91</v>
      </c>
      <c r="AK130" s="76">
        <f t="shared" si="116"/>
        <v>0.48164952737610145</v>
      </c>
      <c r="AL130" s="76">
        <f t="shared" si="117"/>
        <v>1</v>
      </c>
      <c r="AM130" s="2">
        <f t="shared" ref="AM130:AM193" si="146">IF(AND(NOT(ISBLANK(W130)), NOT(ISBLANK(AW130))), (AW130 - W130)/2, "")</f>
        <v>7.0000000000000007E-2</v>
      </c>
      <c r="AN130" s="2">
        <f t="shared" ref="AN130:AN193" si="147">IF(NOT(ISBLANK(AJ130)), AJ130, IF(AND(NOT(ISBLANK(W130)), NOT(ISBLANK(AM130))), W130 + AM130, ""))</f>
        <v>0.91</v>
      </c>
      <c r="AO130" s="2">
        <v>1.2954000000000001</v>
      </c>
      <c r="AP130" s="2">
        <f t="shared" ref="AP130:AP193" si="148">IF(AND(NOT(ISBLANK(AB:AB)), NOT(ISBLANK(AZ:AZ))), (AZ:AZ - AB:AB)/2, "")</f>
        <v>-0.36556093562656422</v>
      </c>
      <c r="AQ130" s="2">
        <f t="shared" ref="AQ130:AQ193" si="149">IF(NOT(ISBLANK(AO:AO)),AO:AO,IF(AND(NOT(ISBLANK(AB:AB)),NOT(ISBLANK(AP:AP))),AP:AP+AB:AB,""))</f>
        <v>1.2954000000000001</v>
      </c>
      <c r="AR130" s="2">
        <v>82.5</v>
      </c>
      <c r="AS130" s="2">
        <v>0.09</v>
      </c>
      <c r="AT130" s="2">
        <f t="shared" ref="AT130:AT193" si="150">IF(AND(NOT(ISBLANK(AH130)), NOT(ISBLANK(BG130))), (BG130 - AH130)/2, "")</f>
        <v>-0.20018923790135601</v>
      </c>
      <c r="AU130" s="2">
        <f t="shared" ref="AU130:AU193" si="151">IF(NOT(ISBLANK(AS130)), AS130, IF(AND(NOT(ISBLANK(AH130)), NOT(ISBLANK(AT130))), AH130 + AT130, ""))</f>
        <v>0.09</v>
      </c>
      <c r="AV130" s="2">
        <v>12200</v>
      </c>
      <c r="AW130" s="2">
        <v>0.98</v>
      </c>
      <c r="AX130" s="2">
        <f t="shared" ref="AX130:AX193" si="152">IF(AND(NOT(ISBLANK(AN130)), NOT(ISBLANK(BL130))), (BL130 - AN130)/2, "")</f>
        <v>-0.36237416181749849</v>
      </c>
      <c r="AY130" s="2">
        <f t="shared" ref="AY130:AY193" si="153">IF(NOT(ISBLANK(AW130)), AW130, IF(AND(NOT(ISBLANK(AN130)), NOT(ISBLANK(AX130))),AN130 + AX130, ""))</f>
        <v>0.98</v>
      </c>
      <c r="AZ130" s="2">
        <v>-0.69302187125312842</v>
      </c>
      <c r="BA130" s="78">
        <f t="shared" si="118"/>
        <v>-0.73112187125312844</v>
      </c>
      <c r="BB130" s="78">
        <f t="shared" si="119"/>
        <v>-2</v>
      </c>
      <c r="BC130" s="2">
        <f t="shared" ref="BC130:BC193" si="154">IF(AND(NOT(ISBLANK(AQ:AQ)), NOT(ISBLANK(BR:BR))), (BR:BR - AQ:AQ)/3, "")</f>
        <v>-0.64241921799930546</v>
      </c>
      <c r="BD130" s="2">
        <f t="shared" ref="BD130:BD193" si="155">IF(NOT(ISBLANK(AZ:AZ)),AZ:AZ,IF(AND(NOT(ISBLANK(BC:BC)),NOT(ISBLANK(AQ:AQ))),AQ:AQ+BC:BC,""))</f>
        <v>-0.69302187125312842</v>
      </c>
      <c r="BE130" s="67">
        <f t="shared" si="120"/>
        <v>7</v>
      </c>
      <c r="BF130" s="2">
        <v>91</v>
      </c>
      <c r="BG130" s="2">
        <v>1.1796215241972881</v>
      </c>
      <c r="BH130" s="2">
        <f t="shared" ref="BH130:BH193" si="156">IF(AND(NOT(ISBLANK(AU130)), NOT(ISBLANK(BY130))), (BY130 - AU130)/3, "")</f>
        <v>0.11716352059306212</v>
      </c>
      <c r="BI130" s="2">
        <f t="shared" ref="BI130:BI193" si="157">IF(NOT(ISBLANK(BG130)), BG130, IF(AND(NOT(ISBLANK(AU130)), NOT(ISBLANK(BH130))),AU130 + BH130, ""))</f>
        <v>1.1796215241972881</v>
      </c>
      <c r="BJ130" s="67">
        <f t="shared" ref="BJ130:BJ193" si="158">IF(BI:BI&lt;-3,5,IF(AND(BI:BI&gt;=-3,BI:BI&lt;-2),6,IF(AND(BI:BI&gt;=-2,BI:BI&lt;=2),7,"")))</f>
        <v>7</v>
      </c>
      <c r="BK130" s="2">
        <v>13000</v>
      </c>
      <c r="BL130" s="2">
        <v>0.18525167636500309</v>
      </c>
      <c r="BM130" s="77">
        <f t="shared" si="136"/>
        <v>-0.72474832363499697</v>
      </c>
      <c r="BN130" s="77">
        <f t="shared" si="122"/>
        <v>-2</v>
      </c>
      <c r="BO130" s="2">
        <f t="shared" ref="BO130:BO193" si="159">IF(AND(NOT(ISBLANK(AY130)), NOT(ISBLANK(CG130))), (CG130 - AY130)/3, "")</f>
        <v>-0.32721030636193998</v>
      </c>
      <c r="BP130" s="2">
        <f t="shared" ref="BP130:BP193" si="160">IF(NOT(ISBLANK(BL130)), BL130, IF(AND(NOT(ISBLANK(AY130)), NOT(ISBLANK(BO130))),AY130 + BO130, ""))</f>
        <v>0.18525167636500309</v>
      </c>
      <c r="BQ130" s="67">
        <f t="shared" si="123"/>
        <v>7</v>
      </c>
      <c r="BR130" s="5">
        <v>-0.63185765399791616</v>
      </c>
      <c r="BS130" s="75">
        <f t="shared" si="124"/>
        <v>6.1164217255212261E-2</v>
      </c>
      <c r="BT130" s="75">
        <f t="shared" si="125"/>
        <v>1</v>
      </c>
      <c r="BU130" s="5" t="e">
        <f>IF(#REF!&gt;=36, IF(AND(NOT(ISBLANK(CM:CM)), NOT(ISBLANK(BD:BD))), (CM:CM-BD:BD)/2, ""), "UF")</f>
        <v>#REF!</v>
      </c>
      <c r="BV130" s="5">
        <f t="shared" ref="BV130:BV193" si="161">IF(G130&gt;=36, IF(NOT(ISBLANK(BR:BR)), BR:BR, IF(AND(NOT(ISBLANK(BD:BD)), NOT(ISBLANK(BU:BU))),BD:BD + BU:BU, "")), "UF")</f>
        <v>-0.63185765399791616</v>
      </c>
      <c r="BW130" s="69">
        <f t="shared" ref="BW130:BW193" si="162">IF(BV:BV&lt;-3,1,IF(AND(BV:BV&gt;=-3,BV:BV&lt;-2),2,IF(AND(BV:BV&gt;=-2,BV:BV&lt;=2),7,"")))</f>
        <v>7</v>
      </c>
      <c r="BX130" s="2">
        <v>97</v>
      </c>
      <c r="BY130" s="5">
        <v>0.44149056177918639</v>
      </c>
      <c r="BZ130" s="74">
        <f t="shared" si="126"/>
        <v>0.25623888541418327</v>
      </c>
      <c r="CA130" s="74">
        <f t="shared" si="127"/>
        <v>1</v>
      </c>
      <c r="CB130" s="5" t="str">
        <f t="shared" ref="CB130:CB193" si="163">IF(G130&gt;=36, IF(AND(NOT(ISBLANK(BI130)), NOT(ISBLANK(CS130))), (CS130-BI130)/2, ""), "UF")</f>
        <v/>
      </c>
      <c r="CC130" s="5">
        <f t="shared" ref="CC130:CC193" si="164">IF(G130&gt;=36, IF(NOT(ISBLANK(BY130)), BY130, IF(AND(NOT(ISBLANK(CB130)), NOT(ISBLANK(BI130))),CB130 + BI130, "")), "UF")</f>
        <v>0.44149056177918639</v>
      </c>
      <c r="CD130" s="2">
        <f t="shared" ref="CD130:CD193" si="165">IF(AND(NOT(ISBLANK(BI:BI)), NOT(ISBLANK(CC:CC))), CC:CC-BI:BI, "")</f>
        <v>-0.73813096241810161</v>
      </c>
      <c r="CE130" s="69">
        <f t="shared" ref="CE130:CE193" si="166">IF(CC130&lt;-3,5,IF(AND(CC130&gt;=-3,CC130&lt;-2),6,IF(AND(CC130&gt;=-2,CC130&lt;=2),7,"")))</f>
        <v>7</v>
      </c>
      <c r="CF130" s="5">
        <v>14400</v>
      </c>
      <c r="CG130" s="5">
        <v>-1.630919085820016E-3</v>
      </c>
      <c r="CH130" s="72">
        <f t="shared" si="128"/>
        <v>-0.18688259545082311</v>
      </c>
      <c r="CI130" s="72">
        <f t="shared" si="129"/>
        <v>-1</v>
      </c>
      <c r="CJ130" s="5" t="str">
        <f t="shared" ref="CJ130:CJ193" si="167">IF(G130&gt;=36, IF(AND(NOT(ISBLANK(BP130)), NOT(ISBLANK(CZ130))), (CZ130-BP130)/2, ""), "UF")</f>
        <v/>
      </c>
      <c r="CK130" s="5">
        <f t="shared" ref="CK130:CK193" si="168">IF(G130&gt;=36, IF(NOT(ISBLANK(CG130)), CG130, IF(AND(NOT(ISBLANK(BP130)), NOT(ISBLANK(CJ130))),BP130 + CJ130, "")), "UF")</f>
        <v>-1.630919085820016E-3</v>
      </c>
      <c r="CL130" s="69">
        <f t="shared" ref="CL130:CL193" si="169">IF(CK:CK&lt;-3,3,IF(AND(CK:CK&gt;=-3,CK:CK&lt;-2),4,IF(AND(CK:CK&gt;=-2,CK:CK&lt;=2),7,"")))</f>
        <v>7</v>
      </c>
      <c r="CN130" s="70" t="str">
        <f t="shared" ref="CN130:CN193" si="170">IF(AND(NOT(ISBLANK(BV:BV)), NOT(ISBLANK(CM:CM))), CM:CM-BV:BV, "")</f>
        <v/>
      </c>
      <c r="CO130" s="5">
        <f t="shared" ref="CO130:CO193" si="171">IF(G130&lt;48,"UF",IF(AND(NOT(ISBLANK(BV:BV)),NOT(ISBLANK(CP:CP))),CP:CP-BV:BV,""))</f>
        <v>0</v>
      </c>
      <c r="CP130" s="5">
        <f>IF(G130&lt;48,"UF", IF(NOT(ISBLANK(CM:CM)), CM:CM, IF(BW:BW=1, BV:BV+Sheet2!B481, IF(Sheet1!BW:BW=2, Sheet1!BV:BV+Sheet2!B482, IF(Sheet1!BW:BW=7, Sheet1!BV:BV+Sheet2!B483,"")))))</f>
        <v>-0.63185765399791616</v>
      </c>
      <c r="CQ130" s="69">
        <f t="shared" si="130"/>
        <v>7</v>
      </c>
      <c r="CR130" s="5" t="s">
        <v>12</v>
      </c>
      <c r="CT130" s="5" t="str">
        <f t="shared" ref="CT130:CT193" si="172">IF(AND(NOT(ISBLANK(CC130)), NOT(ISBLANK(CS130))), CS130-CC130, "")</f>
        <v/>
      </c>
      <c r="CU130" s="80">
        <f t="shared" ref="CU130:CU193" si="173">IF(G130&lt;48,"UF",IF(AND(NOT(ISBLANK(CW:CW)), NOT(ISBLANK(CC:CC))), CW:CW-CC:CC, ""))</f>
        <v>0</v>
      </c>
      <c r="CV130" s="80">
        <f t="shared" ref="CV130:CV193" si="174">IF(CU:CU=""," ",IF(G130&lt;48,"UF",IF(CU:CU&gt;0.67,2,IF(AND(CU:CU&gt;0,CU:CU&lt;=0.67),1,IF(AND(CU:CU&gt;=-0.67,CU:CU&lt;=0),-1,IF(CU:CU&lt;-0.67,-2))))))</f>
        <v>-1</v>
      </c>
      <c r="CW130" s="20">
        <f>IF(G130&lt;48,"UF", IF(NOT(ISBLANK(CS130)), CS130, IF(CE130=5, CC130+Sheet2!B470, IF(CE130=6, CC130+Sheet2!B471, IF(CE130=7, CC130+Sheet2!B472,"")))))</f>
        <v>0.44149056177918639</v>
      </c>
      <c r="CX130" s="68">
        <f t="shared" si="131"/>
        <v>7</v>
      </c>
      <c r="CY130" s="5" t="s">
        <v>12</v>
      </c>
      <c r="DA130" s="5" t="str">
        <f t="shared" ref="DA130:DA193" si="175">IF(G130&lt;48,"UF",IF(AND(NOT(ISBLANK(CZ:CZ)), NOT(ISBLANK(CK:CK))), CZ:CZ-CK:CK, ""))</f>
        <v/>
      </c>
      <c r="DB130" s="73">
        <f t="shared" ref="DB130:DB193" si="176">IF(G130&lt;48,"UF",IF(AND(NOT(ISBLANK(DD:DD)), NOT(ISBLANK(CK:CK))), DD:DD-CK:CK, ""))</f>
        <v>0</v>
      </c>
      <c r="DC130" s="73">
        <f t="shared" ref="DC130:DC193" si="177">IF(DB:DB=""," ",IF(G130&lt;48,"UF",IF(DB:DB&gt;0.67,2,IF(AND(DB:DB&gt;0,DB:DB&lt;=0.67),1,IF(AND(DB:DB&gt;=-0.67,DB:DB&lt;=0),-1,IF(DB:DB&lt;-0.67,-2))))))</f>
        <v>-1</v>
      </c>
      <c r="DD130" s="5">
        <f>IF(G130&lt;48,"UF", IF(NOT(ISBLANK(CZ:CZ)), CZ:CZ, IF(CL:CL=3, CK:CK+Sheet2!B475, IF(CL:CL=4, CK:CK+Sheet2!B476, IF(CL:CL=7, CK:CK+Sheet2!B477,"")))))</f>
        <v>-1.630919085820016E-3</v>
      </c>
      <c r="DE130" s="69">
        <f t="shared" ref="DE130:DE160" si="178">IF(DD:DD&lt;-3,3,IF(AND(DD:DD&gt;=-3,DD:DD&lt;-2),4,IF(AND(DD:DD&gt;=-2,DD:DD&lt;=2),7,"")))</f>
        <v>7</v>
      </c>
      <c r="DF130" s="2">
        <v>1</v>
      </c>
      <c r="DG130" s="2">
        <v>29</v>
      </c>
      <c r="DH130" s="2">
        <v>2</v>
      </c>
      <c r="DI130" s="2">
        <v>2</v>
      </c>
      <c r="DJ130" s="2">
        <v>3</v>
      </c>
      <c r="DK130" s="2" t="s">
        <v>12</v>
      </c>
      <c r="DL130" s="2" t="s">
        <v>12</v>
      </c>
      <c r="DM130" s="2" t="s">
        <v>12</v>
      </c>
      <c r="DN130" s="2" t="s">
        <v>12</v>
      </c>
      <c r="DO130" s="2" t="s">
        <v>12</v>
      </c>
      <c r="DP130" s="2" t="s">
        <v>12</v>
      </c>
      <c r="DQ130" s="2">
        <v>2</v>
      </c>
      <c r="DR130" s="2">
        <v>41</v>
      </c>
      <c r="DS130" s="2">
        <v>2</v>
      </c>
      <c r="DT130" s="2">
        <v>91</v>
      </c>
      <c r="DU130" s="2" t="s">
        <v>12</v>
      </c>
      <c r="DV130" s="2">
        <v>2</v>
      </c>
      <c r="DW130" s="2">
        <v>2</v>
      </c>
      <c r="DX130" s="2">
        <v>2</v>
      </c>
      <c r="DY130" s="2">
        <v>3</v>
      </c>
      <c r="DZ130" s="2">
        <v>34.5</v>
      </c>
      <c r="EA130" s="2" t="s">
        <v>12</v>
      </c>
      <c r="EB130" s="2">
        <v>47</v>
      </c>
      <c r="EC130" s="2" t="s">
        <v>12</v>
      </c>
      <c r="ED130" s="2">
        <v>1</v>
      </c>
    </row>
    <row r="131" spans="2:134" ht="15.75" thickBot="1" x14ac:dyDescent="0.3">
      <c r="C131" s="8" t="s">
        <v>135</v>
      </c>
      <c r="D131" s="2">
        <v>2501007344</v>
      </c>
      <c r="E131" s="5">
        <v>7</v>
      </c>
      <c r="F131" s="2">
        <v>1</v>
      </c>
      <c r="G131" s="2">
        <v>57</v>
      </c>
      <c r="H131" s="2">
        <v>-0.94001427365549695</v>
      </c>
      <c r="I131" s="2">
        <v>51</v>
      </c>
      <c r="J131" s="2">
        <v>0.99441714029262385</v>
      </c>
      <c r="K131" s="2">
        <v>3180</v>
      </c>
      <c r="L131" s="2">
        <v>-0.1145396314971112</v>
      </c>
      <c r="M131" s="2">
        <v>0.2019</v>
      </c>
      <c r="N131" s="2">
        <f t="shared" si="137"/>
        <v>0.54475713682774851</v>
      </c>
      <c r="O131" s="2">
        <f t="shared" si="138"/>
        <v>0.2019</v>
      </c>
      <c r="P131" s="2">
        <v>63.3</v>
      </c>
      <c r="Q131" s="2">
        <v>-1.08</v>
      </c>
      <c r="R131" s="5">
        <f t="shared" si="139"/>
        <v>-1.2208570146311937E-2</v>
      </c>
      <c r="S131" s="5">
        <f t="shared" si="140"/>
        <v>-1.08</v>
      </c>
      <c r="T131" s="2">
        <v>6900</v>
      </c>
      <c r="U131" s="2">
        <v>-0.46</v>
      </c>
      <c r="V131" s="2">
        <f t="shared" si="141"/>
        <v>0.38226981574855562</v>
      </c>
      <c r="W131" s="2">
        <f t="shared" si="142"/>
        <v>-0.46</v>
      </c>
      <c r="X131" s="2">
        <v>0.14949999999999999</v>
      </c>
      <c r="Y131" s="76">
        <f t="shared" ref="Y131:Y194" si="179" xml:space="preserve"> IF(AND(NOT(ISBLANK(AB:AB)), NOT(ISBLANK(H:H))), (AB:AB-H:H), "")</f>
        <v>1.089514273655497</v>
      </c>
      <c r="Z131" s="76">
        <f t="shared" ref="Z131:Z194" si="180">IF(Y:Y&gt;0.67,2,IF(AND(Y:Y&gt;0,Y:Y&lt;=0.67),1,IF(AND(Y:Y&gt;=-0.67,Y:Y&lt;=0),-1,IF(Y:Y&lt;-0.67,-2))))</f>
        <v>2</v>
      </c>
      <c r="AA131" s="2">
        <f t="shared" si="143"/>
        <v>0.56464999999999999</v>
      </c>
      <c r="AB131" s="2">
        <f t="shared" si="144"/>
        <v>0.14949999999999999</v>
      </c>
      <c r="AC131" s="2">
        <v>76.5</v>
      </c>
      <c r="AD131" s="2">
        <v>0.97</v>
      </c>
      <c r="AE131" s="79">
        <f t="shared" ref="AE131:AE194" si="181" xml:space="preserve"> IF(AND(NOT(ISBLANK(AH:AH)), NOT(ISBLANK(J:J))), (AH:AH-J:J), "")</f>
        <v>-2.4417140292623873E-2</v>
      </c>
      <c r="AF131" s="79">
        <f t="shared" ref="AF131:AF194" si="182">IF(AE:AE&gt;0.67,2,IF(AND(AE:AE&gt;0,AE:AE&lt;=0.67),1,IF(AND(AE:AE&gt;=-0.67,AE:AE&lt;=0),-1,IF(AE:AE&lt;-0.67,-2))))</f>
        <v>-1</v>
      </c>
      <c r="AG131" s="2">
        <f t="shared" si="134"/>
        <v>0.93500000000000005</v>
      </c>
      <c r="AH131" s="2">
        <f t="shared" si="145"/>
        <v>0.97</v>
      </c>
      <c r="AI131" s="2">
        <v>9700</v>
      </c>
      <c r="AJ131" s="2">
        <v>0.65</v>
      </c>
      <c r="AK131" s="76">
        <f t="shared" ref="AK131:AK194" si="183" xml:space="preserve"> IF(AND(NOT(ISBLANK(AN:AN)), NOT(ISBLANK(L:L))), (AN:AN-L:L), "")</f>
        <v>0.76453963149711124</v>
      </c>
      <c r="AL131" s="76">
        <f t="shared" ref="AL131:AL194" si="184">IF(AK:AK&gt;0.67,2,IF(AND(AK:AK&gt;0,AK:AK&lt;=0.67),1,IF(AND(AK:AK&gt;=-0.67,AK:AK&lt;=0),-1,IF(AK:AK&lt;-0.67,-2))))</f>
        <v>2</v>
      </c>
      <c r="AM131" s="2">
        <f t="shared" si="146"/>
        <v>0.47499999999999998</v>
      </c>
      <c r="AN131" s="2">
        <f t="shared" si="147"/>
        <v>0.65</v>
      </c>
      <c r="AO131" s="2">
        <v>4.9299999999999997E-2</v>
      </c>
      <c r="AP131" s="2">
        <f t="shared" si="148"/>
        <v>-0.57329093052113633</v>
      </c>
      <c r="AQ131" s="2">
        <f t="shared" si="149"/>
        <v>4.9299999999999997E-2</v>
      </c>
      <c r="AR131" s="2">
        <v>83</v>
      </c>
      <c r="AS131" s="2">
        <v>0.79</v>
      </c>
      <c r="AT131" s="2">
        <f t="shared" si="150"/>
        <v>-0.1117605120487869</v>
      </c>
      <c r="AU131" s="2">
        <f t="shared" si="151"/>
        <v>0.79</v>
      </c>
      <c r="AV131" s="2">
        <v>10880</v>
      </c>
      <c r="AW131" s="2">
        <v>0.49</v>
      </c>
      <c r="AX131" s="2">
        <f t="shared" si="152"/>
        <v>-0.49658449332574972</v>
      </c>
      <c r="AY131" s="2">
        <f t="shared" si="153"/>
        <v>0.49</v>
      </c>
      <c r="AZ131" s="2">
        <v>-0.99708186104227259</v>
      </c>
      <c r="BA131" s="78">
        <f t="shared" ref="BA131:BA194" si="185" xml:space="preserve"> IF(AND(NOT(ISBLANK(BD:BD)), NOT(ISBLANK(AB:AB))), (BD:BD-AB:AB), "")</f>
        <v>-1.1465818610422727</v>
      </c>
      <c r="BB131" s="78">
        <f t="shared" ref="BB131:BB194" si="186">IF(BA:BA&gt;0.67,2,IF(AND(BA:BA&gt;0,BA:BA&lt;=0.67),1,IF(AND(BA:BA&gt;=-0.67,BA:BA&lt;=0),-1,IF(BA:BA&lt;-0.67,-2))))</f>
        <v>-2</v>
      </c>
      <c r="BC131" s="2" t="str">
        <f t="shared" si="154"/>
        <v/>
      </c>
      <c r="BD131" s="2">
        <f t="shared" si="155"/>
        <v>-0.99708186104227259</v>
      </c>
      <c r="BE131" s="67">
        <f t="shared" ref="BE131:BE194" si="187">IF(BD:BD&lt;-3,1,IF(AND(BD:BD&gt;=-3,BD:BD&lt;-2),2,IF(AND(BD:BD&gt;=-2,BD:BD&lt;=2),7,"")))</f>
        <v>7</v>
      </c>
      <c r="BF131" s="2">
        <v>88</v>
      </c>
      <c r="BG131" s="2">
        <v>0.74647897590242618</v>
      </c>
      <c r="BH131" s="2" t="str">
        <f t="shared" si="156"/>
        <v/>
      </c>
      <c r="BI131" s="2">
        <f t="shared" si="157"/>
        <v>0.74647897590242618</v>
      </c>
      <c r="BJ131" s="67">
        <f t="shared" si="158"/>
        <v>7</v>
      </c>
      <c r="BK131" s="2">
        <v>11700</v>
      </c>
      <c r="BL131" s="2">
        <v>-0.34316898665149942</v>
      </c>
      <c r="BM131" s="77">
        <f t="shared" ref="BM131:BM194" si="188" xml:space="preserve"> IF(AND(NOT(ISBLANK(BP:BP)), NOT(ISBLANK(AN:AN))), (BP:BP-AN:AN), "")</f>
        <v>-0.99316898665149944</v>
      </c>
      <c r="BN131" s="77">
        <f t="shared" ref="BN131:BN194" si="189">IF(BM:BM&gt;0.67,2,IF(AND(BM:BM&gt;0,BM:BM&lt;=0.67),1,IF(AND(BM:BM&gt;=-0.67,BM:BM&lt;=0),-1,IF(BM:BM&lt;-0.67,-2))))</f>
        <v>-2</v>
      </c>
      <c r="BO131" s="2" t="str">
        <f t="shared" si="159"/>
        <v/>
      </c>
      <c r="BP131" s="2">
        <f t="shared" si="160"/>
        <v>-0.34316898665149942</v>
      </c>
      <c r="BQ131" s="67">
        <f t="shared" ref="BQ131:BQ194" si="190">IF(BP:BP&lt;-3,3,IF(AND(BP:BP&gt;=-3,BP:BP&lt;-2),4,IF(AND(BP:BP&gt;=-2,BP:BP&lt;=2),7,"")))</f>
        <v>7</v>
      </c>
      <c r="BS131" s="75">
        <f t="shared" ref="BS131:BS194" si="191">IF(G131&gt;=36, IF(AND(NOT(ISBLANK(BV:BV)), NOT(ISBLANK(BD:BD))), (BV:BV-BD:BD), ""), "UF")</f>
        <v>0.15951360651074631</v>
      </c>
      <c r="BT131" s="75">
        <f t="shared" ref="BT131:BT194" si="192">IF(G131&lt;36,"UF",IF(BS:BS&gt;0.67,2,IF(AND(BS:BS&gt;0,BS:BS&lt;=0.67),1,IF(AND(BS:BS&gt;=-0.67,BS:BS&lt;=0),-1,IF(BS:BS&lt;-0.67,-2)))))</f>
        <v>1</v>
      </c>
      <c r="BU131" s="5">
        <f>IF(G137&gt;=36, IF(AND(NOT(ISBLANK(CM:CM)), NOT(ISBLANK(BD:BD))), (CM:CM-BD:BD)/2, ""), "UF")</f>
        <v>0.15951360651074631</v>
      </c>
      <c r="BV131" s="5">
        <f t="shared" si="161"/>
        <v>-0.83756825453152628</v>
      </c>
      <c r="BW131" s="69">
        <f t="shared" si="162"/>
        <v>7</v>
      </c>
      <c r="BX131" s="2" t="s">
        <v>12</v>
      </c>
      <c r="BZ131" s="74">
        <f t="shared" ref="BZ131:BZ194" si="193">IF(G131&gt;=36, IF(AND(NOT(ISBLANK(CC:CC)), NOT(ISBLANK(BP:BP))), (CC:CC-BP:BP), ""), "UF")</f>
        <v>0.76963117886065757</v>
      </c>
      <c r="CA131" s="74">
        <f t="shared" ref="CA131:CA194" si="194">IF(G131&lt;36,"UF",IF(BZ:BZ&gt;0.67,2,IF(AND(BZ:BZ&gt;0,BZ:BZ&lt;=0.67),1,IF(AND(BZ:BZ&gt;=-0.67,BZ:BZ&lt;=0),-1,IF(BZ:BZ&lt;-0.67,-2)))))</f>
        <v>2</v>
      </c>
      <c r="CB131" s="5">
        <f t="shared" si="163"/>
        <v>-0.32001678369326797</v>
      </c>
      <c r="CC131" s="5">
        <f t="shared" si="164"/>
        <v>0.42646219220915821</v>
      </c>
      <c r="CD131" s="2">
        <f t="shared" si="165"/>
        <v>-0.32001678369326797</v>
      </c>
      <c r="CE131" s="69">
        <f t="shared" si="166"/>
        <v>7</v>
      </c>
      <c r="CF131" s="5" t="s">
        <v>12</v>
      </c>
      <c r="CH131" s="72">
        <f t="shared" ref="CH131:CH194" si="195">IF(G131&gt;=36, IF(AND(NOT(ISBLANK(CK:CK)), NOT(ISBLANK(BP:BP))), (CK:CK-BP:BP), ""), "UF")</f>
        <v>-5.165836534263335E-2</v>
      </c>
      <c r="CI131" s="72">
        <f t="shared" ref="CI131:CI194" si="196">IF(G131&lt;36,"UF",IF(CH:CH&gt;0.67,2,IF(AND(CH:CH&gt;0,CH:CH&lt;=0.67),1,IF(AND(CH:CH&gt;=-0.67,CH:CH&lt;=0),-1,IF(CH:CH&lt;-0.67,-2)))))</f>
        <v>-1</v>
      </c>
      <c r="CJ131" s="5">
        <f t="shared" si="167"/>
        <v>-5.165836534263335E-2</v>
      </c>
      <c r="CK131" s="5">
        <f t="shared" si="168"/>
        <v>-0.39482735199413277</v>
      </c>
      <c r="CL131" s="69">
        <f t="shared" si="169"/>
        <v>7</v>
      </c>
      <c r="CM131" s="5">
        <v>-0.67805464802077997</v>
      </c>
      <c r="CN131" s="70">
        <f t="shared" si="170"/>
        <v>0.15951360651074631</v>
      </c>
      <c r="CO131" s="5">
        <f t="shared" si="171"/>
        <v>0.15951360651074631</v>
      </c>
      <c r="CP131" s="5">
        <f>IF(G131&lt;48,"UF", IF(NOT(ISBLANK(CM:CM)), CM:CM, IF(BW:BW=1, BV:BV+Sheet2!B595, IF(Sheet1!BW:BW=2, Sheet1!BV:BV+Sheet2!B596, IF(Sheet1!BW:BW=7, Sheet1!BV:BV+Sheet2!B597,"")))))</f>
        <v>-0.67805464802077997</v>
      </c>
      <c r="CQ131" s="69">
        <f t="shared" ref="CQ131:CQ194" si="197">IF(CP:CP&lt;-3,1,IF(AND(CP:CP&gt;=-3,CP:CP&lt;-2),2,IF(AND(CP:CP&gt;=-2,CP:CP&lt;=2),7,"")))</f>
        <v>7</v>
      </c>
      <c r="CR131" s="5">
        <v>101.5</v>
      </c>
      <c r="CS131" s="5">
        <v>0.1064454085158902</v>
      </c>
      <c r="CT131" s="5">
        <f t="shared" si="172"/>
        <v>-0.32001678369326803</v>
      </c>
      <c r="CU131" s="80">
        <f t="shared" si="173"/>
        <v>-0.32001678369326803</v>
      </c>
      <c r="CV131" s="80">
        <f t="shared" si="174"/>
        <v>-1</v>
      </c>
      <c r="CW131" s="20">
        <f>IF(G131&lt;48,"UF", IF(NOT(ISBLANK(CS131)), CS131, IF(CE131=5, CC131+Sheet2!B584, IF(CE131=6, CC131+Sheet2!B585, IF(CE131=7, CC131+Sheet2!B586,"")))))</f>
        <v>0.1064454085158902</v>
      </c>
      <c r="CX131" s="68">
        <f t="shared" ref="CX131:CX194" si="198">IF(CW:CW&lt;-3,5,IF(AND(CW:CW&gt;=-3,CW:CW&lt;-2),6,IF(AND(CW:CW&gt;=-2,CW:CW&lt;=2),7,"")))</f>
        <v>7</v>
      </c>
      <c r="CY131" s="5">
        <v>15000</v>
      </c>
      <c r="CZ131" s="5">
        <v>-0.44648571733676612</v>
      </c>
      <c r="DA131" s="5">
        <f t="shared" si="175"/>
        <v>-5.165836534263335E-2</v>
      </c>
      <c r="DB131" s="73">
        <f t="shared" si="176"/>
        <v>-5.165836534263335E-2</v>
      </c>
      <c r="DC131" s="73">
        <f t="shared" si="177"/>
        <v>-1</v>
      </c>
      <c r="DD131" s="5">
        <f>IF(G131&lt;48,"UF", IF(NOT(ISBLANK(CZ:CZ)), CZ:CZ, IF(CL:CL=3, CK:CK+Sheet2!B589, IF(CL:CL=4, CK:CK+Sheet2!B590, IF(CL:CL=7, CK:CK+Sheet2!B591,"")))))</f>
        <v>-0.44648571733676612</v>
      </c>
      <c r="DE131" s="69">
        <f t="shared" si="178"/>
        <v>7</v>
      </c>
      <c r="DF131" s="2">
        <v>1</v>
      </c>
      <c r="DG131" s="2">
        <v>25</v>
      </c>
      <c r="DH131" s="2">
        <v>1</v>
      </c>
      <c r="DI131" s="2">
        <v>2</v>
      </c>
      <c r="DJ131" s="2">
        <v>2</v>
      </c>
      <c r="DK131" s="2">
        <v>100</v>
      </c>
      <c r="DL131" s="2">
        <v>60</v>
      </c>
      <c r="DM131" s="2" t="s">
        <v>12</v>
      </c>
      <c r="DN131" s="2" t="s">
        <v>12</v>
      </c>
      <c r="DO131" s="2">
        <v>100</v>
      </c>
      <c r="DP131" s="2">
        <v>60</v>
      </c>
      <c r="DQ131" s="2">
        <v>2</v>
      </c>
      <c r="DR131" s="2">
        <v>39</v>
      </c>
      <c r="DS131" s="2">
        <v>2</v>
      </c>
      <c r="DT131" s="2">
        <v>70</v>
      </c>
      <c r="DU131" s="2">
        <v>71</v>
      </c>
      <c r="DV131" s="2">
        <v>2</v>
      </c>
      <c r="DW131" s="2">
        <v>2</v>
      </c>
      <c r="DX131" s="2">
        <v>2</v>
      </c>
      <c r="DY131" s="2">
        <v>1</v>
      </c>
      <c r="DZ131" s="2">
        <v>34</v>
      </c>
      <c r="EA131" s="2">
        <v>34.6</v>
      </c>
      <c r="EB131" s="2">
        <v>45</v>
      </c>
      <c r="EC131" s="2">
        <v>1</v>
      </c>
      <c r="ED131" s="2">
        <v>1</v>
      </c>
    </row>
    <row r="132" spans="2:134" ht="15.75" thickBot="1" x14ac:dyDescent="0.3">
      <c r="B132" s="2"/>
      <c r="C132" t="s">
        <v>429</v>
      </c>
      <c r="D132" s="58">
        <v>2501007379</v>
      </c>
      <c r="E132" s="3">
        <v>7</v>
      </c>
      <c r="F132" s="2">
        <v>1</v>
      </c>
      <c r="G132" s="2">
        <v>57</v>
      </c>
      <c r="H132">
        <v>0.69457595678857142</v>
      </c>
      <c r="I132" s="2">
        <v>51</v>
      </c>
      <c r="J132">
        <v>0.99441714029262385</v>
      </c>
      <c r="K132" s="2">
        <v>3700</v>
      </c>
      <c r="L132" s="2">
        <v>0.97883011041566159</v>
      </c>
      <c r="M132" s="2">
        <v>-0.92419530520027304</v>
      </c>
      <c r="N132" s="2" t="str">
        <f t="shared" si="137"/>
        <v/>
      </c>
      <c r="O132" s="2">
        <f t="shared" si="138"/>
        <v>-0.92419530520027304</v>
      </c>
      <c r="P132" s="2">
        <v>68</v>
      </c>
      <c r="Q132" s="2">
        <v>0.66378965829037373</v>
      </c>
      <c r="R132" s="5" t="str">
        <f t="shared" si="139"/>
        <v/>
      </c>
      <c r="S132" s="5">
        <f t="shared" si="140"/>
        <v>0.66378965829037373</v>
      </c>
      <c r="T132" s="2">
        <v>7200</v>
      </c>
      <c r="U132" s="2">
        <v>-0.29780894828395582</v>
      </c>
      <c r="V132" s="2" t="str">
        <f t="shared" si="141"/>
        <v/>
      </c>
      <c r="W132" s="2">
        <f t="shared" si="142"/>
        <v>-0.29780894828395582</v>
      </c>
      <c r="Y132" s="76">
        <f t="shared" si="179"/>
        <v>-2.6484509071624904</v>
      </c>
      <c r="Z132" s="76">
        <f t="shared" si="180"/>
        <v>-2</v>
      </c>
      <c r="AA132" s="2">
        <f t="shared" si="143"/>
        <v>-1.0296796451736459</v>
      </c>
      <c r="AB132" s="2">
        <f t="shared" si="144"/>
        <v>-1.953874950373919</v>
      </c>
      <c r="AC132" s="2" t="s">
        <v>12</v>
      </c>
      <c r="AE132" s="79">
        <f t="shared" si="181"/>
        <v>-0.4371703041028846</v>
      </c>
      <c r="AF132" s="79">
        <f t="shared" si="182"/>
        <v>-1</v>
      </c>
      <c r="AG132" s="2">
        <f t="shared" si="134"/>
        <v>-0.10654282210063445</v>
      </c>
      <c r="AH132" s="2">
        <f t="shared" si="145"/>
        <v>0.55724683618973925</v>
      </c>
      <c r="AI132" s="2" t="s">
        <v>12</v>
      </c>
      <c r="AK132" s="76">
        <f t="shared" si="183"/>
        <v>-1.4709594018992886</v>
      </c>
      <c r="AL132" s="76">
        <f t="shared" si="184"/>
        <v>-2</v>
      </c>
      <c r="AM132" s="2">
        <f t="shared" si="146"/>
        <v>-0.19432034319967131</v>
      </c>
      <c r="AN132" s="2">
        <f t="shared" si="147"/>
        <v>-0.49212929148362716</v>
      </c>
      <c r="AO132" s="2">
        <v>-1.395569632056918</v>
      </c>
      <c r="AP132" s="2">
        <f t="shared" si="148"/>
        <v>0.5689601979884531</v>
      </c>
      <c r="AQ132" s="2">
        <f t="shared" si="149"/>
        <v>-1.395569632056918</v>
      </c>
      <c r="AR132" s="2">
        <v>82.5</v>
      </c>
      <c r="AS132" s="2">
        <v>0.45070401408910482</v>
      </c>
      <c r="AT132" s="2">
        <f t="shared" si="150"/>
        <v>-4.8857479102438484E-2</v>
      </c>
      <c r="AU132" s="2">
        <f t="shared" si="151"/>
        <v>0.45070401408910482</v>
      </c>
      <c r="AV132" s="2">
        <v>9500</v>
      </c>
      <c r="AW132" s="2">
        <v>-0.68644963468329845</v>
      </c>
      <c r="AX132" s="2">
        <f t="shared" si="152"/>
        <v>3.340448284798353E-2</v>
      </c>
      <c r="AY132" s="2">
        <f t="shared" si="153"/>
        <v>-0.68644963468329845</v>
      </c>
      <c r="AZ132" s="2">
        <v>-0.81595455439701292</v>
      </c>
      <c r="BA132" s="78">
        <f t="shared" si="185"/>
        <v>1.1379203959769062</v>
      </c>
      <c r="BB132" s="78">
        <f t="shared" si="186"/>
        <v>2</v>
      </c>
      <c r="BC132" s="2">
        <f t="shared" si="154"/>
        <v>-0.25315283359120128</v>
      </c>
      <c r="BD132" s="2">
        <f t="shared" si="155"/>
        <v>-0.81595455439701292</v>
      </c>
      <c r="BE132" s="67">
        <f t="shared" si="187"/>
        <v>7</v>
      </c>
      <c r="BF132" s="2">
        <v>87</v>
      </c>
      <c r="BG132" s="2">
        <v>0.45953187798486228</v>
      </c>
      <c r="BH132" s="2">
        <f t="shared" si="156"/>
        <v>-0.16820965346363936</v>
      </c>
      <c r="BI132" s="2">
        <f t="shared" si="157"/>
        <v>0.45953187798486228</v>
      </c>
      <c r="BJ132" s="67">
        <f t="shared" si="158"/>
        <v>7</v>
      </c>
      <c r="BK132" s="2">
        <v>11600</v>
      </c>
      <c r="BL132" s="2">
        <v>-0.4253203257876601</v>
      </c>
      <c r="BM132" s="77">
        <f t="shared" si="188"/>
        <v>6.680896569596706E-2</v>
      </c>
      <c r="BN132" s="77">
        <f t="shared" si="189"/>
        <v>1</v>
      </c>
      <c r="BO132" s="2">
        <f t="shared" si="159"/>
        <v>-0.22326931325904251</v>
      </c>
      <c r="BP132" s="2">
        <f t="shared" si="160"/>
        <v>-0.4253203257876601</v>
      </c>
      <c r="BQ132" s="67">
        <f t="shared" si="190"/>
        <v>7</v>
      </c>
      <c r="BR132" s="2">
        <v>-2.1550281328305219</v>
      </c>
      <c r="BS132" s="75">
        <f t="shared" si="191"/>
        <v>-1.339073578433509</v>
      </c>
      <c r="BT132" s="75">
        <f t="shared" si="192"/>
        <v>-2</v>
      </c>
      <c r="BU132" s="5" t="e">
        <f>IF(#REF!&gt;=36, IF(AND(NOT(ISBLANK(CM:CM)), NOT(ISBLANK(BD:BD))), (CM:CM-BD:BD)/2, ""), "UF")</f>
        <v>#REF!</v>
      </c>
      <c r="BV132" s="5">
        <f t="shared" si="161"/>
        <v>-2.1550281328305219</v>
      </c>
      <c r="BW132" s="69">
        <f t="shared" si="162"/>
        <v>2</v>
      </c>
      <c r="BX132" s="2">
        <v>94</v>
      </c>
      <c r="BY132" s="2">
        <v>-5.3924946301813291E-2</v>
      </c>
      <c r="BZ132" s="74">
        <f t="shared" si="193"/>
        <v>0.37139537948584683</v>
      </c>
      <c r="CA132" s="74">
        <f t="shared" si="194"/>
        <v>1</v>
      </c>
      <c r="CB132" s="5">
        <f t="shared" si="163"/>
        <v>0.10575506820182701</v>
      </c>
      <c r="CC132" s="5">
        <f t="shared" si="164"/>
        <v>-5.3924946301813291E-2</v>
      </c>
      <c r="CD132" s="2">
        <f t="shared" si="165"/>
        <v>-0.51345682428667561</v>
      </c>
      <c r="CE132" s="69">
        <f t="shared" si="166"/>
        <v>7</v>
      </c>
      <c r="CF132" s="5">
        <v>12000</v>
      </c>
      <c r="CG132" s="2">
        <v>-1.3562575744604259</v>
      </c>
      <c r="CH132" s="72">
        <f t="shared" si="195"/>
        <v>-0.93093724867276584</v>
      </c>
      <c r="CI132" s="72">
        <f t="shared" si="196"/>
        <v>-2</v>
      </c>
      <c r="CJ132" s="5">
        <f t="shared" si="167"/>
        <v>0.35512977972819665</v>
      </c>
      <c r="CK132" s="5">
        <f t="shared" si="168"/>
        <v>-1.3562575744604259</v>
      </c>
      <c r="CL132" s="69">
        <f t="shared" si="169"/>
        <v>7</v>
      </c>
      <c r="CM132" s="2">
        <v>-3.6222969245302467E-2</v>
      </c>
      <c r="CN132" s="70">
        <f t="shared" si="170"/>
        <v>2.1188051635852192</v>
      </c>
      <c r="CO132" s="5">
        <f t="shared" si="171"/>
        <v>2.1188051635852192</v>
      </c>
      <c r="CP132" s="5">
        <f>IF(G132&lt;48,"UF", IF(NOT(ISBLANK(CM:CM)), CM:CM, IF(BW:BW=1, BV:BV+Sheet2!B632, IF(Sheet1!BW:BW=2, Sheet1!BV:BV+Sheet2!B633, IF(Sheet1!BW:BW=7, Sheet1!BV:BV+Sheet2!B634,"")))))</f>
        <v>-3.6222969245302467E-2</v>
      </c>
      <c r="CQ132" s="69">
        <f t="shared" si="197"/>
        <v>7</v>
      </c>
      <c r="CR132" s="5">
        <v>104</v>
      </c>
      <c r="CS132" s="2">
        <v>0.67104201438851629</v>
      </c>
      <c r="CT132" s="5">
        <f t="shared" si="172"/>
        <v>0.72496696069032962</v>
      </c>
      <c r="CU132" s="80">
        <f t="shared" si="173"/>
        <v>0.72496696069032962</v>
      </c>
      <c r="CV132" s="80">
        <f t="shared" si="174"/>
        <v>2</v>
      </c>
      <c r="CW132" s="20">
        <f>IF(G132&lt;48,"UF", IF(NOT(ISBLANK(CS132)), CS132, IF(CE132=5, CC132+Sheet2!B621, IF(CE132=6, CC132+Sheet2!B622, IF(CE132=7, CC132+Sheet2!B623,"")))))</f>
        <v>0.67104201438851629</v>
      </c>
      <c r="CX132" s="68">
        <f t="shared" si="198"/>
        <v>7</v>
      </c>
      <c r="CY132" s="5">
        <v>16500</v>
      </c>
      <c r="CZ132" s="5">
        <v>0.28493923366873319</v>
      </c>
      <c r="DA132" s="5">
        <f t="shared" si="175"/>
        <v>1.641196808129159</v>
      </c>
      <c r="DB132" s="73">
        <f t="shared" si="176"/>
        <v>1.641196808129159</v>
      </c>
      <c r="DC132" s="73">
        <f t="shared" si="177"/>
        <v>2</v>
      </c>
      <c r="DD132" s="5">
        <f>IF(G132&lt;48,"UF", IF(NOT(ISBLANK(CZ:CZ)), CZ:CZ, IF(CL:CL=3, CK:CK+Sheet2!B626, IF(CL:CL=4, CK:CK+Sheet2!B627, IF(CL:CL=7, CK:CK+Sheet2!B628,"")))))</f>
        <v>0.28493923366873319</v>
      </c>
      <c r="DE132" s="69">
        <f t="shared" si="178"/>
        <v>7</v>
      </c>
      <c r="DF132" s="2">
        <v>1</v>
      </c>
      <c r="DG132" s="2">
        <v>21</v>
      </c>
      <c r="DH132" s="2">
        <v>2</v>
      </c>
      <c r="DI132" s="2">
        <v>2</v>
      </c>
      <c r="DJ132" s="2">
        <v>2</v>
      </c>
      <c r="DK132" s="2">
        <v>110</v>
      </c>
      <c r="DL132" s="2">
        <v>55</v>
      </c>
      <c r="DM132" s="2">
        <v>118</v>
      </c>
      <c r="DN132" s="2">
        <v>60</v>
      </c>
      <c r="DO132" s="2">
        <v>106</v>
      </c>
      <c r="DP132" s="2">
        <v>60</v>
      </c>
      <c r="DQ132" s="2">
        <v>2</v>
      </c>
      <c r="DR132" s="2">
        <v>40</v>
      </c>
      <c r="DS132" s="2">
        <v>2</v>
      </c>
      <c r="DT132" s="2">
        <v>78</v>
      </c>
      <c r="DU132" s="2">
        <v>65</v>
      </c>
      <c r="DV132" s="2">
        <v>2</v>
      </c>
      <c r="DW132" s="2">
        <v>2</v>
      </c>
      <c r="DX132" s="2">
        <v>2</v>
      </c>
      <c r="DY132" s="2">
        <v>3</v>
      </c>
      <c r="DZ132" s="2">
        <v>35</v>
      </c>
      <c r="EA132" s="2">
        <v>35</v>
      </c>
      <c r="EB132" s="2" t="s">
        <v>12</v>
      </c>
      <c r="EC132" s="2">
        <v>1</v>
      </c>
      <c r="ED132" s="2" t="s">
        <v>12</v>
      </c>
    </row>
    <row r="133" spans="2:134" ht="15.75" thickBot="1" x14ac:dyDescent="0.3">
      <c r="C133" s="2" t="s">
        <v>359</v>
      </c>
      <c r="D133" s="56">
        <v>2501007417</v>
      </c>
      <c r="E133" s="5" t="s">
        <v>531</v>
      </c>
      <c r="F133" s="2">
        <v>1</v>
      </c>
      <c r="G133" s="2">
        <v>57</v>
      </c>
      <c r="H133" s="2">
        <v>-0.92332485483417803</v>
      </c>
      <c r="I133" s="2">
        <v>49</v>
      </c>
      <c r="J133" s="2">
        <v>-7.9294265603816944E-2</v>
      </c>
      <c r="K133" s="5">
        <v>2940</v>
      </c>
      <c r="L133" s="2">
        <v>-0.65672075323294044</v>
      </c>
      <c r="M133" s="2">
        <v>0.31419999999999998</v>
      </c>
      <c r="N133" s="2">
        <f t="shared" si="137"/>
        <v>0.52821242741708896</v>
      </c>
      <c r="O133" s="2">
        <f t="shared" si="138"/>
        <v>0.31419999999999998</v>
      </c>
      <c r="P133" s="2">
        <v>65</v>
      </c>
      <c r="Q133" s="2">
        <v>-0.33</v>
      </c>
      <c r="R133" s="5">
        <f t="shared" si="139"/>
        <v>-0.35035286719809156</v>
      </c>
      <c r="S133" s="5">
        <f t="shared" si="140"/>
        <v>-0.33</v>
      </c>
      <c r="T133" s="1">
        <v>7350</v>
      </c>
      <c r="U133" s="2">
        <v>0.05</v>
      </c>
      <c r="V133" s="2">
        <f t="shared" si="141"/>
        <v>0.15836037661647021</v>
      </c>
      <c r="W133" s="2">
        <f t="shared" si="142"/>
        <v>0.05</v>
      </c>
      <c r="X133" s="2">
        <v>0.1331</v>
      </c>
      <c r="Y133" s="76">
        <f t="shared" si="179"/>
        <v>1.0564248548341779</v>
      </c>
      <c r="Z133" s="76">
        <f t="shared" si="180"/>
        <v>2</v>
      </c>
      <c r="AA133" s="2">
        <f t="shared" si="143"/>
        <v>-2.0000000000000573E-4</v>
      </c>
      <c r="AB133" s="2">
        <f t="shared" si="144"/>
        <v>0.1331</v>
      </c>
      <c r="AC133" s="2">
        <v>72</v>
      </c>
      <c r="AD133" s="2">
        <v>-0.78</v>
      </c>
      <c r="AE133" s="79">
        <f t="shared" si="181"/>
        <v>-0.70070573439618311</v>
      </c>
      <c r="AF133" s="79">
        <f t="shared" si="182"/>
        <v>-2</v>
      </c>
      <c r="AG133" s="2">
        <f t="shared" si="134"/>
        <v>-0.30000000000000004</v>
      </c>
      <c r="AH133" s="2">
        <f t="shared" si="145"/>
        <v>-0.78</v>
      </c>
      <c r="AI133" s="2">
        <v>8580</v>
      </c>
      <c r="AJ133" s="2">
        <v>-0.34</v>
      </c>
      <c r="AK133" s="76">
        <f t="shared" si="183"/>
        <v>0.31672075323294041</v>
      </c>
      <c r="AL133" s="76">
        <f t="shared" si="184"/>
        <v>1</v>
      </c>
      <c r="AM133" s="2">
        <f t="shared" si="146"/>
        <v>-0.42000000000000004</v>
      </c>
      <c r="AN133" s="2">
        <f t="shared" si="147"/>
        <v>-0.34</v>
      </c>
      <c r="AO133" s="2">
        <v>-0.33040000000000003</v>
      </c>
      <c r="AP133" s="2">
        <f t="shared" si="148"/>
        <v>-0.67909745050389447</v>
      </c>
      <c r="AQ133" s="2">
        <f t="shared" si="149"/>
        <v>-0.33040000000000003</v>
      </c>
      <c r="AR133" s="2">
        <v>78</v>
      </c>
      <c r="AS133" s="2">
        <v>-0.93</v>
      </c>
      <c r="AT133" s="2">
        <f t="shared" si="150"/>
        <v>-0.38212825595424649</v>
      </c>
      <c r="AU133" s="2">
        <f t="shared" si="151"/>
        <v>-0.93</v>
      </c>
      <c r="AV133" s="2">
        <v>9300</v>
      </c>
      <c r="AW133" s="2">
        <v>-0.79</v>
      </c>
      <c r="AX133" s="2">
        <f t="shared" si="152"/>
        <v>-1.0771961315523635</v>
      </c>
      <c r="AY133" s="2">
        <f t="shared" si="153"/>
        <v>-0.79</v>
      </c>
      <c r="AZ133" s="2">
        <v>-1.225094901007789</v>
      </c>
      <c r="BA133" s="78">
        <f t="shared" si="185"/>
        <v>-1.3581949010077889</v>
      </c>
      <c r="BB133" s="78">
        <f t="shared" si="186"/>
        <v>-2</v>
      </c>
      <c r="BC133" s="2">
        <f t="shared" si="154"/>
        <v>-0.13292258219096506</v>
      </c>
      <c r="BD133" s="2">
        <f t="shared" si="155"/>
        <v>-1.225094901007789</v>
      </c>
      <c r="BE133" s="67">
        <f t="shared" si="187"/>
        <v>7</v>
      </c>
      <c r="BF133" s="2">
        <v>80</v>
      </c>
      <c r="BG133" s="2">
        <v>-1.544256511908493</v>
      </c>
      <c r="BH133" s="2">
        <f t="shared" si="156"/>
        <v>-0.75104466025076022</v>
      </c>
      <c r="BI133" s="2">
        <f t="shared" si="157"/>
        <v>-1.544256511908493</v>
      </c>
      <c r="BJ133" s="67">
        <f t="shared" si="158"/>
        <v>7</v>
      </c>
      <c r="BK133" s="2">
        <v>9500</v>
      </c>
      <c r="BL133" s="2">
        <v>-2.4943922631047268</v>
      </c>
      <c r="BM133" s="77">
        <f t="shared" si="188"/>
        <v>-2.154392263104727</v>
      </c>
      <c r="BN133" s="77">
        <f t="shared" si="189"/>
        <v>-2</v>
      </c>
      <c r="BO133" s="2">
        <f t="shared" si="159"/>
        <v>-0.84079886385351188</v>
      </c>
      <c r="BP133" s="2">
        <f t="shared" si="160"/>
        <v>-2.4943922631047268</v>
      </c>
      <c r="BQ133" s="67">
        <f t="shared" si="190"/>
        <v>4</v>
      </c>
      <c r="BR133" s="5">
        <v>-0.72916774657289518</v>
      </c>
      <c r="BS133" s="75">
        <f t="shared" si="191"/>
        <v>0.49592715443489377</v>
      </c>
      <c r="BT133" s="75">
        <f t="shared" si="192"/>
        <v>1</v>
      </c>
      <c r="BU133" s="5" t="e">
        <f>IF(#REF!&gt;=36, IF(AND(NOT(ISBLANK(CM:CM)), NOT(ISBLANK(BD:BD))), (CM:CM-BD:BD)/2, ""), "UF")</f>
        <v>#REF!</v>
      </c>
      <c r="BV133" s="5">
        <f t="shared" si="161"/>
        <v>-0.72916774657289518</v>
      </c>
      <c r="BW133" s="69">
        <f t="shared" si="162"/>
        <v>7</v>
      </c>
      <c r="BX133" s="2">
        <v>82</v>
      </c>
      <c r="BY133" s="5">
        <v>-3.1831339807522809</v>
      </c>
      <c r="BZ133" s="74">
        <f t="shared" si="193"/>
        <v>-0.6887417176475541</v>
      </c>
      <c r="CA133" s="74">
        <f t="shared" si="194"/>
        <v>-2</v>
      </c>
      <c r="CB133" s="5">
        <f t="shared" si="163"/>
        <v>0.18481154223186846</v>
      </c>
      <c r="CC133" s="5">
        <f t="shared" si="164"/>
        <v>-3.1831339807522809</v>
      </c>
      <c r="CD133" s="2">
        <f t="shared" si="165"/>
        <v>-1.6388774688437879</v>
      </c>
      <c r="CE133" s="69">
        <f t="shared" si="166"/>
        <v>5</v>
      </c>
      <c r="CF133" s="5">
        <v>10000</v>
      </c>
      <c r="CG133" s="5">
        <v>-3.3123965915605358</v>
      </c>
      <c r="CH133" s="72">
        <f t="shared" si="195"/>
        <v>-0.81800432845580895</v>
      </c>
      <c r="CI133" s="72">
        <f t="shared" si="196"/>
        <v>-2</v>
      </c>
      <c r="CJ133" s="5">
        <f t="shared" si="167"/>
        <v>-0.24139158508591052</v>
      </c>
      <c r="CK133" s="5">
        <f t="shared" si="168"/>
        <v>-3.3123965915605358</v>
      </c>
      <c r="CL133" s="69">
        <f t="shared" si="169"/>
        <v>3</v>
      </c>
      <c r="CM133" s="5">
        <v>-3.5766116493395672</v>
      </c>
      <c r="CN133" s="70">
        <f t="shared" si="170"/>
        <v>-2.8474439027666723</v>
      </c>
      <c r="CO133" s="5">
        <f t="shared" si="171"/>
        <v>-2.8474439027666723</v>
      </c>
      <c r="CP133" s="5">
        <f>IF(G133&lt;48,"UF", IF(NOT(ISBLANK(CM:CM)), CM:CM, IF(BW:BW=1, BV:BV+Sheet2!B221, IF(Sheet1!BW:BW=2, Sheet1!BV:BV+Sheet2!B222, IF(Sheet1!BW:BW=7, Sheet1!BV:BV+Sheet2!B223,"")))))</f>
        <v>-3.5766116493395672</v>
      </c>
      <c r="CQ133" s="69">
        <f t="shared" si="197"/>
        <v>1</v>
      </c>
      <c r="CR133" s="5">
        <v>96</v>
      </c>
      <c r="CS133" s="5">
        <v>-1.1746334274447561</v>
      </c>
      <c r="CT133" s="5">
        <f t="shared" si="172"/>
        <v>2.0085005533075249</v>
      </c>
      <c r="CU133" s="80">
        <f t="shared" si="173"/>
        <v>2.0085005533075249</v>
      </c>
      <c r="CV133" s="80">
        <f t="shared" si="174"/>
        <v>2</v>
      </c>
      <c r="CW133" s="20">
        <f>IF(G133&lt;48,"UF", IF(NOT(ISBLANK(CS133)), CS133, IF(CE133=5, CC133+Sheet2!B210, IF(CE133=6, CC133+Sheet2!B211, IF(CE133=7, CC133+Sheet2!B212,"")))))</f>
        <v>-1.1746334274447561</v>
      </c>
      <c r="CX133" s="68">
        <f t="shared" si="198"/>
        <v>7</v>
      </c>
      <c r="CY133" s="5">
        <v>11500</v>
      </c>
      <c r="CZ133" s="5">
        <v>-2.9771754332765479</v>
      </c>
      <c r="DA133" s="5">
        <f t="shared" si="175"/>
        <v>0.33522115828398791</v>
      </c>
      <c r="DB133" s="73">
        <f t="shared" si="176"/>
        <v>0.33522115828398791</v>
      </c>
      <c r="DC133" s="73">
        <f t="shared" si="177"/>
        <v>1</v>
      </c>
      <c r="DD133" s="5">
        <f>IF(G133&lt;48,"UF", IF(NOT(ISBLANK(CZ:CZ)), CZ:CZ, IF(CL:CL=3, CK:CK+Sheet2!B215, IF(CL:CL=4, CK:CK+Sheet2!B216, IF(CL:CL=7, CK:CK+Sheet2!B217,"")))))</f>
        <v>-2.9771754332765479</v>
      </c>
      <c r="DE133" s="69">
        <f t="shared" si="178"/>
        <v>4</v>
      </c>
      <c r="DF133" s="2">
        <v>4</v>
      </c>
      <c r="DG133" s="2">
        <v>37</v>
      </c>
      <c r="DH133" s="2">
        <v>1</v>
      </c>
      <c r="DI133" s="2">
        <v>2</v>
      </c>
      <c r="DJ133" s="2">
        <v>2</v>
      </c>
      <c r="DK133" s="2">
        <v>80</v>
      </c>
      <c r="DL133" s="2">
        <v>50</v>
      </c>
      <c r="DM133" s="2">
        <v>80</v>
      </c>
      <c r="DN133" s="2">
        <v>50</v>
      </c>
      <c r="DO133" s="2">
        <v>80</v>
      </c>
      <c r="DP133" s="2">
        <v>50</v>
      </c>
      <c r="DQ133" s="2">
        <v>1</v>
      </c>
      <c r="DR133" s="2">
        <v>38</v>
      </c>
      <c r="DS133" s="2">
        <v>2</v>
      </c>
      <c r="DT133" s="2">
        <v>82</v>
      </c>
      <c r="DU133" s="2">
        <v>91</v>
      </c>
      <c r="DV133" s="2">
        <v>2</v>
      </c>
      <c r="DW133" s="2">
        <v>4</v>
      </c>
      <c r="DX133" s="2">
        <v>2</v>
      </c>
      <c r="DY133" s="2">
        <v>3</v>
      </c>
      <c r="DZ133" s="2">
        <v>34</v>
      </c>
      <c r="EA133" s="2" t="s">
        <v>12</v>
      </c>
      <c r="EB133" s="2">
        <v>46</v>
      </c>
      <c r="EC133" s="2" t="s">
        <v>12</v>
      </c>
      <c r="ED133" s="2">
        <v>1</v>
      </c>
    </row>
    <row r="134" spans="2:134" x14ac:dyDescent="0.25">
      <c r="C134" s="8" t="s">
        <v>352</v>
      </c>
      <c r="D134" s="2">
        <v>2501007492</v>
      </c>
      <c r="E134" s="5">
        <v>7</v>
      </c>
      <c r="F134" s="2">
        <v>1</v>
      </c>
      <c r="G134" s="2">
        <v>57</v>
      </c>
      <c r="H134" s="2">
        <v>0.81071913763587011</v>
      </c>
      <c r="I134" s="2">
        <v>50</v>
      </c>
      <c r="J134" s="2">
        <v>0.45756143734440202</v>
      </c>
      <c r="K134" s="2">
        <v>3595</v>
      </c>
      <c r="L134" s="2">
        <v>0.76611189612776176</v>
      </c>
      <c r="M134" s="2">
        <v>0.2389</v>
      </c>
      <c r="N134" s="2">
        <f t="shared" si="137"/>
        <v>-5.0359568817935074E-2</v>
      </c>
      <c r="O134" s="2">
        <f t="shared" si="138"/>
        <v>0.2389</v>
      </c>
      <c r="P134" s="2">
        <v>65</v>
      </c>
      <c r="Q134" s="2">
        <v>-0.33</v>
      </c>
      <c r="R134" s="5">
        <f t="shared" si="139"/>
        <v>-0.38878071867220099</v>
      </c>
      <c r="S134" s="5">
        <f t="shared" si="140"/>
        <v>-0.33</v>
      </c>
      <c r="T134" s="2">
        <v>7300</v>
      </c>
      <c r="U134" s="2">
        <v>0</v>
      </c>
      <c r="V134" s="2">
        <f t="shared" si="141"/>
        <v>-0.21305594806388087</v>
      </c>
      <c r="W134" s="2">
        <f t="shared" si="142"/>
        <v>0</v>
      </c>
      <c r="X134" s="2">
        <v>0.71</v>
      </c>
      <c r="Y134" s="76">
        <f t="shared" si="179"/>
        <v>-0.10071913763587015</v>
      </c>
      <c r="Z134" s="76">
        <f t="shared" si="180"/>
        <v>-1</v>
      </c>
      <c r="AA134" s="2">
        <f t="shared" si="143"/>
        <v>1.63435</v>
      </c>
      <c r="AB134" s="2">
        <f t="shared" si="144"/>
        <v>0.71</v>
      </c>
      <c r="AC134" s="2">
        <v>72</v>
      </c>
      <c r="AD134" s="2">
        <v>-0.32</v>
      </c>
      <c r="AE134" s="79">
        <f t="shared" si="181"/>
        <v>-0.77756143734440197</v>
      </c>
      <c r="AF134" s="79">
        <f t="shared" si="182"/>
        <v>-2</v>
      </c>
      <c r="AG134" s="2">
        <f t="shared" si="134"/>
        <v>-1.335</v>
      </c>
      <c r="AH134" s="2">
        <f t="shared" si="145"/>
        <v>-0.32</v>
      </c>
      <c r="AI134" s="2">
        <v>9330</v>
      </c>
      <c r="AJ134" s="2">
        <v>0.34</v>
      </c>
      <c r="AK134" s="76">
        <f t="shared" si="183"/>
        <v>-0.42611189612776174</v>
      </c>
      <c r="AL134" s="76">
        <f t="shared" si="184"/>
        <v>-1</v>
      </c>
      <c r="AM134" s="2">
        <f t="shared" si="146"/>
        <v>0.18</v>
      </c>
      <c r="AN134" s="2">
        <f t="shared" si="147"/>
        <v>0.34</v>
      </c>
      <c r="AO134" s="2">
        <v>2.9386999999999999</v>
      </c>
      <c r="AP134" s="2">
        <f t="shared" si="148"/>
        <v>-0.39445824347055586</v>
      </c>
      <c r="AQ134" s="2">
        <f t="shared" si="149"/>
        <v>2.9386999999999999</v>
      </c>
      <c r="AR134" s="2">
        <v>72</v>
      </c>
      <c r="AS134" s="2">
        <v>-3</v>
      </c>
      <c r="AT134" s="2">
        <f t="shared" si="150"/>
        <v>-0.1117196206976184</v>
      </c>
      <c r="AU134" s="2">
        <f t="shared" si="151"/>
        <v>-3</v>
      </c>
      <c r="AV134" s="2">
        <v>10700</v>
      </c>
      <c r="AW134" s="2">
        <v>0.36</v>
      </c>
      <c r="AX134" s="2">
        <f t="shared" si="152"/>
        <v>-0.48811762415234694</v>
      </c>
      <c r="AY134" s="2">
        <f t="shared" si="153"/>
        <v>0.36</v>
      </c>
      <c r="AZ134" s="2">
        <v>-7.8916486941111724E-2</v>
      </c>
      <c r="BA134" s="78">
        <f t="shared" si="185"/>
        <v>-0.78891648694111172</v>
      </c>
      <c r="BB134" s="78">
        <f t="shared" si="186"/>
        <v>-2</v>
      </c>
      <c r="BC134" s="2">
        <f t="shared" si="154"/>
        <v>-0.83688675793836476</v>
      </c>
      <c r="BD134" s="2">
        <f t="shared" si="155"/>
        <v>-7.8916486941111724E-2</v>
      </c>
      <c r="BE134" s="67">
        <f t="shared" si="187"/>
        <v>7</v>
      </c>
      <c r="BF134" s="2">
        <v>83.5</v>
      </c>
      <c r="BG134" s="2">
        <v>-0.54343924139523681</v>
      </c>
      <c r="BH134" s="2">
        <f t="shared" si="156"/>
        <v>0.8805769166314823</v>
      </c>
      <c r="BI134" s="2">
        <f t="shared" si="157"/>
        <v>-0.54343924139523681</v>
      </c>
      <c r="BJ134" s="67">
        <f t="shared" si="158"/>
        <v>7</v>
      </c>
      <c r="BK134" s="2">
        <v>11350</v>
      </c>
      <c r="BL134" s="2">
        <v>-0.63623524830469391</v>
      </c>
      <c r="BM134" s="77">
        <f t="shared" si="188"/>
        <v>-0.97623524830469388</v>
      </c>
      <c r="BN134" s="77">
        <f t="shared" si="189"/>
        <v>-2</v>
      </c>
      <c r="BO134" s="2">
        <f t="shared" si="159"/>
        <v>-0.10826105805907205</v>
      </c>
      <c r="BP134" s="2">
        <f t="shared" si="160"/>
        <v>-0.63623524830469391</v>
      </c>
      <c r="BQ134" s="67">
        <f t="shared" si="190"/>
        <v>7</v>
      </c>
      <c r="BR134" s="5">
        <v>0.42803972618490549</v>
      </c>
      <c r="BS134" s="75">
        <f t="shared" si="191"/>
        <v>0.50695621312601724</v>
      </c>
      <c r="BT134" s="75">
        <f t="shared" si="192"/>
        <v>1</v>
      </c>
      <c r="BU134" s="5">
        <f>IF(G139&gt;=36, IF(AND(NOT(ISBLANK(CM:CM)), NOT(ISBLANK(BD:BD))), (CM:CM-BD:BD)/2, ""), "UF")</f>
        <v>0.38212113553318006</v>
      </c>
      <c r="BV134" s="5">
        <f t="shared" si="161"/>
        <v>0.42803972618490549</v>
      </c>
      <c r="BW134" s="69">
        <f t="shared" si="162"/>
        <v>7</v>
      </c>
      <c r="BX134" s="2">
        <v>92.8</v>
      </c>
      <c r="BY134" s="5">
        <v>-0.35826925010555322</v>
      </c>
      <c r="BZ134" s="74">
        <f t="shared" si="193"/>
        <v>0.2779659981991407</v>
      </c>
      <c r="CA134" s="74">
        <f t="shared" si="194"/>
        <v>1</v>
      </c>
      <c r="CB134" s="5">
        <f t="shared" si="163"/>
        <v>7.203095380053931E-2</v>
      </c>
      <c r="CC134" s="5">
        <f t="shared" si="164"/>
        <v>-0.35826925010555322</v>
      </c>
      <c r="CD134" s="2">
        <f t="shared" si="165"/>
        <v>0.18516999128968359</v>
      </c>
      <c r="CE134" s="69">
        <f t="shared" si="166"/>
        <v>7</v>
      </c>
      <c r="CF134" s="5">
        <v>14000</v>
      </c>
      <c r="CG134" s="5">
        <v>3.5216825822783827E-2</v>
      </c>
      <c r="CH134" s="72">
        <f t="shared" si="195"/>
        <v>0.67145207412747776</v>
      </c>
      <c r="CI134" s="72">
        <f t="shared" si="196"/>
        <v>2</v>
      </c>
      <c r="CJ134" s="5">
        <f t="shared" si="167"/>
        <v>0.34696794380377982</v>
      </c>
      <c r="CK134" s="5">
        <f t="shared" si="168"/>
        <v>3.5216825822783827E-2</v>
      </c>
      <c r="CL134" s="69">
        <f t="shared" si="169"/>
        <v>7</v>
      </c>
      <c r="CM134" s="5">
        <v>0.68532578412524836</v>
      </c>
      <c r="CN134" s="70">
        <f t="shared" si="170"/>
        <v>0.25728605794034287</v>
      </c>
      <c r="CO134" s="5">
        <f t="shared" si="171"/>
        <v>0.25728605794034287</v>
      </c>
      <c r="CP134" s="5">
        <f>IF(G134&lt;48,"UF", IF(NOT(ISBLANK(CM:CM)), CM:CM, IF(BW:BW=1, BV:BV+Sheet2!B589, IF(Sheet1!BW:BW=2, Sheet1!BV:BV+Sheet2!B590, IF(Sheet1!BW:BW=7, Sheet1!BV:BV+Sheet2!B591,"")))))</f>
        <v>0.68532578412524836</v>
      </c>
      <c r="CQ134" s="69">
        <f t="shared" si="197"/>
        <v>7</v>
      </c>
      <c r="CR134" s="5">
        <v>99.3</v>
      </c>
      <c r="CS134" s="5">
        <v>-0.39937733379415818</v>
      </c>
      <c r="CT134" s="5">
        <f t="shared" si="172"/>
        <v>-4.1108083688604968E-2</v>
      </c>
      <c r="CU134" s="80">
        <f t="shared" si="173"/>
        <v>-4.1108083688604968E-2</v>
      </c>
      <c r="CV134" s="80">
        <f t="shared" si="174"/>
        <v>-1</v>
      </c>
      <c r="CW134" s="20">
        <f>IF(G134&lt;48,"UF", IF(NOT(ISBLANK(CS134)), CS134, IF(CE134=5, CC134+Sheet2!B578, IF(CE134=6, CC134+Sheet2!B579, IF(CE134=7, CC134+Sheet2!B580,"")))))</f>
        <v>-0.39937733379415818</v>
      </c>
      <c r="CX134" s="68">
        <f t="shared" si="198"/>
        <v>7</v>
      </c>
      <c r="CY134" s="5">
        <v>16000</v>
      </c>
      <c r="CZ134" s="5">
        <v>5.7700639302865737E-2</v>
      </c>
      <c r="DA134" s="5">
        <f t="shared" si="175"/>
        <v>2.248381348008191E-2</v>
      </c>
      <c r="DB134" s="73">
        <f t="shared" si="176"/>
        <v>2.248381348008191E-2</v>
      </c>
      <c r="DC134" s="73">
        <f t="shared" si="177"/>
        <v>1</v>
      </c>
      <c r="DD134" s="5">
        <f>IF(G134&lt;48,"UF", IF(NOT(ISBLANK(CZ:CZ)), CZ:CZ, IF(CL:CL=3, CK:CK+Sheet2!B583, IF(CL:CL=4, CK:CK+Sheet2!B584, IF(CL:CL=7, CK:CK+Sheet2!B585,"")))))</f>
        <v>5.7700639302865737E-2</v>
      </c>
      <c r="DE134" s="69">
        <f t="shared" si="178"/>
        <v>7</v>
      </c>
      <c r="DF134" s="2">
        <v>2</v>
      </c>
      <c r="DG134" s="2">
        <v>29</v>
      </c>
      <c r="DH134" s="2">
        <v>2</v>
      </c>
      <c r="DI134" s="2">
        <v>2</v>
      </c>
      <c r="DJ134" s="2">
        <v>2</v>
      </c>
      <c r="DK134" s="2">
        <v>100</v>
      </c>
      <c r="DL134" s="2">
        <v>60</v>
      </c>
      <c r="DM134" s="2">
        <v>100</v>
      </c>
      <c r="DN134" s="2">
        <v>60</v>
      </c>
      <c r="DO134" s="2">
        <v>100</v>
      </c>
      <c r="DP134" s="2">
        <v>60</v>
      </c>
      <c r="DQ134" s="2">
        <v>1</v>
      </c>
      <c r="DR134" s="2">
        <v>40</v>
      </c>
      <c r="DS134" s="2">
        <v>2</v>
      </c>
      <c r="DT134" s="2">
        <v>67.5</v>
      </c>
      <c r="DU134" s="2">
        <v>67.5</v>
      </c>
      <c r="DV134" s="2">
        <v>2</v>
      </c>
      <c r="DW134" s="2">
        <v>2</v>
      </c>
      <c r="DX134" s="2">
        <v>2</v>
      </c>
      <c r="DY134" s="2">
        <v>2</v>
      </c>
      <c r="DZ134" s="2">
        <v>32.5</v>
      </c>
      <c r="EA134" s="2">
        <v>35.6</v>
      </c>
      <c r="EB134" s="2">
        <v>45.4</v>
      </c>
      <c r="EC134" s="2">
        <v>1</v>
      </c>
      <c r="ED134" s="2">
        <v>1</v>
      </c>
    </row>
    <row r="135" spans="2:134" x14ac:dyDescent="0.25">
      <c r="C135" s="8" t="s">
        <v>279</v>
      </c>
      <c r="D135" s="8">
        <v>2501007931</v>
      </c>
      <c r="E135" s="5">
        <v>7</v>
      </c>
      <c r="F135" s="2">
        <v>1</v>
      </c>
      <c r="G135" s="2">
        <v>54</v>
      </c>
      <c r="H135" s="2">
        <v>-0.16977501976549669</v>
      </c>
      <c r="I135" s="2">
        <v>47</v>
      </c>
      <c r="J135" s="2">
        <v>-1.153005671500261</v>
      </c>
      <c r="K135" s="2">
        <v>2900</v>
      </c>
      <c r="L135" s="2">
        <v>-0.74971937445688897</v>
      </c>
      <c r="M135" s="2">
        <v>0.82530000000000003</v>
      </c>
      <c r="N135" s="2">
        <f t="shared" si="137"/>
        <v>-0.19386249011725165</v>
      </c>
      <c r="O135" s="2">
        <f t="shared" si="138"/>
        <v>0.82530000000000003</v>
      </c>
      <c r="P135" s="2">
        <v>65</v>
      </c>
      <c r="Q135" s="2">
        <v>-0.33</v>
      </c>
      <c r="R135" s="5">
        <f t="shared" si="139"/>
        <v>0.96150283575013051</v>
      </c>
      <c r="S135" s="5">
        <f t="shared" si="140"/>
        <v>-0.33</v>
      </c>
      <c r="T135" s="2">
        <v>7700</v>
      </c>
      <c r="U135" s="2">
        <v>0.43</v>
      </c>
      <c r="V135" s="2">
        <f t="shared" si="141"/>
        <v>0.3998596872284445</v>
      </c>
      <c r="W135" s="2">
        <f t="shared" si="142"/>
        <v>0.43</v>
      </c>
      <c r="X135" s="2">
        <v>-0.5575</v>
      </c>
      <c r="Y135" s="76">
        <f t="shared" si="179"/>
        <v>-0.3877249802345033</v>
      </c>
      <c r="Z135" s="76">
        <f t="shared" si="180"/>
        <v>-1</v>
      </c>
      <c r="AA135" s="2">
        <f t="shared" si="143"/>
        <v>0.24195</v>
      </c>
      <c r="AB135" s="2">
        <f t="shared" si="144"/>
        <v>-0.5575</v>
      </c>
      <c r="AC135" s="2">
        <v>76</v>
      </c>
      <c r="AD135" s="2">
        <v>0.77</v>
      </c>
      <c r="AE135" s="79">
        <f t="shared" si="181"/>
        <v>1.923005671500261</v>
      </c>
      <c r="AF135" s="79">
        <f t="shared" si="182"/>
        <v>2</v>
      </c>
      <c r="AG135" s="2">
        <f t="shared" si="134"/>
        <v>4.0000000000000008E-2</v>
      </c>
      <c r="AH135" s="2">
        <f t="shared" si="145"/>
        <v>0.77</v>
      </c>
      <c r="AI135" s="2">
        <v>9000</v>
      </c>
      <c r="AJ135" s="2">
        <v>0.05</v>
      </c>
      <c r="AK135" s="76">
        <f t="shared" si="183"/>
        <v>0.79971937445688901</v>
      </c>
      <c r="AL135" s="76">
        <f t="shared" si="184"/>
        <v>2</v>
      </c>
      <c r="AM135" s="2">
        <f t="shared" si="146"/>
        <v>-0.22999999999999998</v>
      </c>
      <c r="AN135" s="2">
        <f t="shared" si="147"/>
        <v>0.05</v>
      </c>
      <c r="AO135" s="2">
        <v>0.15390000000000001</v>
      </c>
      <c r="AP135" s="2">
        <f t="shared" si="148"/>
        <v>-0.22909682825471195</v>
      </c>
      <c r="AQ135" s="2">
        <f t="shared" si="149"/>
        <v>0.15390000000000001</v>
      </c>
      <c r="AR135" s="2">
        <v>80</v>
      </c>
      <c r="AS135" s="2">
        <v>-0.25</v>
      </c>
      <c r="AT135" s="2">
        <f t="shared" si="150"/>
        <v>-0.44192663017452</v>
      </c>
      <c r="AU135" s="2">
        <f t="shared" si="151"/>
        <v>-0.25</v>
      </c>
      <c r="AV135" s="2">
        <v>10200</v>
      </c>
      <c r="AW135" s="2">
        <v>-0.03</v>
      </c>
      <c r="AX135" s="2">
        <f t="shared" si="152"/>
        <v>-0.54357547356581504</v>
      </c>
      <c r="AY135" s="2">
        <f t="shared" si="153"/>
        <v>-0.03</v>
      </c>
      <c r="AZ135" s="2">
        <v>-1.0156936565094239</v>
      </c>
      <c r="BA135" s="78">
        <f t="shared" si="185"/>
        <v>-0.4581936565094239</v>
      </c>
      <c r="BB135" s="78">
        <f t="shared" si="186"/>
        <v>-1</v>
      </c>
      <c r="BC135" s="2" t="str">
        <f t="shared" si="154"/>
        <v/>
      </c>
      <c r="BD135" s="2">
        <f t="shared" si="155"/>
        <v>-1.0156936565094239</v>
      </c>
      <c r="BE135" s="67">
        <f t="shared" si="187"/>
        <v>7</v>
      </c>
      <c r="BF135" s="2">
        <v>85</v>
      </c>
      <c r="BG135" s="2">
        <v>-0.11385326034904</v>
      </c>
      <c r="BH135" s="2" t="str">
        <f t="shared" si="156"/>
        <v/>
      </c>
      <c r="BI135" s="2">
        <f t="shared" si="157"/>
        <v>-0.11385326034904</v>
      </c>
      <c r="BJ135" s="67">
        <f t="shared" si="158"/>
        <v>7</v>
      </c>
      <c r="BK135" s="2">
        <v>10900</v>
      </c>
      <c r="BL135" s="2">
        <v>-1.03715094713163</v>
      </c>
      <c r="BM135" s="77">
        <f t="shared" si="188"/>
        <v>-1.0871509471316301</v>
      </c>
      <c r="BN135" s="77">
        <f t="shared" si="189"/>
        <v>-2</v>
      </c>
      <c r="BO135" s="2" t="str">
        <f t="shared" si="159"/>
        <v/>
      </c>
      <c r="BP135" s="2">
        <f t="shared" si="160"/>
        <v>-1.03715094713163</v>
      </c>
      <c r="BQ135" s="67">
        <f t="shared" si="190"/>
        <v>7</v>
      </c>
      <c r="BS135" s="75">
        <f t="shared" si="191"/>
        <v>0.71800614991353073</v>
      </c>
      <c r="BT135" s="75">
        <f t="shared" si="192"/>
        <v>2</v>
      </c>
      <c r="BU135" s="5">
        <f>IF(G140&gt;=36, IF(AND(NOT(ISBLANK(CM:CM)), NOT(ISBLANK(BD:BD))), (CM:CM-BD:BD)/2, ""), "UF")</f>
        <v>0.71800614991353073</v>
      </c>
      <c r="BV135" s="5">
        <f t="shared" si="161"/>
        <v>-0.29768750659589316</v>
      </c>
      <c r="BW135" s="69">
        <f t="shared" si="162"/>
        <v>7</v>
      </c>
      <c r="BX135" s="2" t="s">
        <v>12</v>
      </c>
      <c r="BZ135" s="74">
        <f t="shared" si="193"/>
        <v>0.91901895338719153</v>
      </c>
      <c r="CA135" s="74">
        <f t="shared" si="194"/>
        <v>2</v>
      </c>
      <c r="CB135" s="5">
        <f t="shared" si="163"/>
        <v>-4.2787333953984985E-3</v>
      </c>
      <c r="CC135" s="5">
        <f t="shared" si="164"/>
        <v>-0.1181319937444385</v>
      </c>
      <c r="CD135" s="2">
        <f t="shared" si="165"/>
        <v>-4.2787333953984985E-3</v>
      </c>
      <c r="CE135" s="69">
        <f t="shared" si="166"/>
        <v>7</v>
      </c>
      <c r="CF135" s="5" t="s">
        <v>12</v>
      </c>
      <c r="CH135" s="72">
        <f t="shared" si="195"/>
        <v>0.54742579321724794</v>
      </c>
      <c r="CI135" s="72">
        <f t="shared" si="196"/>
        <v>1</v>
      </c>
      <c r="CJ135" s="5">
        <f t="shared" si="167"/>
        <v>0.54742579321724794</v>
      </c>
      <c r="CK135" s="5">
        <f t="shared" si="168"/>
        <v>-0.48972515391438209</v>
      </c>
      <c r="CL135" s="69">
        <f t="shared" si="169"/>
        <v>7</v>
      </c>
      <c r="CM135" s="5">
        <v>0.42031864331763752</v>
      </c>
      <c r="CN135" s="70">
        <f t="shared" si="170"/>
        <v>0.71800614991353062</v>
      </c>
      <c r="CO135" s="5">
        <f t="shared" si="171"/>
        <v>0.71800614991353062</v>
      </c>
      <c r="CP135" s="5">
        <f>IF(G135&lt;48,"UF", IF(NOT(ISBLANK(CM:CM)), CM:CM, IF(BW:BW=1, BV:BV+Sheet2!B484, IF(Sheet1!BW:BW=2, Sheet1!BV:BV+Sheet2!B485, IF(Sheet1!BW:BW=7, Sheet1!BV:BV+Sheet2!B486,"")))))</f>
        <v>0.42031864331763752</v>
      </c>
      <c r="CQ135" s="69">
        <f t="shared" si="197"/>
        <v>7</v>
      </c>
      <c r="CR135" s="5">
        <v>100.5</v>
      </c>
      <c r="CS135" s="5">
        <v>-0.122410727139837</v>
      </c>
      <c r="CT135" s="5">
        <f t="shared" si="172"/>
        <v>-4.2787333953984985E-3</v>
      </c>
      <c r="CU135" s="80">
        <f t="shared" si="173"/>
        <v>-4.2787333953984985E-3</v>
      </c>
      <c r="CV135" s="80">
        <f t="shared" si="174"/>
        <v>-1</v>
      </c>
      <c r="CW135" s="20">
        <f>IF(G135&lt;48,"UF", IF(NOT(ISBLANK(CS135)), CS135, IF(CE135=5, CC135+Sheet2!B473, IF(CE135=6, CC135+Sheet2!B474, IF(CE135=7, CC135+Sheet2!B475,"")))))</f>
        <v>-0.122410727139837</v>
      </c>
      <c r="CX135" s="68">
        <f t="shared" si="198"/>
        <v>7</v>
      </c>
      <c r="CY135" s="5">
        <v>16000</v>
      </c>
      <c r="CZ135" s="5">
        <v>5.7700639302865737E-2</v>
      </c>
      <c r="DA135" s="5">
        <f t="shared" si="175"/>
        <v>0.54742579321724782</v>
      </c>
      <c r="DB135" s="73">
        <f t="shared" si="176"/>
        <v>0.54742579321724782</v>
      </c>
      <c r="DC135" s="73">
        <f t="shared" si="177"/>
        <v>1</v>
      </c>
      <c r="DD135" s="5">
        <f>IF(G135&lt;48,"UF", IF(NOT(ISBLANK(CZ:CZ)), CZ:CZ, IF(CL:CL=3, CK:CK+Sheet2!B478, IF(CL:CL=4, CK:CK+Sheet2!B479, IF(CL:CL=7, CK:CK+Sheet2!B480,"")))))</f>
        <v>5.7700639302865737E-2</v>
      </c>
      <c r="DE135" s="69">
        <f t="shared" si="178"/>
        <v>7</v>
      </c>
      <c r="DF135" s="2">
        <v>2</v>
      </c>
      <c r="DG135" s="2">
        <v>30</v>
      </c>
      <c r="DH135" s="2">
        <v>2</v>
      </c>
      <c r="DI135" s="2">
        <v>2</v>
      </c>
      <c r="DJ135" s="2">
        <v>2</v>
      </c>
      <c r="DK135" s="2">
        <v>90</v>
      </c>
      <c r="DL135" s="2">
        <v>60</v>
      </c>
      <c r="DM135" s="2">
        <v>100</v>
      </c>
      <c r="DN135" s="2">
        <v>60</v>
      </c>
      <c r="DO135" s="2" t="s">
        <v>12</v>
      </c>
      <c r="DP135" s="2" t="s">
        <v>12</v>
      </c>
      <c r="DQ135" s="2">
        <v>2</v>
      </c>
      <c r="DR135" s="2">
        <v>41</v>
      </c>
      <c r="DS135" s="2">
        <v>2</v>
      </c>
      <c r="DT135" s="2">
        <v>85</v>
      </c>
      <c r="DU135" s="2" t="s">
        <v>12</v>
      </c>
      <c r="DV135" s="2">
        <v>2</v>
      </c>
      <c r="DW135" s="2">
        <v>3</v>
      </c>
      <c r="DX135" s="2">
        <v>2</v>
      </c>
      <c r="DY135" s="2">
        <v>2</v>
      </c>
      <c r="DZ135" s="2">
        <v>30</v>
      </c>
      <c r="EA135" s="2" t="s">
        <v>12</v>
      </c>
      <c r="EB135" s="2">
        <v>44.5</v>
      </c>
      <c r="EC135" s="2" t="s">
        <v>12</v>
      </c>
      <c r="ED135" s="2">
        <v>1</v>
      </c>
    </row>
    <row r="136" spans="2:134" x14ac:dyDescent="0.25">
      <c r="C136" s="9" t="s">
        <v>45</v>
      </c>
      <c r="D136" s="4">
        <v>2501008103</v>
      </c>
      <c r="E136" s="2" t="s">
        <v>529</v>
      </c>
      <c r="F136" s="2">
        <v>1</v>
      </c>
      <c r="G136" s="2">
        <v>53</v>
      </c>
      <c r="H136" s="2">
        <v>-1.0719314123951951</v>
      </c>
      <c r="I136" s="2">
        <v>49</v>
      </c>
      <c r="J136" s="2">
        <v>-7.9294265603816944E-2</v>
      </c>
      <c r="K136" s="5">
        <v>2900</v>
      </c>
      <c r="L136" s="2">
        <v>-0.74971937445688897</v>
      </c>
      <c r="M136" s="2">
        <v>-0.79179999999999995</v>
      </c>
      <c r="N136" s="2">
        <f t="shared" si="137"/>
        <v>-0.17788429380240245</v>
      </c>
      <c r="O136" s="2">
        <f t="shared" si="138"/>
        <v>-0.79179999999999995</v>
      </c>
      <c r="P136" s="2">
        <v>63</v>
      </c>
      <c r="Q136" s="2">
        <v>-1.21</v>
      </c>
      <c r="R136" s="5">
        <f t="shared" si="139"/>
        <v>-0.35035286719809156</v>
      </c>
      <c r="S136" s="5">
        <f t="shared" si="140"/>
        <v>-1.21</v>
      </c>
      <c r="T136" s="1">
        <v>6250</v>
      </c>
      <c r="U136" s="2">
        <v>-1.28</v>
      </c>
      <c r="V136" s="2">
        <f t="shared" si="141"/>
        <v>-0.3551403127715555</v>
      </c>
      <c r="W136" s="2">
        <f t="shared" si="142"/>
        <v>-1.28</v>
      </c>
      <c r="X136" s="2">
        <v>-1.4277</v>
      </c>
      <c r="Y136" s="76">
        <f t="shared" si="179"/>
        <v>-0.3557685876048049</v>
      </c>
      <c r="Z136" s="76">
        <f t="shared" si="180"/>
        <v>-1</v>
      </c>
      <c r="AA136" s="2">
        <f t="shared" si="143"/>
        <v>-1.8000000000000238E-3</v>
      </c>
      <c r="AB136" s="2">
        <f t="shared" si="144"/>
        <v>-1.4277</v>
      </c>
      <c r="AC136" s="2">
        <v>72</v>
      </c>
      <c r="AD136" s="2">
        <v>-0.78</v>
      </c>
      <c r="AE136" s="79">
        <f t="shared" si="181"/>
        <v>-0.70070573439618311</v>
      </c>
      <c r="AF136" s="79">
        <f t="shared" si="182"/>
        <v>-2</v>
      </c>
      <c r="AG136" s="2">
        <f t="shared" si="134"/>
        <v>-0.20500000000000007</v>
      </c>
      <c r="AH136" s="2">
        <f t="shared" si="145"/>
        <v>-0.78</v>
      </c>
      <c r="AI136" s="2">
        <v>7500</v>
      </c>
      <c r="AJ136" s="2">
        <v>-1.46</v>
      </c>
      <c r="AK136" s="76">
        <f t="shared" si="183"/>
        <v>-0.710280625543111</v>
      </c>
      <c r="AL136" s="76">
        <f t="shared" si="184"/>
        <v>-2</v>
      </c>
      <c r="AM136" s="2">
        <f t="shared" si="146"/>
        <v>-0.28500000000000003</v>
      </c>
      <c r="AN136" s="2">
        <f t="shared" si="147"/>
        <v>-1.46</v>
      </c>
      <c r="AO136" s="2">
        <v>-1.2136</v>
      </c>
      <c r="AP136" s="2" t="str">
        <f t="shared" si="148"/>
        <v/>
      </c>
      <c r="AQ136" s="2">
        <f t="shared" si="149"/>
        <v>-1.2136</v>
      </c>
      <c r="AR136" s="2">
        <v>76</v>
      </c>
      <c r="AS136" s="2">
        <v>-1.62</v>
      </c>
      <c r="AT136" s="2" t="str">
        <f t="shared" si="150"/>
        <v/>
      </c>
      <c r="AU136" s="2">
        <f t="shared" si="151"/>
        <v>-1.62</v>
      </c>
      <c r="AV136" s="2">
        <v>8200</v>
      </c>
      <c r="AW136" s="2">
        <v>-1.85</v>
      </c>
      <c r="AX136" s="2" t="str">
        <f t="shared" si="152"/>
        <v/>
      </c>
      <c r="AY136" s="2">
        <f t="shared" si="153"/>
        <v>-1.85</v>
      </c>
      <c r="BA136" s="78" t="e">
        <f t="shared" si="185"/>
        <v>#VALUE!</v>
      </c>
      <c r="BB136" s="78" t="e">
        <f t="shared" si="186"/>
        <v>#VALUE!</v>
      </c>
      <c r="BC136" s="2" t="str">
        <f t="shared" si="154"/>
        <v/>
      </c>
      <c r="BD136" s="2" t="e">
        <f t="shared" si="155"/>
        <v>#VALUE!</v>
      </c>
      <c r="BE136" s="67" t="e">
        <f t="shared" si="187"/>
        <v>#VALUE!</v>
      </c>
      <c r="BF136" s="2" t="s">
        <v>12</v>
      </c>
      <c r="BH136" s="2" t="str">
        <f t="shared" si="156"/>
        <v/>
      </c>
      <c r="BI136" s="2" t="e">
        <f t="shared" si="157"/>
        <v>#VALUE!</v>
      </c>
      <c r="BJ136" s="67" t="e">
        <f t="shared" si="158"/>
        <v>#VALUE!</v>
      </c>
      <c r="BK136" s="2" t="s">
        <v>12</v>
      </c>
      <c r="BM136" s="77" t="e">
        <f t="shared" si="188"/>
        <v>#VALUE!</v>
      </c>
      <c r="BN136" s="77" t="e">
        <f t="shared" si="189"/>
        <v>#VALUE!</v>
      </c>
      <c r="BO136" s="2" t="str">
        <f t="shared" si="159"/>
        <v/>
      </c>
      <c r="BP136" s="2" t="e">
        <f t="shared" si="160"/>
        <v>#VALUE!</v>
      </c>
      <c r="BQ136" s="67" t="e">
        <f t="shared" si="190"/>
        <v>#VALUE!</v>
      </c>
      <c r="BS136" s="75" t="e">
        <f t="shared" si="191"/>
        <v>#VALUE!</v>
      </c>
      <c r="BT136" s="75" t="e">
        <f t="shared" si="192"/>
        <v>#VALUE!</v>
      </c>
      <c r="BU136" s="5" t="e">
        <f>IF(#REF!&gt;=36, IF(AND(NOT(ISBLANK(CM:CM)), NOT(ISBLANK(BD:BD))), (CM:CM-BD:BD)/2, ""), "UF")</f>
        <v>#REF!</v>
      </c>
      <c r="BV136" s="5" t="e">
        <f t="shared" si="161"/>
        <v>#VALUE!</v>
      </c>
      <c r="BW136" s="69" t="e">
        <f t="shared" si="162"/>
        <v>#VALUE!</v>
      </c>
      <c r="BX136" s="2" t="s">
        <v>12</v>
      </c>
      <c r="BZ136" s="74" t="e">
        <f t="shared" si="193"/>
        <v>#VALUE!</v>
      </c>
      <c r="CA136" s="74" t="e">
        <f t="shared" si="194"/>
        <v>#VALUE!</v>
      </c>
      <c r="CB136" s="5" t="e">
        <f t="shared" si="163"/>
        <v>#VALUE!</v>
      </c>
      <c r="CC136" s="5" t="e">
        <f t="shared" si="164"/>
        <v>#VALUE!</v>
      </c>
      <c r="CD136" s="2" t="e">
        <f t="shared" si="165"/>
        <v>#VALUE!</v>
      </c>
      <c r="CE136" s="69" t="e">
        <f t="shared" si="166"/>
        <v>#VALUE!</v>
      </c>
      <c r="CF136" s="5" t="s">
        <v>12</v>
      </c>
      <c r="CH136" s="72" t="e">
        <f t="shared" si="195"/>
        <v>#VALUE!</v>
      </c>
      <c r="CI136" s="72" t="e">
        <f t="shared" si="196"/>
        <v>#VALUE!</v>
      </c>
      <c r="CJ136" s="5" t="e">
        <f t="shared" si="167"/>
        <v>#VALUE!</v>
      </c>
      <c r="CK136" s="5" t="e">
        <f t="shared" si="168"/>
        <v>#VALUE!</v>
      </c>
      <c r="CL136" s="69" t="e">
        <f t="shared" si="169"/>
        <v>#VALUE!</v>
      </c>
      <c r="CM136" s="5">
        <v>-2.1400617993464031</v>
      </c>
      <c r="CN136" s="70" t="e">
        <f t="shared" si="170"/>
        <v>#VALUE!</v>
      </c>
      <c r="CO136" s="5" t="e">
        <f t="shared" si="171"/>
        <v>#VALUE!</v>
      </c>
      <c r="CP136" s="5">
        <f>IF(G136&lt;48,"UF", IF(NOT(ISBLANK(CM:CM)), CM:CM, IF(BW:BW=1, BV:BV+Sheet2!B69, IF(Sheet1!BW:BW=2, Sheet1!BV:BV+Sheet2!B70, IF(Sheet1!BW:BW=7, Sheet1!BV:BV+Sheet2!B71,"")))))</f>
        <v>-2.1400617993464031</v>
      </c>
      <c r="CQ136" s="69">
        <f t="shared" si="197"/>
        <v>2</v>
      </c>
      <c r="CR136" s="5">
        <v>92</v>
      </c>
      <c r="CS136" s="5">
        <v>-2.1425058034183371</v>
      </c>
      <c r="CT136" s="5" t="e">
        <f t="shared" si="172"/>
        <v>#VALUE!</v>
      </c>
      <c r="CU136" s="80" t="e">
        <f t="shared" si="173"/>
        <v>#VALUE!</v>
      </c>
      <c r="CV136" s="80" t="e">
        <f t="shared" si="174"/>
        <v>#VALUE!</v>
      </c>
      <c r="CW136" s="20">
        <f>IF(G136&lt;48,"UF", IF(NOT(ISBLANK(CS136)), CS136, IF(CE136=5, CC136+Sheet2!B58, IF(CE136=6, CC136+Sheet2!B59, IF(CE136=7, CC136+Sheet2!B60,"")))))</f>
        <v>-2.1425058034183371</v>
      </c>
      <c r="CX136" s="68">
        <f t="shared" si="198"/>
        <v>6</v>
      </c>
      <c r="CY136" s="5">
        <v>11300</v>
      </c>
      <c r="CZ136" s="5">
        <v>-3.173788611650751</v>
      </c>
      <c r="DA136" s="5" t="e">
        <f t="shared" si="175"/>
        <v>#VALUE!</v>
      </c>
      <c r="DB136" s="73" t="e">
        <f t="shared" si="176"/>
        <v>#VALUE!</v>
      </c>
      <c r="DC136" s="73" t="e">
        <f t="shared" si="177"/>
        <v>#VALUE!</v>
      </c>
      <c r="DD136" s="5">
        <f>IF(G136&lt;48,"UF", IF(NOT(ISBLANK(CZ:CZ)), CZ:CZ, IF(CL:CL=3, CK:CK+Sheet2!B63, IF(CL:CL=4, CK:CK+Sheet2!B64, IF(CL:CL=7, CK:CK+Sheet2!B65,"")))))</f>
        <v>-3.173788611650751</v>
      </c>
      <c r="DE136" s="69">
        <f t="shared" si="178"/>
        <v>3</v>
      </c>
      <c r="DF136" s="2">
        <v>1</v>
      </c>
      <c r="DG136" s="2">
        <v>24</v>
      </c>
      <c r="DH136" s="2">
        <v>1</v>
      </c>
      <c r="DI136" s="2">
        <v>1</v>
      </c>
      <c r="DJ136" s="2">
        <v>2</v>
      </c>
      <c r="DK136" s="2">
        <v>90</v>
      </c>
      <c r="DL136" s="2">
        <v>60</v>
      </c>
      <c r="DM136" s="2">
        <v>100</v>
      </c>
      <c r="DN136" s="2">
        <v>60</v>
      </c>
      <c r="DO136" s="2">
        <v>110</v>
      </c>
      <c r="DP136" s="2">
        <v>60</v>
      </c>
      <c r="DQ136" s="2">
        <v>2</v>
      </c>
      <c r="DR136" s="2">
        <v>39</v>
      </c>
      <c r="DS136" s="2">
        <v>2</v>
      </c>
      <c r="DT136" s="2">
        <v>79</v>
      </c>
      <c r="DU136" s="2">
        <v>75</v>
      </c>
      <c r="DV136" s="2">
        <v>2</v>
      </c>
      <c r="DW136" s="2">
        <v>3</v>
      </c>
      <c r="DX136" s="2">
        <v>2</v>
      </c>
      <c r="DY136" s="2">
        <v>2</v>
      </c>
      <c r="DZ136" s="2">
        <v>32</v>
      </c>
      <c r="EA136" s="2">
        <v>34</v>
      </c>
      <c r="EB136" s="2">
        <v>43</v>
      </c>
      <c r="EC136" s="2">
        <v>1</v>
      </c>
      <c r="ED136" s="2">
        <v>1</v>
      </c>
    </row>
    <row r="137" spans="2:134" x14ac:dyDescent="0.25">
      <c r="C137" s="8" t="s">
        <v>56</v>
      </c>
      <c r="D137" s="2">
        <v>2501008839</v>
      </c>
      <c r="E137" s="2" t="s">
        <v>533</v>
      </c>
      <c r="F137" s="2">
        <v>1</v>
      </c>
      <c r="G137" s="2">
        <v>53</v>
      </c>
      <c r="H137" s="2">
        <v>0.34026866801923261</v>
      </c>
      <c r="I137" s="2">
        <v>43</v>
      </c>
      <c r="J137" s="2">
        <v>-3.3004284832931421</v>
      </c>
      <c r="K137" s="5">
        <v>2545</v>
      </c>
      <c r="L137" s="2">
        <v>-1.61226145999007</v>
      </c>
      <c r="M137" s="2">
        <v>-0.1663</v>
      </c>
      <c r="N137" s="2">
        <f t="shared" si="137"/>
        <v>-0.70478433400961626</v>
      </c>
      <c r="O137" s="2">
        <f t="shared" si="138"/>
        <v>-0.1663</v>
      </c>
      <c r="P137" s="2">
        <v>61.5</v>
      </c>
      <c r="Q137" s="2">
        <v>-1.88</v>
      </c>
      <c r="R137" s="5">
        <f t="shared" si="139"/>
        <v>0.68021424164657107</v>
      </c>
      <c r="S137" s="5">
        <f t="shared" si="140"/>
        <v>-1.88</v>
      </c>
      <c r="T137" s="2">
        <v>6300</v>
      </c>
      <c r="U137" s="2">
        <v>-1.22</v>
      </c>
      <c r="V137" s="2">
        <f t="shared" si="141"/>
        <v>-0.15886927000496498</v>
      </c>
      <c r="W137" s="2">
        <f t="shared" si="142"/>
        <v>-1.22</v>
      </c>
      <c r="X137" s="2">
        <v>-1.0692999999999999</v>
      </c>
      <c r="Y137" s="76">
        <f t="shared" si="179"/>
        <v>-1.4095686680192325</v>
      </c>
      <c r="Z137" s="76">
        <f t="shared" si="180"/>
        <v>-2</v>
      </c>
      <c r="AA137" s="2">
        <f t="shared" si="143"/>
        <v>0.58729999999999993</v>
      </c>
      <c r="AB137" s="2">
        <f t="shared" si="144"/>
        <v>-1.0692999999999999</v>
      </c>
      <c r="AC137" s="2">
        <v>69</v>
      </c>
      <c r="AD137" s="2">
        <v>-1.94</v>
      </c>
      <c r="AE137" s="79">
        <f t="shared" si="181"/>
        <v>1.3604284832931421</v>
      </c>
      <c r="AF137" s="79">
        <f t="shared" si="182"/>
        <v>2</v>
      </c>
      <c r="AG137" s="2">
        <f t="shared" si="134"/>
        <v>-0.30000000000000004</v>
      </c>
      <c r="AH137" s="2">
        <f t="shared" si="145"/>
        <v>-1.94</v>
      </c>
      <c r="AI137" s="2">
        <v>7100</v>
      </c>
      <c r="AJ137" s="2">
        <v>-1.93</v>
      </c>
      <c r="AK137" s="76">
        <f t="shared" si="183"/>
        <v>-0.31773854000992996</v>
      </c>
      <c r="AL137" s="76">
        <f t="shared" si="184"/>
        <v>-1</v>
      </c>
      <c r="AM137" s="2">
        <f t="shared" si="146"/>
        <v>-0.42499999999999993</v>
      </c>
      <c r="AN137" s="2">
        <f t="shared" si="147"/>
        <v>-1.93</v>
      </c>
      <c r="AO137" s="2">
        <v>-0.70540000000000003</v>
      </c>
      <c r="AP137" s="2">
        <f t="shared" si="148"/>
        <v>-0.49222815767783457</v>
      </c>
      <c r="AQ137" s="2">
        <f t="shared" si="149"/>
        <v>-0.70540000000000003</v>
      </c>
      <c r="AR137" s="2">
        <v>73.5</v>
      </c>
      <c r="AS137" s="2">
        <v>-2.48</v>
      </c>
      <c r="AT137" s="2">
        <f t="shared" si="150"/>
        <v>-1.6248492411218063E-2</v>
      </c>
      <c r="AU137" s="2">
        <f t="shared" si="151"/>
        <v>-2.48</v>
      </c>
      <c r="AV137" s="2">
        <v>8000</v>
      </c>
      <c r="AW137" s="2">
        <v>-2.0699999999999998</v>
      </c>
      <c r="AX137" s="2">
        <f t="shared" si="152"/>
        <v>-0.85877958777185548</v>
      </c>
      <c r="AY137" s="2">
        <f t="shared" si="153"/>
        <v>-2.0699999999999998</v>
      </c>
      <c r="AZ137" s="2">
        <v>-2.053756315355669</v>
      </c>
      <c r="BA137" s="78">
        <f t="shared" si="185"/>
        <v>-0.98445631535566913</v>
      </c>
      <c r="BB137" s="78">
        <f t="shared" si="186"/>
        <v>-2</v>
      </c>
      <c r="BC137" s="2">
        <f t="shared" si="154"/>
        <v>-0.68763105844368066</v>
      </c>
      <c r="BD137" s="2">
        <f t="shared" si="155"/>
        <v>-2.053756315355669</v>
      </c>
      <c r="BE137" s="67">
        <f t="shared" si="187"/>
        <v>2</v>
      </c>
      <c r="BF137" s="2">
        <v>78.5</v>
      </c>
      <c r="BG137" s="2">
        <v>-1.9724969848224361</v>
      </c>
      <c r="BH137" s="2">
        <f t="shared" si="156"/>
        <v>-1.1588129723289006E-2</v>
      </c>
      <c r="BI137" s="2">
        <f t="shared" si="157"/>
        <v>-1.9724969848224361</v>
      </c>
      <c r="BJ137" s="67">
        <f t="shared" si="158"/>
        <v>7</v>
      </c>
      <c r="BK137" s="2">
        <v>8600</v>
      </c>
      <c r="BL137" s="2">
        <v>-3.6475591755437109</v>
      </c>
      <c r="BM137" s="77">
        <f t="shared" si="188"/>
        <v>-1.717559175543711</v>
      </c>
      <c r="BN137" s="77">
        <f t="shared" si="189"/>
        <v>-2</v>
      </c>
      <c r="BO137" s="2">
        <f t="shared" si="159"/>
        <v>-0.6779592340125572</v>
      </c>
      <c r="BP137" s="2">
        <f t="shared" si="160"/>
        <v>-3.6475591755437109</v>
      </c>
      <c r="BQ137" s="67">
        <f t="shared" si="190"/>
        <v>3</v>
      </c>
      <c r="BR137" s="5">
        <v>-2.768293175331042</v>
      </c>
      <c r="BS137" s="75">
        <f t="shared" si="191"/>
        <v>-0.71453685997537297</v>
      </c>
      <c r="BT137" s="75">
        <f t="shared" si="192"/>
        <v>-2</v>
      </c>
      <c r="BU137" s="5">
        <f>IF(G143&gt;=36, IF(AND(NOT(ISBLANK(CM:CM)), NOT(ISBLANK(BD:BD))), (CM:CM-BD:BD)/2, ""), "UF")</f>
        <v>-7.7059216353537963E-2</v>
      </c>
      <c r="BV137" s="5">
        <f t="shared" si="161"/>
        <v>-2.768293175331042</v>
      </c>
      <c r="BW137" s="69">
        <f t="shared" si="162"/>
        <v>2</v>
      </c>
      <c r="BX137" s="2">
        <v>84.5</v>
      </c>
      <c r="BY137" s="5">
        <v>-2.514764389169867</v>
      </c>
      <c r="BZ137" s="74">
        <f t="shared" si="193"/>
        <v>1.1327947863738439</v>
      </c>
      <c r="CA137" s="74">
        <f t="shared" si="194"/>
        <v>2</v>
      </c>
      <c r="CB137" s="5">
        <f t="shared" si="163"/>
        <v>-0.32060146515012189</v>
      </c>
      <c r="CC137" s="5">
        <f t="shared" si="164"/>
        <v>-2.514764389169867</v>
      </c>
      <c r="CD137" s="2">
        <f t="shared" si="165"/>
        <v>-0.54226740434743093</v>
      </c>
      <c r="CE137" s="69">
        <f t="shared" si="166"/>
        <v>6</v>
      </c>
      <c r="CF137" s="5">
        <v>9370</v>
      </c>
      <c r="CG137" s="5">
        <v>-4.1038777020376713</v>
      </c>
      <c r="CH137" s="72">
        <f t="shared" si="195"/>
        <v>-0.45631852649396043</v>
      </c>
      <c r="CI137" s="72">
        <f t="shared" si="196"/>
        <v>-1</v>
      </c>
      <c r="CJ137" s="5">
        <f t="shared" si="167"/>
        <v>-2.6276623996001947E-2</v>
      </c>
      <c r="CK137" s="5">
        <f t="shared" si="168"/>
        <v>-4.1038777020376713</v>
      </c>
      <c r="CL137" s="69">
        <f t="shared" si="169"/>
        <v>3</v>
      </c>
      <c r="CM137" s="5">
        <v>-2.207874748062745</v>
      </c>
      <c r="CN137" s="70">
        <f t="shared" si="170"/>
        <v>0.56041842726829705</v>
      </c>
      <c r="CO137" s="5">
        <f t="shared" si="171"/>
        <v>0.56041842726829705</v>
      </c>
      <c r="CP137" s="5">
        <f>IF(G137&lt;48,"UF", IF(NOT(ISBLANK(CM:CM)), CM:CM, IF(BW:BW=1, BV:BV+Sheet2!B127, IF(Sheet1!BW:BW=2, Sheet1!BV:BV+Sheet2!B128, IF(Sheet1!BW:BW=7, Sheet1!BV:BV+Sheet2!B129,"")))))</f>
        <v>-2.207874748062745</v>
      </c>
      <c r="CQ137" s="69">
        <f t="shared" si="197"/>
        <v>2</v>
      </c>
      <c r="CR137" s="5">
        <v>90.1</v>
      </c>
      <c r="CS137" s="5">
        <v>-2.6136999151226799</v>
      </c>
      <c r="CT137" s="5">
        <f t="shared" si="172"/>
        <v>-9.8935525952812853E-2</v>
      </c>
      <c r="CU137" s="80">
        <f t="shared" si="173"/>
        <v>-9.8935525952812853E-2</v>
      </c>
      <c r="CV137" s="80">
        <f t="shared" si="174"/>
        <v>-1</v>
      </c>
      <c r="CW137" s="20">
        <f>IF(G137&lt;48,"UF", IF(NOT(ISBLANK(CS137)), CS137, IF(CE137=5, CC137+Sheet2!B116, IF(CE137=6, CC137+Sheet2!B117, IF(CE137=7, CC137+Sheet2!B118,"")))))</f>
        <v>-2.6136999151226799</v>
      </c>
      <c r="CX137" s="68">
        <f t="shared" si="198"/>
        <v>6</v>
      </c>
      <c r="CY137" s="5">
        <v>10800</v>
      </c>
      <c r="CZ137" s="5">
        <v>-3.7001124235357148</v>
      </c>
      <c r="DA137" s="5">
        <f t="shared" si="175"/>
        <v>0.40376527850195654</v>
      </c>
      <c r="DB137" s="73">
        <f t="shared" si="176"/>
        <v>0.40376527850195654</v>
      </c>
      <c r="DC137" s="73">
        <f t="shared" si="177"/>
        <v>1</v>
      </c>
      <c r="DD137" s="5">
        <f>IF(G137&lt;48,"UF", IF(NOT(ISBLANK(CZ:CZ)), CZ:CZ, IF(CL:CL=3, CK:CK+Sheet2!B121, IF(CL:CL=4, CK:CK+Sheet2!B122, IF(CL:CL=7, CK:CK+Sheet2!B123,"")))))</f>
        <v>-3.7001124235357148</v>
      </c>
      <c r="DE137" s="69">
        <f t="shared" si="178"/>
        <v>3</v>
      </c>
      <c r="DF137" s="2">
        <v>1</v>
      </c>
      <c r="DG137" s="2">
        <v>23</v>
      </c>
      <c r="DH137" s="2">
        <v>1</v>
      </c>
      <c r="DI137" s="2">
        <v>1</v>
      </c>
      <c r="DJ137" s="2">
        <v>2</v>
      </c>
      <c r="DK137" s="2">
        <v>100</v>
      </c>
      <c r="DL137" s="2">
        <v>60</v>
      </c>
      <c r="DM137" s="2">
        <v>100</v>
      </c>
      <c r="DN137" s="2">
        <v>60</v>
      </c>
      <c r="DO137" s="2">
        <v>100</v>
      </c>
      <c r="DP137" s="2">
        <v>60</v>
      </c>
      <c r="DQ137" s="2">
        <v>2</v>
      </c>
      <c r="DR137" s="2">
        <v>40</v>
      </c>
      <c r="DS137" s="2">
        <v>1</v>
      </c>
      <c r="DT137" s="2">
        <v>97</v>
      </c>
      <c r="DU137" s="2">
        <v>85</v>
      </c>
      <c r="DV137" s="2">
        <v>2</v>
      </c>
      <c r="DW137" s="2">
        <v>2</v>
      </c>
      <c r="DX137" s="2">
        <v>2</v>
      </c>
      <c r="DY137" s="2">
        <v>2</v>
      </c>
      <c r="DZ137" s="2">
        <v>31</v>
      </c>
      <c r="EA137" s="2">
        <v>32.5</v>
      </c>
      <c r="EB137" s="2">
        <v>43.3</v>
      </c>
      <c r="EC137" s="2">
        <v>1</v>
      </c>
      <c r="ED137" s="2">
        <v>1</v>
      </c>
    </row>
    <row r="138" spans="2:134" x14ac:dyDescent="0.25">
      <c r="C138" s="8" t="s">
        <v>254</v>
      </c>
      <c r="D138" s="4">
        <v>2501009126</v>
      </c>
      <c r="E138" s="5">
        <v>7</v>
      </c>
      <c r="F138" s="2">
        <v>1</v>
      </c>
      <c r="G138" s="2">
        <v>53</v>
      </c>
      <c r="H138" s="2">
        <v>0.30564732161678893</v>
      </c>
      <c r="I138" s="2">
        <v>50</v>
      </c>
      <c r="J138" s="2">
        <v>0.45756143734440202</v>
      </c>
      <c r="K138" s="2">
        <v>3430</v>
      </c>
      <c r="L138" s="2">
        <v>0.42392407782294578</v>
      </c>
      <c r="M138" s="2">
        <v>1.0471999999999999</v>
      </c>
      <c r="N138" s="2">
        <f t="shared" si="137"/>
        <v>0.58887633919160554</v>
      </c>
      <c r="O138" s="2">
        <f t="shared" si="138"/>
        <v>1.0471999999999999</v>
      </c>
      <c r="P138" s="2">
        <v>68</v>
      </c>
      <c r="Q138" s="2">
        <v>0.99</v>
      </c>
      <c r="R138" s="5">
        <f t="shared" si="139"/>
        <v>0.156219281327799</v>
      </c>
      <c r="S138" s="5">
        <f t="shared" si="140"/>
        <v>0.99</v>
      </c>
      <c r="T138" s="2">
        <v>8600</v>
      </c>
      <c r="U138" s="2">
        <v>1.33</v>
      </c>
      <c r="V138" s="2">
        <f t="shared" si="141"/>
        <v>0.54303796108852709</v>
      </c>
      <c r="W138" s="2">
        <f t="shared" si="142"/>
        <v>1.33</v>
      </c>
      <c r="X138" s="2">
        <v>1.4834000000000001</v>
      </c>
      <c r="Y138" s="76">
        <f t="shared" si="179"/>
        <v>1.1777526783832111</v>
      </c>
      <c r="Z138" s="76">
        <f t="shared" si="180"/>
        <v>2</v>
      </c>
      <c r="AA138" s="2">
        <f t="shared" si="143"/>
        <v>7.3999999999999622E-3</v>
      </c>
      <c r="AB138" s="2">
        <f t="shared" si="144"/>
        <v>1.4834000000000001</v>
      </c>
      <c r="AC138" s="2">
        <v>76</v>
      </c>
      <c r="AD138" s="2">
        <v>0.77</v>
      </c>
      <c r="AE138" s="79">
        <f t="shared" si="181"/>
        <v>0.312438562655598</v>
      </c>
      <c r="AF138" s="79">
        <f t="shared" si="182"/>
        <v>1</v>
      </c>
      <c r="AG138" s="2">
        <f t="shared" si="134"/>
        <v>-0.62</v>
      </c>
      <c r="AH138" s="2">
        <f t="shared" si="145"/>
        <v>0.77</v>
      </c>
      <c r="AI138" s="2">
        <v>10800</v>
      </c>
      <c r="AJ138" s="2">
        <v>1.51</v>
      </c>
      <c r="AK138" s="76">
        <f t="shared" si="183"/>
        <v>1.0860759221770542</v>
      </c>
      <c r="AL138" s="76">
        <f t="shared" si="184"/>
        <v>2</v>
      </c>
      <c r="AM138" s="2">
        <f t="shared" si="146"/>
        <v>-0.37500000000000006</v>
      </c>
      <c r="AN138" s="2">
        <f t="shared" si="147"/>
        <v>1.51</v>
      </c>
      <c r="AO138" s="2">
        <v>1.0047999999999999</v>
      </c>
      <c r="AP138" s="2">
        <f t="shared" si="148"/>
        <v>-1.1691120071202978</v>
      </c>
      <c r="AQ138" s="2">
        <f t="shared" si="149"/>
        <v>1.0047999999999999</v>
      </c>
      <c r="AR138" s="2">
        <v>80</v>
      </c>
      <c r="AS138" s="2">
        <v>-0.25</v>
      </c>
      <c r="AT138" s="2">
        <f t="shared" si="150"/>
        <v>-0.29862307781549213</v>
      </c>
      <c r="AU138" s="2">
        <f t="shared" si="151"/>
        <v>-0.25</v>
      </c>
      <c r="AV138" s="2">
        <v>11000</v>
      </c>
      <c r="AW138" s="2">
        <v>0.57999999999999996</v>
      </c>
      <c r="AX138" s="2">
        <f t="shared" si="152"/>
        <v>-1.0946990702329953</v>
      </c>
      <c r="AY138" s="2">
        <f t="shared" si="153"/>
        <v>0.57999999999999996</v>
      </c>
      <c r="AZ138" s="2">
        <v>-0.85482401424059584</v>
      </c>
      <c r="BA138" s="78">
        <f t="shared" si="185"/>
        <v>-2.3382240142405957</v>
      </c>
      <c r="BB138" s="78">
        <f t="shared" si="186"/>
        <v>-2</v>
      </c>
      <c r="BC138" s="2">
        <f t="shared" si="154"/>
        <v>-0.62981308954777493</v>
      </c>
      <c r="BD138" s="2">
        <f t="shared" si="155"/>
        <v>-0.85482401424059584</v>
      </c>
      <c r="BE138" s="67">
        <f t="shared" si="187"/>
        <v>7</v>
      </c>
      <c r="BF138" s="2">
        <v>86</v>
      </c>
      <c r="BG138" s="2">
        <v>0.1727538443690157</v>
      </c>
      <c r="BH138" s="2">
        <f t="shared" si="156"/>
        <v>6.5358351232728901E-2</v>
      </c>
      <c r="BI138" s="2">
        <f t="shared" si="157"/>
        <v>0.1727538443690157</v>
      </c>
      <c r="BJ138" s="67">
        <f t="shared" si="158"/>
        <v>7</v>
      </c>
      <c r="BK138" s="2">
        <v>11300</v>
      </c>
      <c r="BL138" s="2">
        <v>-0.67939814046599045</v>
      </c>
      <c r="BM138" s="77">
        <f t="shared" si="188"/>
        <v>-2.1893981404659906</v>
      </c>
      <c r="BN138" s="77">
        <f t="shared" si="189"/>
        <v>-2</v>
      </c>
      <c r="BO138" s="2">
        <f t="shared" si="159"/>
        <v>-0.3954497597085489</v>
      </c>
      <c r="BP138" s="2">
        <f t="shared" si="160"/>
        <v>-0.67939814046599045</v>
      </c>
      <c r="BQ138" s="67">
        <f t="shared" si="190"/>
        <v>7</v>
      </c>
      <c r="BR138" s="5">
        <v>-0.88463926864332476</v>
      </c>
      <c r="BS138" s="75">
        <f t="shared" si="191"/>
        <v>-2.9815254402728919E-2</v>
      </c>
      <c r="BT138" s="75">
        <f t="shared" si="192"/>
        <v>-1</v>
      </c>
      <c r="BU138" s="5">
        <f>IF(G145&gt;=36, IF(AND(NOT(ISBLANK(CM:CM)), NOT(ISBLANK(BD:BD))), (CM:CM-BD:BD)/2, ""), "UF")</f>
        <v>-7.9544910685047099E-3</v>
      </c>
      <c r="BV138" s="5">
        <f t="shared" si="161"/>
        <v>-0.88463926864332476</v>
      </c>
      <c r="BW138" s="69">
        <f t="shared" si="162"/>
        <v>7</v>
      </c>
      <c r="BX138" s="2">
        <v>94</v>
      </c>
      <c r="BY138" s="5">
        <v>-5.3924946301813291E-2</v>
      </c>
      <c r="BZ138" s="74">
        <f t="shared" si="193"/>
        <v>0.62547319416417713</v>
      </c>
      <c r="CA138" s="74">
        <f t="shared" si="194"/>
        <v>1</v>
      </c>
      <c r="CB138" s="5">
        <f t="shared" si="163"/>
        <v>0.13686205937397711</v>
      </c>
      <c r="CC138" s="5">
        <f t="shared" si="164"/>
        <v>-5.3924946301813291E-2</v>
      </c>
      <c r="CD138" s="2">
        <f t="shared" si="165"/>
        <v>-0.22667879067082899</v>
      </c>
      <c r="CE138" s="69">
        <f t="shared" si="166"/>
        <v>7</v>
      </c>
      <c r="CF138" s="5">
        <v>13000</v>
      </c>
      <c r="CG138" s="5">
        <v>-0.60634927912564673</v>
      </c>
      <c r="CH138" s="72">
        <f t="shared" si="195"/>
        <v>7.3048861340343718E-2</v>
      </c>
      <c r="CI138" s="72">
        <f t="shared" si="196"/>
        <v>1</v>
      </c>
      <c r="CJ138" s="5">
        <f t="shared" si="167"/>
        <v>0.18285645171725598</v>
      </c>
      <c r="CK138" s="5">
        <f t="shared" si="168"/>
        <v>-0.60634927912564673</v>
      </c>
      <c r="CL138" s="69">
        <f t="shared" si="169"/>
        <v>7</v>
      </c>
      <c r="CM138" s="5">
        <v>-0.87073299637760526</v>
      </c>
      <c r="CN138" s="70">
        <f t="shared" si="170"/>
        <v>1.3906272265719499E-2</v>
      </c>
      <c r="CO138" s="5">
        <f t="shared" si="171"/>
        <v>1.3906272265719499E-2</v>
      </c>
      <c r="CP138" s="5">
        <f>IF(G138&lt;48,"UF", IF(NOT(ISBLANK(CM:CM)), CM:CM, IF(BW:BW=1, BV:BV+Sheet2!B449, IF(Sheet1!BW:BW=2, Sheet1!BV:BV+Sheet2!B450, IF(Sheet1!BW:BW=7, Sheet1!BV:BV+Sheet2!B451,"")))))</f>
        <v>-0.87073299637760526</v>
      </c>
      <c r="CQ138" s="69">
        <f t="shared" si="197"/>
        <v>7</v>
      </c>
      <c r="CR138" s="5">
        <v>103</v>
      </c>
      <c r="CS138" s="5">
        <v>0.44647796311696991</v>
      </c>
      <c r="CT138" s="5">
        <f t="shared" si="172"/>
        <v>0.50040290941878318</v>
      </c>
      <c r="CU138" s="80">
        <f t="shared" si="173"/>
        <v>0.50040290941878318</v>
      </c>
      <c r="CV138" s="80">
        <f t="shared" si="174"/>
        <v>1</v>
      </c>
      <c r="CW138" s="20">
        <f>IF(G138&lt;48,"UF", IF(NOT(ISBLANK(CS138)), CS138, IF(CE138=5, CC138+Sheet2!B438, IF(CE138=6, CC138+Sheet2!B439, IF(CE138=7, CC138+Sheet2!B440,"")))))</f>
        <v>0.44647796311696991</v>
      </c>
      <c r="CX138" s="68">
        <f t="shared" si="198"/>
        <v>7</v>
      </c>
      <c r="CY138" s="5">
        <v>15250</v>
      </c>
      <c r="CZ138" s="5">
        <v>-0.31368523703147849</v>
      </c>
      <c r="DA138" s="5">
        <f t="shared" si="175"/>
        <v>0.29266404209416824</v>
      </c>
      <c r="DB138" s="73">
        <f t="shared" si="176"/>
        <v>0.29266404209416824</v>
      </c>
      <c r="DC138" s="73">
        <f t="shared" si="177"/>
        <v>1</v>
      </c>
      <c r="DD138" s="5">
        <f>IF(G138&lt;48,"UF", IF(NOT(ISBLANK(CZ:CZ)), CZ:CZ, IF(CL:CL=3, CK:CK+Sheet2!B443, IF(CL:CL=4, CK:CK+Sheet2!B444, IF(CL:CL=7, CK:CK+Sheet2!B445,"")))))</f>
        <v>-0.31368523703147849</v>
      </c>
      <c r="DE138" s="69">
        <f t="shared" si="178"/>
        <v>7</v>
      </c>
      <c r="DF138" s="2">
        <v>3</v>
      </c>
      <c r="DG138" s="2">
        <v>41</v>
      </c>
      <c r="DH138" s="2">
        <v>2</v>
      </c>
      <c r="DI138" s="2">
        <v>2</v>
      </c>
      <c r="DJ138" s="2">
        <v>2</v>
      </c>
      <c r="DK138" s="2">
        <v>100</v>
      </c>
      <c r="DL138" s="2">
        <v>60</v>
      </c>
      <c r="DM138" s="2">
        <v>110</v>
      </c>
      <c r="DN138" s="2">
        <v>60</v>
      </c>
      <c r="DO138" s="2" t="s">
        <v>12</v>
      </c>
      <c r="DP138" s="2" t="s">
        <v>12</v>
      </c>
      <c r="DQ138" s="2">
        <v>2</v>
      </c>
      <c r="DR138" s="2">
        <v>40</v>
      </c>
      <c r="DS138" s="2">
        <v>2</v>
      </c>
      <c r="DT138" s="2">
        <v>91</v>
      </c>
      <c r="DU138" s="2">
        <v>82</v>
      </c>
      <c r="DV138" s="2">
        <v>2</v>
      </c>
      <c r="DW138" s="2">
        <v>3</v>
      </c>
      <c r="DX138" s="2">
        <v>2</v>
      </c>
      <c r="DY138" s="2">
        <v>2</v>
      </c>
      <c r="DZ138" s="2">
        <v>34.5</v>
      </c>
      <c r="EA138" s="2">
        <v>36</v>
      </c>
      <c r="EB138" s="2">
        <v>44.5</v>
      </c>
      <c r="EC138" s="2">
        <v>1</v>
      </c>
      <c r="ED138" s="2">
        <v>1</v>
      </c>
    </row>
    <row r="139" spans="2:134" x14ac:dyDescent="0.25">
      <c r="C139" s="8" t="s">
        <v>306</v>
      </c>
      <c r="D139" s="8">
        <v>2501009142</v>
      </c>
      <c r="E139" s="5">
        <v>7</v>
      </c>
      <c r="F139" s="2">
        <v>1</v>
      </c>
      <c r="G139" s="2">
        <v>54</v>
      </c>
      <c r="H139" s="2">
        <v>-0.27629266050180568</v>
      </c>
      <c r="I139" s="2">
        <v>52</v>
      </c>
      <c r="J139" s="2">
        <v>1.531272843240846</v>
      </c>
      <c r="K139" s="2">
        <v>3515</v>
      </c>
      <c r="L139" s="2">
        <v>0.60144510926984185</v>
      </c>
      <c r="M139" s="2">
        <v>-0.38869999999999999</v>
      </c>
      <c r="N139" s="2">
        <f t="shared" si="137"/>
        <v>-0.12835366974909718</v>
      </c>
      <c r="O139" s="2">
        <f t="shared" si="138"/>
        <v>-0.38869999999999999</v>
      </c>
      <c r="P139" s="2">
        <v>70</v>
      </c>
      <c r="Q139" s="2">
        <v>1.87</v>
      </c>
      <c r="R139" s="5">
        <f t="shared" si="139"/>
        <v>9.36357837957702E-3</v>
      </c>
      <c r="S139" s="5">
        <f t="shared" si="140"/>
        <v>1.87</v>
      </c>
      <c r="T139" s="2">
        <v>8000</v>
      </c>
      <c r="U139" s="2">
        <v>0.75</v>
      </c>
      <c r="V139" s="2">
        <f t="shared" si="141"/>
        <v>-5.5722554634920929E-2</v>
      </c>
      <c r="W139" s="2">
        <f t="shared" si="142"/>
        <v>0.75</v>
      </c>
      <c r="X139" s="2">
        <v>-0.53300000000000003</v>
      </c>
      <c r="Y139" s="76">
        <f t="shared" si="179"/>
        <v>-0.25670733949819435</v>
      </c>
      <c r="Z139" s="76">
        <f t="shared" si="180"/>
        <v>-1</v>
      </c>
      <c r="AA139" s="2">
        <f t="shared" si="143"/>
        <v>-1.8423</v>
      </c>
      <c r="AB139" s="2">
        <f t="shared" si="144"/>
        <v>-0.53300000000000003</v>
      </c>
      <c r="AC139" s="2">
        <v>78</v>
      </c>
      <c r="AD139" s="2">
        <v>1.55</v>
      </c>
      <c r="AE139" s="79">
        <f t="shared" si="181"/>
        <v>1.872715675915404E-2</v>
      </c>
      <c r="AF139" s="79">
        <f t="shared" si="182"/>
        <v>1</v>
      </c>
      <c r="AG139" s="2">
        <f t="shared" si="134"/>
        <v>-2.5000000000000022E-2</v>
      </c>
      <c r="AH139" s="2">
        <f t="shared" si="145"/>
        <v>1.55</v>
      </c>
      <c r="AI139" s="2">
        <v>9500</v>
      </c>
      <c r="AJ139" s="2">
        <v>0.49</v>
      </c>
      <c r="AK139" s="76">
        <f t="shared" si="183"/>
        <v>-0.11144510926984186</v>
      </c>
      <c r="AL139" s="76">
        <f t="shared" si="184"/>
        <v>-1</v>
      </c>
      <c r="AM139" s="2">
        <f t="shared" si="146"/>
        <v>-0.47</v>
      </c>
      <c r="AN139" s="2">
        <f t="shared" si="147"/>
        <v>0.49</v>
      </c>
      <c r="AO139" s="2">
        <v>-1.8146</v>
      </c>
      <c r="AP139" s="2" t="str">
        <f t="shared" si="148"/>
        <v/>
      </c>
      <c r="AQ139" s="2">
        <f t="shared" si="149"/>
        <v>-1.8146</v>
      </c>
      <c r="AR139" s="2">
        <v>86</v>
      </c>
      <c r="AS139" s="2">
        <v>1.82</v>
      </c>
      <c r="AT139" s="2" t="str">
        <f t="shared" si="150"/>
        <v/>
      </c>
      <c r="AU139" s="2">
        <f t="shared" si="151"/>
        <v>1.82</v>
      </c>
      <c r="AV139" s="2">
        <v>10000</v>
      </c>
      <c r="AW139" s="2">
        <v>-0.19</v>
      </c>
      <c r="AX139" s="2" t="str">
        <f t="shared" si="152"/>
        <v/>
      </c>
      <c r="AY139" s="2">
        <f t="shared" si="153"/>
        <v>-0.19</v>
      </c>
      <c r="BA139" s="78" t="e">
        <f t="shared" si="185"/>
        <v>#VALUE!</v>
      </c>
      <c r="BB139" s="78" t="e">
        <f t="shared" si="186"/>
        <v>#VALUE!</v>
      </c>
      <c r="BC139" s="2" t="str">
        <f t="shared" si="154"/>
        <v/>
      </c>
      <c r="BD139" s="2" t="e">
        <f t="shared" si="155"/>
        <v>#VALUE!</v>
      </c>
      <c r="BE139" s="67" t="e">
        <f t="shared" si="187"/>
        <v>#VALUE!</v>
      </c>
      <c r="BF139" s="2" t="s">
        <v>12</v>
      </c>
      <c r="BH139" s="2" t="str">
        <f t="shared" si="156"/>
        <v/>
      </c>
      <c r="BI139" s="2" t="e">
        <f t="shared" si="157"/>
        <v>#VALUE!</v>
      </c>
      <c r="BJ139" s="67" t="e">
        <f t="shared" si="158"/>
        <v>#VALUE!</v>
      </c>
      <c r="BK139" s="2" t="s">
        <v>12</v>
      </c>
      <c r="BM139" s="77" t="e">
        <f t="shared" si="188"/>
        <v>#VALUE!</v>
      </c>
      <c r="BN139" s="77" t="e">
        <f t="shared" si="189"/>
        <v>#VALUE!</v>
      </c>
      <c r="BO139" s="2" t="str">
        <f t="shared" si="159"/>
        <v/>
      </c>
      <c r="BP139" s="2" t="e">
        <f t="shared" si="160"/>
        <v>#VALUE!</v>
      </c>
      <c r="BQ139" s="67" t="e">
        <f t="shared" si="190"/>
        <v>#VALUE!</v>
      </c>
      <c r="BS139" s="75" t="e">
        <f t="shared" si="191"/>
        <v>#VALUE!</v>
      </c>
      <c r="BT139" s="75" t="e">
        <f t="shared" si="192"/>
        <v>#VALUE!</v>
      </c>
      <c r="BU139" s="5" t="e">
        <f>IF(G146&gt;=36, IF(AND(NOT(ISBLANK(CM:CM)), NOT(ISBLANK(BD:BD))), (CM:CM-BD:BD)/2, ""), "UF")</f>
        <v>#VALUE!</v>
      </c>
      <c r="BV139" s="5" t="e">
        <f t="shared" si="161"/>
        <v>#VALUE!</v>
      </c>
      <c r="BW139" s="69" t="e">
        <f t="shared" si="162"/>
        <v>#VALUE!</v>
      </c>
      <c r="BX139" s="2" t="s">
        <v>12</v>
      </c>
      <c r="BZ139" s="74" t="e">
        <f t="shared" si="193"/>
        <v>#VALUE!</v>
      </c>
      <c r="CA139" s="74" t="e">
        <f t="shared" si="194"/>
        <v>#VALUE!</v>
      </c>
      <c r="CB139" s="5" t="e">
        <f t="shared" si="163"/>
        <v>#VALUE!</v>
      </c>
      <c r="CC139" s="5" t="e">
        <f t="shared" si="164"/>
        <v>#VALUE!</v>
      </c>
      <c r="CD139" s="2" t="e">
        <f t="shared" si="165"/>
        <v>#VALUE!</v>
      </c>
      <c r="CE139" s="69" t="e">
        <f t="shared" si="166"/>
        <v>#VALUE!</v>
      </c>
      <c r="CF139" s="5" t="s">
        <v>12</v>
      </c>
      <c r="CH139" s="72" t="e">
        <f t="shared" si="195"/>
        <v>#VALUE!</v>
      </c>
      <c r="CI139" s="72" t="e">
        <f t="shared" si="196"/>
        <v>#VALUE!</v>
      </c>
      <c r="CJ139" s="5" t="e">
        <f t="shared" si="167"/>
        <v>#VALUE!</v>
      </c>
      <c r="CK139" s="5" t="e">
        <f t="shared" si="168"/>
        <v>#VALUE!</v>
      </c>
      <c r="CL139" s="69" t="e">
        <f t="shared" si="169"/>
        <v>#VALUE!</v>
      </c>
      <c r="CM139" s="5">
        <v>-1.932454996257678</v>
      </c>
      <c r="CN139" s="70" t="e">
        <f t="shared" si="170"/>
        <v>#VALUE!</v>
      </c>
      <c r="CO139" s="5" t="e">
        <f t="shared" si="171"/>
        <v>#VALUE!</v>
      </c>
      <c r="CP139" s="5">
        <f>IF(G139&lt;48,"UF", IF(NOT(ISBLANK(CM:CM)), CM:CM, IF(BW:BW=1, BV:BV+Sheet2!B521, IF(Sheet1!BW:BW=2, Sheet1!BV:BV+Sheet2!B522, IF(Sheet1!BW:BW=7, Sheet1!BV:BV+Sheet2!B523,"")))))</f>
        <v>-1.932454996257678</v>
      </c>
      <c r="CQ139" s="69">
        <f t="shared" si="197"/>
        <v>7</v>
      </c>
      <c r="CR139" s="5">
        <v>104</v>
      </c>
      <c r="CS139" s="5">
        <v>0.67104201438851629</v>
      </c>
      <c r="CT139" s="5" t="e">
        <f t="shared" si="172"/>
        <v>#VALUE!</v>
      </c>
      <c r="CU139" s="80" t="e">
        <f t="shared" si="173"/>
        <v>#VALUE!</v>
      </c>
      <c r="CV139" s="80" t="e">
        <f t="shared" si="174"/>
        <v>#VALUE!</v>
      </c>
      <c r="CW139" s="20">
        <f>IF(G139&lt;48,"UF", IF(NOT(ISBLANK(CS139)), CS139, IF(CE139=5, CC139+Sheet2!B510, IF(CE139=6, CC139+Sheet2!B511, IF(CE139=7, CC139+Sheet2!B512,"")))))</f>
        <v>0.67104201438851629</v>
      </c>
      <c r="CX139" s="68">
        <f t="shared" si="198"/>
        <v>7</v>
      </c>
      <c r="CY139" s="5">
        <v>14600</v>
      </c>
      <c r="CZ139" s="5">
        <v>-0.66928523288339614</v>
      </c>
      <c r="DA139" s="5" t="e">
        <f t="shared" si="175"/>
        <v>#VALUE!</v>
      </c>
      <c r="DB139" s="73" t="e">
        <f t="shared" si="176"/>
        <v>#VALUE!</v>
      </c>
      <c r="DC139" s="73" t="e">
        <f t="shared" si="177"/>
        <v>#VALUE!</v>
      </c>
      <c r="DD139" s="5">
        <f>IF(G139&lt;48,"UF", IF(NOT(ISBLANK(CZ:CZ)), CZ:CZ, IF(CL:CL=3, CK:CK+Sheet2!B515, IF(CL:CL=4, CK:CK+Sheet2!B516, IF(CL:CL=7, CK:CK+Sheet2!B517,"")))))</f>
        <v>-0.66928523288339614</v>
      </c>
      <c r="DE139" s="69">
        <f t="shared" si="178"/>
        <v>7</v>
      </c>
      <c r="DF139" s="2">
        <v>1</v>
      </c>
      <c r="DG139" s="2">
        <v>31</v>
      </c>
      <c r="DH139" s="2">
        <v>1</v>
      </c>
      <c r="DI139" s="2">
        <v>2</v>
      </c>
      <c r="DJ139" s="2">
        <v>3</v>
      </c>
      <c r="DK139" s="2" t="s">
        <v>12</v>
      </c>
      <c r="DL139" s="2" t="s">
        <v>12</v>
      </c>
      <c r="DM139" s="2" t="s">
        <v>12</v>
      </c>
      <c r="DN139" s="2" t="s">
        <v>12</v>
      </c>
      <c r="DO139" s="2" t="s">
        <v>12</v>
      </c>
      <c r="DP139" s="2" t="s">
        <v>12</v>
      </c>
      <c r="DQ139" s="2">
        <v>2</v>
      </c>
      <c r="DR139" s="2">
        <v>39</v>
      </c>
      <c r="DS139" s="2">
        <v>3</v>
      </c>
      <c r="DT139" s="2" t="s">
        <v>12</v>
      </c>
      <c r="DU139" s="2" t="s">
        <v>12</v>
      </c>
      <c r="DV139" s="2">
        <v>2</v>
      </c>
      <c r="DW139" s="2">
        <v>3</v>
      </c>
      <c r="DX139" s="2">
        <v>2</v>
      </c>
      <c r="DY139" s="2">
        <v>3</v>
      </c>
      <c r="DZ139" s="2">
        <v>35</v>
      </c>
      <c r="EA139" s="2" t="s">
        <v>12</v>
      </c>
      <c r="EB139" s="2">
        <v>46.3</v>
      </c>
      <c r="EC139" s="2" t="s">
        <v>12</v>
      </c>
      <c r="ED139" s="2">
        <v>1</v>
      </c>
    </row>
    <row r="140" spans="2:134" x14ac:dyDescent="0.25">
      <c r="C140" s="8" t="s">
        <v>306</v>
      </c>
      <c r="D140" s="2">
        <v>2501009274</v>
      </c>
      <c r="E140" s="5" t="s">
        <v>528</v>
      </c>
      <c r="F140" s="2">
        <v>2</v>
      </c>
      <c r="G140" s="2">
        <v>56</v>
      </c>
      <c r="H140" s="2">
        <v>-4.1909346386356221</v>
      </c>
      <c r="I140" s="2">
        <v>47</v>
      </c>
      <c r="J140" s="2">
        <v>-1.5235289479443319</v>
      </c>
      <c r="K140" s="5">
        <v>2000</v>
      </c>
      <c r="L140" s="2">
        <v>-3.2118915230029321</v>
      </c>
      <c r="M140" s="2">
        <v>6.0999999999999999E-2</v>
      </c>
      <c r="N140" s="2">
        <f t="shared" si="137"/>
        <v>1.2296673193178109</v>
      </c>
      <c r="O140" s="2">
        <f t="shared" si="138"/>
        <v>6.0999999999999999E-2</v>
      </c>
      <c r="P140" s="2">
        <v>62</v>
      </c>
      <c r="Q140" s="2">
        <v>-2.64</v>
      </c>
      <c r="R140" s="5">
        <f t="shared" si="139"/>
        <v>-0.23323552602783404</v>
      </c>
      <c r="S140" s="5">
        <f t="shared" si="140"/>
        <v>-2.64</v>
      </c>
      <c r="T140" s="1">
        <v>6700</v>
      </c>
      <c r="U140" s="2">
        <v>-1.53</v>
      </c>
      <c r="V140" s="2">
        <f t="shared" si="141"/>
        <v>0.40094576150146599</v>
      </c>
      <c r="W140" s="2">
        <f t="shared" si="142"/>
        <v>-1.53</v>
      </c>
      <c r="X140" s="2">
        <v>-1.7316</v>
      </c>
      <c r="Y140" s="76">
        <f t="shared" si="179"/>
        <v>2.4593346386356219</v>
      </c>
      <c r="Z140" s="76">
        <f t="shared" si="180"/>
        <v>2</v>
      </c>
      <c r="AA140" s="2" t="str">
        <f t="shared" si="143"/>
        <v/>
      </c>
      <c r="AB140" s="2">
        <f t="shared" si="144"/>
        <v>-1.7316</v>
      </c>
      <c r="AC140" s="2">
        <v>71</v>
      </c>
      <c r="AD140" s="2">
        <v>-1.99</v>
      </c>
      <c r="AE140" s="79">
        <f t="shared" si="181"/>
        <v>-0.46647105205566808</v>
      </c>
      <c r="AF140" s="79">
        <f t="shared" si="182"/>
        <v>-1</v>
      </c>
      <c r="AG140" s="2" t="str">
        <f t="shared" si="134"/>
        <v/>
      </c>
      <c r="AH140" s="2">
        <f t="shared" si="145"/>
        <v>-1.99</v>
      </c>
      <c r="AI140" s="2">
        <v>7400</v>
      </c>
      <c r="AJ140" s="2">
        <v>-2.41</v>
      </c>
      <c r="AK140" s="76">
        <f t="shared" si="183"/>
        <v>0.80189152300293198</v>
      </c>
      <c r="AL140" s="76">
        <f t="shared" si="184"/>
        <v>2</v>
      </c>
      <c r="AM140" s="2" t="str">
        <f t="shared" si="146"/>
        <v/>
      </c>
      <c r="AN140" s="2">
        <f t="shared" si="147"/>
        <v>-2.41</v>
      </c>
      <c r="AP140" s="2">
        <f t="shared" si="148"/>
        <v>-1.2447608246301378</v>
      </c>
      <c r="AQ140" s="2">
        <f t="shared" si="149"/>
        <v>-2.9763608246301381</v>
      </c>
      <c r="AR140" s="2" t="s">
        <v>12</v>
      </c>
      <c r="AT140" s="2">
        <f t="shared" si="150"/>
        <v>0.444819126023834</v>
      </c>
      <c r="AU140" s="2">
        <f t="shared" si="151"/>
        <v>-1.5451808739761659</v>
      </c>
      <c r="AV140" s="2" t="s">
        <v>12</v>
      </c>
      <c r="AX140" s="2">
        <f t="shared" si="152"/>
        <v>-0.57628545189791303</v>
      </c>
      <c r="AY140" s="2">
        <f t="shared" si="153"/>
        <v>-2.9862854518979134</v>
      </c>
      <c r="AZ140" s="2">
        <v>-4.2211216492602759</v>
      </c>
      <c r="BA140" s="78">
        <f t="shared" si="185"/>
        <v>-2.4895216492602756</v>
      </c>
      <c r="BB140" s="78">
        <f t="shared" si="186"/>
        <v>-2</v>
      </c>
      <c r="BC140" s="2">
        <f t="shared" si="154"/>
        <v>-9.6471592674350973E-2</v>
      </c>
      <c r="BD140" s="2">
        <f t="shared" si="155"/>
        <v>-4.2211216492602759</v>
      </c>
      <c r="BE140" s="67">
        <f t="shared" si="187"/>
        <v>1</v>
      </c>
      <c r="BF140" s="2">
        <v>83</v>
      </c>
      <c r="BG140" s="2">
        <v>-1.100361747952332</v>
      </c>
      <c r="BH140" s="2">
        <f t="shared" si="156"/>
        <v>0.13425109122960563</v>
      </c>
      <c r="BI140" s="2">
        <f t="shared" si="157"/>
        <v>-1.100361747952332</v>
      </c>
      <c r="BJ140" s="67">
        <f t="shared" si="158"/>
        <v>7</v>
      </c>
      <c r="BK140" s="2">
        <v>8800</v>
      </c>
      <c r="BL140" s="2">
        <v>-3.5625709037958262</v>
      </c>
      <c r="BM140" s="77">
        <f t="shared" si="188"/>
        <v>-1.1525709037958261</v>
      </c>
      <c r="BN140" s="77">
        <f t="shared" si="189"/>
        <v>-2</v>
      </c>
      <c r="BO140" s="2">
        <f t="shared" si="159"/>
        <v>5.6240549439509145E-2</v>
      </c>
      <c r="BP140" s="2">
        <f t="shared" si="160"/>
        <v>-3.5625709037958262</v>
      </c>
      <c r="BQ140" s="67">
        <f t="shared" si="190"/>
        <v>3</v>
      </c>
      <c r="BR140" s="5">
        <v>-3.265775602653191</v>
      </c>
      <c r="BS140" s="75">
        <f t="shared" si="191"/>
        <v>0.95534604660708489</v>
      </c>
      <c r="BT140" s="75">
        <f t="shared" si="192"/>
        <v>2</v>
      </c>
      <c r="BU140" s="5">
        <f>IF(G147&gt;=36, IF(AND(NOT(ISBLANK(CM:CM)), NOT(ISBLANK(BD:BD))), (CM:CM-BD:BD)/2, ""), "UF")</f>
        <v>-1.6902210073068957</v>
      </c>
      <c r="BV140" s="5">
        <f t="shared" si="161"/>
        <v>-3.265775602653191</v>
      </c>
      <c r="BW140" s="69">
        <f t="shared" si="162"/>
        <v>1</v>
      </c>
      <c r="BX140" s="2">
        <v>91</v>
      </c>
      <c r="BY140" s="5">
        <v>-1.142427600287349</v>
      </c>
      <c r="BZ140" s="74">
        <f t="shared" si="193"/>
        <v>2.4201433035084774</v>
      </c>
      <c r="CA140" s="74">
        <f t="shared" si="194"/>
        <v>2</v>
      </c>
      <c r="CB140" s="5">
        <f t="shared" si="163"/>
        <v>-0.10298900154986701</v>
      </c>
      <c r="CC140" s="5">
        <f t="shared" si="164"/>
        <v>-1.142427600287349</v>
      </c>
      <c r="CD140" s="2">
        <f t="shared" si="165"/>
        <v>-4.2065852335017029E-2</v>
      </c>
      <c r="CE140" s="69">
        <f t="shared" si="166"/>
        <v>7</v>
      </c>
      <c r="CF140" s="5">
        <v>10800</v>
      </c>
      <c r="CG140" s="5">
        <v>-2.817563803579386</v>
      </c>
      <c r="CH140" s="72">
        <f t="shared" si="195"/>
        <v>0.74500710021644023</v>
      </c>
      <c r="CI140" s="72">
        <f t="shared" si="196"/>
        <v>2</v>
      </c>
      <c r="CJ140" s="5">
        <f t="shared" si="167"/>
        <v>-0.79344935922963677</v>
      </c>
      <c r="CK140" s="5">
        <f t="shared" si="168"/>
        <v>-2.817563803579386</v>
      </c>
      <c r="CL140" s="69">
        <f t="shared" si="169"/>
        <v>4</v>
      </c>
      <c r="CM140" s="5">
        <v>-7.6015636638740673</v>
      </c>
      <c r="CN140" s="70">
        <f t="shared" si="170"/>
        <v>-4.3357880612208763</v>
      </c>
      <c r="CO140" s="5">
        <f t="shared" si="171"/>
        <v>-4.3357880612208763</v>
      </c>
      <c r="CP140" s="5">
        <f>IF(G140&lt;48,"UF", IF(NOT(ISBLANK(CM:CM)), CM:CM, IF(BW:BW=1, BV:BV+Sheet2!B113, IF(Sheet1!BW:BW=2, Sheet1!BV:BV+Sheet2!B114, IF(Sheet1!BW:BW=7, Sheet1!BV:BV+Sheet2!B115,"")))))</f>
        <v>-7.6015636638740673</v>
      </c>
      <c r="CQ140" s="69">
        <f t="shared" si="197"/>
        <v>1</v>
      </c>
      <c r="CR140" s="5">
        <v>97</v>
      </c>
      <c r="CS140" s="5">
        <v>-1.306339751052066</v>
      </c>
      <c r="CT140" s="5">
        <f t="shared" si="172"/>
        <v>-0.16391215076471699</v>
      </c>
      <c r="CU140" s="80">
        <f t="shared" si="173"/>
        <v>-0.16391215076471699</v>
      </c>
      <c r="CV140" s="80">
        <f t="shared" si="174"/>
        <v>-1</v>
      </c>
      <c r="CW140" s="20">
        <f>IF(G140&lt;48,"UF", IF(NOT(ISBLANK(CS140)), CS140, IF(CE140=5, CC140+Sheet2!B102, IF(CE140=6, CC140+Sheet2!B103, IF(CE140=7, CC140+Sheet2!B104,"")))))</f>
        <v>-1.306339751052066</v>
      </c>
      <c r="CX140" s="68">
        <f t="shared" si="198"/>
        <v>7</v>
      </c>
      <c r="CY140" s="5">
        <v>10000</v>
      </c>
      <c r="CZ140" s="5">
        <v>-5.1494696222550997</v>
      </c>
      <c r="DA140" s="5">
        <f t="shared" si="175"/>
        <v>-2.3319058186757138</v>
      </c>
      <c r="DB140" s="73">
        <f t="shared" si="176"/>
        <v>-2.3319058186757138</v>
      </c>
      <c r="DC140" s="73">
        <f t="shared" si="177"/>
        <v>-2</v>
      </c>
      <c r="DD140" s="5">
        <f>IF(G140&lt;48,"UF", IF(NOT(ISBLANK(CZ:CZ)), CZ:CZ, IF(CL:CL=3, CK:CK+Sheet2!B107, IF(CL:CL=4, CK:CK+Sheet2!B108, IF(CL:CL=7, CK:CK+Sheet2!B109,"")))))</f>
        <v>-5.1494696222550997</v>
      </c>
      <c r="DE140" s="69">
        <f t="shared" si="178"/>
        <v>3</v>
      </c>
      <c r="DF140" s="2">
        <v>1</v>
      </c>
      <c r="DG140" s="2">
        <v>29</v>
      </c>
      <c r="DH140" s="2">
        <v>1</v>
      </c>
      <c r="DI140" s="2">
        <v>2</v>
      </c>
      <c r="DJ140" s="2">
        <v>2</v>
      </c>
      <c r="DK140" s="2">
        <v>110</v>
      </c>
      <c r="DL140" s="2">
        <v>70</v>
      </c>
      <c r="DM140" s="2" t="s">
        <v>12</v>
      </c>
      <c r="DN140" s="2" t="s">
        <v>12</v>
      </c>
      <c r="DO140" s="2">
        <v>110</v>
      </c>
      <c r="DP140" s="2">
        <v>70</v>
      </c>
      <c r="DQ140" s="2">
        <v>2</v>
      </c>
      <c r="DR140" s="2">
        <v>40</v>
      </c>
      <c r="DS140" s="2">
        <v>2</v>
      </c>
      <c r="DT140" s="2">
        <v>82</v>
      </c>
      <c r="DU140" s="2">
        <v>77</v>
      </c>
      <c r="DV140" s="2">
        <v>2</v>
      </c>
      <c r="DW140" s="2">
        <v>2</v>
      </c>
      <c r="DX140" s="2">
        <v>2</v>
      </c>
      <c r="DY140" s="2">
        <v>2</v>
      </c>
      <c r="DZ140" s="2">
        <v>31.5</v>
      </c>
      <c r="EA140" s="2">
        <v>33</v>
      </c>
      <c r="EB140" s="2">
        <v>47</v>
      </c>
      <c r="EC140" s="2">
        <v>1</v>
      </c>
      <c r="ED140" s="2">
        <v>1</v>
      </c>
    </row>
    <row r="141" spans="2:134" x14ac:dyDescent="0.25">
      <c r="C141" s="5" t="s">
        <v>34</v>
      </c>
      <c r="D141" s="2">
        <v>2501009371</v>
      </c>
      <c r="E141" s="5">
        <v>2</v>
      </c>
      <c r="F141" s="2">
        <v>1</v>
      </c>
      <c r="G141" s="2">
        <v>53</v>
      </c>
      <c r="H141" s="2">
        <v>-1.31153477896509</v>
      </c>
      <c r="I141" s="2">
        <v>46</v>
      </c>
      <c r="J141" s="2">
        <v>-1.6898613744484801</v>
      </c>
      <c r="K141" s="5">
        <v>2500</v>
      </c>
      <c r="L141" s="2">
        <v>-1.7268064884432719</v>
      </c>
      <c r="M141" s="2">
        <v>0.14560000000000001</v>
      </c>
      <c r="N141" s="2">
        <f t="shared" si="137"/>
        <v>0.72686738948254503</v>
      </c>
      <c r="O141" s="2">
        <f t="shared" si="138"/>
        <v>0.14560000000000001</v>
      </c>
      <c r="P141" s="2">
        <v>63</v>
      </c>
      <c r="Q141" s="2">
        <v>-1.21</v>
      </c>
      <c r="R141" s="5">
        <f t="shared" si="139"/>
        <v>0.25993068722424006</v>
      </c>
      <c r="S141" s="5">
        <f t="shared" si="140"/>
        <v>-1.21</v>
      </c>
      <c r="T141" s="1">
        <v>6800</v>
      </c>
      <c r="U141" s="2">
        <v>-0.57999999999999996</v>
      </c>
      <c r="V141" s="2">
        <f t="shared" si="141"/>
        <v>0.57840324422163603</v>
      </c>
      <c r="W141" s="2">
        <f t="shared" si="142"/>
        <v>-0.57999999999999996</v>
      </c>
      <c r="X141" s="2">
        <v>0.14219999999999999</v>
      </c>
      <c r="Y141" s="76">
        <f t="shared" si="179"/>
        <v>1.4537347789650901</v>
      </c>
      <c r="Z141" s="76">
        <f t="shared" si="180"/>
        <v>2</v>
      </c>
      <c r="AA141" s="2">
        <f t="shared" si="143"/>
        <v>0.61560000000000004</v>
      </c>
      <c r="AB141" s="2">
        <f t="shared" si="144"/>
        <v>0.14219999999999999</v>
      </c>
      <c r="AC141" s="2">
        <v>71</v>
      </c>
      <c r="AD141" s="2">
        <v>-1.17</v>
      </c>
      <c r="AE141" s="79">
        <f t="shared" si="181"/>
        <v>0.51986137444848013</v>
      </c>
      <c r="AF141" s="79">
        <f t="shared" si="182"/>
        <v>1</v>
      </c>
      <c r="AG141" s="2">
        <f t="shared" si="134"/>
        <v>-0.20500000000000007</v>
      </c>
      <c r="AH141" s="2">
        <f t="shared" si="145"/>
        <v>-1.17</v>
      </c>
      <c r="AI141" s="2">
        <v>8350</v>
      </c>
      <c r="AJ141" s="2">
        <v>-0.56999999999999995</v>
      </c>
      <c r="AK141" s="76">
        <f t="shared" si="183"/>
        <v>1.1568064884432721</v>
      </c>
      <c r="AL141" s="76">
        <f t="shared" si="184"/>
        <v>2</v>
      </c>
      <c r="AM141" s="2">
        <f t="shared" si="146"/>
        <v>-0.19500000000000001</v>
      </c>
      <c r="AN141" s="2">
        <f t="shared" si="147"/>
        <v>-0.56999999999999995</v>
      </c>
      <c r="AO141" s="2">
        <v>2.12E-2</v>
      </c>
      <c r="AP141" s="2" t="str">
        <f t="shared" si="148"/>
        <v/>
      </c>
      <c r="AQ141" s="2">
        <f t="shared" si="149"/>
        <v>2.12E-2</v>
      </c>
      <c r="AR141" s="2">
        <v>76</v>
      </c>
      <c r="AS141" s="2">
        <v>-1.62</v>
      </c>
      <c r="AT141" s="2" t="str">
        <f t="shared" si="150"/>
        <v/>
      </c>
      <c r="AU141" s="2">
        <f t="shared" si="151"/>
        <v>-1.62</v>
      </c>
      <c r="AV141" s="2">
        <v>9100</v>
      </c>
      <c r="AW141" s="2">
        <v>-0.97</v>
      </c>
      <c r="AX141" s="2" t="str">
        <f t="shared" si="152"/>
        <v/>
      </c>
      <c r="AY141" s="2">
        <f t="shared" si="153"/>
        <v>-0.97</v>
      </c>
      <c r="BA141" s="78" t="e">
        <f t="shared" si="185"/>
        <v>#VALUE!</v>
      </c>
      <c r="BB141" s="78" t="e">
        <f t="shared" si="186"/>
        <v>#VALUE!</v>
      </c>
      <c r="BC141" s="2" t="str">
        <f t="shared" si="154"/>
        <v/>
      </c>
      <c r="BD141" s="2" t="e">
        <f t="shared" si="155"/>
        <v>#VALUE!</v>
      </c>
      <c r="BE141" s="67" t="e">
        <f t="shared" si="187"/>
        <v>#VALUE!</v>
      </c>
      <c r="BF141" s="2" t="s">
        <v>12</v>
      </c>
      <c r="BH141" s="2" t="str">
        <f t="shared" si="156"/>
        <v/>
      </c>
      <c r="BI141" s="2" t="e">
        <f t="shared" si="157"/>
        <v>#VALUE!</v>
      </c>
      <c r="BJ141" s="67" t="e">
        <f t="shared" si="158"/>
        <v>#VALUE!</v>
      </c>
      <c r="BK141" s="2" t="s">
        <v>12</v>
      </c>
      <c r="BM141" s="77" t="e">
        <f t="shared" si="188"/>
        <v>#VALUE!</v>
      </c>
      <c r="BN141" s="77" t="e">
        <f t="shared" si="189"/>
        <v>#VALUE!</v>
      </c>
      <c r="BO141" s="2" t="str">
        <f t="shared" si="159"/>
        <v/>
      </c>
      <c r="BP141" s="2" t="e">
        <f t="shared" si="160"/>
        <v>#VALUE!</v>
      </c>
      <c r="BQ141" s="67" t="e">
        <f t="shared" si="190"/>
        <v>#VALUE!</v>
      </c>
      <c r="BS141" s="75" t="e">
        <f t="shared" si="191"/>
        <v>#VALUE!</v>
      </c>
      <c r="BT141" s="75" t="e">
        <f t="shared" si="192"/>
        <v>#VALUE!</v>
      </c>
      <c r="BU141" s="5" t="e">
        <f t="shared" ref="BU141:BU146" si="199">IF(G149&gt;=36, IF(AND(NOT(ISBLANK(CM:CM)), NOT(ISBLANK(BD:BD))), (CM:CM-BD:BD)/2, ""), "UF")</f>
        <v>#VALUE!</v>
      </c>
      <c r="BV141" s="5" t="e">
        <f t="shared" si="161"/>
        <v>#VALUE!</v>
      </c>
      <c r="BW141" s="69" t="e">
        <f t="shared" si="162"/>
        <v>#VALUE!</v>
      </c>
      <c r="BX141" s="2" t="s">
        <v>12</v>
      </c>
      <c r="BZ141" s="74" t="e">
        <f t="shared" si="193"/>
        <v>#VALUE!</v>
      </c>
      <c r="CA141" s="74" t="e">
        <f t="shared" si="194"/>
        <v>#VALUE!</v>
      </c>
      <c r="CB141" s="5" t="e">
        <f t="shared" si="163"/>
        <v>#VALUE!</v>
      </c>
      <c r="CC141" s="5" t="e">
        <f t="shared" si="164"/>
        <v>#VALUE!</v>
      </c>
      <c r="CD141" s="2" t="e">
        <f t="shared" si="165"/>
        <v>#VALUE!</v>
      </c>
      <c r="CE141" s="69" t="e">
        <f t="shared" si="166"/>
        <v>#VALUE!</v>
      </c>
      <c r="CF141" s="5" t="s">
        <v>12</v>
      </c>
      <c r="CH141" s="72" t="e">
        <f t="shared" si="195"/>
        <v>#VALUE!</v>
      </c>
      <c r="CI141" s="72" t="e">
        <f t="shared" si="196"/>
        <v>#VALUE!</v>
      </c>
      <c r="CJ141" s="5" t="e">
        <f t="shared" si="167"/>
        <v>#VALUE!</v>
      </c>
      <c r="CK141" s="5" t="e">
        <f t="shared" si="168"/>
        <v>#VALUE!</v>
      </c>
      <c r="CL141" s="69" t="e">
        <f t="shared" si="169"/>
        <v>#VALUE!</v>
      </c>
      <c r="CM141" s="5">
        <v>-4.5514864300236013</v>
      </c>
      <c r="CN141" s="70" t="e">
        <f t="shared" si="170"/>
        <v>#VALUE!</v>
      </c>
      <c r="CO141" s="5" t="e">
        <f t="shared" si="171"/>
        <v>#VALUE!</v>
      </c>
      <c r="CP141" s="5">
        <f>IF(G141&lt;48,"UF", IF(NOT(ISBLANK(CM:CM)), CM:CM, IF(BW:BW=1, BV:BV+Sheet2!B55, IF(Sheet1!BW:BW=2, Sheet1!BV:BV+Sheet2!B56, IF(Sheet1!BW:BW=7, Sheet1!BV:BV+Sheet2!B57,"")))))</f>
        <v>-4.5514864300236013</v>
      </c>
      <c r="CQ141" s="69">
        <f t="shared" si="197"/>
        <v>1</v>
      </c>
      <c r="CR141" s="5">
        <v>100</v>
      </c>
      <c r="CS141" s="5">
        <v>-0.2375006052106538</v>
      </c>
      <c r="CT141" s="5" t="e">
        <f t="shared" si="172"/>
        <v>#VALUE!</v>
      </c>
      <c r="CU141" s="80" t="e">
        <f t="shared" si="173"/>
        <v>#VALUE!</v>
      </c>
      <c r="CV141" s="80" t="e">
        <f t="shared" si="174"/>
        <v>#VALUE!</v>
      </c>
      <c r="CW141" s="20">
        <f>IF(G141&lt;48,"UF", IF(NOT(ISBLANK(CS141)), CS141, IF(CE141=5, CC141+Sheet2!B44, IF(CE141=6, CC141+Sheet2!B45, IF(CE141=7, CC141+Sheet2!B46,"")))))</f>
        <v>-0.2375006052106538</v>
      </c>
      <c r="CX141" s="68">
        <f t="shared" si="198"/>
        <v>7</v>
      </c>
      <c r="CY141" s="5">
        <v>12000</v>
      </c>
      <c r="CZ141" s="5">
        <v>-2.5167600491291622</v>
      </c>
      <c r="DA141" s="5" t="e">
        <f t="shared" si="175"/>
        <v>#VALUE!</v>
      </c>
      <c r="DB141" s="73" t="e">
        <f t="shared" si="176"/>
        <v>#VALUE!</v>
      </c>
      <c r="DC141" s="73" t="e">
        <f t="shared" si="177"/>
        <v>#VALUE!</v>
      </c>
      <c r="DD141" s="5">
        <f>IF(G141&lt;48,"UF", IF(NOT(ISBLANK(CZ:CZ)), CZ:CZ, IF(CL:CL=3, CK:CK+Sheet2!B49, IF(CL:CL=4, CK:CK+Sheet2!B50, IF(CL:CL=7, CK:CK+Sheet2!B51,"")))))</f>
        <v>-2.5167600491291622</v>
      </c>
      <c r="DE141" s="69">
        <f t="shared" si="178"/>
        <v>4</v>
      </c>
      <c r="DF141" s="2">
        <v>2</v>
      </c>
      <c r="DG141" s="2">
        <v>33</v>
      </c>
      <c r="DH141" s="2">
        <v>2</v>
      </c>
      <c r="DI141" s="2">
        <v>2</v>
      </c>
      <c r="DJ141" s="2">
        <v>1</v>
      </c>
      <c r="DK141" s="2">
        <v>120</v>
      </c>
      <c r="DL141" s="2">
        <v>80</v>
      </c>
      <c r="DM141" s="2">
        <v>130</v>
      </c>
      <c r="DN141" s="2">
        <v>80</v>
      </c>
      <c r="DO141" s="2">
        <v>140</v>
      </c>
      <c r="DP141" s="2">
        <v>70</v>
      </c>
      <c r="DQ141" s="2">
        <v>2</v>
      </c>
      <c r="DR141" s="2">
        <v>39</v>
      </c>
      <c r="DS141" s="2">
        <v>2</v>
      </c>
      <c r="DV141" s="2">
        <v>2</v>
      </c>
      <c r="DW141" s="2">
        <v>2</v>
      </c>
      <c r="DX141" s="2">
        <v>2</v>
      </c>
      <c r="DY141" s="2">
        <v>2</v>
      </c>
      <c r="DZ141" s="2">
        <v>32</v>
      </c>
      <c r="EA141" s="2">
        <v>34</v>
      </c>
      <c r="EB141" s="2">
        <v>44.5</v>
      </c>
      <c r="EC141" s="2">
        <v>1</v>
      </c>
      <c r="ED141" s="2">
        <v>1</v>
      </c>
    </row>
    <row r="142" spans="2:134" x14ac:dyDescent="0.25">
      <c r="C142" s="5" t="s">
        <v>152</v>
      </c>
      <c r="D142" s="2">
        <v>2501009657</v>
      </c>
      <c r="E142" s="2">
        <v>6</v>
      </c>
      <c r="F142" s="2">
        <v>1</v>
      </c>
      <c r="G142" s="2">
        <v>54</v>
      </c>
      <c r="H142" s="2">
        <v>-0.40992558265914092</v>
      </c>
      <c r="I142" s="2">
        <v>45</v>
      </c>
      <c r="J142" s="2">
        <v>-2.2267170773967009</v>
      </c>
      <c r="K142" s="5">
        <v>2600</v>
      </c>
      <c r="L142" s="2">
        <v>-1.473952090495636</v>
      </c>
      <c r="M142" s="2">
        <v>-1.2708999999999999</v>
      </c>
      <c r="N142" s="2">
        <f t="shared" si="137"/>
        <v>0.26456279132957045</v>
      </c>
      <c r="O142" s="2">
        <f t="shared" si="138"/>
        <v>-1.2708999999999999</v>
      </c>
      <c r="P142" s="2">
        <v>62</v>
      </c>
      <c r="Q142" s="2">
        <v>-1.65</v>
      </c>
      <c r="R142" s="5">
        <f t="shared" si="139"/>
        <v>0.33335853869835042</v>
      </c>
      <c r="S142" s="5">
        <f t="shared" si="140"/>
        <v>-1.65</v>
      </c>
      <c r="T142" s="1">
        <v>5800</v>
      </c>
      <c r="U142" s="2">
        <v>-1.9</v>
      </c>
      <c r="V142" s="2">
        <f t="shared" si="141"/>
        <v>0.32697604524781804</v>
      </c>
      <c r="W142" s="2">
        <f t="shared" si="142"/>
        <v>-1.9</v>
      </c>
      <c r="X142" s="2">
        <v>0.1192</v>
      </c>
      <c r="Y142" s="76">
        <f t="shared" si="179"/>
        <v>0.52912558265914089</v>
      </c>
      <c r="Z142" s="76">
        <f t="shared" si="180"/>
        <v>1</v>
      </c>
      <c r="AA142" s="2" t="str">
        <f t="shared" si="143"/>
        <v/>
      </c>
      <c r="AB142" s="2">
        <f t="shared" si="144"/>
        <v>0.1192</v>
      </c>
      <c r="AC142" s="2">
        <v>70</v>
      </c>
      <c r="AD142" s="2">
        <v>-1.56</v>
      </c>
      <c r="AE142" s="79">
        <f t="shared" si="181"/>
        <v>0.66671707739670083</v>
      </c>
      <c r="AF142" s="79">
        <f t="shared" si="182"/>
        <v>1</v>
      </c>
      <c r="AG142" s="2" t="str">
        <f t="shared" si="134"/>
        <v/>
      </c>
      <c r="AH142" s="2">
        <f t="shared" si="145"/>
        <v>-1.56</v>
      </c>
      <c r="AI142" s="2">
        <v>8100</v>
      </c>
      <c r="AJ142" s="2">
        <v>-0.82</v>
      </c>
      <c r="AK142" s="76">
        <f t="shared" si="183"/>
        <v>0.65395209049563607</v>
      </c>
      <c r="AL142" s="76">
        <f t="shared" si="184"/>
        <v>1</v>
      </c>
      <c r="AM142" s="2" t="str">
        <f t="shared" si="146"/>
        <v/>
      </c>
      <c r="AN142" s="2">
        <f t="shared" si="147"/>
        <v>-0.82</v>
      </c>
      <c r="AP142" s="2">
        <f t="shared" si="148"/>
        <v>-1.0536957727176721</v>
      </c>
      <c r="AQ142" s="2">
        <f t="shared" si="149"/>
        <v>-0.93449577271767215</v>
      </c>
      <c r="AR142" s="2" t="s">
        <v>12</v>
      </c>
      <c r="AT142" s="2">
        <f t="shared" si="150"/>
        <v>0.15073321475828905</v>
      </c>
      <c r="AU142" s="2">
        <f t="shared" si="151"/>
        <v>-1.4092667852417109</v>
      </c>
      <c r="AV142" s="2" t="s">
        <v>12</v>
      </c>
      <c r="AX142" s="2">
        <f t="shared" si="152"/>
        <v>-1.0183927693960475</v>
      </c>
      <c r="AY142" s="2">
        <f t="shared" si="153"/>
        <v>-1.8383927693960476</v>
      </c>
      <c r="AZ142" s="2">
        <v>-1.988191545435344</v>
      </c>
      <c r="BA142" s="78">
        <f t="shared" si="185"/>
        <v>-2.1073915454353442</v>
      </c>
      <c r="BB142" s="78">
        <f t="shared" si="186"/>
        <v>-2</v>
      </c>
      <c r="BC142" s="2" t="str">
        <f t="shared" si="154"/>
        <v/>
      </c>
      <c r="BD142" s="2">
        <f t="shared" si="155"/>
        <v>-1.988191545435344</v>
      </c>
      <c r="BE142" s="67">
        <f t="shared" si="187"/>
        <v>7</v>
      </c>
      <c r="BF142" s="2">
        <v>81</v>
      </c>
      <c r="BG142" s="2">
        <v>-1.258533570483422</v>
      </c>
      <c r="BH142" s="2" t="str">
        <f t="shared" si="156"/>
        <v/>
      </c>
      <c r="BI142" s="2">
        <f t="shared" si="157"/>
        <v>-1.258533570483422</v>
      </c>
      <c r="BJ142" s="67">
        <f t="shared" si="158"/>
        <v>7</v>
      </c>
      <c r="BK142" s="2">
        <v>9200</v>
      </c>
      <c r="BL142" s="2">
        <v>-2.8567855387920948</v>
      </c>
      <c r="BM142" s="77">
        <f t="shared" si="188"/>
        <v>-2.036785538792095</v>
      </c>
      <c r="BN142" s="77">
        <f t="shared" si="189"/>
        <v>-2</v>
      </c>
      <c r="BO142" s="2" t="str">
        <f t="shared" si="159"/>
        <v/>
      </c>
      <c r="BP142" s="2">
        <f t="shared" si="160"/>
        <v>-2.8567855387920948</v>
      </c>
      <c r="BQ142" s="67">
        <f t="shared" si="190"/>
        <v>4</v>
      </c>
      <c r="BS142" s="75">
        <f t="shared" si="191"/>
        <v>-0.13898917146672263</v>
      </c>
      <c r="BT142" s="75">
        <f t="shared" si="192"/>
        <v>-1</v>
      </c>
      <c r="BU142" s="5">
        <f t="shared" si="199"/>
        <v>-0.13898917146672241</v>
      </c>
      <c r="BV142" s="5">
        <f t="shared" si="161"/>
        <v>-2.1271807169020667</v>
      </c>
      <c r="BW142" s="69">
        <f t="shared" si="162"/>
        <v>2</v>
      </c>
      <c r="BX142" s="2" t="s">
        <v>12</v>
      </c>
      <c r="BZ142" s="74">
        <f t="shared" si="193"/>
        <v>1.9930069289526089</v>
      </c>
      <c r="CA142" s="74">
        <f t="shared" si="194"/>
        <v>2</v>
      </c>
      <c r="CB142" s="5">
        <f t="shared" si="163"/>
        <v>0.39475496064393611</v>
      </c>
      <c r="CC142" s="5">
        <f t="shared" si="164"/>
        <v>-0.86377860983948584</v>
      </c>
      <c r="CD142" s="2">
        <f t="shared" si="165"/>
        <v>0.39475496064393611</v>
      </c>
      <c r="CE142" s="69">
        <f t="shared" si="166"/>
        <v>7</v>
      </c>
      <c r="CF142" s="5" t="s">
        <v>12</v>
      </c>
      <c r="CH142" s="72">
        <f t="shared" si="195"/>
        <v>0.57293692799400509</v>
      </c>
      <c r="CI142" s="72">
        <f t="shared" si="196"/>
        <v>1</v>
      </c>
      <c r="CJ142" s="5">
        <f t="shared" si="167"/>
        <v>0.57293692799400497</v>
      </c>
      <c r="CK142" s="5">
        <f t="shared" si="168"/>
        <v>-2.2838486107980898</v>
      </c>
      <c r="CL142" s="69">
        <f t="shared" si="169"/>
        <v>4</v>
      </c>
      <c r="CM142" s="5">
        <v>-2.2661698883687889</v>
      </c>
      <c r="CN142" s="70">
        <f t="shared" si="170"/>
        <v>-0.13898917146672218</v>
      </c>
      <c r="CO142" s="5">
        <f t="shared" si="171"/>
        <v>-0.13898917146672218</v>
      </c>
      <c r="CP142" s="5">
        <f>IF(G142&lt;48,"UF", IF(NOT(ISBLANK(CM:CM)), CM:CM, IF(BW:BW=1, BV:BV+Sheet2!B264, IF(Sheet1!BW:BW=2, Sheet1!BV:BV+Sheet2!B265, IF(Sheet1!BW:BW=7, Sheet1!BV:BV+Sheet2!B266,"")))))</f>
        <v>-2.2661698883687889</v>
      </c>
      <c r="CQ142" s="69">
        <f t="shared" si="197"/>
        <v>2</v>
      </c>
      <c r="CR142" s="5">
        <v>99</v>
      </c>
      <c r="CS142" s="5">
        <v>-0.46902364919554967</v>
      </c>
      <c r="CT142" s="5">
        <f t="shared" si="172"/>
        <v>0.39475496064393617</v>
      </c>
      <c r="CU142" s="80">
        <f t="shared" si="173"/>
        <v>0.39475496064393617</v>
      </c>
      <c r="CV142" s="80">
        <f t="shared" si="174"/>
        <v>1</v>
      </c>
      <c r="CW142" s="20">
        <f>IF(G142&lt;48,"UF", IF(NOT(ISBLANK(CS142)), CS142, IF(CE142=5, CC142+Sheet2!B253, IF(CE142=6, CC142+Sheet2!B254, IF(CE142=7, CC142+Sheet2!B255,"")))))</f>
        <v>-0.46902364919554967</v>
      </c>
      <c r="CX142" s="68">
        <f t="shared" si="198"/>
        <v>7</v>
      </c>
      <c r="CY142" s="5">
        <v>13000</v>
      </c>
      <c r="CZ142" s="5">
        <v>-1.7109116828040849</v>
      </c>
      <c r="DA142" s="5">
        <f t="shared" si="175"/>
        <v>0.57293692799400486</v>
      </c>
      <c r="DB142" s="73">
        <f t="shared" si="176"/>
        <v>0.57293692799400486</v>
      </c>
      <c r="DC142" s="73">
        <f t="shared" si="177"/>
        <v>1</v>
      </c>
      <c r="DD142" s="5">
        <f>IF(G142&lt;48,"UF", IF(NOT(ISBLANK(CZ:CZ)), CZ:CZ, IF(CL:CL=3, CK:CK+Sheet2!B258, IF(CL:CL=4, CK:CK+Sheet2!B259, IF(CL:CL=7, CK:CK+Sheet2!B260,"")))))</f>
        <v>-1.7109116828040849</v>
      </c>
      <c r="DE142" s="69">
        <f t="shared" si="178"/>
        <v>7</v>
      </c>
      <c r="DF142" s="2">
        <v>1</v>
      </c>
      <c r="DG142" s="2">
        <v>38</v>
      </c>
      <c r="DH142" s="2">
        <v>2</v>
      </c>
      <c r="DI142" s="2">
        <v>2</v>
      </c>
      <c r="DJ142" s="2">
        <v>2</v>
      </c>
      <c r="DK142" s="2">
        <v>90</v>
      </c>
      <c r="DL142" s="2">
        <v>50</v>
      </c>
      <c r="DM142" s="2">
        <v>95</v>
      </c>
      <c r="DN142" s="2">
        <v>60</v>
      </c>
      <c r="DO142" s="2">
        <v>100</v>
      </c>
      <c r="DP142" s="2">
        <v>60</v>
      </c>
      <c r="DQ142" s="2">
        <v>2</v>
      </c>
      <c r="DR142" s="2">
        <v>39</v>
      </c>
      <c r="DS142" s="2">
        <v>2</v>
      </c>
      <c r="DT142" s="2">
        <v>80</v>
      </c>
      <c r="DU142" s="2">
        <v>74</v>
      </c>
      <c r="DV142" s="2">
        <v>2</v>
      </c>
      <c r="DW142" s="2">
        <v>2</v>
      </c>
      <c r="DX142" s="2">
        <v>2</v>
      </c>
      <c r="DY142" s="2">
        <v>3</v>
      </c>
      <c r="DZ142" s="2">
        <v>33</v>
      </c>
      <c r="EA142" s="2">
        <v>34</v>
      </c>
      <c r="EB142" s="2">
        <v>43.4</v>
      </c>
      <c r="EC142" s="2">
        <v>4</v>
      </c>
      <c r="ED142" s="2">
        <v>1</v>
      </c>
    </row>
    <row r="143" spans="2:134" x14ac:dyDescent="0.25">
      <c r="C143" s="8" t="s">
        <v>337</v>
      </c>
      <c r="D143" s="2">
        <v>2501009835</v>
      </c>
      <c r="E143" s="5">
        <v>7</v>
      </c>
      <c r="F143" s="2">
        <v>2</v>
      </c>
      <c r="G143" s="2">
        <v>55</v>
      </c>
      <c r="H143" s="2">
        <v>1.3376346164125119</v>
      </c>
      <c r="I143" s="2">
        <v>51</v>
      </c>
      <c r="J143" s="2">
        <v>0.58940135287155082</v>
      </c>
      <c r="K143" s="2">
        <v>3973</v>
      </c>
      <c r="L143" s="2">
        <v>1.2113171766534669</v>
      </c>
      <c r="M143" s="2">
        <v>-9.9000000000000008E-3</v>
      </c>
      <c r="N143" s="2">
        <f t="shared" si="137"/>
        <v>-0.80566730820625598</v>
      </c>
      <c r="O143" s="2">
        <f t="shared" si="138"/>
        <v>-9.9000000000000008E-3</v>
      </c>
      <c r="P143" s="2">
        <v>69</v>
      </c>
      <c r="Q143" s="2">
        <v>0.63</v>
      </c>
      <c r="R143" s="5">
        <f t="shared" si="139"/>
        <v>0.18029932356422457</v>
      </c>
      <c r="S143" s="5">
        <f t="shared" si="140"/>
        <v>0.63</v>
      </c>
      <c r="T143" s="2">
        <v>8250</v>
      </c>
      <c r="U143" s="2">
        <v>0.35</v>
      </c>
      <c r="V143" s="2">
        <f t="shared" si="141"/>
        <v>-0.44065858832673344</v>
      </c>
      <c r="W143" s="2">
        <f t="shared" si="142"/>
        <v>0.35</v>
      </c>
      <c r="X143" s="2">
        <v>-0.2737</v>
      </c>
      <c r="Y143" s="76">
        <f t="shared" si="179"/>
        <v>-1.611334616412512</v>
      </c>
      <c r="Z143" s="76">
        <f t="shared" si="180"/>
        <v>-2</v>
      </c>
      <c r="AA143" s="2">
        <f t="shared" si="143"/>
        <v>-0.42094999999999999</v>
      </c>
      <c r="AB143" s="2">
        <f t="shared" si="144"/>
        <v>-0.2737</v>
      </c>
      <c r="AC143" s="2">
        <v>78</v>
      </c>
      <c r="AD143" s="2">
        <v>0.95</v>
      </c>
      <c r="AE143" s="79">
        <f t="shared" si="181"/>
        <v>0.36059864712844913</v>
      </c>
      <c r="AF143" s="79">
        <f t="shared" si="182"/>
        <v>1</v>
      </c>
      <c r="AG143" s="2">
        <f t="shared" si="134"/>
        <v>5.0000000000000044E-3</v>
      </c>
      <c r="AH143" s="2">
        <f t="shared" si="145"/>
        <v>0.95</v>
      </c>
      <c r="AI143" s="2">
        <v>10000</v>
      </c>
      <c r="AJ143" s="2">
        <v>0.33</v>
      </c>
      <c r="AK143" s="76">
        <f t="shared" si="183"/>
        <v>-0.88131717665346687</v>
      </c>
      <c r="AL143" s="76">
        <f t="shared" si="184"/>
        <v>-2</v>
      </c>
      <c r="AM143" s="2">
        <f t="shared" si="146"/>
        <v>-6.9999999999999993E-2</v>
      </c>
      <c r="AN143" s="2">
        <f t="shared" si="147"/>
        <v>0.33</v>
      </c>
      <c r="AO143" s="2">
        <v>-0.21190000000000001</v>
      </c>
      <c r="AP143" s="2">
        <f t="shared" si="148"/>
        <v>-0.32615004799953351</v>
      </c>
      <c r="AQ143" s="2">
        <f t="shared" si="149"/>
        <v>-0.21190000000000001</v>
      </c>
      <c r="AR143" s="2">
        <v>84</v>
      </c>
      <c r="AS143" s="2">
        <v>0.64</v>
      </c>
      <c r="AT143" s="2">
        <f t="shared" si="150"/>
        <v>-0.55502615853754311</v>
      </c>
      <c r="AU143" s="2">
        <f t="shared" si="151"/>
        <v>0.64</v>
      </c>
      <c r="AV143" s="2">
        <v>11200</v>
      </c>
      <c r="AW143" s="2">
        <v>0.21</v>
      </c>
      <c r="AX143" s="2">
        <f t="shared" si="152"/>
        <v>-0.64420338178308167</v>
      </c>
      <c r="AY143" s="2">
        <f t="shared" si="153"/>
        <v>0.21</v>
      </c>
      <c r="AZ143" s="2">
        <v>-0.92600009599906696</v>
      </c>
      <c r="BA143" s="78">
        <f t="shared" si="185"/>
        <v>-0.65230009599906702</v>
      </c>
      <c r="BB143" s="78">
        <f t="shared" si="186"/>
        <v>-1</v>
      </c>
      <c r="BC143" s="2">
        <f t="shared" si="154"/>
        <v>-6.0374971592706272E-3</v>
      </c>
      <c r="BD143" s="2">
        <f t="shared" si="155"/>
        <v>-0.92600009599906696</v>
      </c>
      <c r="BE143" s="67">
        <f t="shared" si="187"/>
        <v>7</v>
      </c>
      <c r="BF143" s="2">
        <v>86.3</v>
      </c>
      <c r="BG143" s="2">
        <v>-0.16005231707508619</v>
      </c>
      <c r="BH143" s="2">
        <f t="shared" si="156"/>
        <v>-0.38617890493935209</v>
      </c>
      <c r="BI143" s="2">
        <f t="shared" si="157"/>
        <v>-0.16005231707508619</v>
      </c>
      <c r="BJ143" s="67">
        <f t="shared" si="158"/>
        <v>7</v>
      </c>
      <c r="BK143" s="2">
        <v>11500</v>
      </c>
      <c r="BL143" s="2">
        <v>-0.95840676356616339</v>
      </c>
      <c r="BM143" s="77">
        <f t="shared" si="188"/>
        <v>-1.2884067635661633</v>
      </c>
      <c r="BN143" s="77">
        <f t="shared" si="189"/>
        <v>-2</v>
      </c>
      <c r="BO143" s="2">
        <f t="shared" si="159"/>
        <v>-0.22136019393419182</v>
      </c>
      <c r="BP143" s="2">
        <f t="shared" si="160"/>
        <v>-0.95840676356616339</v>
      </c>
      <c r="BQ143" s="67">
        <f t="shared" si="190"/>
        <v>7</v>
      </c>
      <c r="BR143" s="5">
        <v>-0.23001249147781189</v>
      </c>
      <c r="BS143" s="75">
        <f t="shared" si="191"/>
        <v>0.69598760452125508</v>
      </c>
      <c r="BT143" s="75">
        <f t="shared" si="192"/>
        <v>2</v>
      </c>
      <c r="BU143" s="5">
        <f t="shared" si="199"/>
        <v>-6.0582725254253511E-2</v>
      </c>
      <c r="BV143" s="5">
        <f t="shared" si="161"/>
        <v>-0.23001249147781189</v>
      </c>
      <c r="BW143" s="69">
        <f t="shared" si="162"/>
        <v>7</v>
      </c>
      <c r="BX143" s="2">
        <v>93.3</v>
      </c>
      <c r="BY143" s="5">
        <v>-0.5185367148180563</v>
      </c>
      <c r="BZ143" s="74">
        <f t="shared" si="193"/>
        <v>0.43987004874810709</v>
      </c>
      <c r="CA143" s="74">
        <f t="shared" si="194"/>
        <v>1</v>
      </c>
      <c r="CB143" s="5">
        <f t="shared" si="163"/>
        <v>-3.9285178526047251E-2</v>
      </c>
      <c r="CC143" s="5">
        <f t="shared" si="164"/>
        <v>-0.5185367148180563</v>
      </c>
      <c r="CD143" s="2">
        <f t="shared" si="165"/>
        <v>-0.35848439774297014</v>
      </c>
      <c r="CE143" s="69">
        <f t="shared" si="166"/>
        <v>7</v>
      </c>
      <c r="CF143" s="5">
        <v>13700</v>
      </c>
      <c r="CG143" s="5">
        <v>-0.45408058180257549</v>
      </c>
      <c r="CH143" s="72">
        <f t="shared" si="195"/>
        <v>0.5043261817635879</v>
      </c>
      <c r="CI143" s="72">
        <f t="shared" si="196"/>
        <v>1</v>
      </c>
      <c r="CJ143" s="5">
        <f t="shared" si="167"/>
        <v>0.11461837742638781</v>
      </c>
      <c r="CK143" s="5">
        <f t="shared" si="168"/>
        <v>-0.45408058180257549</v>
      </c>
      <c r="CL143" s="69">
        <f t="shared" si="169"/>
        <v>7</v>
      </c>
      <c r="CM143" s="5">
        <v>-1.047165546507574</v>
      </c>
      <c r="CN143" s="70">
        <f t="shared" si="170"/>
        <v>-0.8171530550297621</v>
      </c>
      <c r="CO143" s="5">
        <f t="shared" si="171"/>
        <v>-0.8171530550297621</v>
      </c>
      <c r="CP143" s="5">
        <f>IF(G143&lt;48,"UF", IF(NOT(ISBLANK(CM:CM)), CM:CM, IF(BW:BW=1, BV:BV+Sheet2!B566, IF(Sheet1!BW:BW=2, Sheet1!BV:BV+Sheet2!B567, IF(Sheet1!BW:BW=7, Sheet1!BV:BV+Sheet2!B568,"")))))</f>
        <v>-1.047165546507574</v>
      </c>
      <c r="CQ143" s="69">
        <f t="shared" si="197"/>
        <v>7</v>
      </c>
      <c r="CR143" s="5">
        <v>101.5</v>
      </c>
      <c r="CS143" s="5">
        <v>-0.23862267412718069</v>
      </c>
      <c r="CT143" s="5">
        <f t="shared" si="172"/>
        <v>0.27991404069087561</v>
      </c>
      <c r="CU143" s="80">
        <f t="shared" si="173"/>
        <v>0.27991404069087561</v>
      </c>
      <c r="CV143" s="80">
        <f t="shared" si="174"/>
        <v>1</v>
      </c>
      <c r="CW143" s="20">
        <f>IF(G143&lt;48,"UF", IF(NOT(ISBLANK(CS143)), CS143, IF(CE143=5, CC143+Sheet2!B555, IF(CE143=6, CC143+Sheet2!B556, IF(CE143=7, CC143+Sheet2!B557,"")))))</f>
        <v>-0.23862267412718069</v>
      </c>
      <c r="CX143" s="68">
        <f t="shared" si="198"/>
        <v>7</v>
      </c>
      <c r="CY143" s="5">
        <v>15000</v>
      </c>
      <c r="CZ143" s="5">
        <v>-0.72917000871338777</v>
      </c>
      <c r="DA143" s="5">
        <f t="shared" si="175"/>
        <v>-0.27508942691081228</v>
      </c>
      <c r="DB143" s="73">
        <f t="shared" si="176"/>
        <v>-0.27508942691081228</v>
      </c>
      <c r="DC143" s="73">
        <f t="shared" si="177"/>
        <v>-1</v>
      </c>
      <c r="DD143" s="5">
        <f>IF(G143&lt;48,"UF", IF(NOT(ISBLANK(CZ:CZ)), CZ:CZ, IF(CL:CL=3, CK:CK+Sheet2!B560, IF(CL:CL=4, CK:CK+Sheet2!B561, IF(CL:CL=7, CK:CK+Sheet2!B562,"")))))</f>
        <v>-0.72917000871338777</v>
      </c>
      <c r="DE143" s="69">
        <f t="shared" si="178"/>
        <v>7</v>
      </c>
      <c r="DF143" s="2">
        <v>2</v>
      </c>
      <c r="DG143" s="2">
        <v>24</v>
      </c>
      <c r="DH143" s="2">
        <v>2</v>
      </c>
      <c r="DI143" s="2">
        <v>2</v>
      </c>
      <c r="DJ143" s="2">
        <v>2</v>
      </c>
      <c r="DK143" s="2">
        <v>100</v>
      </c>
      <c r="DL143" s="2">
        <v>60</v>
      </c>
      <c r="DM143" s="2">
        <v>110</v>
      </c>
      <c r="DN143" s="2">
        <v>60</v>
      </c>
      <c r="DO143" s="2">
        <v>120</v>
      </c>
      <c r="DP143" s="2">
        <v>70</v>
      </c>
      <c r="DQ143" s="2">
        <v>2</v>
      </c>
      <c r="DR143" s="2">
        <v>39</v>
      </c>
      <c r="DS143" s="2">
        <v>2</v>
      </c>
      <c r="DT143" s="2">
        <v>86</v>
      </c>
      <c r="DU143" s="2">
        <v>85</v>
      </c>
      <c r="DV143" s="2">
        <v>2</v>
      </c>
      <c r="DW143" s="2">
        <v>2</v>
      </c>
      <c r="DX143" s="2">
        <v>2</v>
      </c>
      <c r="DY143" s="2">
        <v>3</v>
      </c>
      <c r="DZ143" s="2">
        <v>34</v>
      </c>
      <c r="EA143" s="2">
        <v>37</v>
      </c>
      <c r="EB143" s="2">
        <v>46.5</v>
      </c>
      <c r="EC143" s="2">
        <v>1</v>
      </c>
      <c r="ED143" s="2">
        <v>1</v>
      </c>
    </row>
    <row r="144" spans="2:134" x14ac:dyDescent="0.25">
      <c r="C144" s="8" t="s">
        <v>337</v>
      </c>
      <c r="D144" s="2">
        <v>2501010000</v>
      </c>
      <c r="E144" s="2" t="s">
        <v>527</v>
      </c>
      <c r="F144" s="2">
        <v>1</v>
      </c>
      <c r="G144" s="2">
        <v>53</v>
      </c>
      <c r="H144" s="2">
        <v>-1.0719314123951951</v>
      </c>
      <c r="I144" s="2">
        <v>49</v>
      </c>
      <c r="J144" s="2">
        <v>-7.9294265603816944E-2</v>
      </c>
      <c r="K144" s="5">
        <v>2900</v>
      </c>
      <c r="L144" s="2">
        <v>-0.74971937445688897</v>
      </c>
      <c r="M144" s="2">
        <v>-6.8199999999999997E-2</v>
      </c>
      <c r="N144" s="2">
        <f t="shared" si="137"/>
        <v>0.15361570619759751</v>
      </c>
      <c r="O144" s="2">
        <f t="shared" si="138"/>
        <v>-6.8199999999999997E-2</v>
      </c>
      <c r="P144" s="2">
        <v>65</v>
      </c>
      <c r="Q144" s="2">
        <v>-0.33</v>
      </c>
      <c r="R144" s="5">
        <f t="shared" si="139"/>
        <v>-0.74035286719809157</v>
      </c>
      <c r="S144" s="5">
        <f t="shared" si="140"/>
        <v>-0.33</v>
      </c>
      <c r="T144" s="1">
        <v>7100</v>
      </c>
      <c r="U144" s="2">
        <v>-0.23</v>
      </c>
      <c r="V144" s="2">
        <f t="shared" si="141"/>
        <v>-0.3551403127715555</v>
      </c>
      <c r="W144" s="2">
        <f t="shared" si="142"/>
        <v>-0.23</v>
      </c>
      <c r="X144" s="2">
        <v>-0.76470000000000005</v>
      </c>
      <c r="Y144" s="76">
        <f t="shared" si="179"/>
        <v>0.30723141239519502</v>
      </c>
      <c r="Z144" s="76">
        <f t="shared" si="180"/>
        <v>1</v>
      </c>
      <c r="AA144" s="2">
        <f t="shared" si="143"/>
        <v>-0.9172499999999999</v>
      </c>
      <c r="AB144" s="2">
        <f t="shared" si="144"/>
        <v>-0.76470000000000005</v>
      </c>
      <c r="AC144" s="2">
        <v>70</v>
      </c>
      <c r="AD144" s="2">
        <v>-1.56</v>
      </c>
      <c r="AE144" s="79">
        <f t="shared" si="181"/>
        <v>-1.4807057343961831</v>
      </c>
      <c r="AF144" s="79">
        <f t="shared" si="182"/>
        <v>-2</v>
      </c>
      <c r="AG144" s="2">
        <f t="shared" si="134"/>
        <v>-0.30000000000000004</v>
      </c>
      <c r="AH144" s="2">
        <f t="shared" si="145"/>
        <v>-1.56</v>
      </c>
      <c r="AI144" s="2">
        <v>7500</v>
      </c>
      <c r="AJ144" s="2">
        <v>-1.46</v>
      </c>
      <c r="AK144" s="76">
        <f t="shared" si="183"/>
        <v>-0.710280625543111</v>
      </c>
      <c r="AL144" s="76">
        <f t="shared" si="184"/>
        <v>-2</v>
      </c>
      <c r="AM144" s="2">
        <f t="shared" si="146"/>
        <v>-0.91999999999999993</v>
      </c>
      <c r="AN144" s="2">
        <f t="shared" si="147"/>
        <v>-1.46</v>
      </c>
      <c r="AO144" s="2">
        <v>-2.1644999999999999</v>
      </c>
      <c r="AP144" s="2">
        <f t="shared" si="148"/>
        <v>-0.81577641722970395</v>
      </c>
      <c r="AQ144" s="2">
        <f t="shared" si="149"/>
        <v>-2.1644999999999999</v>
      </c>
      <c r="AR144" s="2">
        <v>78</v>
      </c>
      <c r="AS144" s="2">
        <v>-0.93</v>
      </c>
      <c r="AT144" s="2">
        <f t="shared" si="150"/>
        <v>-0.13489819213479348</v>
      </c>
      <c r="AU144" s="2">
        <f t="shared" si="151"/>
        <v>-0.93</v>
      </c>
      <c r="AV144" s="2">
        <v>8000</v>
      </c>
      <c r="AW144" s="2">
        <v>-2.0699999999999998</v>
      </c>
      <c r="AX144" s="2">
        <f t="shared" si="152"/>
        <v>-1.1644139945804095</v>
      </c>
      <c r="AY144" s="2">
        <f t="shared" si="153"/>
        <v>-2.0699999999999998</v>
      </c>
      <c r="AZ144" s="2">
        <v>-2.3962528344594078</v>
      </c>
      <c r="BA144" s="78">
        <f t="shared" si="185"/>
        <v>-1.6315528344594079</v>
      </c>
      <c r="BB144" s="78">
        <f t="shared" si="186"/>
        <v>-2</v>
      </c>
      <c r="BC144" s="2">
        <f t="shared" si="154"/>
        <v>-0.30237769700726541</v>
      </c>
      <c r="BD144" s="2">
        <f t="shared" si="155"/>
        <v>-2.3962528344594078</v>
      </c>
      <c r="BE144" s="67">
        <f t="shared" si="187"/>
        <v>2</v>
      </c>
      <c r="BF144" s="2">
        <v>79</v>
      </c>
      <c r="BG144" s="2">
        <v>-1.829796384269587</v>
      </c>
      <c r="BH144" s="2">
        <f t="shared" si="156"/>
        <v>-0.22135931934353462</v>
      </c>
      <c r="BI144" s="2">
        <f t="shared" si="157"/>
        <v>-1.829796384269587</v>
      </c>
      <c r="BJ144" s="67">
        <f t="shared" si="158"/>
        <v>7</v>
      </c>
      <c r="BK144" s="2">
        <v>8500</v>
      </c>
      <c r="BL144" s="2">
        <v>-3.788827989160819</v>
      </c>
      <c r="BM144" s="77">
        <f t="shared" si="188"/>
        <v>-2.328827989160819</v>
      </c>
      <c r="BN144" s="77">
        <f t="shared" si="189"/>
        <v>-2</v>
      </c>
      <c r="BO144" s="2">
        <f t="shared" si="159"/>
        <v>-0.4141321971868453</v>
      </c>
      <c r="BP144" s="2">
        <f t="shared" si="160"/>
        <v>-3.788827989160819</v>
      </c>
      <c r="BQ144" s="67">
        <f t="shared" si="190"/>
        <v>3</v>
      </c>
      <c r="BR144" s="5">
        <v>-3.0716330910217962</v>
      </c>
      <c r="BS144" s="75">
        <f t="shared" si="191"/>
        <v>-0.67538025656238831</v>
      </c>
      <c r="BT144" s="75">
        <f t="shared" si="192"/>
        <v>-2</v>
      </c>
      <c r="BU144" s="5">
        <f t="shared" si="199"/>
        <v>0.55048707278917297</v>
      </c>
      <c r="BV144" s="5">
        <f t="shared" si="161"/>
        <v>-3.0716330910217962</v>
      </c>
      <c r="BW144" s="69">
        <f t="shared" si="162"/>
        <v>1</v>
      </c>
      <c r="BX144" s="2">
        <v>88</v>
      </c>
      <c r="BY144" s="5">
        <v>-1.5940779580306039</v>
      </c>
      <c r="BZ144" s="74">
        <f t="shared" si="193"/>
        <v>2.1947500311302148</v>
      </c>
      <c r="CA144" s="74">
        <f t="shared" si="194"/>
        <v>2</v>
      </c>
      <c r="CB144" s="5">
        <f t="shared" si="163"/>
        <v>0.1479682653525165</v>
      </c>
      <c r="CC144" s="5">
        <f t="shared" si="164"/>
        <v>-1.5940779580306039</v>
      </c>
      <c r="CD144" s="2">
        <f t="shared" si="165"/>
        <v>0.23571842623898309</v>
      </c>
      <c r="CE144" s="69">
        <f t="shared" si="166"/>
        <v>7</v>
      </c>
      <c r="CF144" s="5">
        <v>10000</v>
      </c>
      <c r="CG144" s="5">
        <v>-3.3123965915605358</v>
      </c>
      <c r="CH144" s="72">
        <f t="shared" si="195"/>
        <v>0.47643139760028319</v>
      </c>
      <c r="CI144" s="72">
        <f t="shared" si="196"/>
        <v>1</v>
      </c>
      <c r="CJ144" s="5">
        <f t="shared" si="167"/>
        <v>0.84626718353443442</v>
      </c>
      <c r="CK144" s="5">
        <f t="shared" si="168"/>
        <v>-3.3123965915605358</v>
      </c>
      <c r="CL144" s="69">
        <f t="shared" si="169"/>
        <v>3</v>
      </c>
      <c r="CM144" s="5">
        <v>-1.2952786888810619</v>
      </c>
      <c r="CN144" s="70">
        <f t="shared" si="170"/>
        <v>1.7763544021407343</v>
      </c>
      <c r="CO144" s="5">
        <f t="shared" si="171"/>
        <v>1.7763544021407343</v>
      </c>
      <c r="CP144" s="5">
        <f>IF(G144&lt;48,"UF", IF(NOT(ISBLANK(CM:CM)), CM:CM, IF(BW:BW=1, BV:BV+Sheet2!B217, IF(Sheet1!BW:BW=2, Sheet1!BV:BV+Sheet2!B218, IF(Sheet1!BW:BW=7, Sheet1!BV:BV+Sheet2!B219,"")))))</f>
        <v>-1.2952786888810619</v>
      </c>
      <c r="CQ144" s="69">
        <f t="shared" si="197"/>
        <v>7</v>
      </c>
      <c r="CR144" s="5">
        <v>94.5</v>
      </c>
      <c r="CS144" s="5">
        <v>-1.533859853564554</v>
      </c>
      <c r="CT144" s="5">
        <f t="shared" si="172"/>
        <v>6.0218104466049915E-2</v>
      </c>
      <c r="CU144" s="80">
        <f t="shared" si="173"/>
        <v>6.0218104466049915E-2</v>
      </c>
      <c r="CV144" s="80">
        <f t="shared" si="174"/>
        <v>1</v>
      </c>
      <c r="CW144" s="20">
        <f>IF(G144&lt;48,"UF", IF(NOT(ISBLANK(CS144)), CS144, IF(CE144=5, CC144+Sheet2!B206, IF(CE144=6, CC144+Sheet2!B207, IF(CE144=7, CC144+Sheet2!B208,"")))))</f>
        <v>-1.533859853564554</v>
      </c>
      <c r="CX144" s="68">
        <f t="shared" si="198"/>
        <v>7</v>
      </c>
      <c r="CY144" s="5">
        <v>12500</v>
      </c>
      <c r="CZ144" s="5">
        <v>-2.0962936220919501</v>
      </c>
      <c r="DA144" s="5">
        <f t="shared" si="175"/>
        <v>1.2161029694685856</v>
      </c>
      <c r="DB144" s="73">
        <f t="shared" si="176"/>
        <v>1.2161029694685856</v>
      </c>
      <c r="DC144" s="73">
        <f t="shared" si="177"/>
        <v>2</v>
      </c>
      <c r="DD144" s="5">
        <f>IF(G144&lt;48,"UF", IF(NOT(ISBLANK(CZ:CZ)), CZ:CZ, IF(CL:CL=3, CK:CK+Sheet2!B211, IF(CL:CL=4, CK:CK+Sheet2!B212, IF(CL:CL=7, CK:CK+Sheet2!B213,"")))))</f>
        <v>-2.0962936220919501</v>
      </c>
      <c r="DE144" s="69">
        <f t="shared" si="178"/>
        <v>4</v>
      </c>
      <c r="DF144" s="2">
        <v>3</v>
      </c>
      <c r="DG144" s="2">
        <v>33</v>
      </c>
      <c r="DH144" s="2">
        <v>1</v>
      </c>
      <c r="DI144" s="2">
        <v>2</v>
      </c>
      <c r="DJ144" s="2">
        <v>2</v>
      </c>
      <c r="DK144" s="2">
        <v>100</v>
      </c>
      <c r="DL144" s="2">
        <v>60</v>
      </c>
      <c r="DM144" s="2">
        <v>100</v>
      </c>
      <c r="DN144" s="2">
        <v>60</v>
      </c>
      <c r="DO144" s="2" t="s">
        <v>12</v>
      </c>
      <c r="DP144" s="2" t="s">
        <v>12</v>
      </c>
      <c r="DQ144" s="2">
        <v>2</v>
      </c>
      <c r="DR144" s="2">
        <v>38</v>
      </c>
      <c r="DS144" s="2">
        <v>2</v>
      </c>
      <c r="DT144" s="2">
        <v>77.5</v>
      </c>
      <c r="DU144" s="2">
        <v>67.5</v>
      </c>
      <c r="DV144" s="2">
        <v>2</v>
      </c>
      <c r="DW144" s="2">
        <v>2</v>
      </c>
      <c r="DX144" s="2">
        <v>2</v>
      </c>
      <c r="DY144" s="2">
        <v>2</v>
      </c>
      <c r="DZ144" s="2">
        <v>33</v>
      </c>
      <c r="EA144" s="2">
        <v>35</v>
      </c>
      <c r="EB144" s="2">
        <v>44.5</v>
      </c>
      <c r="EC144" s="2">
        <v>1</v>
      </c>
      <c r="ED144" s="2">
        <v>1</v>
      </c>
    </row>
    <row r="145" spans="2:134" x14ac:dyDescent="0.25">
      <c r="C145" s="10" t="s">
        <v>140</v>
      </c>
      <c r="D145" s="10">
        <v>2501010078</v>
      </c>
      <c r="E145" s="2">
        <v>4</v>
      </c>
      <c r="F145" s="2">
        <v>1</v>
      </c>
      <c r="G145" s="2">
        <v>54</v>
      </c>
      <c r="H145" s="2">
        <v>-1.5116277876517621</v>
      </c>
      <c r="I145" s="2">
        <v>49</v>
      </c>
      <c r="J145" s="2">
        <v>-7.9294265603816944E-2</v>
      </c>
      <c r="K145" s="5">
        <v>2785</v>
      </c>
      <c r="L145" s="2">
        <v>-1.02159683800338</v>
      </c>
      <c r="M145" s="2">
        <v>-0.36559999999999998</v>
      </c>
      <c r="N145" s="2" t="str">
        <f t="shared" si="137"/>
        <v/>
      </c>
      <c r="O145" s="2">
        <f t="shared" si="138"/>
        <v>-0.36559999999999998</v>
      </c>
      <c r="P145" s="2">
        <v>62.3</v>
      </c>
      <c r="Q145" s="2">
        <v>-1.52</v>
      </c>
      <c r="R145" s="5" t="str">
        <f t="shared" si="139"/>
        <v/>
      </c>
      <c r="S145" s="5">
        <f t="shared" si="140"/>
        <v>-1.52</v>
      </c>
      <c r="T145" s="2">
        <v>6350</v>
      </c>
      <c r="U145" s="2">
        <v>-1.1499999999999999</v>
      </c>
      <c r="V145" s="2" t="str">
        <f t="shared" si="141"/>
        <v/>
      </c>
      <c r="W145" s="2">
        <f t="shared" si="142"/>
        <v>-1.1499999999999999</v>
      </c>
      <c r="Y145" s="76">
        <f t="shared" si="179"/>
        <v>1.4705777876517621</v>
      </c>
      <c r="Z145" s="76">
        <f t="shared" si="180"/>
        <v>2</v>
      </c>
      <c r="AA145" s="2">
        <f t="shared" si="143"/>
        <v>0.32455000000000001</v>
      </c>
      <c r="AB145" s="2">
        <f t="shared" si="144"/>
        <v>-4.1049999999999975E-2</v>
      </c>
      <c r="AC145" s="2" t="s">
        <v>12</v>
      </c>
      <c r="AE145" s="79">
        <f t="shared" si="181"/>
        <v>-1.0607057343961832</v>
      </c>
      <c r="AF145" s="79">
        <f t="shared" si="182"/>
        <v>-2</v>
      </c>
      <c r="AG145" s="2">
        <f t="shared" si="134"/>
        <v>0.38</v>
      </c>
      <c r="AH145" s="2">
        <f t="shared" si="145"/>
        <v>-1.1400000000000001</v>
      </c>
      <c r="AI145" s="2" t="s">
        <v>12</v>
      </c>
      <c r="AK145" s="76">
        <f t="shared" si="183"/>
        <v>-8.3403161996620012E-2</v>
      </c>
      <c r="AL145" s="76">
        <f t="shared" si="184"/>
        <v>-1</v>
      </c>
      <c r="AM145" s="2">
        <f t="shared" si="146"/>
        <v>4.4999999999999929E-2</v>
      </c>
      <c r="AN145" s="2">
        <f t="shared" si="147"/>
        <v>-1.105</v>
      </c>
      <c r="AO145" s="2">
        <v>-0.87090000000000001</v>
      </c>
      <c r="AP145" s="2">
        <f t="shared" si="148"/>
        <v>-0.50065764756824294</v>
      </c>
      <c r="AQ145" s="2">
        <f t="shared" si="149"/>
        <v>-0.87090000000000001</v>
      </c>
      <c r="AR145" s="2">
        <v>78.5</v>
      </c>
      <c r="AS145" s="2">
        <v>-0.76</v>
      </c>
      <c r="AT145" s="2">
        <f t="shared" si="150"/>
        <v>1.2197939398159607E-2</v>
      </c>
      <c r="AU145" s="2">
        <f t="shared" si="151"/>
        <v>-0.76</v>
      </c>
      <c r="AV145" s="2">
        <v>9000</v>
      </c>
      <c r="AW145" s="2">
        <v>-1.06</v>
      </c>
      <c r="AX145" s="2">
        <f t="shared" si="152"/>
        <v>-0.41398431136150404</v>
      </c>
      <c r="AY145" s="2">
        <f t="shared" si="153"/>
        <v>-1.06</v>
      </c>
      <c r="AZ145" s="2">
        <v>-1.0423652951364859</v>
      </c>
      <c r="BA145" s="78">
        <f t="shared" si="185"/>
        <v>-1.0013152951364859</v>
      </c>
      <c r="BB145" s="78">
        <f t="shared" si="186"/>
        <v>-2</v>
      </c>
      <c r="BC145" s="2">
        <f t="shared" si="154"/>
        <v>-0.37142706173410162</v>
      </c>
      <c r="BD145" s="2">
        <f t="shared" si="155"/>
        <v>-1.0423652951364859</v>
      </c>
      <c r="BE145" s="67">
        <f t="shared" si="187"/>
        <v>7</v>
      </c>
      <c r="BF145" s="2">
        <v>81.5</v>
      </c>
      <c r="BG145" s="2">
        <v>-1.1156041212036809</v>
      </c>
      <c r="BH145" s="2">
        <f t="shared" si="156"/>
        <v>2.8783853399788211E-2</v>
      </c>
      <c r="BI145" s="2">
        <f t="shared" si="157"/>
        <v>-1.1156041212036809</v>
      </c>
      <c r="BJ145" s="67">
        <f t="shared" si="158"/>
        <v>7</v>
      </c>
      <c r="BK145" s="2">
        <v>10000</v>
      </c>
      <c r="BL145" s="2">
        <v>-1.9329686227230081</v>
      </c>
      <c r="BM145" s="77">
        <f t="shared" si="188"/>
        <v>-0.82796862272300809</v>
      </c>
      <c r="BN145" s="77">
        <f t="shared" si="189"/>
        <v>-2</v>
      </c>
      <c r="BO145" s="2">
        <f t="shared" si="159"/>
        <v>-0.24025035915913065</v>
      </c>
      <c r="BP145" s="2">
        <f t="shared" si="160"/>
        <v>-1.9329686227230081</v>
      </c>
      <c r="BQ145" s="67">
        <f t="shared" si="190"/>
        <v>7</v>
      </c>
      <c r="BR145" s="5">
        <v>-1.9851811852023049</v>
      </c>
      <c r="BS145" s="75">
        <f t="shared" si="191"/>
        <v>-0.94281589006581901</v>
      </c>
      <c r="BT145" s="75">
        <f t="shared" si="192"/>
        <v>-2</v>
      </c>
      <c r="BU145" s="5">
        <f t="shared" si="199"/>
        <v>-1.3616469231540584E-2</v>
      </c>
      <c r="BV145" s="5">
        <f t="shared" si="161"/>
        <v>-1.9851811852023049</v>
      </c>
      <c r="BW145" s="69">
        <f t="shared" si="162"/>
        <v>7</v>
      </c>
      <c r="BX145" s="2">
        <v>89</v>
      </c>
      <c r="BY145" s="5">
        <v>-0.67364843980063538</v>
      </c>
      <c r="BZ145" s="74">
        <f t="shared" si="193"/>
        <v>1.2593201829223726</v>
      </c>
      <c r="CA145" s="74">
        <f t="shared" si="194"/>
        <v>2</v>
      </c>
      <c r="CB145" s="5">
        <f t="shared" si="163"/>
        <v>0.15129799182307879</v>
      </c>
      <c r="CC145" s="5">
        <f t="shared" si="164"/>
        <v>-0.67364843980063538</v>
      </c>
      <c r="CD145" s="2">
        <f t="shared" si="165"/>
        <v>0.44195568140304553</v>
      </c>
      <c r="CE145" s="69">
        <f t="shared" si="166"/>
        <v>7</v>
      </c>
      <c r="CF145" s="5">
        <v>11500</v>
      </c>
      <c r="CG145" s="5">
        <v>-1.780751077477392</v>
      </c>
      <c r="CH145" s="72">
        <f t="shared" si="195"/>
        <v>0.15221754524561604</v>
      </c>
      <c r="CI145" s="72">
        <f t="shared" si="196"/>
        <v>1</v>
      </c>
      <c r="CJ145" s="5">
        <f t="shared" si="167"/>
        <v>0.28823442391659004</v>
      </c>
      <c r="CK145" s="5">
        <f t="shared" si="168"/>
        <v>-1.780751077477392</v>
      </c>
      <c r="CL145" s="69">
        <f t="shared" si="169"/>
        <v>7</v>
      </c>
      <c r="CM145" s="5">
        <v>-1.0695982335995671</v>
      </c>
      <c r="CN145" s="70">
        <f t="shared" si="170"/>
        <v>0.91558295160273784</v>
      </c>
      <c r="CO145" s="5">
        <f t="shared" si="171"/>
        <v>0.91558295160273784</v>
      </c>
      <c r="CP145" s="5">
        <f>IF(G145&lt;48,"UF", IF(NOT(ISBLANK(CM:CM)), CM:CM, IF(BW:BW=1, BV:BV+Sheet2!B207, IF(Sheet1!BW:BW=2, Sheet1!BV:BV+Sheet2!B208, IF(Sheet1!BW:BW=7, Sheet1!BV:BV+Sheet2!B209,"")))))</f>
        <v>-1.0695982335995671</v>
      </c>
      <c r="CQ145" s="69">
        <f t="shared" si="197"/>
        <v>7</v>
      </c>
      <c r="CR145" s="5">
        <v>96</v>
      </c>
      <c r="CS145" s="5">
        <v>-0.81300813755752332</v>
      </c>
      <c r="CT145" s="5">
        <f t="shared" si="172"/>
        <v>-0.13935969775688795</v>
      </c>
      <c r="CU145" s="80">
        <f t="shared" si="173"/>
        <v>-0.13935969775688795</v>
      </c>
      <c r="CV145" s="80">
        <f t="shared" si="174"/>
        <v>-1</v>
      </c>
      <c r="CW145" s="20">
        <f>IF(G145&lt;48,"UF", IF(NOT(ISBLANK(CS145)), CS145, IF(CE145=5, CC145+Sheet2!B196, IF(CE145=6, CC145+Sheet2!B197, IF(CE145=7, CC145+Sheet2!B198,"")))))</f>
        <v>-0.81300813755752332</v>
      </c>
      <c r="CX145" s="68">
        <f t="shared" si="198"/>
        <v>7</v>
      </c>
      <c r="CY145" s="5">
        <v>13500</v>
      </c>
      <c r="CZ145" s="5">
        <v>-1.356499774889828</v>
      </c>
      <c r="DA145" s="5">
        <f t="shared" si="175"/>
        <v>0.42425130258756405</v>
      </c>
      <c r="DB145" s="73">
        <f t="shared" si="176"/>
        <v>0.42425130258756405</v>
      </c>
      <c r="DC145" s="73">
        <f t="shared" si="177"/>
        <v>1</v>
      </c>
      <c r="DD145" s="5">
        <f>IF(G145&lt;48,"UF", IF(NOT(ISBLANK(CZ:CZ)), CZ:CZ, IF(CL:CL=3, CK:CK+Sheet2!B201, IF(CL:CL=4, CK:CK+Sheet2!B202, IF(CL:CL=7, CK:CK+Sheet2!B203,"")))))</f>
        <v>-1.356499774889828</v>
      </c>
      <c r="DE145" s="69">
        <f t="shared" si="178"/>
        <v>7</v>
      </c>
      <c r="DF145" s="2">
        <v>2</v>
      </c>
      <c r="DG145" s="2">
        <v>31</v>
      </c>
      <c r="DH145" s="2">
        <v>2</v>
      </c>
      <c r="DI145" s="2">
        <v>2</v>
      </c>
      <c r="DJ145" s="2">
        <v>2</v>
      </c>
      <c r="DK145" s="2">
        <v>60</v>
      </c>
      <c r="DL145" s="2">
        <v>115</v>
      </c>
      <c r="DM145" s="2">
        <v>70</v>
      </c>
      <c r="DN145" s="2">
        <v>105</v>
      </c>
      <c r="DO145" s="2">
        <v>60</v>
      </c>
      <c r="DP145" s="2">
        <v>95</v>
      </c>
      <c r="DQ145" s="2">
        <v>2</v>
      </c>
      <c r="DR145" s="2">
        <v>40</v>
      </c>
      <c r="DS145" s="2">
        <v>2</v>
      </c>
      <c r="DT145" s="2">
        <v>78</v>
      </c>
      <c r="DU145" s="2">
        <v>76</v>
      </c>
      <c r="DV145" s="2">
        <v>2</v>
      </c>
      <c r="DW145" s="2">
        <v>2</v>
      </c>
      <c r="DX145" s="2">
        <v>2</v>
      </c>
      <c r="DY145" s="2">
        <v>2</v>
      </c>
      <c r="DZ145" s="2">
        <v>34</v>
      </c>
      <c r="EA145" s="2">
        <v>36.1</v>
      </c>
      <c r="EB145" s="2">
        <v>45.4</v>
      </c>
      <c r="EC145" s="2">
        <v>1</v>
      </c>
      <c r="ED145" s="2">
        <v>1</v>
      </c>
    </row>
    <row r="146" spans="2:134" x14ac:dyDescent="0.25">
      <c r="B146" s="2"/>
      <c r="C146" t="s">
        <v>428</v>
      </c>
      <c r="D146" s="3">
        <v>2501010701</v>
      </c>
      <c r="E146" s="3">
        <v>7</v>
      </c>
      <c r="F146" s="2">
        <v>2</v>
      </c>
      <c r="G146" s="2">
        <v>55</v>
      </c>
      <c r="H146">
        <v>-1.288417100851486</v>
      </c>
      <c r="I146" s="2">
        <v>50</v>
      </c>
      <c r="J146">
        <v>6.1168777667580831E-2</v>
      </c>
      <c r="K146" s="2">
        <v>2970</v>
      </c>
      <c r="L146" s="2">
        <v>-0.80040318720069581</v>
      </c>
      <c r="N146" s="2" t="str">
        <f t="shared" si="137"/>
        <v/>
      </c>
      <c r="O146" s="2" t="e">
        <f t="shared" si="138"/>
        <v>#VALUE!</v>
      </c>
      <c r="P146" s="2" t="s">
        <v>12</v>
      </c>
      <c r="R146" s="5" t="str">
        <f t="shared" si="139"/>
        <v/>
      </c>
      <c r="S146" s="5" t="e">
        <f t="shared" si="140"/>
        <v>#VALUE!</v>
      </c>
      <c r="T146" s="2" t="s">
        <v>12</v>
      </c>
      <c r="V146" s="2" t="str">
        <f t="shared" si="141"/>
        <v/>
      </c>
      <c r="W146" s="2" t="e">
        <f t="shared" si="142"/>
        <v>#VALUE!</v>
      </c>
      <c r="Y146" s="76" t="e">
        <f t="shared" si="179"/>
        <v>#VALUE!</v>
      </c>
      <c r="Z146" s="76" t="e">
        <f t="shared" si="180"/>
        <v>#VALUE!</v>
      </c>
      <c r="AA146" s="2" t="str">
        <f t="shared" si="143"/>
        <v/>
      </c>
      <c r="AB146" s="2" t="e">
        <f t="shared" si="144"/>
        <v>#VALUE!</v>
      </c>
      <c r="AC146" s="2" t="s">
        <v>12</v>
      </c>
      <c r="AE146" s="79" t="e">
        <f t="shared" si="181"/>
        <v>#VALUE!</v>
      </c>
      <c r="AF146" s="79" t="e">
        <f t="shared" si="182"/>
        <v>#VALUE!</v>
      </c>
      <c r="AG146" s="2" t="str">
        <f t="shared" si="134"/>
        <v/>
      </c>
      <c r="AH146" s="2" t="e">
        <f t="shared" si="145"/>
        <v>#VALUE!</v>
      </c>
      <c r="AI146" s="2" t="s">
        <v>12</v>
      </c>
      <c r="AK146" s="76" t="e">
        <f t="shared" si="183"/>
        <v>#VALUE!</v>
      </c>
      <c r="AL146" s="76" t="e">
        <f t="shared" si="184"/>
        <v>#VALUE!</v>
      </c>
      <c r="AM146" s="2" t="str">
        <f t="shared" si="146"/>
        <v/>
      </c>
      <c r="AN146" s="2" t="e">
        <f t="shared" si="147"/>
        <v>#VALUE!</v>
      </c>
      <c r="AP146" s="2" t="str">
        <f t="shared" si="148"/>
        <v/>
      </c>
      <c r="AQ146" s="2" t="e">
        <f t="shared" si="149"/>
        <v>#VALUE!</v>
      </c>
      <c r="AR146" s="2" t="s">
        <v>12</v>
      </c>
      <c r="AT146" s="2" t="str">
        <f t="shared" si="150"/>
        <v/>
      </c>
      <c r="AU146" s="2" t="e">
        <f t="shared" si="151"/>
        <v>#VALUE!</v>
      </c>
      <c r="AV146" s="2" t="s">
        <v>12</v>
      </c>
      <c r="AX146" s="2" t="str">
        <f t="shared" si="152"/>
        <v/>
      </c>
      <c r="AY146" s="2" t="e">
        <f t="shared" si="153"/>
        <v>#VALUE!</v>
      </c>
      <c r="BA146" s="78" t="e">
        <f t="shared" si="185"/>
        <v>#VALUE!</v>
      </c>
      <c r="BB146" s="78" t="e">
        <f t="shared" si="186"/>
        <v>#VALUE!</v>
      </c>
      <c r="BC146" s="2" t="e">
        <f t="shared" si="154"/>
        <v>#VALUE!</v>
      </c>
      <c r="BD146" s="2" t="e">
        <f t="shared" si="155"/>
        <v>#VALUE!</v>
      </c>
      <c r="BE146" s="67" t="e">
        <f t="shared" si="187"/>
        <v>#VALUE!</v>
      </c>
      <c r="BF146" s="2" t="s">
        <v>12</v>
      </c>
      <c r="BH146" s="2" t="e">
        <f t="shared" si="156"/>
        <v>#VALUE!</v>
      </c>
      <c r="BI146" s="2" t="e">
        <f t="shared" si="157"/>
        <v>#VALUE!</v>
      </c>
      <c r="BJ146" s="67" t="e">
        <f t="shared" si="158"/>
        <v>#VALUE!</v>
      </c>
      <c r="BK146" s="2" t="s">
        <v>12</v>
      </c>
      <c r="BM146" s="77" t="e">
        <f t="shared" si="188"/>
        <v>#VALUE!</v>
      </c>
      <c r="BN146" s="77" t="e">
        <f t="shared" si="189"/>
        <v>#VALUE!</v>
      </c>
      <c r="BO146" s="2" t="e">
        <f t="shared" si="159"/>
        <v>#VALUE!</v>
      </c>
      <c r="BP146" s="2" t="e">
        <f t="shared" si="160"/>
        <v>#VALUE!</v>
      </c>
      <c r="BQ146" s="67" t="e">
        <f t="shared" si="190"/>
        <v>#VALUE!</v>
      </c>
      <c r="BR146" s="2">
        <v>0.6389330184973665</v>
      </c>
      <c r="BS146" s="75" t="e">
        <f t="shared" si="191"/>
        <v>#VALUE!</v>
      </c>
      <c r="BT146" s="75" t="e">
        <f t="shared" si="192"/>
        <v>#VALUE!</v>
      </c>
      <c r="BU146" s="5" t="e">
        <f t="shared" si="199"/>
        <v>#VALUE!</v>
      </c>
      <c r="BV146" s="5">
        <f t="shared" si="161"/>
        <v>0.6389330184973665</v>
      </c>
      <c r="BW146" s="69">
        <f t="shared" si="162"/>
        <v>7</v>
      </c>
      <c r="BX146" s="2">
        <v>88</v>
      </c>
      <c r="BY146" s="2">
        <v>-1.9899639457685461</v>
      </c>
      <c r="BZ146" s="74" t="e">
        <f t="shared" si="193"/>
        <v>#VALUE!</v>
      </c>
      <c r="CA146" s="74" t="e">
        <f t="shared" si="194"/>
        <v>#VALUE!</v>
      </c>
      <c r="CB146" s="5" t="e">
        <f t="shared" si="163"/>
        <v>#VALUE!</v>
      </c>
      <c r="CC146" s="5">
        <f t="shared" si="164"/>
        <v>-1.9899639457685461</v>
      </c>
      <c r="CD146" s="2" t="e">
        <f t="shared" si="165"/>
        <v>#VALUE!</v>
      </c>
      <c r="CE146" s="69">
        <f t="shared" si="166"/>
        <v>7</v>
      </c>
      <c r="CF146" s="5">
        <v>13000</v>
      </c>
      <c r="CG146" s="2">
        <v>-0.94564010274251686</v>
      </c>
      <c r="CH146" s="72" t="e">
        <f t="shared" si="195"/>
        <v>#VALUE!</v>
      </c>
      <c r="CI146" s="72" t="e">
        <f t="shared" si="196"/>
        <v>#VALUE!</v>
      </c>
      <c r="CJ146" s="5" t="e">
        <f t="shared" si="167"/>
        <v>#VALUE!</v>
      </c>
      <c r="CK146" s="5">
        <f t="shared" si="168"/>
        <v>-0.94564010274251686</v>
      </c>
      <c r="CL146" s="69">
        <f t="shared" si="169"/>
        <v>7</v>
      </c>
      <c r="CM146" s="2">
        <v>-0.40444933176713199</v>
      </c>
      <c r="CN146" s="70">
        <f t="shared" si="170"/>
        <v>-1.0433823502644985</v>
      </c>
      <c r="CO146" s="5">
        <f t="shared" si="171"/>
        <v>-1.0433823502644985</v>
      </c>
      <c r="CP146" s="5">
        <f>IF(G146&lt;48,"UF", IF(NOT(ISBLANK(CM:CM)), CM:CM, IF(BW:BW=1, BV:BV+Sheet2!B633, IF(Sheet1!BW:BW=2, Sheet1!BV:BV+Sheet2!B634, IF(Sheet1!BW:BW=7, Sheet1!BV:BV+Sheet2!B635,"")))))</f>
        <v>-0.40444933176713199</v>
      </c>
      <c r="CQ146" s="69">
        <f t="shared" si="197"/>
        <v>7</v>
      </c>
      <c r="CR146" s="5">
        <v>96</v>
      </c>
      <c r="CS146" s="2">
        <v>-1.544758241119109</v>
      </c>
      <c r="CT146" s="5">
        <f t="shared" si="172"/>
        <v>0.4452057046494371</v>
      </c>
      <c r="CU146" s="80">
        <f t="shared" si="173"/>
        <v>0.4452057046494371</v>
      </c>
      <c r="CV146" s="80">
        <f t="shared" si="174"/>
        <v>1</v>
      </c>
      <c r="CW146" s="20">
        <f>IF(G146&lt;48,"UF", IF(NOT(ISBLANK(CS146)), CS146, IF(CE146=5, CC146+Sheet2!B622, IF(CE146=6, CC146+Sheet2!B623, IF(CE146=7, CC146+Sheet2!B624,"")))))</f>
        <v>-1.544758241119109</v>
      </c>
      <c r="CX146" s="68">
        <f t="shared" si="198"/>
        <v>7</v>
      </c>
      <c r="CY146" s="5">
        <v>14000</v>
      </c>
      <c r="CZ146" s="5">
        <v>-1.370400546417782</v>
      </c>
      <c r="DA146" s="5">
        <f t="shared" si="175"/>
        <v>-0.42476044367526511</v>
      </c>
      <c r="DB146" s="73">
        <f t="shared" si="176"/>
        <v>-0.42476044367526511</v>
      </c>
      <c r="DC146" s="73">
        <f t="shared" si="177"/>
        <v>-1</v>
      </c>
      <c r="DD146" s="5">
        <f>IF(G146&lt;48,"UF", IF(NOT(ISBLANK(CZ:CZ)), CZ:CZ, IF(CL:CL=3, CK:CK+Sheet2!B627, IF(CL:CL=4, CK:CK+Sheet2!B628, IF(CL:CL=7, CK:CK+Sheet2!B629,"")))))</f>
        <v>-1.370400546417782</v>
      </c>
      <c r="DE146" s="69">
        <f t="shared" si="178"/>
        <v>7</v>
      </c>
      <c r="DF146" s="2">
        <v>4</v>
      </c>
      <c r="DG146" s="2">
        <v>36</v>
      </c>
      <c r="DH146" s="2">
        <v>1</v>
      </c>
      <c r="DI146" s="2">
        <v>2</v>
      </c>
      <c r="DJ146" s="2">
        <v>2</v>
      </c>
      <c r="DK146" s="2">
        <v>110</v>
      </c>
      <c r="DL146" s="2">
        <v>60</v>
      </c>
      <c r="DM146" s="2">
        <v>105</v>
      </c>
      <c r="DN146" s="2">
        <v>60</v>
      </c>
      <c r="DO146" s="2">
        <v>100</v>
      </c>
      <c r="DP146" s="2">
        <v>60</v>
      </c>
      <c r="DQ146" s="2">
        <v>1</v>
      </c>
      <c r="DR146" s="2">
        <v>39</v>
      </c>
      <c r="DS146" s="2">
        <v>2</v>
      </c>
      <c r="DT146" s="2">
        <v>76</v>
      </c>
      <c r="DU146" s="2">
        <v>83</v>
      </c>
      <c r="DV146" s="2">
        <v>2</v>
      </c>
      <c r="DW146" s="2">
        <v>3</v>
      </c>
      <c r="DX146" s="2">
        <v>3</v>
      </c>
      <c r="DY146" s="2">
        <v>2</v>
      </c>
      <c r="DZ146" s="2">
        <v>35.5</v>
      </c>
      <c r="EA146" s="2" t="s">
        <v>12</v>
      </c>
      <c r="EB146" s="2" t="s">
        <v>12</v>
      </c>
      <c r="EC146" s="2" t="s">
        <v>12</v>
      </c>
      <c r="ED146" s="2" t="s">
        <v>12</v>
      </c>
    </row>
    <row r="147" spans="2:134" x14ac:dyDescent="0.25">
      <c r="C147" s="8" t="s">
        <v>287</v>
      </c>
      <c r="D147" s="2">
        <v>2501011104</v>
      </c>
      <c r="E147" s="5">
        <v>7</v>
      </c>
      <c r="F147" s="2">
        <v>2</v>
      </c>
      <c r="G147" s="2">
        <v>56</v>
      </c>
      <c r="H147" s="2">
        <v>-1.519872781428631</v>
      </c>
      <c r="I147" s="2">
        <v>51</v>
      </c>
      <c r="J147" s="2">
        <v>0.58940135287155082</v>
      </c>
      <c r="K147" s="2">
        <v>3025</v>
      </c>
      <c r="L147" s="2">
        <v>-0.67947616650284925</v>
      </c>
      <c r="M147" s="2">
        <v>-0.43469999999999998</v>
      </c>
      <c r="N147" s="2">
        <f t="shared" si="137"/>
        <v>0.46173639071431549</v>
      </c>
      <c r="O147" s="2">
        <f t="shared" si="138"/>
        <v>-0.43469999999999998</v>
      </c>
      <c r="P147" s="2">
        <v>70</v>
      </c>
      <c r="Q147" s="2">
        <v>1.1000000000000001</v>
      </c>
      <c r="R147" s="5">
        <f t="shared" si="139"/>
        <v>0.39029932356422464</v>
      </c>
      <c r="S147" s="5">
        <f t="shared" si="140"/>
        <v>1.1000000000000001</v>
      </c>
      <c r="T147" s="2">
        <v>8200</v>
      </c>
      <c r="U147" s="2">
        <v>0.3</v>
      </c>
      <c r="V147" s="2">
        <f t="shared" si="141"/>
        <v>0.50473808325142466</v>
      </c>
      <c r="W147" s="2">
        <f t="shared" si="142"/>
        <v>0.3</v>
      </c>
      <c r="X147" s="2">
        <v>-0.59640000000000004</v>
      </c>
      <c r="Y147" s="76">
        <f t="shared" si="179"/>
        <v>0.92347278142863098</v>
      </c>
      <c r="Z147" s="76">
        <f t="shared" si="180"/>
        <v>2</v>
      </c>
      <c r="AA147" s="2">
        <f t="shared" si="143"/>
        <v>-0.71355000000000002</v>
      </c>
      <c r="AB147" s="2">
        <f t="shared" si="144"/>
        <v>-0.59640000000000004</v>
      </c>
      <c r="AC147" s="2">
        <v>79</v>
      </c>
      <c r="AD147" s="2">
        <v>1.37</v>
      </c>
      <c r="AE147" s="79">
        <f t="shared" si="181"/>
        <v>0.78059864712844929</v>
      </c>
      <c r="AF147" s="79">
        <f t="shared" si="182"/>
        <v>2</v>
      </c>
      <c r="AG147" s="2">
        <f t="shared" si="134"/>
        <v>-0.23000000000000004</v>
      </c>
      <c r="AH147" s="2">
        <f t="shared" si="145"/>
        <v>1.37</v>
      </c>
      <c r="AI147" s="2">
        <v>10000</v>
      </c>
      <c r="AJ147" s="2">
        <v>0.33</v>
      </c>
      <c r="AK147" s="76">
        <f t="shared" si="183"/>
        <v>1.0094761665028493</v>
      </c>
      <c r="AL147" s="76">
        <f t="shared" si="184"/>
        <v>2</v>
      </c>
      <c r="AM147" s="2">
        <f t="shared" si="146"/>
        <v>-8.4999999999999992E-2</v>
      </c>
      <c r="AN147" s="2">
        <f t="shared" si="147"/>
        <v>0.33</v>
      </c>
      <c r="AO147" s="2">
        <v>-0.3271</v>
      </c>
      <c r="AP147" s="2">
        <f t="shared" si="148"/>
        <v>-0.22696367104635495</v>
      </c>
      <c r="AQ147" s="2">
        <f t="shared" si="149"/>
        <v>-0.3271</v>
      </c>
      <c r="AR147" s="2">
        <v>84</v>
      </c>
      <c r="AS147" s="2">
        <v>0.64</v>
      </c>
      <c r="AT147" s="2">
        <f t="shared" si="150"/>
        <v>-0.23772906485592643</v>
      </c>
      <c r="AU147" s="2">
        <f t="shared" si="151"/>
        <v>0.64</v>
      </c>
      <c r="AV147" s="2">
        <v>11100</v>
      </c>
      <c r="AW147" s="2">
        <v>0.13</v>
      </c>
      <c r="AX147" s="2">
        <f t="shared" si="152"/>
        <v>-0.29097043034205516</v>
      </c>
      <c r="AY147" s="2">
        <f t="shared" si="153"/>
        <v>0.13</v>
      </c>
      <c r="AZ147" s="2">
        <v>-1.0503273420927099</v>
      </c>
      <c r="BA147" s="78">
        <f t="shared" si="185"/>
        <v>-0.45392734209270991</v>
      </c>
      <c r="BB147" s="78">
        <f t="shared" si="186"/>
        <v>-1</v>
      </c>
      <c r="BC147" s="2">
        <f t="shared" si="154"/>
        <v>-0.24208411196606239</v>
      </c>
      <c r="BD147" s="2">
        <f t="shared" si="155"/>
        <v>-1.0503273420927099</v>
      </c>
      <c r="BE147" s="67">
        <f t="shared" si="187"/>
        <v>7</v>
      </c>
      <c r="BF147" s="2">
        <v>90</v>
      </c>
      <c r="BG147" s="2">
        <v>0.89454187028814725</v>
      </c>
      <c r="BH147" s="2">
        <f t="shared" si="156"/>
        <v>-6.6169812740271214E-2</v>
      </c>
      <c r="BI147" s="2">
        <f t="shared" si="157"/>
        <v>0.89454187028814725</v>
      </c>
      <c r="BJ147" s="67">
        <f t="shared" si="158"/>
        <v>7</v>
      </c>
      <c r="BK147" s="2">
        <v>12400</v>
      </c>
      <c r="BL147" s="2">
        <v>-0.25194086068411031</v>
      </c>
      <c r="BM147" s="77">
        <f t="shared" si="188"/>
        <v>-0.58194086068411033</v>
      </c>
      <c r="BN147" s="77">
        <f t="shared" si="189"/>
        <v>-1</v>
      </c>
      <c r="BO147" s="2">
        <f t="shared" si="159"/>
        <v>-0.12856138568684844</v>
      </c>
      <c r="BP147" s="2">
        <f t="shared" si="160"/>
        <v>-0.25194086068411031</v>
      </c>
      <c r="BQ147" s="67">
        <f t="shared" si="190"/>
        <v>7</v>
      </c>
      <c r="BR147" s="5">
        <v>-1.0533523358981871</v>
      </c>
      <c r="BS147" s="75">
        <f t="shared" si="191"/>
        <v>-3.0249938054771608E-3</v>
      </c>
      <c r="BT147" s="75">
        <f t="shared" si="192"/>
        <v>-1</v>
      </c>
      <c r="BU147" s="5" t="e">
        <f>IF(#REF!&gt;=36, IF(AND(NOT(ISBLANK(CM:CM)), NOT(ISBLANK(BD:BD))), (CM:CM-BD:BD)/2, ""), "UF")</f>
        <v>#REF!</v>
      </c>
      <c r="BV147" s="5">
        <f t="shared" si="161"/>
        <v>-1.0533523358981871</v>
      </c>
      <c r="BW147" s="69">
        <f t="shared" si="162"/>
        <v>7</v>
      </c>
      <c r="BX147" s="2">
        <v>97</v>
      </c>
      <c r="BY147" s="5">
        <v>0.44149056177918639</v>
      </c>
      <c r="BZ147" s="74">
        <f t="shared" si="193"/>
        <v>0.6934314224632967</v>
      </c>
      <c r="CA147" s="74">
        <f t="shared" si="194"/>
        <v>2</v>
      </c>
      <c r="CB147" s="5">
        <f t="shared" si="163"/>
        <v>-0.27176424157720336</v>
      </c>
      <c r="CC147" s="5">
        <f t="shared" si="164"/>
        <v>0.44149056177918639</v>
      </c>
      <c r="CD147" s="2">
        <f t="shared" si="165"/>
        <v>-0.45305130850896086</v>
      </c>
      <c r="CE147" s="69">
        <f t="shared" si="166"/>
        <v>7</v>
      </c>
      <c r="CF147" s="5">
        <v>14000</v>
      </c>
      <c r="CG147" s="5">
        <v>-0.25568415706054531</v>
      </c>
      <c r="CH147" s="72">
        <f t="shared" si="195"/>
        <v>-3.7432963764350013E-3</v>
      </c>
      <c r="CI147" s="72">
        <f t="shared" si="196"/>
        <v>-1</v>
      </c>
      <c r="CJ147" s="5">
        <f t="shared" si="167"/>
        <v>4.3516975322899554E-2</v>
      </c>
      <c r="CK147" s="5">
        <f t="shared" si="168"/>
        <v>-0.25568415706054531</v>
      </c>
      <c r="CL147" s="69">
        <f t="shared" si="169"/>
        <v>7</v>
      </c>
      <c r="CM147" s="5">
        <v>-0.80120576512854735</v>
      </c>
      <c r="CN147" s="70">
        <f t="shared" si="170"/>
        <v>0.25214657076963976</v>
      </c>
      <c r="CO147" s="5">
        <f t="shared" si="171"/>
        <v>0.25214657076963976</v>
      </c>
      <c r="CP147" s="5">
        <f>IF(G147&lt;48,"UF", IF(NOT(ISBLANK(CM:CM)), CM:CM, IF(BW:BW=1, BV:BV+Sheet2!B575, IF(Sheet1!BW:BW=2, Sheet1!BV:BV+Sheet2!B576, IF(Sheet1!BW:BW=7, Sheet1!BV:BV+Sheet2!B577,"")))))</f>
        <v>-0.80120576512854735</v>
      </c>
      <c r="CQ147" s="69">
        <f t="shared" si="197"/>
        <v>7</v>
      </c>
      <c r="CR147" s="5">
        <v>104</v>
      </c>
      <c r="CS147" s="5">
        <v>0.35101338713374058</v>
      </c>
      <c r="CT147" s="5">
        <f t="shared" si="172"/>
        <v>-9.0477174645445801E-2</v>
      </c>
      <c r="CU147" s="80">
        <f t="shared" si="173"/>
        <v>-9.0477174645445801E-2</v>
      </c>
      <c r="CV147" s="80">
        <f t="shared" si="174"/>
        <v>-1</v>
      </c>
      <c r="CW147" s="20">
        <f>IF(G147&lt;48,"UF", IF(NOT(ISBLANK(CS147)), CS147, IF(CE147=5, CC147+Sheet2!B564, IF(CE147=6, CC147+Sheet2!B565, IF(CE147=7, CC147+Sheet2!B566,"")))))</f>
        <v>0.35101338713374058</v>
      </c>
      <c r="CX147" s="68">
        <f t="shared" si="198"/>
        <v>7</v>
      </c>
      <c r="CY147" s="5">
        <v>16000</v>
      </c>
      <c r="CZ147" s="5">
        <v>-0.16490691003831121</v>
      </c>
      <c r="DA147" s="5">
        <f t="shared" si="175"/>
        <v>9.0777247022234109E-2</v>
      </c>
      <c r="DB147" s="73">
        <f t="shared" si="176"/>
        <v>9.0777247022234109E-2</v>
      </c>
      <c r="DC147" s="73">
        <f t="shared" si="177"/>
        <v>1</v>
      </c>
      <c r="DD147" s="5">
        <f>IF(G147&lt;48,"UF", IF(NOT(ISBLANK(CZ:CZ)), CZ:CZ, IF(CL:CL=3, CK:CK+Sheet2!B569, IF(CL:CL=4, CK:CK+Sheet2!B570, IF(CL:CL=7, CK:CK+Sheet2!B571,"")))))</f>
        <v>-0.16490691003831121</v>
      </c>
      <c r="DE147" s="69">
        <f t="shared" si="178"/>
        <v>7</v>
      </c>
      <c r="DF147" s="2">
        <v>3</v>
      </c>
      <c r="DG147" s="2">
        <v>42</v>
      </c>
      <c r="DH147" s="2">
        <v>1</v>
      </c>
      <c r="DI147" s="2">
        <v>2</v>
      </c>
      <c r="DJ147" s="2">
        <v>2</v>
      </c>
      <c r="DK147" s="2">
        <v>90</v>
      </c>
      <c r="DL147" s="2">
        <v>60</v>
      </c>
      <c r="DM147" s="2" t="s">
        <v>12</v>
      </c>
      <c r="DN147" s="2" t="s">
        <v>12</v>
      </c>
      <c r="DO147" s="2" t="s">
        <v>12</v>
      </c>
      <c r="DP147" s="2" t="s">
        <v>12</v>
      </c>
      <c r="DQ147" s="2">
        <v>1</v>
      </c>
      <c r="DR147" s="2">
        <v>37</v>
      </c>
      <c r="DS147" s="2">
        <v>2</v>
      </c>
      <c r="DT147" s="2">
        <v>85</v>
      </c>
      <c r="DU147" s="2">
        <v>83</v>
      </c>
      <c r="DV147" s="2">
        <v>2</v>
      </c>
      <c r="DW147" s="2">
        <v>3</v>
      </c>
      <c r="DX147" s="2">
        <v>2</v>
      </c>
      <c r="DY147" s="2">
        <v>3</v>
      </c>
      <c r="DZ147" s="2">
        <v>35</v>
      </c>
      <c r="EA147" s="2">
        <v>36</v>
      </c>
      <c r="EB147" s="2">
        <v>45</v>
      </c>
      <c r="EC147" s="2">
        <v>1</v>
      </c>
      <c r="ED147" s="2">
        <v>1</v>
      </c>
    </row>
    <row r="148" spans="2:134" x14ac:dyDescent="0.25">
      <c r="C148" s="8" t="s">
        <v>287</v>
      </c>
      <c r="D148" s="8">
        <v>2501011155</v>
      </c>
      <c r="E148" s="5">
        <v>7</v>
      </c>
      <c r="F148" s="2">
        <v>2</v>
      </c>
      <c r="G148" s="2">
        <v>52</v>
      </c>
      <c r="H148" s="2">
        <v>-0.48800718488977213</v>
      </c>
      <c r="I148" s="2">
        <v>50</v>
      </c>
      <c r="J148" s="2">
        <v>6.1168777667580831E-2</v>
      </c>
      <c r="K148" s="2">
        <v>3200</v>
      </c>
      <c r="L148" s="2">
        <v>-0.30398057951686752</v>
      </c>
      <c r="M148" s="2">
        <v>-2.9000000000000001E-2</v>
      </c>
      <c r="N148" s="2">
        <f t="shared" si="137"/>
        <v>0.91945359244488611</v>
      </c>
      <c r="O148" s="2">
        <f t="shared" si="138"/>
        <v>-2.9000000000000001E-2</v>
      </c>
      <c r="P148" s="2">
        <v>68</v>
      </c>
      <c r="Q148" s="2">
        <v>0.17</v>
      </c>
      <c r="R148" s="5">
        <f t="shared" si="139"/>
        <v>-0.6055843888337904</v>
      </c>
      <c r="S148" s="5">
        <f t="shared" si="140"/>
        <v>0.17</v>
      </c>
      <c r="T148" s="2">
        <v>8000</v>
      </c>
      <c r="U148" s="2">
        <v>7.0000000000000007E-2</v>
      </c>
      <c r="V148" s="2">
        <f t="shared" si="141"/>
        <v>0.3169902897584338</v>
      </c>
      <c r="W148" s="2">
        <f t="shared" si="142"/>
        <v>7.0000000000000007E-2</v>
      </c>
      <c r="X148" s="2">
        <v>1.3509</v>
      </c>
      <c r="Y148" s="76">
        <f t="shared" si="179"/>
        <v>1.8389071848897722</v>
      </c>
      <c r="Z148" s="76">
        <f t="shared" si="180"/>
        <v>2</v>
      </c>
      <c r="AA148" s="2">
        <f t="shared" si="143"/>
        <v>9.7600000000000006E-2</v>
      </c>
      <c r="AB148" s="2">
        <f t="shared" si="144"/>
        <v>1.3509</v>
      </c>
      <c r="AC148" s="2">
        <v>73</v>
      </c>
      <c r="AD148" s="2">
        <v>-1.1499999999999999</v>
      </c>
      <c r="AE148" s="79">
        <f t="shared" si="181"/>
        <v>-1.2111687776675808</v>
      </c>
      <c r="AF148" s="79">
        <f t="shared" si="182"/>
        <v>-2</v>
      </c>
      <c r="AG148" s="2">
        <f t="shared" si="134"/>
        <v>-0.32</v>
      </c>
      <c r="AH148" s="2">
        <f t="shared" si="145"/>
        <v>-1.1499999999999999</v>
      </c>
      <c r="AI148" s="2">
        <v>10000</v>
      </c>
      <c r="AJ148" s="2">
        <v>0.33</v>
      </c>
      <c r="AK148" s="76">
        <f t="shared" si="183"/>
        <v>0.63398057951686759</v>
      </c>
      <c r="AL148" s="76">
        <f t="shared" si="184"/>
        <v>1</v>
      </c>
      <c r="AM148" s="2">
        <f t="shared" si="146"/>
        <v>-0.05</v>
      </c>
      <c r="AN148" s="2">
        <f t="shared" si="147"/>
        <v>0.33</v>
      </c>
      <c r="AO148" s="2">
        <v>0.36520000000000002</v>
      </c>
      <c r="AP148" s="2">
        <f t="shared" si="148"/>
        <v>-1.1925279407823499</v>
      </c>
      <c r="AQ148" s="2">
        <f t="shared" si="149"/>
        <v>0.36520000000000002</v>
      </c>
      <c r="AR148" s="2">
        <v>81</v>
      </c>
      <c r="AS148" s="2">
        <v>-0.47</v>
      </c>
      <c r="AT148" s="2">
        <f t="shared" si="150"/>
        <v>0.59472046099855969</v>
      </c>
      <c r="AU148" s="2">
        <f t="shared" si="151"/>
        <v>-0.47</v>
      </c>
      <c r="AV148" s="2">
        <v>10900</v>
      </c>
      <c r="AW148" s="2">
        <v>-0.03</v>
      </c>
      <c r="AX148" s="2">
        <f t="shared" si="152"/>
        <v>-0.603321346251395</v>
      </c>
      <c r="AY148" s="2">
        <f t="shared" si="153"/>
        <v>-0.03</v>
      </c>
      <c r="AZ148" s="2">
        <v>-1.0341558815647001</v>
      </c>
      <c r="BA148" s="78">
        <f t="shared" si="185"/>
        <v>-2.3850558815646998</v>
      </c>
      <c r="BB148" s="78">
        <f t="shared" si="186"/>
        <v>-2</v>
      </c>
      <c r="BC148" s="2" t="str">
        <f t="shared" si="154"/>
        <v/>
      </c>
      <c r="BD148" s="2">
        <f t="shared" si="155"/>
        <v>-1.0341558815647001</v>
      </c>
      <c r="BE148" s="67">
        <f t="shared" si="187"/>
        <v>7</v>
      </c>
      <c r="BF148" s="2">
        <v>87</v>
      </c>
      <c r="BG148" s="2">
        <v>3.9440921997119571E-2</v>
      </c>
      <c r="BH148" s="2" t="str">
        <f t="shared" si="156"/>
        <v/>
      </c>
      <c r="BI148" s="2">
        <f t="shared" si="157"/>
        <v>3.9440921997119571E-2</v>
      </c>
      <c r="BJ148" s="67">
        <f t="shared" si="158"/>
        <v>7</v>
      </c>
      <c r="BK148" s="2">
        <v>11600</v>
      </c>
      <c r="BL148" s="2">
        <v>-0.87664269250279003</v>
      </c>
      <c r="BM148" s="77">
        <f t="shared" si="188"/>
        <v>-1.20664269250279</v>
      </c>
      <c r="BN148" s="77">
        <f t="shared" si="189"/>
        <v>-2</v>
      </c>
      <c r="BO148" s="2" t="str">
        <f t="shared" si="159"/>
        <v/>
      </c>
      <c r="BP148" s="2">
        <f t="shared" si="160"/>
        <v>-0.87664269250279003</v>
      </c>
      <c r="BQ148" s="67">
        <f t="shared" si="190"/>
        <v>7</v>
      </c>
      <c r="BS148" s="75" t="e">
        <f t="shared" si="191"/>
        <v>#REF!</v>
      </c>
      <c r="BT148" s="75" t="e">
        <f t="shared" si="192"/>
        <v>#REF!</v>
      </c>
      <c r="BU148" s="5" t="e">
        <f>IF(#REF!&gt;=36, IF(AND(NOT(ISBLANK(CM:CM)), NOT(ISBLANK(BD:BD))), (CM:CM-BD:BD)/2, ""), "UF")</f>
        <v>#REF!</v>
      </c>
      <c r="BV148" s="5" t="e">
        <f t="shared" si="161"/>
        <v>#REF!</v>
      </c>
      <c r="BW148" s="69" t="e">
        <f t="shared" si="162"/>
        <v>#REF!</v>
      </c>
      <c r="BX148" s="2" t="s">
        <v>12</v>
      </c>
      <c r="BZ148" s="74">
        <f t="shared" si="193"/>
        <v>1.0718698470682202</v>
      </c>
      <c r="CA148" s="74">
        <f t="shared" si="194"/>
        <v>2</v>
      </c>
      <c r="CB148" s="5">
        <f t="shared" si="163"/>
        <v>0.15578623256831051</v>
      </c>
      <c r="CC148" s="5">
        <f t="shared" si="164"/>
        <v>0.19522715456543008</v>
      </c>
      <c r="CD148" s="2">
        <f t="shared" si="165"/>
        <v>0.15578623256831051</v>
      </c>
      <c r="CE148" s="69">
        <f t="shared" si="166"/>
        <v>7</v>
      </c>
      <c r="CF148" s="5" t="s">
        <v>12</v>
      </c>
      <c r="CH148" s="72">
        <f t="shared" si="195"/>
        <v>0.6061322849362768</v>
      </c>
      <c r="CI148" s="72">
        <f t="shared" si="196"/>
        <v>1</v>
      </c>
      <c r="CJ148" s="5">
        <f t="shared" si="167"/>
        <v>0.6061322849362768</v>
      </c>
      <c r="CK148" s="5">
        <f t="shared" si="168"/>
        <v>-0.27051040756651323</v>
      </c>
      <c r="CL148" s="69">
        <f t="shared" si="169"/>
        <v>7</v>
      </c>
      <c r="CM148" s="5">
        <v>7.8856826227182736E-2</v>
      </c>
      <c r="CN148" s="70" t="e">
        <f t="shared" si="170"/>
        <v>#REF!</v>
      </c>
      <c r="CO148" s="5" t="e">
        <f t="shared" si="171"/>
        <v>#REF!</v>
      </c>
      <c r="CP148" s="5">
        <f>IF(G148&lt;48,"UF", IF(NOT(ISBLANK(CM:CM)), CM:CM, IF(BW:BW=1, BV:BV+Sheet2!B492, IF(Sheet1!BW:BW=2, Sheet1!BV:BV+Sheet2!B493, IF(Sheet1!BW:BW=7, Sheet1!BV:BV+Sheet2!B494,"")))))</f>
        <v>7.8856826227182736E-2</v>
      </c>
      <c r="CQ148" s="69">
        <f t="shared" si="197"/>
        <v>7</v>
      </c>
      <c r="CR148" s="5">
        <v>104</v>
      </c>
      <c r="CS148" s="5">
        <v>0.35101338713374058</v>
      </c>
      <c r="CT148" s="5">
        <f t="shared" si="172"/>
        <v>0.15578623256831051</v>
      </c>
      <c r="CU148" s="80">
        <f t="shared" si="173"/>
        <v>0.15578623256831051</v>
      </c>
      <c r="CV148" s="80">
        <f t="shared" si="174"/>
        <v>1</v>
      </c>
      <c r="CW148" s="20">
        <f>IF(G148&lt;48,"UF", IF(NOT(ISBLANK(CS148)), CS148, IF(CE148=5, CC148+Sheet2!B481, IF(CE148=6, CC148+Sheet2!B482, IF(CE148=7, CC148+Sheet2!B483,"")))))</f>
        <v>0.35101338713374058</v>
      </c>
      <c r="CX148" s="68">
        <f t="shared" si="198"/>
        <v>7</v>
      </c>
      <c r="CY148" s="5">
        <v>17000</v>
      </c>
      <c r="CZ148" s="5">
        <v>0.33562187736976351</v>
      </c>
      <c r="DA148" s="5">
        <f t="shared" si="175"/>
        <v>0.60613228493627669</v>
      </c>
      <c r="DB148" s="73">
        <f t="shared" si="176"/>
        <v>0.60613228493627669</v>
      </c>
      <c r="DC148" s="73">
        <f t="shared" si="177"/>
        <v>1</v>
      </c>
      <c r="DD148" s="5">
        <f>IF(G148&lt;48,"UF", IF(NOT(ISBLANK(CZ:CZ)), CZ:CZ, IF(CL:CL=3, CK:CK+Sheet2!B486, IF(CL:CL=4, CK:CK+Sheet2!B487, IF(CL:CL=7, CK:CK+Sheet2!B488,"")))))</f>
        <v>0.33562187736976351</v>
      </c>
      <c r="DE148" s="69">
        <f t="shared" si="178"/>
        <v>7</v>
      </c>
      <c r="DF148" s="2">
        <v>2</v>
      </c>
      <c r="DG148" s="2">
        <v>33</v>
      </c>
      <c r="DH148" s="2">
        <v>1</v>
      </c>
      <c r="DI148" s="2">
        <v>2</v>
      </c>
      <c r="DJ148" s="2">
        <v>2</v>
      </c>
      <c r="DK148" s="2" t="s">
        <v>12</v>
      </c>
      <c r="DL148" s="2" t="s">
        <v>12</v>
      </c>
      <c r="DM148" s="2">
        <v>120</v>
      </c>
      <c r="DN148" s="2">
        <v>80</v>
      </c>
      <c r="DO148" s="2">
        <v>130</v>
      </c>
      <c r="DP148" s="2">
        <v>80</v>
      </c>
      <c r="DQ148" s="2">
        <v>2</v>
      </c>
      <c r="DR148" s="2">
        <v>38</v>
      </c>
      <c r="DS148" s="2">
        <v>2</v>
      </c>
      <c r="DT148" s="2">
        <v>84</v>
      </c>
      <c r="DU148" s="2">
        <v>78</v>
      </c>
      <c r="DV148" s="2">
        <v>4</v>
      </c>
      <c r="DW148" s="2">
        <v>2</v>
      </c>
      <c r="DX148" s="2">
        <v>2</v>
      </c>
      <c r="DY148" s="2">
        <v>2</v>
      </c>
      <c r="DZ148" s="2">
        <v>33</v>
      </c>
      <c r="EA148" s="2">
        <v>34</v>
      </c>
      <c r="EB148" s="2">
        <v>47</v>
      </c>
      <c r="EC148" s="2">
        <v>1</v>
      </c>
      <c r="ED148" s="2">
        <v>1</v>
      </c>
    </row>
    <row r="149" spans="2:134" x14ac:dyDescent="0.25">
      <c r="C149" s="8" t="s">
        <v>292</v>
      </c>
      <c r="D149" s="8">
        <v>2501011937</v>
      </c>
      <c r="E149" s="5">
        <v>7</v>
      </c>
      <c r="F149" s="2">
        <v>2</v>
      </c>
      <c r="G149" s="2">
        <v>52</v>
      </c>
      <c r="H149" s="2">
        <v>-0.82647443910598217</v>
      </c>
      <c r="I149" s="2">
        <v>50</v>
      </c>
      <c r="J149" s="2">
        <v>6.1168777667580831E-2</v>
      </c>
      <c r="K149" s="2">
        <v>3100</v>
      </c>
      <c r="L149" s="2">
        <v>-0.51686178682742712</v>
      </c>
      <c r="M149" s="2">
        <v>0.38750000000000001</v>
      </c>
      <c r="N149" s="2">
        <f t="shared" si="137"/>
        <v>0.1459372195529911</v>
      </c>
      <c r="O149" s="2">
        <f t="shared" si="138"/>
        <v>0.38750000000000001</v>
      </c>
      <c r="P149" s="2">
        <v>66</v>
      </c>
      <c r="Q149" s="2">
        <v>-0.77</v>
      </c>
      <c r="R149" s="5">
        <f t="shared" si="139"/>
        <v>2.4415611166209585E-2</v>
      </c>
      <c r="S149" s="5">
        <f t="shared" si="140"/>
        <v>-0.77</v>
      </c>
      <c r="T149" s="2">
        <v>7800</v>
      </c>
      <c r="U149" s="2">
        <v>-0.16</v>
      </c>
      <c r="V149" s="2">
        <f t="shared" si="141"/>
        <v>9.343089341371355E-2</v>
      </c>
      <c r="W149" s="2">
        <f t="shared" si="142"/>
        <v>-0.16</v>
      </c>
      <c r="X149" s="2">
        <v>-0.53459999999999996</v>
      </c>
      <c r="Y149" s="76">
        <f t="shared" si="179"/>
        <v>0.29187443910598221</v>
      </c>
      <c r="Z149" s="76">
        <f t="shared" si="180"/>
        <v>1</v>
      </c>
      <c r="AA149" s="2">
        <f t="shared" si="143"/>
        <v>-0.14590000000000003</v>
      </c>
      <c r="AB149" s="2">
        <f t="shared" si="144"/>
        <v>-0.53459999999999996</v>
      </c>
      <c r="AC149" s="2">
        <v>76</v>
      </c>
      <c r="AD149" s="2">
        <v>0.11</v>
      </c>
      <c r="AE149" s="79">
        <f t="shared" si="181"/>
        <v>4.8831222332419169E-2</v>
      </c>
      <c r="AF149" s="79">
        <f t="shared" si="182"/>
        <v>1</v>
      </c>
      <c r="AG149" s="2">
        <f t="shared" si="134"/>
        <v>0.33500000000000002</v>
      </c>
      <c r="AH149" s="2">
        <f t="shared" si="145"/>
        <v>0.11</v>
      </c>
      <c r="AI149" s="2">
        <v>9300</v>
      </c>
      <c r="AJ149" s="2">
        <v>-0.33</v>
      </c>
      <c r="AK149" s="76">
        <f t="shared" si="183"/>
        <v>0.1868617868274271</v>
      </c>
      <c r="AL149" s="76">
        <f t="shared" si="184"/>
        <v>1</v>
      </c>
      <c r="AM149" s="2">
        <f t="shared" si="146"/>
        <v>-0.32500000000000001</v>
      </c>
      <c r="AN149" s="2">
        <f t="shared" si="147"/>
        <v>-0.33</v>
      </c>
      <c r="AO149" s="2">
        <v>-1.0618000000000001</v>
      </c>
      <c r="AP149" s="2">
        <f t="shared" si="148"/>
        <v>1.5181167595345435E-2</v>
      </c>
      <c r="AQ149" s="2">
        <f t="shared" si="149"/>
        <v>-1.0618000000000001</v>
      </c>
      <c r="AR149" s="2">
        <v>82</v>
      </c>
      <c r="AS149" s="2">
        <v>-0.1</v>
      </c>
      <c r="AT149" s="2">
        <f t="shared" si="150"/>
        <v>-0.32025437276213997</v>
      </c>
      <c r="AU149" s="2">
        <f t="shared" si="151"/>
        <v>-0.1</v>
      </c>
      <c r="AV149" s="2">
        <v>10000</v>
      </c>
      <c r="AW149" s="2">
        <v>-0.81</v>
      </c>
      <c r="AX149" s="2">
        <f t="shared" si="152"/>
        <v>-0.31420338178308171</v>
      </c>
      <c r="AY149" s="2">
        <f t="shared" si="153"/>
        <v>-0.81</v>
      </c>
      <c r="AZ149" s="2">
        <v>-0.50423766480930909</v>
      </c>
      <c r="BA149" s="78">
        <f t="shared" si="185"/>
        <v>3.036233519069087E-2</v>
      </c>
      <c r="BB149" s="78">
        <f t="shared" si="186"/>
        <v>1</v>
      </c>
      <c r="BC149" s="2" t="str">
        <f t="shared" si="154"/>
        <v/>
      </c>
      <c r="BD149" s="2">
        <f t="shared" si="155"/>
        <v>-0.50423766480930909</v>
      </c>
      <c r="BE149" s="67">
        <f t="shared" si="187"/>
        <v>7</v>
      </c>
      <c r="BF149" s="2">
        <v>85</v>
      </c>
      <c r="BG149" s="2">
        <v>-0.53050874552427996</v>
      </c>
      <c r="BH149" s="2" t="str">
        <f t="shared" si="156"/>
        <v/>
      </c>
      <c r="BI149" s="2">
        <f t="shared" si="157"/>
        <v>-0.53050874552427996</v>
      </c>
      <c r="BJ149" s="67">
        <f t="shared" si="158"/>
        <v>7</v>
      </c>
      <c r="BK149" s="2">
        <v>11500</v>
      </c>
      <c r="BL149" s="2">
        <v>-0.95840676356616339</v>
      </c>
      <c r="BM149" s="77">
        <f t="shared" si="188"/>
        <v>-0.62840676356616343</v>
      </c>
      <c r="BN149" s="77">
        <f t="shared" si="189"/>
        <v>-1</v>
      </c>
      <c r="BO149" s="2" t="str">
        <f t="shared" si="159"/>
        <v/>
      </c>
      <c r="BP149" s="2">
        <f t="shared" si="160"/>
        <v>-0.95840676356616339</v>
      </c>
      <c r="BQ149" s="67">
        <f t="shared" si="190"/>
        <v>7</v>
      </c>
      <c r="BS149" s="75" t="e">
        <f t="shared" si="191"/>
        <v>#VALUE!</v>
      </c>
      <c r="BT149" s="75" t="e">
        <f t="shared" si="192"/>
        <v>#VALUE!</v>
      </c>
      <c r="BU149" s="5" t="str">
        <f>IF(G155&gt;=36, IF(AND(NOT(ISBLANK(CM:CM)), NOT(ISBLANK(BD:BD))), (CM:CM-BD:BD)/2, ""), "UF")</f>
        <v/>
      </c>
      <c r="BV149" s="5" t="e">
        <f t="shared" si="161"/>
        <v>#VALUE!</v>
      </c>
      <c r="BW149" s="69" t="e">
        <f t="shared" si="162"/>
        <v>#VALUE!</v>
      </c>
      <c r="BX149" s="2" t="s">
        <v>12</v>
      </c>
      <c r="BZ149" s="74" t="e">
        <f t="shared" si="193"/>
        <v>#VALUE!</v>
      </c>
      <c r="CA149" s="74" t="e">
        <f t="shared" si="194"/>
        <v>#VALUE!</v>
      </c>
      <c r="CB149" s="5" t="str">
        <f t="shared" si="163"/>
        <v/>
      </c>
      <c r="CC149" s="5" t="e">
        <f t="shared" si="164"/>
        <v>#VALUE!</v>
      </c>
      <c r="CD149" s="2" t="e">
        <f t="shared" si="165"/>
        <v>#VALUE!</v>
      </c>
      <c r="CE149" s="69" t="e">
        <f t="shared" si="166"/>
        <v>#VALUE!</v>
      </c>
      <c r="CF149" s="5" t="s">
        <v>12</v>
      </c>
      <c r="CH149" s="72" t="e">
        <f t="shared" si="195"/>
        <v>#VALUE!</v>
      </c>
      <c r="CI149" s="72" t="e">
        <f t="shared" si="196"/>
        <v>#VALUE!</v>
      </c>
      <c r="CJ149" s="5" t="str">
        <f t="shared" si="167"/>
        <v/>
      </c>
      <c r="CK149" s="5" t="e">
        <f t="shared" si="168"/>
        <v>#VALUE!</v>
      </c>
      <c r="CL149" s="69" t="e">
        <f t="shared" si="169"/>
        <v>#VALUE!</v>
      </c>
      <c r="CN149" s="70" t="str">
        <f t="shared" si="170"/>
        <v/>
      </c>
      <c r="CO149" s="5" t="e">
        <f t="shared" si="171"/>
        <v>#VALUE!</v>
      </c>
      <c r="CP149" s="5" t="e">
        <f>IF(G149&lt;48,"UF", IF(NOT(ISBLANK(CM:CM)), CM:CM, IF(BW:BW=1, BV:BV+Sheet2!B499, IF(Sheet1!BW:BW=2, Sheet1!BV:BV+Sheet2!B500, IF(Sheet1!BW:BW=7, Sheet1!BV:BV+Sheet2!B501,"")))))</f>
        <v>#VALUE!</v>
      </c>
      <c r="CQ149" s="69" t="e">
        <f t="shared" si="197"/>
        <v>#VALUE!</v>
      </c>
      <c r="CR149" s="5" t="s">
        <v>12</v>
      </c>
      <c r="CT149" s="5" t="str">
        <f t="shared" si="172"/>
        <v/>
      </c>
      <c r="CU149" s="80" t="e">
        <f t="shared" si="173"/>
        <v>#VALUE!</v>
      </c>
      <c r="CV149" s="80" t="e">
        <f t="shared" si="174"/>
        <v>#VALUE!</v>
      </c>
      <c r="CW149" s="20" t="e">
        <f>IF(G149&lt;48,"UF", IF(NOT(ISBLANK(CS149)), CS149, IF(CE149=5, CC149+Sheet2!B488, IF(CE149=6, CC149+Sheet2!B489, IF(CE149=7, CC149+Sheet2!B490,"")))))</f>
        <v>#VALUE!</v>
      </c>
      <c r="CX149" s="68" t="e">
        <f t="shared" si="198"/>
        <v>#VALUE!</v>
      </c>
      <c r="CY149" s="5" t="s">
        <v>12</v>
      </c>
      <c r="DA149" s="5" t="str">
        <f t="shared" si="175"/>
        <v/>
      </c>
      <c r="DB149" s="73" t="e">
        <f t="shared" si="176"/>
        <v>#VALUE!</v>
      </c>
      <c r="DC149" s="73" t="e">
        <f t="shared" si="177"/>
        <v>#VALUE!</v>
      </c>
      <c r="DD149" s="5" t="e">
        <f>IF(G149&lt;48,"UF", IF(NOT(ISBLANK(CZ:CZ)), CZ:CZ, IF(CL:CL=3, CK:CK+Sheet2!B493, IF(CL:CL=4, CK:CK+Sheet2!B494, IF(CL:CL=7, CK:CK+Sheet2!B495,"")))))</f>
        <v>#VALUE!</v>
      </c>
      <c r="DE149" s="69" t="e">
        <f t="shared" si="178"/>
        <v>#VALUE!</v>
      </c>
      <c r="DF149" s="2">
        <v>2</v>
      </c>
      <c r="DG149" s="2">
        <v>39</v>
      </c>
      <c r="DH149" s="2">
        <v>1</v>
      </c>
      <c r="DI149" s="2">
        <v>2</v>
      </c>
      <c r="DJ149" s="2">
        <v>2</v>
      </c>
      <c r="DK149" s="2">
        <v>110</v>
      </c>
      <c r="DL149" s="2">
        <v>60</v>
      </c>
      <c r="DM149" s="2" t="s">
        <v>12</v>
      </c>
      <c r="DN149" s="2" t="s">
        <v>12</v>
      </c>
      <c r="DO149" s="2">
        <v>120</v>
      </c>
      <c r="DP149" s="2">
        <v>80</v>
      </c>
      <c r="DQ149" s="2">
        <v>1</v>
      </c>
      <c r="DR149" s="2">
        <v>39</v>
      </c>
      <c r="DS149" s="2">
        <v>2</v>
      </c>
      <c r="DT149" s="2">
        <v>77</v>
      </c>
      <c r="DU149" s="2">
        <v>68</v>
      </c>
      <c r="DV149" s="2">
        <v>4</v>
      </c>
      <c r="DW149" s="2">
        <v>2</v>
      </c>
      <c r="DX149" s="2">
        <v>4</v>
      </c>
      <c r="DY149" s="2">
        <v>2</v>
      </c>
      <c r="DZ149" s="2">
        <v>33</v>
      </c>
      <c r="EA149" s="2" t="s">
        <v>12</v>
      </c>
      <c r="EB149" s="2">
        <v>47</v>
      </c>
      <c r="EC149" s="2" t="s">
        <v>12</v>
      </c>
      <c r="ED149" s="2">
        <v>1</v>
      </c>
    </row>
    <row r="150" spans="2:134" x14ac:dyDescent="0.25">
      <c r="C150" s="2" t="s">
        <v>369</v>
      </c>
      <c r="D150" s="2">
        <v>2501012453</v>
      </c>
      <c r="E150" s="5">
        <v>4</v>
      </c>
      <c r="F150" s="2">
        <v>1</v>
      </c>
      <c r="G150" s="2">
        <v>54</v>
      </c>
      <c r="H150" s="2">
        <v>-2.179782481228242</v>
      </c>
      <c r="I150" s="2">
        <v>52</v>
      </c>
      <c r="J150" s="2">
        <v>1.531272843240846</v>
      </c>
      <c r="K150" s="5">
        <v>2950</v>
      </c>
      <c r="L150" s="2">
        <v>-0.63359365535275136</v>
      </c>
      <c r="M150" s="2">
        <v>-1.0525</v>
      </c>
      <c r="N150" s="2">
        <f t="shared" si="137"/>
        <v>358.02774124061415</v>
      </c>
      <c r="O150" s="2">
        <f t="shared" si="138"/>
        <v>-1.0525</v>
      </c>
      <c r="P150" s="2">
        <v>65</v>
      </c>
      <c r="Q150" s="2">
        <v>-0.33</v>
      </c>
      <c r="R150" s="5">
        <f t="shared" si="139"/>
        <v>-13.680636421620422</v>
      </c>
      <c r="S150" s="5">
        <f t="shared" si="140"/>
        <v>-0.33</v>
      </c>
      <c r="T150" s="1">
        <v>6500</v>
      </c>
      <c r="U150" s="2">
        <v>-0.96</v>
      </c>
      <c r="V150" s="2">
        <f t="shared" si="141"/>
        <v>-0.14320317232362434</v>
      </c>
      <c r="W150" s="2">
        <f t="shared" si="142"/>
        <v>-0.96</v>
      </c>
      <c r="X150" s="2">
        <v>713.87570000000005</v>
      </c>
      <c r="Y150" s="76">
        <f t="shared" si="179"/>
        <v>716.0554824812283</v>
      </c>
      <c r="Z150" s="76">
        <f t="shared" si="180"/>
        <v>2</v>
      </c>
      <c r="AA150" s="2">
        <f t="shared" si="143"/>
        <v>-0.61829999999999996</v>
      </c>
      <c r="AB150" s="2">
        <f t="shared" si="144"/>
        <v>713.87570000000005</v>
      </c>
      <c r="AC150" s="2">
        <v>7.5</v>
      </c>
      <c r="AD150" s="2">
        <v>-25.83</v>
      </c>
      <c r="AE150" s="79">
        <f t="shared" si="181"/>
        <v>-27.361272843240844</v>
      </c>
      <c r="AF150" s="79">
        <f t="shared" si="182"/>
        <v>-2</v>
      </c>
      <c r="AG150" s="2">
        <f t="shared" si="134"/>
        <v>-0.215</v>
      </c>
      <c r="AH150" s="2">
        <f t="shared" si="145"/>
        <v>-25.83</v>
      </c>
      <c r="AI150" s="2">
        <v>8000</v>
      </c>
      <c r="AJ150" s="2">
        <v>-0.92</v>
      </c>
      <c r="AK150" s="76">
        <f t="shared" si="183"/>
        <v>-0.28640634464724868</v>
      </c>
      <c r="AL150" s="76">
        <f t="shared" si="184"/>
        <v>-1</v>
      </c>
      <c r="AM150" s="2">
        <f t="shared" si="146"/>
        <v>-0.29000000000000004</v>
      </c>
      <c r="AN150" s="2">
        <f t="shared" si="147"/>
        <v>-0.92</v>
      </c>
      <c r="AO150" s="2">
        <v>-1.5666</v>
      </c>
      <c r="AP150" s="2">
        <f t="shared" si="148"/>
        <v>-358.26065224946518</v>
      </c>
      <c r="AQ150" s="2">
        <f t="shared" si="149"/>
        <v>-1.5666</v>
      </c>
      <c r="AR150" s="2">
        <v>78.5</v>
      </c>
      <c r="AS150" s="2">
        <v>-0.76</v>
      </c>
      <c r="AT150" s="2">
        <f t="shared" si="150"/>
        <v>12.428685147493878</v>
      </c>
      <c r="AU150" s="2">
        <f t="shared" si="151"/>
        <v>-0.76</v>
      </c>
      <c r="AV150" s="2">
        <v>8500</v>
      </c>
      <c r="AW150" s="2">
        <v>-1.54</v>
      </c>
      <c r="AX150" s="2">
        <f t="shared" si="152"/>
        <v>-1.095051472101499</v>
      </c>
      <c r="AY150" s="2">
        <f t="shared" si="153"/>
        <v>-1.54</v>
      </c>
      <c r="AZ150" s="2">
        <v>-2.6456044989302909</v>
      </c>
      <c r="BA150" s="78">
        <f t="shared" si="185"/>
        <v>-716.52130449893036</v>
      </c>
      <c r="BB150" s="78">
        <f t="shared" si="186"/>
        <v>-2</v>
      </c>
      <c r="BC150" s="2" t="str">
        <f t="shared" si="154"/>
        <v/>
      </c>
      <c r="BD150" s="2">
        <f t="shared" si="155"/>
        <v>-2.6456044989302909</v>
      </c>
      <c r="BE150" s="67">
        <f t="shared" si="187"/>
        <v>2</v>
      </c>
      <c r="BF150" s="2">
        <v>82</v>
      </c>
      <c r="BG150" s="2">
        <v>-0.97262970501224089</v>
      </c>
      <c r="BH150" s="2" t="str">
        <f t="shared" si="156"/>
        <v/>
      </c>
      <c r="BI150" s="2">
        <f t="shared" si="157"/>
        <v>-0.97262970501224089</v>
      </c>
      <c r="BJ150" s="67">
        <f t="shared" si="158"/>
        <v>7</v>
      </c>
      <c r="BK150" s="2">
        <v>9000</v>
      </c>
      <c r="BL150" s="2">
        <v>-3.1101029442029979</v>
      </c>
      <c r="BM150" s="77">
        <f t="shared" si="188"/>
        <v>-2.190102944202998</v>
      </c>
      <c r="BN150" s="77">
        <f t="shared" si="189"/>
        <v>-2</v>
      </c>
      <c r="BO150" s="2" t="str">
        <f t="shared" si="159"/>
        <v/>
      </c>
      <c r="BP150" s="2">
        <f t="shared" si="160"/>
        <v>-3.1101029442029979</v>
      </c>
      <c r="BQ150" s="67">
        <f t="shared" si="190"/>
        <v>3</v>
      </c>
      <c r="BS150" s="75">
        <f t="shared" si="191"/>
        <v>0.41239066840879479</v>
      </c>
      <c r="BT150" s="75">
        <f t="shared" si="192"/>
        <v>1</v>
      </c>
      <c r="BU150" s="5">
        <f>IF(G156&gt;=36, IF(AND(NOT(ISBLANK(CM:CM)), NOT(ISBLANK(BD:BD))), (CM:CM-BD:BD)/2, ""), "UF")</f>
        <v>0.41239066840879501</v>
      </c>
      <c r="BV150" s="5">
        <f t="shared" si="161"/>
        <v>-2.2332138305214961</v>
      </c>
      <c r="BW150" s="69">
        <f t="shared" si="162"/>
        <v>2</v>
      </c>
      <c r="BX150" s="2" t="s">
        <v>12</v>
      </c>
      <c r="BZ150" s="74">
        <f t="shared" si="193"/>
        <v>1.7964965799224939</v>
      </c>
      <c r="CA150" s="74">
        <f t="shared" si="194"/>
        <v>2</v>
      </c>
      <c r="CB150" s="5">
        <f t="shared" si="163"/>
        <v>-0.34097665926826309</v>
      </c>
      <c r="CC150" s="5">
        <f t="shared" si="164"/>
        <v>-1.313606364280504</v>
      </c>
      <c r="CD150" s="2">
        <f t="shared" si="165"/>
        <v>-0.34097665926826315</v>
      </c>
      <c r="CE150" s="69">
        <f t="shared" si="166"/>
        <v>7</v>
      </c>
      <c r="CF150" s="5" t="s">
        <v>12</v>
      </c>
      <c r="CH150" s="72">
        <f t="shared" si="195"/>
        <v>0.29667144753691765</v>
      </c>
      <c r="CI150" s="72">
        <f t="shared" si="196"/>
        <v>1</v>
      </c>
      <c r="CJ150" s="5">
        <f t="shared" si="167"/>
        <v>0.29667144753691788</v>
      </c>
      <c r="CK150" s="5">
        <f t="shared" si="168"/>
        <v>-2.8134314966660803</v>
      </c>
      <c r="CL150" s="69">
        <f t="shared" si="169"/>
        <v>4</v>
      </c>
      <c r="CM150" s="5">
        <v>-1.8208231621127009</v>
      </c>
      <c r="CN150" s="70">
        <f t="shared" si="170"/>
        <v>0.41239066840879524</v>
      </c>
      <c r="CO150" s="5">
        <f t="shared" si="171"/>
        <v>0.41239066840879524</v>
      </c>
      <c r="CP150" s="5">
        <f>IF(G150&lt;48,"UF", IF(NOT(ISBLANK(CM:CM)), CM:CM, IF(BW:BW=1, BV:BV+Sheet2!B236, IF(Sheet1!BW:BW=2, Sheet1!BV:BV+Sheet2!B237, IF(Sheet1!BW:BW=7, Sheet1!BV:BV+Sheet2!B238,"")))))</f>
        <v>-1.8208231621127009</v>
      </c>
      <c r="CQ150" s="69">
        <f t="shared" si="197"/>
        <v>7</v>
      </c>
      <c r="CR150" s="5">
        <v>94</v>
      </c>
      <c r="CS150" s="5">
        <v>-1.6545830235487671</v>
      </c>
      <c r="CT150" s="5">
        <f t="shared" si="172"/>
        <v>-0.34097665926826304</v>
      </c>
      <c r="CU150" s="80">
        <f t="shared" si="173"/>
        <v>-0.34097665926826304</v>
      </c>
      <c r="CV150" s="80">
        <f t="shared" si="174"/>
        <v>-1</v>
      </c>
      <c r="CW150" s="20">
        <f>IF(G150&lt;48,"UF", IF(NOT(ISBLANK(CS150)), CS150, IF(CE150=5, CC150+Sheet2!B225, IF(CE150=6, CC150+Sheet2!B226, IF(CE150=7, CC150+Sheet2!B227,"")))))</f>
        <v>-1.6545830235487671</v>
      </c>
      <c r="CX150" s="68">
        <f t="shared" si="198"/>
        <v>7</v>
      </c>
      <c r="CY150" s="5">
        <v>12000</v>
      </c>
      <c r="CZ150" s="5">
        <v>-2.5167600491291622</v>
      </c>
      <c r="DA150" s="5">
        <f t="shared" si="175"/>
        <v>0.2966714475369181</v>
      </c>
      <c r="DB150" s="73">
        <f t="shared" si="176"/>
        <v>0.2966714475369181</v>
      </c>
      <c r="DC150" s="73">
        <f t="shared" si="177"/>
        <v>1</v>
      </c>
      <c r="DD150" s="5">
        <f>IF(G150&lt;48,"UF", IF(NOT(ISBLANK(CZ:CZ)), CZ:CZ, IF(CL:CL=3, CK:CK+Sheet2!B230, IF(CL:CL=4, CK:CK+Sheet2!B231, IF(CL:CL=7, CK:CK+Sheet2!B232,"")))))</f>
        <v>-2.5167600491291622</v>
      </c>
      <c r="DE150" s="69">
        <f t="shared" si="178"/>
        <v>4</v>
      </c>
      <c r="DF150" s="2">
        <v>2</v>
      </c>
      <c r="DG150" s="2">
        <v>32</v>
      </c>
      <c r="DH150" s="2">
        <v>2</v>
      </c>
      <c r="DI150" s="2">
        <v>2</v>
      </c>
      <c r="DJ150" s="2">
        <v>2</v>
      </c>
      <c r="DK150" s="2">
        <v>120</v>
      </c>
      <c r="DL150" s="2">
        <v>60</v>
      </c>
      <c r="DM150" s="2">
        <v>110</v>
      </c>
      <c r="DN150" s="2">
        <v>60</v>
      </c>
      <c r="DO150" s="2">
        <v>107</v>
      </c>
      <c r="DP150" s="2">
        <v>60</v>
      </c>
      <c r="DQ150" s="2">
        <v>1</v>
      </c>
      <c r="DR150" s="2">
        <v>37</v>
      </c>
      <c r="DS150" s="2">
        <v>1</v>
      </c>
      <c r="DT150" s="2">
        <v>88</v>
      </c>
      <c r="DU150" s="2">
        <v>87</v>
      </c>
      <c r="DV150" s="2">
        <v>2</v>
      </c>
      <c r="DW150" s="2">
        <v>2</v>
      </c>
      <c r="DX150" s="2">
        <v>2</v>
      </c>
      <c r="DY150" s="2">
        <v>2</v>
      </c>
      <c r="DZ150" s="2">
        <v>34.5</v>
      </c>
      <c r="EA150" s="2">
        <v>35</v>
      </c>
      <c r="EB150" s="2">
        <v>46</v>
      </c>
      <c r="EC150" s="2">
        <v>1</v>
      </c>
      <c r="ED150" s="2">
        <v>1</v>
      </c>
    </row>
    <row r="151" spans="2:134" x14ac:dyDescent="0.25">
      <c r="C151" s="8" t="s">
        <v>132</v>
      </c>
      <c r="D151" s="2">
        <v>2501012747</v>
      </c>
      <c r="E151" s="5">
        <v>4</v>
      </c>
      <c r="F151" s="2">
        <v>1</v>
      </c>
      <c r="G151" s="2">
        <v>54</v>
      </c>
      <c r="H151" s="2">
        <v>1.079417399699971</v>
      </c>
      <c r="I151" s="2">
        <v>46</v>
      </c>
      <c r="J151" s="2">
        <v>-1.6898613744484801</v>
      </c>
      <c r="K151" s="5">
        <v>3120</v>
      </c>
      <c r="L151" s="2">
        <v>-0.24764188413464491</v>
      </c>
      <c r="M151" s="2">
        <v>-6.0575999999999999</v>
      </c>
      <c r="N151" s="2">
        <f t="shared" si="137"/>
        <v>-1.3335586998499855</v>
      </c>
      <c r="O151" s="2">
        <f t="shared" si="138"/>
        <v>-6.0575999999999999</v>
      </c>
      <c r="P151" s="2">
        <v>59</v>
      </c>
      <c r="Q151" s="2">
        <v>-2.98</v>
      </c>
      <c r="R151" s="5">
        <f t="shared" si="139"/>
        <v>0.45493068722424002</v>
      </c>
      <c r="S151" s="5">
        <f t="shared" si="140"/>
        <v>-2.98</v>
      </c>
      <c r="T151" s="1">
        <v>3250</v>
      </c>
      <c r="U151" s="2">
        <v>-5.85</v>
      </c>
      <c r="V151" s="2">
        <f t="shared" si="141"/>
        <v>-0.66617905793267762</v>
      </c>
      <c r="W151" s="2">
        <f t="shared" si="142"/>
        <v>-5.85</v>
      </c>
      <c r="X151" s="2">
        <v>-1.5876999999999999</v>
      </c>
      <c r="Y151" s="76">
        <f t="shared" si="179"/>
        <v>-2.6671173996999711</v>
      </c>
      <c r="Z151" s="76">
        <f t="shared" si="180"/>
        <v>-2</v>
      </c>
      <c r="AA151" s="2" t="str">
        <f t="shared" si="143"/>
        <v/>
      </c>
      <c r="AB151" s="2">
        <f t="shared" si="144"/>
        <v>-1.5876999999999999</v>
      </c>
      <c r="AC151" s="2">
        <v>72</v>
      </c>
      <c r="AD151" s="2">
        <v>-0.78</v>
      </c>
      <c r="AE151" s="79">
        <f t="shared" si="181"/>
        <v>0.90986137444848003</v>
      </c>
      <c r="AF151" s="79">
        <f t="shared" si="182"/>
        <v>2</v>
      </c>
      <c r="AG151" s="2" t="str">
        <f t="shared" si="134"/>
        <v/>
      </c>
      <c r="AH151" s="2">
        <f t="shared" si="145"/>
        <v>-0.78</v>
      </c>
      <c r="AI151" s="2">
        <v>7400</v>
      </c>
      <c r="AJ151" s="2">
        <v>-1.58</v>
      </c>
      <c r="AK151" s="76">
        <f t="shared" si="183"/>
        <v>-1.3323581158653552</v>
      </c>
      <c r="AL151" s="76">
        <f t="shared" si="184"/>
        <v>-2</v>
      </c>
      <c r="AM151" s="2" t="str">
        <f t="shared" si="146"/>
        <v/>
      </c>
      <c r="AN151" s="2">
        <f t="shared" si="147"/>
        <v>-1.58</v>
      </c>
      <c r="AP151" s="2">
        <f t="shared" si="148"/>
        <v>0.1037477914493804</v>
      </c>
      <c r="AQ151" s="2">
        <f t="shared" si="149"/>
        <v>-1.4839522085506194</v>
      </c>
      <c r="AR151" s="2" t="s">
        <v>12</v>
      </c>
      <c r="AT151" s="2" t="str">
        <f t="shared" si="150"/>
        <v/>
      </c>
      <c r="AU151" s="2" t="e">
        <f t="shared" si="151"/>
        <v>#VALUE!</v>
      </c>
      <c r="AV151" s="2" t="s">
        <v>12</v>
      </c>
      <c r="AX151" s="2" t="str">
        <f t="shared" si="152"/>
        <v/>
      </c>
      <c r="AY151" s="2" t="e">
        <f t="shared" si="153"/>
        <v>#VALUE!</v>
      </c>
      <c r="AZ151" s="2">
        <v>-1.3802044171012391</v>
      </c>
      <c r="BA151" s="78">
        <f t="shared" si="185"/>
        <v>0.2074955828987608</v>
      </c>
      <c r="BB151" s="78">
        <f t="shared" si="186"/>
        <v>1</v>
      </c>
      <c r="BC151" s="2" t="str">
        <f t="shared" si="154"/>
        <v/>
      </c>
      <c r="BD151" s="2">
        <f t="shared" si="155"/>
        <v>-1.3802044171012391</v>
      </c>
      <c r="BE151" s="67">
        <f t="shared" si="187"/>
        <v>7</v>
      </c>
      <c r="BF151" s="2" t="s">
        <v>12</v>
      </c>
      <c r="BH151" s="2" t="str">
        <f t="shared" si="156"/>
        <v/>
      </c>
      <c r="BI151" s="2" t="e">
        <f t="shared" si="157"/>
        <v>#VALUE!</v>
      </c>
      <c r="BJ151" s="67" t="e">
        <f t="shared" si="158"/>
        <v>#VALUE!</v>
      </c>
      <c r="BK151" s="2" t="s">
        <v>12</v>
      </c>
      <c r="BM151" s="77" t="e">
        <f t="shared" si="188"/>
        <v>#VALUE!</v>
      </c>
      <c r="BN151" s="77" t="e">
        <f t="shared" si="189"/>
        <v>#VALUE!</v>
      </c>
      <c r="BO151" s="2" t="str">
        <f t="shared" si="159"/>
        <v/>
      </c>
      <c r="BP151" s="2" t="e">
        <f t="shared" si="160"/>
        <v>#VALUE!</v>
      </c>
      <c r="BQ151" s="67" t="e">
        <f t="shared" si="190"/>
        <v>#VALUE!</v>
      </c>
      <c r="BS151" s="75" t="e">
        <f t="shared" si="191"/>
        <v>#REF!</v>
      </c>
      <c r="BT151" s="75" t="e">
        <f t="shared" si="192"/>
        <v>#REF!</v>
      </c>
      <c r="BU151" s="5" t="e">
        <f>IF(#REF!&gt;=36, IF(AND(NOT(ISBLANK(CM:CM)), NOT(ISBLANK(BD:BD))), (CM:CM-BD:BD)/2, ""), "UF")</f>
        <v>#REF!</v>
      </c>
      <c r="BV151" s="5" t="e">
        <f t="shared" si="161"/>
        <v>#REF!</v>
      </c>
      <c r="BW151" s="69" t="e">
        <f t="shared" si="162"/>
        <v>#REF!</v>
      </c>
      <c r="BX151" s="2" t="s">
        <v>12</v>
      </c>
      <c r="BZ151" s="74" t="e">
        <f t="shared" si="193"/>
        <v>#VALUE!</v>
      </c>
      <c r="CA151" s="74" t="e">
        <f t="shared" si="194"/>
        <v>#VALUE!</v>
      </c>
      <c r="CB151" s="5" t="e">
        <f t="shared" si="163"/>
        <v>#VALUE!</v>
      </c>
      <c r="CC151" s="5" t="e">
        <f t="shared" si="164"/>
        <v>#VALUE!</v>
      </c>
      <c r="CD151" s="2" t="e">
        <f t="shared" si="165"/>
        <v>#VALUE!</v>
      </c>
      <c r="CE151" s="69" t="e">
        <f t="shared" si="166"/>
        <v>#VALUE!</v>
      </c>
      <c r="CF151" s="5" t="s">
        <v>12</v>
      </c>
      <c r="CH151" s="72" t="e">
        <f t="shared" si="195"/>
        <v>#VALUE!</v>
      </c>
      <c r="CI151" s="72" t="e">
        <f t="shared" si="196"/>
        <v>#VALUE!</v>
      </c>
      <c r="CJ151" s="5" t="e">
        <f t="shared" si="167"/>
        <v>#VALUE!</v>
      </c>
      <c r="CK151" s="5" t="e">
        <f t="shared" si="168"/>
        <v>#VALUE!</v>
      </c>
      <c r="CL151" s="69" t="e">
        <f t="shared" si="169"/>
        <v>#VALUE!</v>
      </c>
      <c r="CM151" s="5">
        <v>-0.37418639472152282</v>
      </c>
      <c r="CN151" s="70" t="e">
        <f t="shared" si="170"/>
        <v>#REF!</v>
      </c>
      <c r="CO151" s="5" t="e">
        <f t="shared" si="171"/>
        <v>#REF!</v>
      </c>
      <c r="CP151" s="5">
        <f>IF(G151&lt;48,"UF", IF(NOT(ISBLANK(CM:CM)), CM:CM, IF(BW:BW=1, BV:BV+Sheet2!B181, IF(Sheet1!BW:BW=2, Sheet1!BV:BV+Sheet2!B182, IF(Sheet1!BW:BW=7, Sheet1!BV:BV+Sheet2!B183,"")))))</f>
        <v>-0.37418639472152282</v>
      </c>
      <c r="CQ151" s="69">
        <f t="shared" si="197"/>
        <v>7</v>
      </c>
      <c r="CR151" s="5">
        <v>86</v>
      </c>
      <c r="CS151" s="5">
        <v>-3.6573132838974578</v>
      </c>
      <c r="CT151" s="5" t="e">
        <f t="shared" si="172"/>
        <v>#VALUE!</v>
      </c>
      <c r="CU151" s="80" t="e">
        <f t="shared" si="173"/>
        <v>#VALUE!</v>
      </c>
      <c r="CV151" s="80" t="e">
        <f t="shared" si="174"/>
        <v>#VALUE!</v>
      </c>
      <c r="CW151" s="20">
        <f>IF(G151&lt;48,"UF", IF(NOT(ISBLANK(CS151)), CS151, IF(CE151=5, CC151+Sheet2!B170, IF(CE151=6, CC151+Sheet2!B171, IF(CE151=7, CC151+Sheet2!B172,"")))))</f>
        <v>-3.6573132838974578</v>
      </c>
      <c r="CX151" s="68">
        <f t="shared" si="198"/>
        <v>5</v>
      </c>
      <c r="CY151" s="5">
        <v>11000</v>
      </c>
      <c r="CZ151" s="5">
        <v>-3.4833314323860081</v>
      </c>
      <c r="DA151" s="5" t="e">
        <f t="shared" si="175"/>
        <v>#VALUE!</v>
      </c>
      <c r="DB151" s="73" t="e">
        <f t="shared" si="176"/>
        <v>#VALUE!</v>
      </c>
      <c r="DC151" s="73" t="e">
        <f t="shared" si="177"/>
        <v>#VALUE!</v>
      </c>
      <c r="DD151" s="5">
        <f>IF(G151&lt;48,"UF", IF(NOT(ISBLANK(CZ:CZ)), CZ:CZ, IF(CL:CL=3, CK:CK+Sheet2!B175, IF(CL:CL=4, CK:CK+Sheet2!B176, IF(CL:CL=7, CK:CK+Sheet2!B177,"")))))</f>
        <v>-3.4833314323860081</v>
      </c>
      <c r="DE151" s="69">
        <f t="shared" si="178"/>
        <v>3</v>
      </c>
      <c r="DF151" s="2">
        <v>3</v>
      </c>
      <c r="DG151" s="2">
        <v>24</v>
      </c>
      <c r="DH151" s="2">
        <v>2</v>
      </c>
      <c r="DI151" s="2">
        <v>2</v>
      </c>
      <c r="DJ151" s="2">
        <v>2</v>
      </c>
      <c r="DK151" s="2">
        <v>100</v>
      </c>
      <c r="DL151" s="2">
        <v>60</v>
      </c>
      <c r="DM151" s="2" t="s">
        <v>12</v>
      </c>
      <c r="DN151" s="2" t="s">
        <v>12</v>
      </c>
      <c r="DO151" s="2" t="s">
        <v>12</v>
      </c>
      <c r="DP151" s="2" t="s">
        <v>12</v>
      </c>
      <c r="DQ151" s="2">
        <v>2</v>
      </c>
      <c r="DR151" s="2">
        <v>38</v>
      </c>
      <c r="DS151" s="2">
        <v>2</v>
      </c>
      <c r="DT151" s="2">
        <v>73</v>
      </c>
      <c r="DU151" s="2" t="s">
        <v>12</v>
      </c>
      <c r="DV151" s="2">
        <v>2</v>
      </c>
      <c r="DW151" s="2">
        <v>3</v>
      </c>
      <c r="DX151" s="2">
        <v>3</v>
      </c>
      <c r="DY151" s="2">
        <v>3</v>
      </c>
      <c r="DZ151" s="2">
        <v>34</v>
      </c>
      <c r="EA151" s="2" t="s">
        <v>12</v>
      </c>
      <c r="EB151" s="2">
        <v>44</v>
      </c>
      <c r="EC151" s="2" t="s">
        <v>12</v>
      </c>
      <c r="ED151" s="2">
        <v>1</v>
      </c>
    </row>
    <row r="152" spans="2:134" x14ac:dyDescent="0.25">
      <c r="D152" s="2">
        <v>2501013001</v>
      </c>
      <c r="E152" s="5" t="s">
        <v>527</v>
      </c>
      <c r="F152" s="2">
        <v>1</v>
      </c>
      <c r="G152" s="2">
        <v>54</v>
      </c>
      <c r="H152" s="2">
        <v>0.64573113582451769</v>
      </c>
      <c r="I152" s="2">
        <v>49</v>
      </c>
      <c r="J152" s="2">
        <v>-7.9294265603816944E-2</v>
      </c>
      <c r="K152" s="5">
        <v>3400</v>
      </c>
      <c r="L152" s="2">
        <v>0.36061993902816308</v>
      </c>
      <c r="M152" s="2">
        <v>-1.0552999999999999</v>
      </c>
      <c r="N152" s="2">
        <f t="shared" si="137"/>
        <v>-1.0276155679122589</v>
      </c>
      <c r="O152" s="2">
        <f t="shared" si="138"/>
        <v>-1.0552999999999999</v>
      </c>
      <c r="P152" s="2">
        <v>64</v>
      </c>
      <c r="Q152" s="2">
        <v>-0.77</v>
      </c>
      <c r="R152" s="5">
        <f t="shared" si="139"/>
        <v>-0.74035286719809157</v>
      </c>
      <c r="S152" s="5">
        <f t="shared" si="140"/>
        <v>-0.77</v>
      </c>
      <c r="T152" s="1">
        <v>6300</v>
      </c>
      <c r="U152" s="2">
        <v>-1.22</v>
      </c>
      <c r="V152" s="2">
        <f t="shared" si="141"/>
        <v>-1.1453099695140816</v>
      </c>
      <c r="W152" s="2">
        <f t="shared" si="142"/>
        <v>-1.22</v>
      </c>
      <c r="X152" s="2">
        <v>-1.4095</v>
      </c>
      <c r="Y152" s="76">
        <f t="shared" si="179"/>
        <v>-2.0552311358245179</v>
      </c>
      <c r="Z152" s="76">
        <f t="shared" si="180"/>
        <v>-2</v>
      </c>
      <c r="AA152" s="2">
        <f t="shared" si="143"/>
        <v>-0.54210000000000003</v>
      </c>
      <c r="AB152" s="2">
        <f t="shared" si="144"/>
        <v>-1.4095</v>
      </c>
      <c r="AC152" s="2">
        <v>70</v>
      </c>
      <c r="AD152" s="2">
        <v>-1.56</v>
      </c>
      <c r="AE152" s="79">
        <f t="shared" si="181"/>
        <v>-1.4807057343961831</v>
      </c>
      <c r="AF152" s="79">
        <f t="shared" si="182"/>
        <v>-2</v>
      </c>
      <c r="AG152" s="2">
        <f t="shared" si="134"/>
        <v>-8.0000000000000016E-2</v>
      </c>
      <c r="AH152" s="2">
        <f t="shared" si="145"/>
        <v>-1.56</v>
      </c>
      <c r="AI152" s="2">
        <v>7100</v>
      </c>
      <c r="AJ152" s="2">
        <v>-1.93</v>
      </c>
      <c r="AK152" s="76">
        <f t="shared" si="183"/>
        <v>-2.2906199390281632</v>
      </c>
      <c r="AL152" s="76">
        <f t="shared" si="184"/>
        <v>-2</v>
      </c>
      <c r="AM152" s="2">
        <f t="shared" si="146"/>
        <v>-0.31500000000000006</v>
      </c>
      <c r="AN152" s="2">
        <f t="shared" si="147"/>
        <v>-1.93</v>
      </c>
      <c r="AO152" s="2">
        <v>-1.8542000000000001</v>
      </c>
      <c r="AP152" s="2">
        <f t="shared" si="148"/>
        <v>-1.148354583957748</v>
      </c>
      <c r="AQ152" s="2">
        <f t="shared" si="149"/>
        <v>-1.8542000000000001</v>
      </c>
      <c r="AR152" s="2">
        <v>78</v>
      </c>
      <c r="AS152" s="2">
        <v>-0.93</v>
      </c>
      <c r="AT152" s="2">
        <f t="shared" si="150"/>
        <v>0.57985623558246147</v>
      </c>
      <c r="AU152" s="2">
        <f t="shared" si="151"/>
        <v>-0.93</v>
      </c>
      <c r="AV152" s="2">
        <v>8200</v>
      </c>
      <c r="AW152" s="2">
        <v>-1.85</v>
      </c>
      <c r="AX152" s="2">
        <f t="shared" si="152"/>
        <v>-0.72174006973812854</v>
      </c>
      <c r="AY152" s="2">
        <f t="shared" si="153"/>
        <v>-1.85</v>
      </c>
      <c r="AZ152" s="2">
        <v>-3.706209167915496</v>
      </c>
      <c r="BA152" s="78">
        <f t="shared" si="185"/>
        <v>-2.2967091679154961</v>
      </c>
      <c r="BB152" s="78">
        <f t="shared" si="186"/>
        <v>-2</v>
      </c>
      <c r="BC152" s="2">
        <f t="shared" si="154"/>
        <v>-0.52467661523791165</v>
      </c>
      <c r="BD152" s="2">
        <f t="shared" si="155"/>
        <v>-3.706209167915496</v>
      </c>
      <c r="BE152" s="67">
        <f t="shared" si="187"/>
        <v>1</v>
      </c>
      <c r="BF152" s="2">
        <v>84</v>
      </c>
      <c r="BG152" s="2">
        <v>-0.40028752883507712</v>
      </c>
      <c r="BH152" s="2">
        <f t="shared" si="156"/>
        <v>3.7271209562019715E-2</v>
      </c>
      <c r="BI152" s="2">
        <f t="shared" si="157"/>
        <v>-0.40028752883507712</v>
      </c>
      <c r="BJ152" s="67">
        <f t="shared" si="158"/>
        <v>7</v>
      </c>
      <c r="BK152" s="2">
        <v>8800</v>
      </c>
      <c r="BL152" s="2">
        <v>-3.373480139476257</v>
      </c>
      <c r="BM152" s="77">
        <f t="shared" si="188"/>
        <v>-1.4434801394762571</v>
      </c>
      <c r="BN152" s="77">
        <f t="shared" si="189"/>
        <v>-2</v>
      </c>
      <c r="BO152" s="2">
        <f t="shared" si="159"/>
        <v>-0.30087382435042392</v>
      </c>
      <c r="BP152" s="2">
        <f t="shared" si="160"/>
        <v>-3.373480139476257</v>
      </c>
      <c r="BQ152" s="67">
        <f t="shared" si="190"/>
        <v>3</v>
      </c>
      <c r="BR152" s="5">
        <v>-3.428229845713735</v>
      </c>
      <c r="BS152" s="75">
        <f t="shared" si="191"/>
        <v>0.27797932220176103</v>
      </c>
      <c r="BT152" s="75">
        <f t="shared" si="192"/>
        <v>1</v>
      </c>
      <c r="BU152" s="5">
        <f>IF(G157&gt;=36, IF(AND(NOT(ISBLANK(CM:CM)), NOT(ISBLANK(BD:BD))), (CM:CM-BD:BD)/2, ""), "UF")</f>
        <v>0.28227757827356892</v>
      </c>
      <c r="BV152" s="5">
        <f t="shared" si="161"/>
        <v>-3.428229845713735</v>
      </c>
      <c r="BW152" s="69">
        <f t="shared" si="162"/>
        <v>1</v>
      </c>
      <c r="BX152" s="2">
        <v>91</v>
      </c>
      <c r="BY152" s="5">
        <v>-0.8181863713139409</v>
      </c>
      <c r="BZ152" s="74">
        <f t="shared" si="193"/>
        <v>2.5552937681623162</v>
      </c>
      <c r="CA152" s="74">
        <f t="shared" si="194"/>
        <v>2</v>
      </c>
      <c r="CB152" s="5">
        <f t="shared" si="163"/>
        <v>-0.74862064178715948</v>
      </c>
      <c r="CC152" s="5">
        <f t="shared" si="164"/>
        <v>-0.8181863713139409</v>
      </c>
      <c r="CD152" s="2">
        <f t="shared" si="165"/>
        <v>-0.41789884247886377</v>
      </c>
      <c r="CE152" s="69">
        <f t="shared" si="166"/>
        <v>7</v>
      </c>
      <c r="CF152" s="5">
        <v>10500</v>
      </c>
      <c r="CG152" s="5">
        <v>-2.7526214730512719</v>
      </c>
      <c r="CH152" s="72">
        <f t="shared" si="195"/>
        <v>0.62085866642498511</v>
      </c>
      <c r="CI152" s="72">
        <f t="shared" si="196"/>
        <v>1</v>
      </c>
      <c r="CJ152" s="5">
        <f t="shared" si="167"/>
        <v>-5.4925646454875521E-2</v>
      </c>
      <c r="CK152" s="5">
        <f t="shared" si="168"/>
        <v>-2.7526214730512719</v>
      </c>
      <c r="CL152" s="69">
        <f t="shared" si="169"/>
        <v>4</v>
      </c>
      <c r="CM152" s="5">
        <v>-3.1416540113683582</v>
      </c>
      <c r="CN152" s="70">
        <f t="shared" si="170"/>
        <v>0.28657583434537681</v>
      </c>
      <c r="CO152" s="5">
        <f t="shared" si="171"/>
        <v>0.28657583434537681</v>
      </c>
      <c r="CP152" s="5">
        <f>IF(G152&lt;48,"UF", IF(NOT(ISBLANK(CM:CM)), CM:CM, IF(BW:BW=1, BV:BV+Sheet2!B195, IF(Sheet1!BW:BW=2, Sheet1!BV:BV+Sheet2!B196, IF(Sheet1!BW:BW=7, Sheet1!BV:BV+Sheet2!B197,"")))))</f>
        <v>-3.1416540113683582</v>
      </c>
      <c r="CQ152" s="69">
        <f t="shared" si="197"/>
        <v>1</v>
      </c>
      <c r="CR152" s="5">
        <v>93</v>
      </c>
      <c r="CS152" s="5">
        <v>-1.8975288124093961</v>
      </c>
      <c r="CT152" s="5">
        <f t="shared" si="172"/>
        <v>-1.0793424410954553</v>
      </c>
      <c r="CU152" s="80">
        <f t="shared" si="173"/>
        <v>-1.0793424410954553</v>
      </c>
      <c r="CV152" s="80">
        <f t="shared" si="174"/>
        <v>-2</v>
      </c>
      <c r="CW152" s="20">
        <f>IF(G152&lt;48,"UF", IF(NOT(ISBLANK(CS152)), CS152, IF(CE152=5, CC152+Sheet2!B184, IF(CE152=6, CC152+Sheet2!B185, IF(CE152=7, CC152+Sheet2!B186,"")))))</f>
        <v>-1.8975288124093961</v>
      </c>
      <c r="CX152" s="68">
        <f t="shared" si="198"/>
        <v>7</v>
      </c>
      <c r="CY152" s="5">
        <v>11000</v>
      </c>
      <c r="CZ152" s="5">
        <v>-3.4833314323860081</v>
      </c>
      <c r="DA152" s="5">
        <f t="shared" si="175"/>
        <v>-0.73070995933473615</v>
      </c>
      <c r="DB152" s="73">
        <f t="shared" si="176"/>
        <v>-0.73070995933473615</v>
      </c>
      <c r="DC152" s="73">
        <f t="shared" si="177"/>
        <v>-2</v>
      </c>
      <c r="DD152" s="5">
        <f>IF(G152&lt;48,"UF", IF(NOT(ISBLANK(CZ:CZ)), CZ:CZ, IF(CL:CL=3, CK:CK+Sheet2!B189, IF(CL:CL=4, CK:CK+Sheet2!B190, IF(CL:CL=7, CK:CK+Sheet2!B191,"")))))</f>
        <v>-3.4833314323860081</v>
      </c>
      <c r="DE152" s="69">
        <f t="shared" si="178"/>
        <v>3</v>
      </c>
      <c r="DF152" s="2">
        <v>3</v>
      </c>
      <c r="DG152" s="2">
        <v>39</v>
      </c>
      <c r="DH152" s="2">
        <v>2</v>
      </c>
      <c r="DI152" s="2">
        <v>2</v>
      </c>
      <c r="DJ152" s="2">
        <v>2</v>
      </c>
      <c r="DK152" s="2">
        <v>100</v>
      </c>
      <c r="DL152" s="2">
        <v>60</v>
      </c>
      <c r="DM152" s="2">
        <v>117</v>
      </c>
      <c r="DN152" s="2">
        <v>61</v>
      </c>
      <c r="DO152" s="2">
        <v>120</v>
      </c>
      <c r="DP152" s="2">
        <v>65</v>
      </c>
      <c r="DQ152" s="2">
        <v>1</v>
      </c>
      <c r="DR152" s="2">
        <v>39</v>
      </c>
      <c r="DS152" s="2">
        <v>1</v>
      </c>
      <c r="DT152" s="2">
        <v>88</v>
      </c>
      <c r="DU152" s="2">
        <v>100</v>
      </c>
      <c r="DV152" s="2">
        <v>2</v>
      </c>
      <c r="DW152" s="2">
        <v>2</v>
      </c>
      <c r="DX152" s="2">
        <v>2</v>
      </c>
      <c r="DY152" s="2">
        <v>2</v>
      </c>
      <c r="DZ152" s="2">
        <v>34</v>
      </c>
      <c r="EA152" s="2">
        <v>36</v>
      </c>
      <c r="EB152" s="2">
        <v>44</v>
      </c>
      <c r="EC152" s="2">
        <v>1</v>
      </c>
      <c r="ED152" s="2">
        <v>1</v>
      </c>
    </row>
    <row r="153" spans="2:134" x14ac:dyDescent="0.25">
      <c r="C153" s="2">
        <v>13990930</v>
      </c>
      <c r="D153" s="2">
        <v>2501013204</v>
      </c>
      <c r="E153" s="5">
        <v>6</v>
      </c>
      <c r="F153" s="2">
        <v>2</v>
      </c>
      <c r="G153" s="2">
        <v>54</v>
      </c>
      <c r="H153" s="2">
        <v>-0.22051437866501439</v>
      </c>
      <c r="I153" s="2">
        <v>47</v>
      </c>
      <c r="J153" s="2">
        <v>-1.5235289479443319</v>
      </c>
      <c r="K153" s="5">
        <v>2900</v>
      </c>
      <c r="L153" s="2">
        <v>-0.95643865409467577</v>
      </c>
      <c r="M153" s="2">
        <v>-0.1784</v>
      </c>
      <c r="N153" s="2">
        <f t="shared" si="137"/>
        <v>4.24071893325072E-2</v>
      </c>
      <c r="O153" s="2">
        <f t="shared" si="138"/>
        <v>-0.1784</v>
      </c>
      <c r="P153" s="2">
        <v>64</v>
      </c>
      <c r="Q153" s="2">
        <v>-1.7</v>
      </c>
      <c r="R153" s="5">
        <f t="shared" si="139"/>
        <v>0.39676447397216597</v>
      </c>
      <c r="S153" s="5">
        <f t="shared" si="140"/>
        <v>-1.7</v>
      </c>
      <c r="T153" s="1">
        <v>7000</v>
      </c>
      <c r="U153" s="2">
        <v>-1.1399999999999999</v>
      </c>
      <c r="V153" s="2">
        <f t="shared" si="141"/>
        <v>0.21321932704733787</v>
      </c>
      <c r="W153" s="2">
        <f t="shared" si="142"/>
        <v>-1.1399999999999999</v>
      </c>
      <c r="X153" s="2">
        <v>-0.13569999999999999</v>
      </c>
      <c r="Y153" s="76">
        <f t="shared" si="179"/>
        <v>8.48143786650144E-2</v>
      </c>
      <c r="Z153" s="76">
        <f t="shared" si="180"/>
        <v>1</v>
      </c>
      <c r="AA153" s="2" t="str">
        <f t="shared" si="143"/>
        <v/>
      </c>
      <c r="AB153" s="2">
        <f t="shared" si="144"/>
        <v>-0.13569999999999999</v>
      </c>
      <c r="AC153" s="2">
        <v>74</v>
      </c>
      <c r="AD153" s="2">
        <v>-0.73</v>
      </c>
      <c r="AE153" s="79">
        <f t="shared" si="181"/>
        <v>0.79352894794433193</v>
      </c>
      <c r="AF153" s="79">
        <f t="shared" si="182"/>
        <v>2</v>
      </c>
      <c r="AG153" s="2" t="str">
        <f t="shared" si="134"/>
        <v/>
      </c>
      <c r="AH153" s="2">
        <f t="shared" si="145"/>
        <v>-0.73</v>
      </c>
      <c r="AI153" s="2">
        <v>9100</v>
      </c>
      <c r="AJ153" s="2">
        <v>-0.53</v>
      </c>
      <c r="AK153" s="76">
        <f t="shared" si="183"/>
        <v>0.42643865409467574</v>
      </c>
      <c r="AL153" s="76">
        <f t="shared" si="184"/>
        <v>1</v>
      </c>
      <c r="AM153" s="2" t="str">
        <f t="shared" si="146"/>
        <v/>
      </c>
      <c r="AN153" s="2">
        <f t="shared" si="147"/>
        <v>-0.53</v>
      </c>
      <c r="AP153" s="2">
        <f t="shared" si="148"/>
        <v>-0.67411824755260952</v>
      </c>
      <c r="AQ153" s="2">
        <f t="shared" si="149"/>
        <v>-0.80981824755260945</v>
      </c>
      <c r="AR153" s="2" t="s">
        <v>12</v>
      </c>
      <c r="AT153" s="2">
        <f t="shared" si="150"/>
        <v>-0.32762564068848354</v>
      </c>
      <c r="AU153" s="2">
        <f t="shared" si="151"/>
        <v>-1.0576256406884834</v>
      </c>
      <c r="AV153" s="2" t="s">
        <v>12</v>
      </c>
      <c r="AX153" s="2">
        <f t="shared" si="152"/>
        <v>-0.88485168653485358</v>
      </c>
      <c r="AY153" s="2">
        <f t="shared" si="153"/>
        <v>-1.4148516865348535</v>
      </c>
      <c r="AZ153" s="2">
        <v>-1.483936495105219</v>
      </c>
      <c r="BA153" s="78">
        <f t="shared" si="185"/>
        <v>-1.348236495105219</v>
      </c>
      <c r="BB153" s="78">
        <f t="shared" si="186"/>
        <v>-2</v>
      </c>
      <c r="BC153" s="2">
        <f t="shared" si="154"/>
        <v>0.41571726518047453</v>
      </c>
      <c r="BD153" s="2">
        <f t="shared" si="155"/>
        <v>-1.483936495105219</v>
      </c>
      <c r="BE153" s="67">
        <f t="shared" si="187"/>
        <v>7</v>
      </c>
      <c r="BF153" s="2">
        <v>82</v>
      </c>
      <c r="BG153" s="2">
        <v>-1.3852512813769671</v>
      </c>
      <c r="BH153" s="2">
        <f t="shared" si="156"/>
        <v>-0.31077943502668753</v>
      </c>
      <c r="BI153" s="2">
        <f t="shared" si="157"/>
        <v>-1.3852512813769671</v>
      </c>
      <c r="BJ153" s="67">
        <f t="shared" si="158"/>
        <v>7</v>
      </c>
      <c r="BK153" s="2">
        <v>10000</v>
      </c>
      <c r="BL153" s="2">
        <v>-2.2997033730697072</v>
      </c>
      <c r="BM153" s="77">
        <f t="shared" si="188"/>
        <v>-1.7697033730697072</v>
      </c>
      <c r="BN153" s="77">
        <f t="shared" si="189"/>
        <v>-2</v>
      </c>
      <c r="BO153" s="2">
        <f t="shared" si="159"/>
        <v>0.10693433423759051</v>
      </c>
      <c r="BP153" s="2">
        <f t="shared" si="160"/>
        <v>-2.2997033730697072</v>
      </c>
      <c r="BQ153" s="67">
        <f t="shared" si="190"/>
        <v>4</v>
      </c>
      <c r="BR153" s="5">
        <v>0.43733354798881408</v>
      </c>
      <c r="BS153" s="75">
        <f t="shared" si="191"/>
        <v>1.921270043094033</v>
      </c>
      <c r="BT153" s="75">
        <f t="shared" si="192"/>
        <v>2</v>
      </c>
      <c r="BU153" s="5" t="e">
        <f>IF(#REF!&gt;=36, IF(AND(NOT(ISBLANK(CM:CM)), NOT(ISBLANK(BD:BD))), (CM:CM-BD:BD)/2, ""), "UF")</f>
        <v>#REF!</v>
      </c>
      <c r="BV153" s="5">
        <f t="shared" si="161"/>
        <v>0.43733354798881408</v>
      </c>
      <c r="BW153" s="69">
        <f t="shared" si="162"/>
        <v>7</v>
      </c>
      <c r="BX153" s="2">
        <v>88</v>
      </c>
      <c r="BY153" s="5">
        <v>-1.9899639457685461</v>
      </c>
      <c r="BZ153" s="74">
        <f t="shared" si="193"/>
        <v>0.30973942730116111</v>
      </c>
      <c r="CA153" s="74">
        <f t="shared" si="194"/>
        <v>1</v>
      </c>
      <c r="CB153" s="5">
        <f t="shared" si="163"/>
        <v>0.2772418536944547</v>
      </c>
      <c r="CC153" s="5">
        <f t="shared" si="164"/>
        <v>-1.9899639457685461</v>
      </c>
      <c r="CD153" s="2">
        <f t="shared" si="165"/>
        <v>-0.604712664391579</v>
      </c>
      <c r="CE153" s="69">
        <f t="shared" si="166"/>
        <v>7</v>
      </c>
      <c r="CF153" s="5">
        <v>12800</v>
      </c>
      <c r="CG153" s="5">
        <v>-1.094048683822082</v>
      </c>
      <c r="CH153" s="72">
        <f t="shared" si="195"/>
        <v>1.2056546892476252</v>
      </c>
      <c r="CI153" s="72">
        <f t="shared" si="196"/>
        <v>2</v>
      </c>
      <c r="CJ153" s="5">
        <f t="shared" si="167"/>
        <v>0.78526668217815976</v>
      </c>
      <c r="CK153" s="5">
        <f t="shared" si="168"/>
        <v>-1.094048683822082</v>
      </c>
      <c r="CL153" s="69">
        <f t="shared" si="169"/>
        <v>7</v>
      </c>
      <c r="CM153" s="5">
        <v>-0.29634897069533511</v>
      </c>
      <c r="CN153" s="70">
        <f t="shared" si="170"/>
        <v>-0.73368251868414913</v>
      </c>
      <c r="CO153" s="5">
        <f t="shared" si="171"/>
        <v>-0.73368251868414913</v>
      </c>
      <c r="CP153" s="5">
        <f>IF(G153&lt;48,"UF", IF(NOT(ISBLANK(CM:CM)), CM:CM, IF(BW:BW=1, BV:BV+Sheet2!B275, IF(Sheet1!BW:BW=2, Sheet1!BV:BV+Sheet2!B276, IF(Sheet1!BW:BW=7, Sheet1!BV:BV+Sheet2!B277,"")))))</f>
        <v>-0.29634897069533511</v>
      </c>
      <c r="CQ153" s="69">
        <f t="shared" si="197"/>
        <v>7</v>
      </c>
      <c r="CR153" s="5">
        <v>99</v>
      </c>
      <c r="CS153" s="5">
        <v>-0.83076757398805767</v>
      </c>
      <c r="CT153" s="5">
        <f t="shared" si="172"/>
        <v>1.1591963717804883</v>
      </c>
      <c r="CU153" s="80">
        <f t="shared" si="173"/>
        <v>1.1591963717804883</v>
      </c>
      <c r="CV153" s="80">
        <f t="shared" si="174"/>
        <v>2</v>
      </c>
      <c r="CW153" s="20">
        <f>IF(G153&lt;48,"UF", IF(NOT(ISBLANK(CS153)), CS153, IF(CE153=5, CC153+Sheet2!B264, IF(CE153=6, CC153+Sheet2!B265, IF(CE153=7, CC153+Sheet2!B266,"")))))</f>
        <v>-0.83076757398805767</v>
      </c>
      <c r="CX153" s="68">
        <f t="shared" si="198"/>
        <v>7</v>
      </c>
      <c r="CY153" s="5">
        <v>15000</v>
      </c>
      <c r="CZ153" s="5">
        <v>-0.72917000871338777</v>
      </c>
      <c r="DA153" s="5">
        <f t="shared" si="175"/>
        <v>0.36487867510869421</v>
      </c>
      <c r="DB153" s="73">
        <f t="shared" si="176"/>
        <v>0.36487867510869421</v>
      </c>
      <c r="DC153" s="73">
        <f t="shared" si="177"/>
        <v>1</v>
      </c>
      <c r="DD153" s="5">
        <f>IF(G153&lt;48,"UF", IF(NOT(ISBLANK(CZ:CZ)), CZ:CZ, IF(CL:CL=3, CK:CK+Sheet2!B269, IF(CL:CL=4, CK:CK+Sheet2!B270, IF(CL:CL=7, CK:CK+Sheet2!B271,"")))))</f>
        <v>-0.72917000871338777</v>
      </c>
      <c r="DE153" s="69">
        <f t="shared" si="178"/>
        <v>7</v>
      </c>
      <c r="DF153" s="2">
        <v>2</v>
      </c>
      <c r="DG153" s="2">
        <v>28</v>
      </c>
      <c r="DH153" s="2">
        <v>2</v>
      </c>
      <c r="DI153" s="2">
        <v>2</v>
      </c>
      <c r="DJ153" s="2">
        <v>2</v>
      </c>
      <c r="DK153" s="2">
        <v>105</v>
      </c>
      <c r="DL153" s="2">
        <v>66</v>
      </c>
      <c r="DM153" s="2">
        <v>100</v>
      </c>
      <c r="DN153" s="2">
        <v>60</v>
      </c>
      <c r="DO153" s="2">
        <v>100</v>
      </c>
      <c r="DP153" s="2">
        <v>60</v>
      </c>
      <c r="DQ153" s="2">
        <v>2</v>
      </c>
      <c r="DR153" s="2">
        <v>37</v>
      </c>
      <c r="DS153" s="2">
        <v>1</v>
      </c>
      <c r="DT153" s="2">
        <v>104</v>
      </c>
      <c r="DU153" s="2">
        <v>74</v>
      </c>
      <c r="DV153" s="2">
        <v>3</v>
      </c>
      <c r="DW153" s="2">
        <v>2</v>
      </c>
      <c r="DX153" s="2">
        <v>3</v>
      </c>
      <c r="DY153" s="2">
        <v>2</v>
      </c>
      <c r="DZ153" s="2">
        <v>35.5</v>
      </c>
      <c r="EA153" s="2">
        <v>38</v>
      </c>
      <c r="EB153" s="2">
        <v>47</v>
      </c>
      <c r="EC153" s="2">
        <v>1</v>
      </c>
      <c r="ED153" s="2">
        <v>1</v>
      </c>
    </row>
    <row r="154" spans="2:134" x14ac:dyDescent="0.25">
      <c r="C154" s="5" t="s">
        <v>59</v>
      </c>
      <c r="D154" s="2">
        <v>2501013905</v>
      </c>
      <c r="E154" s="2" t="s">
        <v>534</v>
      </c>
      <c r="F154" s="2">
        <v>2</v>
      </c>
      <c r="G154" s="2" t="s">
        <v>430</v>
      </c>
      <c r="H154" s="2">
        <v>5.6562639255869724</v>
      </c>
      <c r="I154" s="2">
        <v>33.5</v>
      </c>
      <c r="J154" s="2">
        <v>-8.654668713197923</v>
      </c>
      <c r="K154" s="5">
        <v>2560</v>
      </c>
      <c r="L154" s="2">
        <v>-1.751454685240579</v>
      </c>
      <c r="N154" s="2">
        <f t="shared" si="137"/>
        <v>-3.6389819627934861</v>
      </c>
      <c r="O154" s="2">
        <f t="shared" si="138"/>
        <v>2.0172819627934864</v>
      </c>
      <c r="P154" s="2" t="s">
        <v>12</v>
      </c>
      <c r="R154" s="5">
        <f t="shared" si="139"/>
        <v>3.0123343565989615</v>
      </c>
      <c r="S154" s="5">
        <f t="shared" si="140"/>
        <v>-5.6423343565989619</v>
      </c>
      <c r="T154" s="1" t="s">
        <v>12</v>
      </c>
      <c r="V154" s="2">
        <f t="shared" si="141"/>
        <v>-0.47927265737971048</v>
      </c>
      <c r="W154" s="2">
        <f t="shared" si="142"/>
        <v>-2.2307273426202894</v>
      </c>
      <c r="X154" s="2">
        <v>-1.6216999999999999</v>
      </c>
      <c r="Y154" s="76">
        <f t="shared" si="179"/>
        <v>-7.2779639255869721</v>
      </c>
      <c r="Z154" s="76">
        <f t="shared" si="180"/>
        <v>-2</v>
      </c>
      <c r="AA154" s="2">
        <f t="shared" si="143"/>
        <v>2.4680171782994811</v>
      </c>
      <c r="AB154" s="2">
        <f t="shared" si="144"/>
        <v>-1.6216999999999999</v>
      </c>
      <c r="AC154" s="2">
        <v>69.5</v>
      </c>
      <c r="AD154" s="2">
        <v>-2.63</v>
      </c>
      <c r="AE154" s="79">
        <f t="shared" si="181"/>
        <v>6.0246687131979231</v>
      </c>
      <c r="AF154" s="79">
        <f t="shared" si="182"/>
        <v>2</v>
      </c>
      <c r="AG154" s="2">
        <f t="shared" si="134"/>
        <v>1.381167178299481</v>
      </c>
      <c r="AH154" s="2">
        <f t="shared" si="145"/>
        <v>-2.63</v>
      </c>
      <c r="AI154" s="2">
        <v>7150</v>
      </c>
      <c r="AJ154" s="2">
        <v>-2.71</v>
      </c>
      <c r="AK154" s="76">
        <f t="shared" si="183"/>
        <v>-0.95854531475942095</v>
      </c>
      <c r="AL154" s="76">
        <f t="shared" si="184"/>
        <v>-2</v>
      </c>
      <c r="AM154" s="2">
        <f t="shared" si="146"/>
        <v>-2.4636328689855214E-2</v>
      </c>
      <c r="AN154" s="2">
        <f t="shared" si="147"/>
        <v>-2.71</v>
      </c>
      <c r="AO154" s="2">
        <v>-0.70630000000000004</v>
      </c>
      <c r="AP154" s="2">
        <f t="shared" si="148"/>
        <v>-0.25143901404119806</v>
      </c>
      <c r="AQ154" s="2">
        <f t="shared" si="149"/>
        <v>-0.70630000000000004</v>
      </c>
      <c r="AR154" s="2">
        <v>74.5</v>
      </c>
      <c r="AS154" s="2">
        <v>-2.88</v>
      </c>
      <c r="AT154" s="2">
        <f t="shared" si="150"/>
        <v>0.30904016324827244</v>
      </c>
      <c r="AU154" s="2">
        <f t="shared" si="151"/>
        <v>-2.88</v>
      </c>
      <c r="AV154" s="2">
        <v>8480</v>
      </c>
      <c r="AW154" s="2">
        <v>-2.2799999999999998</v>
      </c>
      <c r="AX154" s="2">
        <f t="shared" si="152"/>
        <v>-0.25900571660775396</v>
      </c>
      <c r="AY154" s="2">
        <f t="shared" si="153"/>
        <v>-2.2799999999999998</v>
      </c>
      <c r="AZ154" s="2">
        <v>-2.124578028082396</v>
      </c>
      <c r="BA154" s="78">
        <f t="shared" si="185"/>
        <v>-0.50287802808239612</v>
      </c>
      <c r="BB154" s="78">
        <f t="shared" si="186"/>
        <v>-1</v>
      </c>
      <c r="BC154" s="2">
        <f t="shared" si="154"/>
        <v>-0.40973498452635626</v>
      </c>
      <c r="BD154" s="2">
        <f t="shared" si="155"/>
        <v>-2.124578028082396</v>
      </c>
      <c r="BE154" s="67">
        <f t="shared" si="187"/>
        <v>2</v>
      </c>
      <c r="BF154" s="2">
        <v>79.8</v>
      </c>
      <c r="BG154" s="2">
        <v>-2.011919673503455</v>
      </c>
      <c r="BH154" s="2">
        <f t="shared" si="156"/>
        <v>0.29667868474381792</v>
      </c>
      <c r="BI154" s="2">
        <f t="shared" si="157"/>
        <v>-2.011919673503455</v>
      </c>
      <c r="BJ154" s="67">
        <f t="shared" si="158"/>
        <v>6</v>
      </c>
      <c r="BK154" s="2">
        <v>9100</v>
      </c>
      <c r="BL154" s="2">
        <v>-3.2280114332155079</v>
      </c>
      <c r="BM154" s="77">
        <f t="shared" si="188"/>
        <v>-0.51801143321550791</v>
      </c>
      <c r="BN154" s="77">
        <f t="shared" si="189"/>
        <v>-1</v>
      </c>
      <c r="BO154" s="2">
        <f t="shared" si="159"/>
        <v>-0.14644224390955576</v>
      </c>
      <c r="BP154" s="2">
        <f t="shared" si="160"/>
        <v>-3.2280114332155079</v>
      </c>
      <c r="BQ154" s="67">
        <f t="shared" si="190"/>
        <v>3</v>
      </c>
      <c r="BR154" s="5">
        <v>-1.9355049535790689</v>
      </c>
      <c r="BS154" s="75">
        <f t="shared" si="191"/>
        <v>0.18907307450332711</v>
      </c>
      <c r="BT154" s="75">
        <f t="shared" si="192"/>
        <v>1</v>
      </c>
      <c r="BU154" s="5" t="e">
        <f>IF(#REF!&gt;=36, IF(AND(NOT(ISBLANK(CM:CM)), NOT(ISBLANK(BD:BD))), (CM:CM-BD:BD)/2, ""), "UF")</f>
        <v>#REF!</v>
      </c>
      <c r="BV154" s="5">
        <f t="shared" si="161"/>
        <v>-1.9355049535790689</v>
      </c>
      <c r="BW154" s="69">
        <f t="shared" si="162"/>
        <v>7</v>
      </c>
      <c r="BX154" s="2">
        <v>88</v>
      </c>
      <c r="BY154" s="5">
        <v>-1.9899639457685461</v>
      </c>
      <c r="BZ154" s="74">
        <f t="shared" si="193"/>
        <v>1.2380474874469618</v>
      </c>
      <c r="CA154" s="74">
        <f t="shared" si="194"/>
        <v>2</v>
      </c>
      <c r="CB154" s="5">
        <f t="shared" si="163"/>
        <v>-0.30555075572949741</v>
      </c>
      <c r="CC154" s="5">
        <f t="shared" si="164"/>
        <v>-1.9899639457685461</v>
      </c>
      <c r="CD154" s="2">
        <f t="shared" si="165"/>
        <v>2.1955727734908947E-2</v>
      </c>
      <c r="CE154" s="69">
        <f t="shared" si="166"/>
        <v>7</v>
      </c>
      <c r="CF154" s="5">
        <v>10900</v>
      </c>
      <c r="CG154" s="5">
        <v>-2.7193267317286671</v>
      </c>
      <c r="CH154" s="72">
        <f t="shared" si="195"/>
        <v>0.50868470148684075</v>
      </c>
      <c r="CI154" s="72">
        <f t="shared" si="196"/>
        <v>1</v>
      </c>
      <c r="CJ154" s="5">
        <f t="shared" si="167"/>
        <v>-5.5223653084938595E-2</v>
      </c>
      <c r="CK154" s="5">
        <f t="shared" si="168"/>
        <v>-2.7193267317286671</v>
      </c>
      <c r="CL154" s="69">
        <f t="shared" si="169"/>
        <v>4</v>
      </c>
      <c r="CM154" s="5">
        <v>-1.860368975731264</v>
      </c>
      <c r="CN154" s="70">
        <f t="shared" si="170"/>
        <v>7.5135977847804902E-2</v>
      </c>
      <c r="CO154" s="5">
        <f t="shared" si="171"/>
        <v>7.5135977847804902E-2</v>
      </c>
      <c r="CP154" s="5">
        <f>IF(G154&lt;48,"UF", IF(NOT(ISBLANK(CM:CM)), CM:CM, IF(BW:BW=1, BV:BV+Sheet2!B80, IF(Sheet1!BW:BW=2, Sheet1!BV:BV+Sheet2!B81, IF(Sheet1!BW:BW=7, Sheet1!BV:BV+Sheet2!B82,"")))))</f>
        <v>-1.860368975731264</v>
      </c>
      <c r="CQ154" s="69">
        <f t="shared" si="197"/>
        <v>7</v>
      </c>
      <c r="CR154" s="5">
        <v>91.5</v>
      </c>
      <c r="CS154" s="5">
        <v>-2.6230211849624498</v>
      </c>
      <c r="CT154" s="5">
        <f t="shared" si="172"/>
        <v>-0.63305723919390378</v>
      </c>
      <c r="CU154" s="80">
        <f t="shared" si="173"/>
        <v>-0.63305723919390378</v>
      </c>
      <c r="CV154" s="80">
        <f t="shared" si="174"/>
        <v>-1</v>
      </c>
      <c r="CW154" s="20">
        <f>IF(G154&lt;48,"UF", IF(NOT(ISBLANK(CS154)), CS154, IF(CE154=5, CC154+Sheet2!B69, IF(CE154=6, CC154+Sheet2!B70, IF(CE154=7, CC154+Sheet2!B71,"")))))</f>
        <v>-2.6230211849624498</v>
      </c>
      <c r="CX154" s="68">
        <f t="shared" si="198"/>
        <v>6</v>
      </c>
      <c r="CY154" s="5">
        <v>11600</v>
      </c>
      <c r="CZ154" s="5">
        <v>-3.3384587393853851</v>
      </c>
      <c r="DA154" s="5">
        <f t="shared" si="175"/>
        <v>-0.61913200765671794</v>
      </c>
      <c r="DB154" s="73">
        <f t="shared" si="176"/>
        <v>-0.61913200765671794</v>
      </c>
      <c r="DC154" s="73">
        <f t="shared" si="177"/>
        <v>-1</v>
      </c>
      <c r="DD154" s="5">
        <f>IF(G154&lt;48,"UF", IF(NOT(ISBLANK(CZ:CZ)), CZ:CZ, IF(CL:CL=3, CK:CK+Sheet2!B74, IF(CL:CL=4, CK:CK+Sheet2!B75, IF(CL:CL=7, CK:CK+Sheet2!B76,"")))))</f>
        <v>-3.3384587393853851</v>
      </c>
      <c r="DE154" s="69">
        <f t="shared" si="178"/>
        <v>3</v>
      </c>
      <c r="DF154" s="2">
        <v>1</v>
      </c>
      <c r="DG154" s="2">
        <v>28</v>
      </c>
      <c r="DH154" s="2">
        <v>1</v>
      </c>
      <c r="DI154" s="2">
        <v>2</v>
      </c>
      <c r="DJ154" s="2">
        <v>2</v>
      </c>
      <c r="DK154" s="2">
        <v>115</v>
      </c>
      <c r="DL154" s="2">
        <v>65</v>
      </c>
      <c r="DM154" s="2">
        <v>110</v>
      </c>
      <c r="DN154" s="2">
        <v>70</v>
      </c>
      <c r="DO154" s="2" t="s">
        <v>12</v>
      </c>
      <c r="DP154" s="2" t="s">
        <v>12</v>
      </c>
      <c r="DQ154" s="2">
        <v>2</v>
      </c>
      <c r="DR154" s="2">
        <v>39</v>
      </c>
      <c r="DS154" s="2">
        <v>2</v>
      </c>
      <c r="DT154" s="2">
        <v>89</v>
      </c>
      <c r="DU154" s="2">
        <v>77</v>
      </c>
      <c r="DV154" s="2">
        <v>2</v>
      </c>
      <c r="DW154" s="2">
        <v>2</v>
      </c>
      <c r="DX154" s="2">
        <v>2</v>
      </c>
      <c r="DY154" s="2">
        <v>2</v>
      </c>
      <c r="DZ154" s="2">
        <v>50</v>
      </c>
      <c r="EA154" s="2">
        <v>34.799999999999997</v>
      </c>
      <c r="EB154" s="2">
        <v>45.5</v>
      </c>
      <c r="EC154" s="2">
        <v>1</v>
      </c>
      <c r="ED154" s="2">
        <v>1</v>
      </c>
    </row>
    <row r="155" spans="2:134" x14ac:dyDescent="0.25">
      <c r="C155" s="8" t="s">
        <v>355</v>
      </c>
      <c r="D155" s="2">
        <v>2501013964</v>
      </c>
      <c r="E155" s="5">
        <v>7</v>
      </c>
      <c r="F155" s="2">
        <v>1</v>
      </c>
      <c r="G155" s="2">
        <v>53</v>
      </c>
      <c r="H155" s="2">
        <v>0.71321093807086455</v>
      </c>
      <c r="I155" s="2">
        <v>40</v>
      </c>
      <c r="J155" s="2">
        <v>-4.9109955921378052</v>
      </c>
      <c r="K155" s="2">
        <v>2280</v>
      </c>
      <c r="L155" s="2">
        <v>-2.3060244222528929</v>
      </c>
      <c r="M155" s="2">
        <v>-0.85229999999999995</v>
      </c>
      <c r="N155" s="2">
        <f t="shared" si="137"/>
        <v>-0.34540546903543229</v>
      </c>
      <c r="O155" s="2">
        <f t="shared" si="138"/>
        <v>-0.85229999999999995</v>
      </c>
      <c r="P155" s="2">
        <v>69.2</v>
      </c>
      <c r="Q155" s="2">
        <v>1.52</v>
      </c>
      <c r="R155" s="5">
        <f t="shared" si="139"/>
        <v>3.3304977960689026</v>
      </c>
      <c r="S155" s="5">
        <f t="shared" si="140"/>
        <v>1.52</v>
      </c>
      <c r="T155" s="2">
        <v>7500</v>
      </c>
      <c r="U155" s="2">
        <v>0.22</v>
      </c>
      <c r="V155" s="2">
        <f t="shared" si="141"/>
        <v>1.6430122111264465</v>
      </c>
      <c r="W155" s="2">
        <f t="shared" si="142"/>
        <v>0.22</v>
      </c>
      <c r="X155" s="2">
        <v>2.24E-2</v>
      </c>
      <c r="Y155" s="76">
        <f t="shared" si="179"/>
        <v>-0.69081093807086458</v>
      </c>
      <c r="Z155" s="76">
        <f t="shared" si="180"/>
        <v>-2</v>
      </c>
      <c r="AA155" s="2">
        <f t="shared" si="143"/>
        <v>-0.92890000000000006</v>
      </c>
      <c r="AB155" s="2">
        <f t="shared" si="144"/>
        <v>2.24E-2</v>
      </c>
      <c r="AC155" s="2">
        <v>78.5</v>
      </c>
      <c r="AD155" s="2">
        <v>1.75</v>
      </c>
      <c r="AE155" s="79">
        <f t="shared" si="181"/>
        <v>6.6609955921378052</v>
      </c>
      <c r="AF155" s="79">
        <f t="shared" si="182"/>
        <v>2</v>
      </c>
      <c r="AG155" s="2">
        <f t="shared" si="134"/>
        <v>0.49499999999999988</v>
      </c>
      <c r="AH155" s="2">
        <f t="shared" si="145"/>
        <v>1.75</v>
      </c>
      <c r="AI155" s="2">
        <v>10100</v>
      </c>
      <c r="AJ155" s="2">
        <v>0.98</v>
      </c>
      <c r="AK155" s="76">
        <f t="shared" si="183"/>
        <v>3.2860244222528929</v>
      </c>
      <c r="AL155" s="76">
        <f t="shared" si="184"/>
        <v>2</v>
      </c>
      <c r="AM155" s="2">
        <f t="shared" si="146"/>
        <v>0.47</v>
      </c>
      <c r="AN155" s="2">
        <f t="shared" si="147"/>
        <v>0.98</v>
      </c>
      <c r="AO155" s="2">
        <v>-0.33779999999999999</v>
      </c>
      <c r="AP155" s="2">
        <f t="shared" si="148"/>
        <v>-0.357472272890549</v>
      </c>
      <c r="AQ155" s="2">
        <f t="shared" si="149"/>
        <v>-0.33779999999999999</v>
      </c>
      <c r="AR155" s="2">
        <v>88</v>
      </c>
      <c r="AS155" s="2">
        <v>2.5099999999999998</v>
      </c>
      <c r="AT155" s="2">
        <f t="shared" si="150"/>
        <v>7.296106801486002E-2</v>
      </c>
      <c r="AU155" s="2">
        <f t="shared" si="151"/>
        <v>2.5099999999999998</v>
      </c>
      <c r="AV155" s="2">
        <v>11830</v>
      </c>
      <c r="AW155" s="2">
        <v>1.1599999999999999</v>
      </c>
      <c r="AX155" s="2">
        <f t="shared" si="152"/>
        <v>-0.14476009704205073</v>
      </c>
      <c r="AY155" s="2">
        <f t="shared" si="153"/>
        <v>1.1599999999999999</v>
      </c>
      <c r="AZ155" s="2">
        <v>-0.69254454578109803</v>
      </c>
      <c r="BA155" s="78">
        <f t="shared" si="185"/>
        <v>-0.71494454578109801</v>
      </c>
      <c r="BB155" s="78">
        <f t="shared" si="186"/>
        <v>-2</v>
      </c>
      <c r="BC155" s="2">
        <f t="shared" si="154"/>
        <v>-0.68385869348371431</v>
      </c>
      <c r="BD155" s="2">
        <f t="shared" si="155"/>
        <v>-0.69254454578109803</v>
      </c>
      <c r="BE155" s="67">
        <f t="shared" si="187"/>
        <v>7</v>
      </c>
      <c r="BF155" s="2">
        <v>92</v>
      </c>
      <c r="BG155" s="2">
        <v>1.89592213602972</v>
      </c>
      <c r="BH155" s="2">
        <f t="shared" si="156"/>
        <v>-0.3560611510837679</v>
      </c>
      <c r="BI155" s="2">
        <f t="shared" si="157"/>
        <v>1.89592213602972</v>
      </c>
      <c r="BJ155" s="67">
        <f t="shared" si="158"/>
        <v>7</v>
      </c>
      <c r="BK155" s="2">
        <v>13100</v>
      </c>
      <c r="BL155" s="2">
        <v>0.69047980591589853</v>
      </c>
      <c r="BM155" s="77">
        <f t="shared" si="188"/>
        <v>-0.28952019408410146</v>
      </c>
      <c r="BN155" s="77">
        <f t="shared" si="189"/>
        <v>-1</v>
      </c>
      <c r="BO155" s="2">
        <f t="shared" si="159"/>
        <v>-0.49936363217664598</v>
      </c>
      <c r="BP155" s="2">
        <f t="shared" si="160"/>
        <v>0.69047980591589853</v>
      </c>
      <c r="BQ155" s="67">
        <f t="shared" si="190"/>
        <v>7</v>
      </c>
      <c r="BR155" s="5">
        <v>-2.389376080451143</v>
      </c>
      <c r="BS155" s="75">
        <f t="shared" si="191"/>
        <v>-1.6968315346700451</v>
      </c>
      <c r="BT155" s="75">
        <f t="shared" si="192"/>
        <v>-2</v>
      </c>
      <c r="BU155" s="5">
        <f>IF(G161&gt;=36, IF(AND(NOT(ISBLANK(CM:CM)), NOT(ISBLANK(BD:BD))), (CM:CM-BD:BD)/2, ""), "UF")</f>
        <v>-6.9382900283486759E-2</v>
      </c>
      <c r="BV155" s="5">
        <f t="shared" si="161"/>
        <v>-2.389376080451143</v>
      </c>
      <c r="BW155" s="69">
        <f t="shared" si="162"/>
        <v>2</v>
      </c>
      <c r="BX155" s="2">
        <v>100</v>
      </c>
      <c r="BY155" s="5">
        <v>1.4418165467486961</v>
      </c>
      <c r="BZ155" s="74">
        <f t="shared" si="193"/>
        <v>0.75133674083279756</v>
      </c>
      <c r="CA155" s="74">
        <f t="shared" si="194"/>
        <v>2</v>
      </c>
      <c r="CB155" s="5">
        <f t="shared" si="163"/>
        <v>-0.28053546967635157</v>
      </c>
      <c r="CC155" s="5">
        <f t="shared" si="164"/>
        <v>1.4418165467486961</v>
      </c>
      <c r="CD155" s="2">
        <f t="shared" si="165"/>
        <v>-0.45410558928102396</v>
      </c>
      <c r="CE155" s="69">
        <f t="shared" si="166"/>
        <v>7</v>
      </c>
      <c r="CF155" s="5">
        <v>13400</v>
      </c>
      <c r="CG155" s="5">
        <v>-0.33809089652993812</v>
      </c>
      <c r="CH155" s="72">
        <f t="shared" si="195"/>
        <v>-1.0285707024458366</v>
      </c>
      <c r="CI155" s="72">
        <f t="shared" si="196"/>
        <v>-2</v>
      </c>
      <c r="CJ155" s="5">
        <f t="shared" si="167"/>
        <v>-0.20277028612358267</v>
      </c>
      <c r="CK155" s="5">
        <f t="shared" si="168"/>
        <v>-0.33809089652993812</v>
      </c>
      <c r="CL155" s="69">
        <f t="shared" si="169"/>
        <v>7</v>
      </c>
      <c r="CM155" s="5">
        <v>-0.83131034634807155</v>
      </c>
      <c r="CN155" s="70">
        <f t="shared" si="170"/>
        <v>1.5580657341030715</v>
      </c>
      <c r="CO155" s="5">
        <f t="shared" si="171"/>
        <v>1.5580657341030715</v>
      </c>
      <c r="CP155" s="5">
        <f>IF(G155&lt;48,"UF", IF(NOT(ISBLANK(CM:CM)), CM:CM, IF(BW:BW=1, BV:BV+Sheet2!B592, IF(Sheet1!BW:BW=2, Sheet1!BV:BV+Sheet2!B593, IF(Sheet1!BW:BW=7, Sheet1!BV:BV+Sheet2!B594,"")))))</f>
        <v>-0.83131034634807155</v>
      </c>
      <c r="CQ155" s="69">
        <f t="shared" si="197"/>
        <v>7</v>
      </c>
      <c r="CR155" s="5">
        <v>107</v>
      </c>
      <c r="CS155" s="5">
        <v>1.3348511966770169</v>
      </c>
      <c r="CT155" s="5">
        <f t="shared" si="172"/>
        <v>-0.10696535007167918</v>
      </c>
      <c r="CU155" s="80">
        <f t="shared" si="173"/>
        <v>-0.10696535007167918</v>
      </c>
      <c r="CV155" s="80">
        <f t="shared" si="174"/>
        <v>-1</v>
      </c>
      <c r="CW155" s="20">
        <f>IF(G155&lt;48,"UF", IF(NOT(ISBLANK(CS155)), CS155, IF(CE155=5, CC155+Sheet2!B581, IF(CE155=6, CC155+Sheet2!B582, IF(CE155=7, CC155+Sheet2!B583,"")))))</f>
        <v>1.3348511966770169</v>
      </c>
      <c r="CX155" s="68">
        <f t="shared" si="198"/>
        <v>7</v>
      </c>
      <c r="CY155" s="5">
        <v>16500</v>
      </c>
      <c r="CZ155" s="5">
        <v>0.28493923366873319</v>
      </c>
      <c r="DA155" s="5">
        <f t="shared" si="175"/>
        <v>0.62303013019867137</v>
      </c>
      <c r="DB155" s="73">
        <f t="shared" si="176"/>
        <v>0.62303013019867137</v>
      </c>
      <c r="DC155" s="73">
        <f t="shared" si="177"/>
        <v>1</v>
      </c>
      <c r="DD155" s="5">
        <f>IF(G155&lt;48,"UF", IF(NOT(ISBLANK(CZ:CZ)), CZ:CZ, IF(CL:CL=3, CK:CK+Sheet2!B586, IF(CL:CL=4, CK:CK+Sheet2!B587, IF(CL:CL=7, CK:CK+Sheet2!B588,"")))))</f>
        <v>0.28493923366873319</v>
      </c>
      <c r="DE155" s="69">
        <f t="shared" si="178"/>
        <v>7</v>
      </c>
      <c r="DF155" s="2">
        <v>1</v>
      </c>
      <c r="DG155" s="2">
        <v>29</v>
      </c>
      <c r="DH155" s="2">
        <v>2</v>
      </c>
      <c r="DI155" s="2">
        <v>1</v>
      </c>
      <c r="DJ155" s="2">
        <v>2</v>
      </c>
      <c r="DK155" s="2">
        <v>111</v>
      </c>
      <c r="DL155" s="2">
        <v>67</v>
      </c>
      <c r="DM155" s="2">
        <v>110</v>
      </c>
      <c r="DN155" s="2">
        <v>70</v>
      </c>
      <c r="DO155" s="2">
        <v>108</v>
      </c>
      <c r="DP155" s="2">
        <v>98</v>
      </c>
      <c r="DQ155" s="2">
        <v>2</v>
      </c>
      <c r="DR155" s="2">
        <v>39</v>
      </c>
      <c r="DS155" s="2">
        <v>2</v>
      </c>
      <c r="DT155" s="2">
        <v>84.5</v>
      </c>
      <c r="DU155" s="2">
        <v>74.5</v>
      </c>
      <c r="DV155" s="2">
        <v>2</v>
      </c>
      <c r="DW155" s="2">
        <v>2</v>
      </c>
      <c r="DX155" s="2">
        <v>2</v>
      </c>
      <c r="DY155" s="2">
        <v>2</v>
      </c>
      <c r="DZ155" s="2">
        <v>32</v>
      </c>
      <c r="EA155" s="2">
        <v>34.200000000000003</v>
      </c>
      <c r="EB155" s="2">
        <v>46</v>
      </c>
      <c r="EC155" s="2">
        <v>1</v>
      </c>
      <c r="ED155" s="2">
        <v>1</v>
      </c>
    </row>
    <row r="156" spans="2:134" x14ac:dyDescent="0.25">
      <c r="C156" s="5" t="s">
        <v>32</v>
      </c>
      <c r="D156" s="2">
        <v>2501014261</v>
      </c>
      <c r="E156" s="2" t="s">
        <v>527</v>
      </c>
      <c r="F156" s="2">
        <v>2</v>
      </c>
      <c r="G156" s="2">
        <v>52</v>
      </c>
      <c r="H156" s="2">
        <v>-0.41323815207201531</v>
      </c>
      <c r="I156" s="2">
        <v>48</v>
      </c>
      <c r="J156" s="2">
        <v>-0.99529637274036198</v>
      </c>
      <c r="K156" s="5">
        <v>2970</v>
      </c>
      <c r="L156" s="2">
        <v>-0.80040318720069581</v>
      </c>
      <c r="M156" s="2">
        <v>-1.3043</v>
      </c>
      <c r="N156" s="2" t="str">
        <f t="shared" si="137"/>
        <v/>
      </c>
      <c r="O156" s="2">
        <f t="shared" si="138"/>
        <v>-1.3043</v>
      </c>
      <c r="P156" s="2">
        <v>67</v>
      </c>
      <c r="Q156" s="2">
        <v>-0.3</v>
      </c>
      <c r="R156" s="5" t="str">
        <f t="shared" si="139"/>
        <v/>
      </c>
      <c r="S156" s="5">
        <f t="shared" si="140"/>
        <v>-0.3</v>
      </c>
      <c r="T156" s="1">
        <v>7000</v>
      </c>
      <c r="U156" s="2">
        <v>-1.1399999999999999</v>
      </c>
      <c r="V156" s="2" t="str">
        <f t="shared" si="141"/>
        <v/>
      </c>
      <c r="W156" s="2">
        <f t="shared" si="142"/>
        <v>-1.1399999999999999</v>
      </c>
      <c r="Y156" s="76">
        <f t="shared" si="179"/>
        <v>-1.7824618479279848</v>
      </c>
      <c r="Z156" s="76">
        <f t="shared" si="180"/>
        <v>-2</v>
      </c>
      <c r="AA156" s="2">
        <f t="shared" si="143"/>
        <v>-0.89140000000000008</v>
      </c>
      <c r="AB156" s="2">
        <f t="shared" si="144"/>
        <v>-2.1957</v>
      </c>
      <c r="AC156" s="2" t="s">
        <v>12</v>
      </c>
      <c r="AE156" s="79">
        <f t="shared" si="181"/>
        <v>0.15029637274036201</v>
      </c>
      <c r="AF156" s="79">
        <f t="shared" si="182"/>
        <v>1</v>
      </c>
      <c r="AG156" s="2">
        <f t="shared" si="134"/>
        <v>-0.54499999999999993</v>
      </c>
      <c r="AH156" s="2">
        <f t="shared" si="145"/>
        <v>-0.84499999999999997</v>
      </c>
      <c r="AI156" s="2" t="s">
        <v>12</v>
      </c>
      <c r="AK156" s="76">
        <f t="shared" si="183"/>
        <v>-0.89959681279930392</v>
      </c>
      <c r="AL156" s="76">
        <f t="shared" si="184"/>
        <v>-2</v>
      </c>
      <c r="AM156" s="2">
        <f t="shared" si="146"/>
        <v>-0.55999999999999994</v>
      </c>
      <c r="AN156" s="2">
        <f t="shared" si="147"/>
        <v>-1.6999999999999997</v>
      </c>
      <c r="AO156" s="2">
        <v>-2.0828000000000002</v>
      </c>
      <c r="AP156" s="2">
        <f t="shared" si="148"/>
        <v>0.33224375426808095</v>
      </c>
      <c r="AQ156" s="2">
        <f t="shared" si="149"/>
        <v>-2.0828000000000002</v>
      </c>
      <c r="AR156" s="2">
        <v>78.5</v>
      </c>
      <c r="AS156" s="2">
        <v>-1.39</v>
      </c>
      <c r="AT156" s="2">
        <f t="shared" si="150"/>
        <v>-0.36982953637765603</v>
      </c>
      <c r="AU156" s="2">
        <f t="shared" si="151"/>
        <v>-1.39</v>
      </c>
      <c r="AV156" s="2">
        <v>8500</v>
      </c>
      <c r="AW156" s="2">
        <v>-2.2599999999999998</v>
      </c>
      <c r="AX156" s="2">
        <f t="shared" si="152"/>
        <v>-0.39848408962483362</v>
      </c>
      <c r="AY156" s="2">
        <f t="shared" si="153"/>
        <v>-2.2599999999999998</v>
      </c>
      <c r="AZ156" s="2">
        <v>-1.5312124914638381</v>
      </c>
      <c r="BA156" s="78">
        <f t="shared" si="185"/>
        <v>0.6644875085361619</v>
      </c>
      <c r="BB156" s="78">
        <f t="shared" si="186"/>
        <v>1</v>
      </c>
      <c r="BC156" s="2">
        <f t="shared" si="154"/>
        <v>0.16048321681474639</v>
      </c>
      <c r="BD156" s="2">
        <f t="shared" si="155"/>
        <v>-1.5312124914638381</v>
      </c>
      <c r="BE156" s="67">
        <f t="shared" si="187"/>
        <v>7</v>
      </c>
      <c r="BF156" s="2">
        <v>81.3</v>
      </c>
      <c r="BG156" s="2">
        <v>-1.584659072755312</v>
      </c>
      <c r="BH156" s="2">
        <f t="shared" si="156"/>
        <v>-0.24837719375995962</v>
      </c>
      <c r="BI156" s="2">
        <f t="shared" si="157"/>
        <v>-1.584659072755312</v>
      </c>
      <c r="BJ156" s="67">
        <f t="shared" si="158"/>
        <v>7</v>
      </c>
      <c r="BK156" s="2">
        <v>9800</v>
      </c>
      <c r="BL156" s="2">
        <v>-2.496968179249667</v>
      </c>
      <c r="BM156" s="77">
        <f t="shared" si="188"/>
        <v>-0.79696817924966723</v>
      </c>
      <c r="BN156" s="77">
        <f t="shared" si="189"/>
        <v>-2</v>
      </c>
      <c r="BO156" s="2">
        <f t="shared" si="159"/>
        <v>-0.12084670308500407</v>
      </c>
      <c r="BP156" s="2">
        <f t="shared" si="160"/>
        <v>-2.496968179249667</v>
      </c>
      <c r="BQ156" s="67">
        <f t="shared" si="190"/>
        <v>4</v>
      </c>
      <c r="BR156" s="5">
        <v>-1.6013503495557611</v>
      </c>
      <c r="BS156" s="75">
        <f t="shared" si="191"/>
        <v>-7.0137858091922967E-2</v>
      </c>
      <c r="BT156" s="75">
        <f t="shared" si="192"/>
        <v>-1</v>
      </c>
      <c r="BU156" s="5">
        <f>IF(G162&gt;=36, IF(AND(NOT(ISBLANK(CM:CM)), NOT(ISBLANK(BD:BD))), (CM:CM-BD:BD)/2, ""), "UF")</f>
        <v>0.43703207686524359</v>
      </c>
      <c r="BV156" s="5">
        <f t="shared" si="161"/>
        <v>-1.6013503495557611</v>
      </c>
      <c r="BW156" s="69">
        <f t="shared" si="162"/>
        <v>7</v>
      </c>
      <c r="BX156" s="2">
        <v>87.5</v>
      </c>
      <c r="BY156" s="5">
        <v>-2.1351315812798788</v>
      </c>
      <c r="BZ156" s="74">
        <f t="shared" si="193"/>
        <v>0.36183659796978818</v>
      </c>
      <c r="CA156" s="74">
        <f t="shared" si="194"/>
        <v>1</v>
      </c>
      <c r="CB156" s="5">
        <f t="shared" si="163"/>
        <v>-0.30299214903105287</v>
      </c>
      <c r="CC156" s="5">
        <f t="shared" si="164"/>
        <v>-2.1351315812798788</v>
      </c>
      <c r="CD156" s="2">
        <f t="shared" si="165"/>
        <v>-0.55047250852456675</v>
      </c>
      <c r="CE156" s="69">
        <f t="shared" si="166"/>
        <v>6</v>
      </c>
      <c r="CF156" s="5">
        <v>11000</v>
      </c>
      <c r="CG156" s="5">
        <v>-2.622540109255012</v>
      </c>
      <c r="CH156" s="72">
        <f t="shared" si="195"/>
        <v>-0.12557193000534506</v>
      </c>
      <c r="CI156" s="72">
        <f t="shared" si="196"/>
        <v>-1</v>
      </c>
      <c r="CJ156" s="5">
        <f t="shared" si="167"/>
        <v>0.19558165802056848</v>
      </c>
      <c r="CK156" s="5">
        <f t="shared" si="168"/>
        <v>-2.622540109255012</v>
      </c>
      <c r="CL156" s="69">
        <f t="shared" si="169"/>
        <v>4</v>
      </c>
      <c r="CM156" s="5">
        <v>-0.65714833773335091</v>
      </c>
      <c r="CN156" s="70">
        <f t="shared" si="170"/>
        <v>0.94420201182241015</v>
      </c>
      <c r="CO156" s="5">
        <f t="shared" si="171"/>
        <v>0.94420201182241015</v>
      </c>
      <c r="CP156" s="5">
        <f>IF(G156&lt;48,"UF", IF(NOT(ISBLANK(CM:CM)), CM:CM, IF(BW:BW=1, BV:BV+Sheet2!B204, IF(Sheet1!BW:BW=2, Sheet1!BV:BV+Sheet2!B205, IF(Sheet1!BW:BW=7, Sheet1!BV:BV+Sheet2!B206,"")))))</f>
        <v>-0.65714833773335091</v>
      </c>
      <c r="CQ156" s="69">
        <f t="shared" si="197"/>
        <v>7</v>
      </c>
      <c r="CR156" s="5">
        <v>93.3</v>
      </c>
      <c r="CS156" s="5">
        <v>-2.1906433708174178</v>
      </c>
      <c r="CT156" s="5">
        <f t="shared" si="172"/>
        <v>-5.5511789537538991E-2</v>
      </c>
      <c r="CU156" s="80">
        <f t="shared" si="173"/>
        <v>-5.5511789537538991E-2</v>
      </c>
      <c r="CV156" s="80">
        <f t="shared" si="174"/>
        <v>-1</v>
      </c>
      <c r="CW156" s="20">
        <f>IF(G156&lt;48,"UF", IF(NOT(ISBLANK(CS156)), CS156, IF(CE156=5, CC156+Sheet2!B193, IF(CE156=6, CC156+Sheet2!B194, IF(CE156=7, CC156+Sheet2!B195,"")))))</f>
        <v>-2.1906433708174178</v>
      </c>
      <c r="CX156" s="68">
        <f t="shared" si="198"/>
        <v>6</v>
      </c>
      <c r="CY156" s="5">
        <v>13000</v>
      </c>
      <c r="CZ156" s="5">
        <v>-2.10580486320853</v>
      </c>
      <c r="DA156" s="5">
        <f t="shared" si="175"/>
        <v>0.51673524604648202</v>
      </c>
      <c r="DB156" s="73">
        <f t="shared" si="176"/>
        <v>0.51673524604648202</v>
      </c>
      <c r="DC156" s="73">
        <f t="shared" si="177"/>
        <v>1</v>
      </c>
      <c r="DD156" s="5">
        <f>IF(G156&lt;48,"UF", IF(NOT(ISBLANK(CZ:CZ)), CZ:CZ, IF(CL:CL=3, CK:CK+Sheet2!B198, IF(CL:CL=4, CK:CK+Sheet2!B199, IF(CL:CL=7, CK:CK+Sheet2!B200,"")))))</f>
        <v>-2.10580486320853</v>
      </c>
      <c r="DE156" s="69">
        <f t="shared" si="178"/>
        <v>4</v>
      </c>
      <c r="DF156" s="2">
        <v>3</v>
      </c>
      <c r="DG156" s="2">
        <v>37</v>
      </c>
      <c r="DH156" s="2">
        <v>2</v>
      </c>
      <c r="DI156" s="2">
        <v>2</v>
      </c>
      <c r="DJ156" s="2">
        <v>2</v>
      </c>
      <c r="DK156" s="2">
        <v>110</v>
      </c>
      <c r="DL156" s="2">
        <v>70</v>
      </c>
      <c r="DM156" s="2">
        <v>100</v>
      </c>
      <c r="DN156" s="2">
        <v>60</v>
      </c>
      <c r="DO156" s="2">
        <v>100</v>
      </c>
      <c r="DP156" s="2">
        <v>60</v>
      </c>
      <c r="DQ156" s="2">
        <v>1</v>
      </c>
      <c r="DR156" s="2">
        <v>41</v>
      </c>
      <c r="DS156" s="2">
        <v>1</v>
      </c>
      <c r="DT156" s="2">
        <v>99</v>
      </c>
      <c r="DU156" s="2">
        <v>101</v>
      </c>
      <c r="DV156" s="2">
        <v>3</v>
      </c>
      <c r="DW156" s="2">
        <v>2</v>
      </c>
      <c r="DX156" s="2">
        <v>2</v>
      </c>
      <c r="DY156" s="2">
        <v>2</v>
      </c>
      <c r="DZ156" s="2">
        <v>34</v>
      </c>
      <c r="EA156" s="2">
        <v>35</v>
      </c>
      <c r="EB156" s="2">
        <v>44.8</v>
      </c>
      <c r="EC156" s="2">
        <v>1</v>
      </c>
      <c r="ED156" s="2">
        <v>4</v>
      </c>
    </row>
    <row r="157" spans="2:134" x14ac:dyDescent="0.25">
      <c r="C157" s="5" t="s">
        <v>32</v>
      </c>
      <c r="D157" s="2">
        <v>2501014413</v>
      </c>
      <c r="E157" s="5">
        <v>2</v>
      </c>
      <c r="F157" s="2">
        <v>1</v>
      </c>
      <c r="G157" s="2">
        <v>50</v>
      </c>
      <c r="H157" s="2">
        <v>-0.21611034694354261</v>
      </c>
      <c r="I157" s="2">
        <v>51</v>
      </c>
      <c r="J157" s="2">
        <v>0.99441714029262385</v>
      </c>
      <c r="K157" s="5">
        <v>3400</v>
      </c>
      <c r="L157" s="2">
        <v>0.36061993902816308</v>
      </c>
      <c r="M157" s="2">
        <v>-2.1149</v>
      </c>
      <c r="N157" s="2">
        <f t="shared" si="137"/>
        <v>-0.58519482652822874</v>
      </c>
      <c r="O157" s="2">
        <f t="shared" si="138"/>
        <v>-2.1149</v>
      </c>
      <c r="P157" s="2">
        <v>66</v>
      </c>
      <c r="Q157" s="2">
        <v>0.11</v>
      </c>
      <c r="R157" s="5">
        <f t="shared" si="139"/>
        <v>-0.49720857014631192</v>
      </c>
      <c r="S157" s="5">
        <f t="shared" si="140"/>
        <v>0.11</v>
      </c>
      <c r="T157" s="1">
        <v>6100</v>
      </c>
      <c r="U157" s="2">
        <v>-1.48</v>
      </c>
      <c r="V157" s="2">
        <f t="shared" si="141"/>
        <v>-0.6653099695140815</v>
      </c>
      <c r="W157" s="2">
        <f t="shared" si="142"/>
        <v>-1.48</v>
      </c>
      <c r="X157" s="2">
        <v>-1.3865000000000001</v>
      </c>
      <c r="Y157" s="76">
        <f t="shared" si="179"/>
        <v>-1.1703896530564575</v>
      </c>
      <c r="Z157" s="76">
        <f t="shared" si="180"/>
        <v>-2</v>
      </c>
      <c r="AA157" s="2">
        <f t="shared" si="143"/>
        <v>-0.92880000000000007</v>
      </c>
      <c r="AB157" s="2">
        <f t="shared" si="144"/>
        <v>-1.3865000000000001</v>
      </c>
      <c r="AC157" s="2">
        <v>74</v>
      </c>
      <c r="AD157" s="2">
        <v>0</v>
      </c>
      <c r="AE157" s="79">
        <f t="shared" si="181"/>
        <v>-0.99441714029262385</v>
      </c>
      <c r="AF157" s="79">
        <f t="shared" si="182"/>
        <v>-2</v>
      </c>
      <c r="AG157" s="2">
        <f t="shared" si="134"/>
        <v>-0.18</v>
      </c>
      <c r="AH157" s="2">
        <f t="shared" si="145"/>
        <v>0</v>
      </c>
      <c r="AI157" s="2">
        <v>7950</v>
      </c>
      <c r="AJ157" s="2">
        <v>-0.97</v>
      </c>
      <c r="AK157" s="76">
        <f t="shared" si="183"/>
        <v>-1.330619939028163</v>
      </c>
      <c r="AL157" s="76">
        <f t="shared" si="184"/>
        <v>-2</v>
      </c>
      <c r="AM157" s="2">
        <f t="shared" si="146"/>
        <v>6.4999999999999947E-2</v>
      </c>
      <c r="AN157" s="2">
        <f t="shared" si="147"/>
        <v>-0.97</v>
      </c>
      <c r="AO157" s="2">
        <v>-1.7476</v>
      </c>
      <c r="AP157" s="2">
        <f t="shared" si="148"/>
        <v>-1.256688905933486</v>
      </c>
      <c r="AQ157" s="2">
        <f t="shared" si="149"/>
        <v>-1.7476</v>
      </c>
      <c r="AR157" s="2">
        <v>80</v>
      </c>
      <c r="AS157" s="2">
        <v>-0.25</v>
      </c>
      <c r="AT157" s="2">
        <f t="shared" si="150"/>
        <v>-5.6926630174520002E-2</v>
      </c>
      <c r="AU157" s="2">
        <f t="shared" si="151"/>
        <v>-0.25</v>
      </c>
      <c r="AV157" s="2">
        <v>8700</v>
      </c>
      <c r="AW157" s="2">
        <v>-1.35</v>
      </c>
      <c r="AX157" s="2">
        <f t="shared" si="152"/>
        <v>-1.1352476043984474</v>
      </c>
      <c r="AY157" s="2">
        <f t="shared" si="153"/>
        <v>-1.35</v>
      </c>
      <c r="AZ157" s="2">
        <v>-3.8998778118669719</v>
      </c>
      <c r="BA157" s="78">
        <f t="shared" si="185"/>
        <v>-2.5133778118669721</v>
      </c>
      <c r="BB157" s="78">
        <f t="shared" si="186"/>
        <v>-2</v>
      </c>
      <c r="BC157" s="2">
        <f t="shared" si="154"/>
        <v>-1.0948921853640694</v>
      </c>
      <c r="BD157" s="2">
        <f t="shared" si="155"/>
        <v>-3.8998778118669719</v>
      </c>
      <c r="BE157" s="67">
        <f t="shared" si="187"/>
        <v>1</v>
      </c>
      <c r="BF157" s="2">
        <v>85</v>
      </c>
      <c r="BG157" s="2">
        <v>-0.11385326034904</v>
      </c>
      <c r="BH157" s="2">
        <f t="shared" si="156"/>
        <v>6.5358351232728901E-2</v>
      </c>
      <c r="BI157" s="2">
        <f t="shared" si="157"/>
        <v>-0.11385326034904</v>
      </c>
      <c r="BJ157" s="67">
        <f t="shared" si="158"/>
        <v>7</v>
      </c>
      <c r="BK157" s="2">
        <v>8900</v>
      </c>
      <c r="BL157" s="2">
        <v>-3.240495208796895</v>
      </c>
      <c r="BM157" s="77">
        <f t="shared" si="188"/>
        <v>-2.2704952087968948</v>
      </c>
      <c r="BN157" s="77">
        <f t="shared" si="189"/>
        <v>-2</v>
      </c>
      <c r="BO157" s="2">
        <f t="shared" si="159"/>
        <v>-0.50340612619358172</v>
      </c>
      <c r="BP157" s="2">
        <f t="shared" si="160"/>
        <v>-3.240495208796895</v>
      </c>
      <c r="BQ157" s="67">
        <f t="shared" si="190"/>
        <v>3</v>
      </c>
      <c r="BR157" s="5">
        <v>-5.0322765560922083</v>
      </c>
      <c r="BS157" s="75">
        <f t="shared" si="191"/>
        <v>-1.1323987442252363</v>
      </c>
      <c r="BT157" s="75">
        <f t="shared" si="192"/>
        <v>-2</v>
      </c>
      <c r="BU157" s="5">
        <f>IF(G164&gt;=36, IF(AND(NOT(ISBLANK(CM:CM)), NOT(ISBLANK(BD:BD))), (CM:CM-BD:BD)/2, ""), "UF")</f>
        <v>0.22813926216738856</v>
      </c>
      <c r="BV157" s="5">
        <f t="shared" si="161"/>
        <v>-5.0322765560922083</v>
      </c>
      <c r="BW157" s="69">
        <f t="shared" si="162"/>
        <v>1</v>
      </c>
      <c r="BX157" s="2">
        <v>94</v>
      </c>
      <c r="BY157" s="5">
        <v>-5.3924946301813291E-2</v>
      </c>
      <c r="BZ157" s="74">
        <f t="shared" si="193"/>
        <v>3.1865702624950818</v>
      </c>
      <c r="CA157" s="74">
        <f t="shared" si="194"/>
        <v>2</v>
      </c>
      <c r="CB157" s="5">
        <f t="shared" si="163"/>
        <v>-0.17758519442325482</v>
      </c>
      <c r="CC157" s="5">
        <f t="shared" si="164"/>
        <v>-5.3924946301813291E-2</v>
      </c>
      <c r="CD157" s="2">
        <f t="shared" si="165"/>
        <v>5.9928314047226712E-2</v>
      </c>
      <c r="CE157" s="69">
        <f t="shared" si="166"/>
        <v>7</v>
      </c>
      <c r="CF157" s="5">
        <v>10400</v>
      </c>
      <c r="CG157" s="5">
        <v>-2.8602183785807451</v>
      </c>
      <c r="CH157" s="72">
        <f t="shared" si="195"/>
        <v>0.38027683021614989</v>
      </c>
      <c r="CI157" s="72">
        <f t="shared" si="196"/>
        <v>1</v>
      </c>
      <c r="CJ157" s="5">
        <f t="shared" si="167"/>
        <v>0.49023953332958348</v>
      </c>
      <c r="CK157" s="5">
        <f t="shared" si="168"/>
        <v>-2.8602183785807451</v>
      </c>
      <c r="CL157" s="69">
        <f t="shared" si="169"/>
        <v>4</v>
      </c>
      <c r="CM157" s="5">
        <v>-3.4435992875321948</v>
      </c>
      <c r="CN157" s="70">
        <f t="shared" si="170"/>
        <v>1.5886772685600135</v>
      </c>
      <c r="CO157" s="5">
        <f t="shared" si="171"/>
        <v>1.5886772685600135</v>
      </c>
      <c r="CP157" s="5">
        <f>IF(G157&lt;48,"UF", IF(NOT(ISBLANK(CM:CM)), CM:CM, IF(BW:BW=1, BV:BV+Sheet2!B51, IF(Sheet1!BW:BW=2, Sheet1!BV:BV+Sheet2!B52, IF(Sheet1!BW:BW=7, Sheet1!BV:BV+Sheet2!B53,"")))))</f>
        <v>-3.4435992875321948</v>
      </c>
      <c r="CQ157" s="69">
        <f t="shared" si="197"/>
        <v>1</v>
      </c>
      <c r="CR157" s="5">
        <v>99</v>
      </c>
      <c r="CS157" s="5">
        <v>-0.46902364919554967</v>
      </c>
      <c r="CT157" s="5">
        <f t="shared" si="172"/>
        <v>-0.4150987028937364</v>
      </c>
      <c r="CU157" s="80">
        <f t="shared" si="173"/>
        <v>-0.4150987028937364</v>
      </c>
      <c r="CV157" s="80">
        <f t="shared" si="174"/>
        <v>-1</v>
      </c>
      <c r="CW157" s="20">
        <f>IF(G157&lt;48,"UF", IF(NOT(ISBLANK(CS157)), CS157, IF(CE157=5, CC157+Sheet2!B40, IF(CE157=6, CC157+Sheet2!B41, IF(CE157=7, CC157+Sheet2!B42,"")))))</f>
        <v>-0.46902364919554967</v>
      </c>
      <c r="CX157" s="68">
        <f t="shared" si="198"/>
        <v>7</v>
      </c>
      <c r="CY157" s="5">
        <v>12300</v>
      </c>
      <c r="CZ157" s="5">
        <v>-2.2600161421377281</v>
      </c>
      <c r="DA157" s="5">
        <f t="shared" si="175"/>
        <v>0.60020223644301707</v>
      </c>
      <c r="DB157" s="73">
        <f t="shared" si="176"/>
        <v>0.60020223644301707</v>
      </c>
      <c r="DC157" s="73">
        <f t="shared" si="177"/>
        <v>1</v>
      </c>
      <c r="DD157" s="5">
        <f>IF(G157&lt;48,"UF", IF(NOT(ISBLANK(CZ:CZ)), CZ:CZ, IF(CL:CL=3, CK:CK+Sheet2!B45, IF(CL:CL=4, CK:CK+Sheet2!B46, IF(CL:CL=7, CK:CK+Sheet2!B47,"")))))</f>
        <v>-2.2600161421377281</v>
      </c>
      <c r="DE157" s="69">
        <f t="shared" si="178"/>
        <v>4</v>
      </c>
      <c r="DF157" s="2">
        <v>1</v>
      </c>
      <c r="DG157" s="2">
        <v>28</v>
      </c>
      <c r="DH157" s="2">
        <v>2</v>
      </c>
      <c r="DI157" s="2">
        <v>1</v>
      </c>
      <c r="DJ157" s="2">
        <v>2</v>
      </c>
      <c r="DK157" s="2">
        <v>100</v>
      </c>
      <c r="DL157" s="2">
        <v>60</v>
      </c>
      <c r="DM157" s="2">
        <v>90</v>
      </c>
      <c r="DN157" s="2">
        <v>50</v>
      </c>
      <c r="DO157" s="2">
        <v>90</v>
      </c>
      <c r="DP157" s="2">
        <v>50</v>
      </c>
      <c r="DQ157" s="2">
        <v>2</v>
      </c>
      <c r="DR157" s="2">
        <v>40</v>
      </c>
      <c r="DS157" s="2">
        <v>2</v>
      </c>
      <c r="DT157" s="2">
        <v>99</v>
      </c>
      <c r="DU157" s="2">
        <v>78</v>
      </c>
      <c r="DV157" s="2">
        <v>2</v>
      </c>
      <c r="DW157" s="2">
        <v>2</v>
      </c>
      <c r="DX157" s="2">
        <v>2</v>
      </c>
      <c r="DY157" s="2">
        <v>2</v>
      </c>
      <c r="DZ157" s="2">
        <v>32</v>
      </c>
      <c r="EA157" s="2">
        <v>34.5</v>
      </c>
      <c r="EB157" s="2">
        <v>43</v>
      </c>
      <c r="EC157" s="2">
        <v>1</v>
      </c>
      <c r="ED157" s="2">
        <v>1</v>
      </c>
    </row>
    <row r="158" spans="2:134" x14ac:dyDescent="0.25">
      <c r="C158" s="5" t="s">
        <v>62</v>
      </c>
      <c r="D158" s="2">
        <v>2501014456</v>
      </c>
      <c r="E158" s="2" t="s">
        <v>529</v>
      </c>
      <c r="F158" s="2">
        <v>1</v>
      </c>
      <c r="G158" s="2">
        <v>52</v>
      </c>
      <c r="H158" s="2">
        <v>-2.4233144213831701</v>
      </c>
      <c r="I158" s="2">
        <v>52</v>
      </c>
      <c r="J158" s="2">
        <v>1.531272843240846</v>
      </c>
      <c r="K158" s="5">
        <v>2885</v>
      </c>
      <c r="L158" s="2">
        <v>-0.78479852296454744</v>
      </c>
      <c r="M158" s="2">
        <v>-6.7900000000000002E-2</v>
      </c>
      <c r="N158" s="2">
        <f t="shared" si="137"/>
        <v>1.1097572106915849</v>
      </c>
      <c r="O158" s="2">
        <f t="shared" si="138"/>
        <v>-6.7900000000000002E-2</v>
      </c>
      <c r="P158" s="2">
        <v>63</v>
      </c>
      <c r="Q158" s="2">
        <v>-1.21</v>
      </c>
      <c r="R158" s="5">
        <f t="shared" si="139"/>
        <v>-1.735636421620423</v>
      </c>
      <c r="S158" s="5">
        <f t="shared" si="140"/>
        <v>-1.21</v>
      </c>
      <c r="T158" s="1">
        <v>6670</v>
      </c>
      <c r="U158" s="2">
        <v>-0.74</v>
      </c>
      <c r="V158" s="2">
        <f t="shared" si="141"/>
        <v>-0.2576007385177263</v>
      </c>
      <c r="W158" s="2">
        <f t="shared" si="142"/>
        <v>-0.74</v>
      </c>
      <c r="X158" s="2">
        <v>-0.20380000000000001</v>
      </c>
      <c r="Y158" s="76">
        <f t="shared" si="179"/>
        <v>2.2195144213831699</v>
      </c>
      <c r="Z158" s="76">
        <f t="shared" si="180"/>
        <v>2</v>
      </c>
      <c r="AA158" s="2">
        <f t="shared" si="143"/>
        <v>-2.0700000000000052E-2</v>
      </c>
      <c r="AB158" s="2">
        <f t="shared" si="144"/>
        <v>-0.20380000000000001</v>
      </c>
      <c r="AC158" s="2">
        <v>69</v>
      </c>
      <c r="AD158" s="2">
        <v>-1.94</v>
      </c>
      <c r="AE158" s="79">
        <f t="shared" si="181"/>
        <v>-3.471272843240846</v>
      </c>
      <c r="AF158" s="79">
        <f t="shared" si="182"/>
        <v>-2</v>
      </c>
      <c r="AG158" s="2">
        <f t="shared" si="134"/>
        <v>-0.55000000000000004</v>
      </c>
      <c r="AH158" s="2">
        <f t="shared" si="145"/>
        <v>-1.94</v>
      </c>
      <c r="AI158" s="2">
        <v>7650</v>
      </c>
      <c r="AJ158" s="2">
        <v>-1.3</v>
      </c>
      <c r="AK158" s="76">
        <f t="shared" si="183"/>
        <v>-0.5152014770354526</v>
      </c>
      <c r="AL158" s="76">
        <f t="shared" si="184"/>
        <v>-1</v>
      </c>
      <c r="AM158" s="2">
        <f t="shared" si="146"/>
        <v>-0.79999999999999993</v>
      </c>
      <c r="AN158" s="2">
        <f t="shared" si="147"/>
        <v>-1.3</v>
      </c>
      <c r="AO158" s="2">
        <v>-1.2514000000000001</v>
      </c>
      <c r="AP158" s="2">
        <f t="shared" si="148"/>
        <v>-1.150919794194647</v>
      </c>
      <c r="AQ158" s="2">
        <f t="shared" si="149"/>
        <v>-1.2514000000000001</v>
      </c>
      <c r="AR158" s="2">
        <v>74</v>
      </c>
      <c r="AS158" s="2">
        <v>-2.31</v>
      </c>
      <c r="AT158" s="2">
        <f t="shared" si="150"/>
        <v>0.19787174404575347</v>
      </c>
      <c r="AU158" s="2">
        <f t="shared" si="151"/>
        <v>-2.31</v>
      </c>
      <c r="AV158" s="2">
        <v>7750</v>
      </c>
      <c r="AW158" s="2">
        <v>-2.34</v>
      </c>
      <c r="AX158" s="2">
        <f t="shared" si="152"/>
        <v>-1.1389994577298426</v>
      </c>
      <c r="AY158" s="2">
        <f t="shared" si="153"/>
        <v>-2.34</v>
      </c>
      <c r="AZ158" s="2">
        <v>-2.5056395883892941</v>
      </c>
      <c r="BA158" s="78">
        <f t="shared" si="185"/>
        <v>-2.3018395883892939</v>
      </c>
      <c r="BB158" s="78">
        <f t="shared" si="186"/>
        <v>-2</v>
      </c>
      <c r="BC158" s="2">
        <f t="shared" si="154"/>
        <v>-0.57398124446354992</v>
      </c>
      <c r="BD158" s="2">
        <f t="shared" si="155"/>
        <v>-2.5056395883892941</v>
      </c>
      <c r="BE158" s="67">
        <f t="shared" si="187"/>
        <v>2</v>
      </c>
      <c r="BF158" s="2">
        <v>80</v>
      </c>
      <c r="BG158" s="2">
        <v>-1.544256511908493</v>
      </c>
      <c r="BH158" s="2">
        <f t="shared" si="156"/>
        <v>6.3971330866118656E-2</v>
      </c>
      <c r="BI158" s="2">
        <f t="shared" si="157"/>
        <v>-1.544256511908493</v>
      </c>
      <c r="BJ158" s="67">
        <f t="shared" si="158"/>
        <v>7</v>
      </c>
      <c r="BK158" s="2">
        <v>8650</v>
      </c>
      <c r="BL158" s="2">
        <v>-3.577998915459685</v>
      </c>
      <c r="BM158" s="77">
        <f t="shared" si="188"/>
        <v>-2.2779989154596851</v>
      </c>
      <c r="BN158" s="77">
        <f t="shared" si="189"/>
        <v>-2</v>
      </c>
      <c r="BO158" s="2">
        <f t="shared" si="159"/>
        <v>-0.48757881424810368</v>
      </c>
      <c r="BP158" s="2">
        <f t="shared" si="160"/>
        <v>-3.577998915459685</v>
      </c>
      <c r="BQ158" s="67">
        <f t="shared" si="190"/>
        <v>3</v>
      </c>
      <c r="BR158" s="5">
        <v>-2.9733437333906498</v>
      </c>
      <c r="BS158" s="75">
        <f t="shared" si="191"/>
        <v>-0.46770414500135571</v>
      </c>
      <c r="BT158" s="75">
        <f t="shared" si="192"/>
        <v>-1</v>
      </c>
      <c r="BU158" s="5">
        <f>IF(G165&gt;=36, IF(AND(NOT(ISBLANK(CM:CM)), NOT(ISBLANK(BD:BD))), (CM:CM-BD:BD)/2, ""), "UF")</f>
        <v>0.11379619598878365</v>
      </c>
      <c r="BV158" s="5">
        <f t="shared" si="161"/>
        <v>-2.9733437333906498</v>
      </c>
      <c r="BW158" s="69">
        <f t="shared" si="162"/>
        <v>2</v>
      </c>
      <c r="BX158" s="2">
        <v>86</v>
      </c>
      <c r="BY158" s="5">
        <v>-2.1180860074016441</v>
      </c>
      <c r="BZ158" s="74">
        <f t="shared" si="193"/>
        <v>1.4599129080580409</v>
      </c>
      <c r="CA158" s="74">
        <f t="shared" si="194"/>
        <v>2</v>
      </c>
      <c r="CB158" s="5">
        <f t="shared" si="163"/>
        <v>-0.67288347654864455</v>
      </c>
      <c r="CC158" s="5">
        <f t="shared" si="164"/>
        <v>-2.1180860074016441</v>
      </c>
      <c r="CD158" s="2">
        <f t="shared" si="165"/>
        <v>-0.5738294954931511</v>
      </c>
      <c r="CE158" s="69">
        <f t="shared" si="166"/>
        <v>6</v>
      </c>
      <c r="CF158" s="5">
        <v>9600</v>
      </c>
      <c r="CG158" s="5">
        <v>-3.8027364427443109</v>
      </c>
      <c r="CH158" s="72">
        <f t="shared" si="195"/>
        <v>-0.22473752728462593</v>
      </c>
      <c r="CI158" s="72">
        <f t="shared" si="196"/>
        <v>-1</v>
      </c>
      <c r="CJ158" s="5">
        <f t="shared" si="167"/>
        <v>-0.23208873875516423</v>
      </c>
      <c r="CK158" s="5">
        <f t="shared" si="168"/>
        <v>-3.8027364427443109</v>
      </c>
      <c r="CL158" s="69">
        <f t="shared" si="169"/>
        <v>3</v>
      </c>
      <c r="CM158" s="5">
        <v>-2.2780471964117268</v>
      </c>
      <c r="CN158" s="70">
        <f t="shared" si="170"/>
        <v>0.69529653697892302</v>
      </c>
      <c r="CO158" s="5">
        <f t="shared" si="171"/>
        <v>0.69529653697892302</v>
      </c>
      <c r="CP158" s="5">
        <f>IF(G158&lt;48,"UF", IF(NOT(ISBLANK(CM:CM)), CM:CM, IF(BW:BW=1, BV:BV+Sheet2!B83, IF(Sheet1!BW:BW=2, Sheet1!BV:BV+Sheet2!B84, IF(Sheet1!BW:BW=7, Sheet1!BV:BV+Sheet2!B85,"")))))</f>
        <v>-2.2780471964117268</v>
      </c>
      <c r="CQ158" s="69">
        <f t="shared" si="197"/>
        <v>2</v>
      </c>
      <c r="CR158" s="5">
        <v>89</v>
      </c>
      <c r="CS158" s="5">
        <v>-2.8900234650057821</v>
      </c>
      <c r="CT158" s="5">
        <f t="shared" si="172"/>
        <v>-0.77193745760413801</v>
      </c>
      <c r="CU158" s="80">
        <f t="shared" si="173"/>
        <v>-0.77193745760413801</v>
      </c>
      <c r="CV158" s="80">
        <f t="shared" si="174"/>
        <v>-2</v>
      </c>
      <c r="CW158" s="20">
        <f>IF(G158&lt;48,"UF", IF(NOT(ISBLANK(CS158)), CS158, IF(CE158=5, CC158+Sheet2!B72, IF(CE158=6, CC158+Sheet2!B73, IF(CE158=7, CC158+Sheet2!B74,"")))))</f>
        <v>-2.8900234650057821</v>
      </c>
      <c r="CX158" s="68">
        <f t="shared" si="198"/>
        <v>6</v>
      </c>
      <c r="CY158" s="5">
        <v>10500</v>
      </c>
      <c r="CZ158" s="5">
        <v>-4.0421763929700134</v>
      </c>
      <c r="DA158" s="5">
        <f t="shared" si="175"/>
        <v>-0.23943995022570252</v>
      </c>
      <c r="DB158" s="73">
        <f t="shared" si="176"/>
        <v>-0.23943995022570252</v>
      </c>
      <c r="DC158" s="73">
        <f t="shared" si="177"/>
        <v>-1</v>
      </c>
      <c r="DD158" s="5">
        <f>IF(G158&lt;48,"UF", IF(NOT(ISBLANK(CZ:CZ)), CZ:CZ, IF(CL:CL=3, CK:CK+Sheet2!B77, IF(CL:CL=4, CK:CK+Sheet2!B78, IF(CL:CL=7, CK:CK+Sheet2!B79,"")))))</f>
        <v>-4.0421763929700134</v>
      </c>
      <c r="DE158" s="69">
        <f t="shared" si="178"/>
        <v>3</v>
      </c>
      <c r="DF158" s="2">
        <v>3</v>
      </c>
      <c r="DG158" s="2">
        <v>37</v>
      </c>
      <c r="DH158" s="2">
        <v>2</v>
      </c>
      <c r="DI158" s="2">
        <v>2</v>
      </c>
      <c r="DJ158" s="2">
        <v>2</v>
      </c>
      <c r="DK158" s="2">
        <v>90</v>
      </c>
      <c r="DL158" s="2">
        <v>50</v>
      </c>
      <c r="DM158" s="2">
        <v>100</v>
      </c>
      <c r="DN158" s="2">
        <v>50</v>
      </c>
      <c r="DO158" s="2">
        <v>90</v>
      </c>
      <c r="DP158" s="2">
        <v>50</v>
      </c>
      <c r="DQ158" s="2">
        <v>2</v>
      </c>
      <c r="DR158" s="2">
        <v>39</v>
      </c>
      <c r="DS158" s="2">
        <v>1</v>
      </c>
      <c r="DT158" s="2">
        <v>82</v>
      </c>
      <c r="DU158" s="2">
        <v>92</v>
      </c>
      <c r="DV158" s="2">
        <v>2</v>
      </c>
      <c r="DW158" s="2">
        <v>2</v>
      </c>
      <c r="DX158" s="2">
        <v>2</v>
      </c>
      <c r="DY158" s="2">
        <v>2</v>
      </c>
      <c r="DZ158" s="2">
        <v>34.5</v>
      </c>
      <c r="EA158" s="2">
        <v>35</v>
      </c>
      <c r="EB158" s="2">
        <v>44.5</v>
      </c>
      <c r="EC158" s="2">
        <v>1</v>
      </c>
      <c r="ED158" s="2">
        <v>1</v>
      </c>
    </row>
    <row r="159" spans="2:134" x14ac:dyDescent="0.25">
      <c r="C159" s="5" t="s">
        <v>116</v>
      </c>
      <c r="D159" s="2">
        <v>2501014693</v>
      </c>
      <c r="E159" s="5">
        <v>4</v>
      </c>
      <c r="F159" s="2">
        <v>1</v>
      </c>
      <c r="G159" s="2">
        <v>50</v>
      </c>
      <c r="H159" s="2">
        <v>-8.4281305187218769E-2</v>
      </c>
      <c r="I159" s="2">
        <v>46</v>
      </c>
      <c r="J159" s="2">
        <v>-1.6898613744484801</v>
      </c>
      <c r="K159" s="5">
        <v>2800</v>
      </c>
      <c r="L159" s="2">
        <v>-0.98574519678023331</v>
      </c>
      <c r="M159" s="2">
        <v>0.44390000000000002</v>
      </c>
      <c r="N159" s="2">
        <f t="shared" si="137"/>
        <v>5.4906525936093825E-3</v>
      </c>
      <c r="O159" s="2">
        <f t="shared" si="138"/>
        <v>0.44390000000000002</v>
      </c>
      <c r="P159" s="2">
        <v>64</v>
      </c>
      <c r="Q159" s="2">
        <v>-0.77</v>
      </c>
      <c r="R159" s="5">
        <f t="shared" si="139"/>
        <v>0.84493068722424003</v>
      </c>
      <c r="S159" s="5">
        <f t="shared" si="140"/>
        <v>-0.77</v>
      </c>
      <c r="T159" s="1">
        <v>7210</v>
      </c>
      <c r="U159" s="2">
        <v>-0.1</v>
      </c>
      <c r="V159" s="2">
        <f t="shared" si="141"/>
        <v>0.47287259839011664</v>
      </c>
      <c r="W159" s="2">
        <f t="shared" si="142"/>
        <v>-0.1</v>
      </c>
      <c r="X159" s="2">
        <v>-7.3300000000000004E-2</v>
      </c>
      <c r="Y159" s="76">
        <f t="shared" si="179"/>
        <v>1.0981305187218765E-2</v>
      </c>
      <c r="Z159" s="76">
        <f t="shared" si="180"/>
        <v>1</v>
      </c>
      <c r="AA159" s="2">
        <f t="shared" si="143"/>
        <v>0.47160000000000002</v>
      </c>
      <c r="AB159" s="2">
        <f t="shared" si="144"/>
        <v>-7.3300000000000004E-2</v>
      </c>
      <c r="AC159" s="2">
        <v>74</v>
      </c>
      <c r="AD159" s="2">
        <v>0</v>
      </c>
      <c r="AE159" s="79">
        <f t="shared" si="181"/>
        <v>1.6898613744484801</v>
      </c>
      <c r="AF159" s="79">
        <f t="shared" si="182"/>
        <v>2</v>
      </c>
      <c r="AG159" s="2">
        <f t="shared" si="134"/>
        <v>-0.51</v>
      </c>
      <c r="AH159" s="2">
        <f t="shared" si="145"/>
        <v>0</v>
      </c>
      <c r="AI159" s="2">
        <v>8900</v>
      </c>
      <c r="AJ159" s="2">
        <v>-0.04</v>
      </c>
      <c r="AK159" s="76">
        <f t="shared" si="183"/>
        <v>0.94574519678023328</v>
      </c>
      <c r="AL159" s="76">
        <f t="shared" si="184"/>
        <v>2</v>
      </c>
      <c r="AM159" s="2">
        <f t="shared" si="146"/>
        <v>-0.435</v>
      </c>
      <c r="AN159" s="2">
        <f t="shared" si="147"/>
        <v>-0.04</v>
      </c>
      <c r="AO159" s="2">
        <v>0.17319999999999999</v>
      </c>
      <c r="AP159" s="2">
        <f t="shared" si="148"/>
        <v>-0.29820199876586823</v>
      </c>
      <c r="AQ159" s="2">
        <f t="shared" si="149"/>
        <v>0.17319999999999999</v>
      </c>
      <c r="AR159" s="2">
        <v>75.5</v>
      </c>
      <c r="AS159" s="2">
        <v>-1.79</v>
      </c>
      <c r="AT159" s="2">
        <f t="shared" si="150"/>
        <v>-0.84352473391454097</v>
      </c>
      <c r="AU159" s="2">
        <f t="shared" si="151"/>
        <v>-1.79</v>
      </c>
      <c r="AV159" s="2">
        <v>9100</v>
      </c>
      <c r="AW159" s="2">
        <v>-0.97</v>
      </c>
      <c r="AX159" s="2">
        <f t="shared" si="152"/>
        <v>-1.0557562370878344</v>
      </c>
      <c r="AY159" s="2">
        <f t="shared" si="153"/>
        <v>-0.97</v>
      </c>
      <c r="AZ159" s="2">
        <v>-0.66970399753173648</v>
      </c>
      <c r="BA159" s="78">
        <f t="shared" si="185"/>
        <v>-0.59640399753173645</v>
      </c>
      <c r="BB159" s="78">
        <f t="shared" si="186"/>
        <v>-1</v>
      </c>
      <c r="BC159" s="2">
        <f t="shared" si="154"/>
        <v>-0.62763733096606966</v>
      </c>
      <c r="BD159" s="2">
        <f t="shared" si="155"/>
        <v>-0.66970399753173648</v>
      </c>
      <c r="BE159" s="67">
        <f t="shared" si="187"/>
        <v>7</v>
      </c>
      <c r="BF159" s="2">
        <v>79.5</v>
      </c>
      <c r="BG159" s="2">
        <v>-1.6870494678290819</v>
      </c>
      <c r="BH159" s="2">
        <f t="shared" si="156"/>
        <v>6.5307347323132037E-2</v>
      </c>
      <c r="BI159" s="2">
        <f t="shared" si="157"/>
        <v>-1.6870494678290819</v>
      </c>
      <c r="BJ159" s="67">
        <f t="shared" si="158"/>
        <v>7</v>
      </c>
      <c r="BK159" s="2">
        <v>9800</v>
      </c>
      <c r="BL159" s="2">
        <v>-2.1515124741756688</v>
      </c>
      <c r="BM159" s="77">
        <f t="shared" si="188"/>
        <v>-2.1115124741756688</v>
      </c>
      <c r="BN159" s="77">
        <f t="shared" si="189"/>
        <v>-2</v>
      </c>
      <c r="BO159" s="2">
        <f t="shared" si="159"/>
        <v>-0.490643007173376</v>
      </c>
      <c r="BP159" s="2">
        <f t="shared" si="160"/>
        <v>-2.1515124741756688</v>
      </c>
      <c r="BQ159" s="67">
        <f t="shared" si="190"/>
        <v>4</v>
      </c>
      <c r="BR159" s="5">
        <v>-1.709711992898209</v>
      </c>
      <c r="BS159" s="75">
        <f t="shared" si="191"/>
        <v>-1.0400079953664725</v>
      </c>
      <c r="BT159" s="75">
        <f t="shared" si="192"/>
        <v>-2</v>
      </c>
      <c r="BU159" s="5">
        <f>IF(G167&gt;=36, IF(AND(NOT(ISBLANK(CM:CM)), NOT(ISBLANK(BD:BD))), (CM:CM-BD:BD)/2, ""), "UF")</f>
        <v>-4.8593354614436812E-2</v>
      </c>
      <c r="BV159" s="5">
        <f t="shared" si="161"/>
        <v>-1.709711992898209</v>
      </c>
      <c r="BW159" s="69">
        <f t="shared" si="162"/>
        <v>7</v>
      </c>
      <c r="BX159" s="2">
        <v>88</v>
      </c>
      <c r="BY159" s="5">
        <v>-1.5940779580306039</v>
      </c>
      <c r="BZ159" s="74">
        <f t="shared" si="193"/>
        <v>0.5574345161450649</v>
      </c>
      <c r="CA159" s="74">
        <f t="shared" si="194"/>
        <v>1</v>
      </c>
      <c r="CB159" s="5">
        <f t="shared" si="163"/>
        <v>0.19657992292440052</v>
      </c>
      <c r="CC159" s="5">
        <f t="shared" si="164"/>
        <v>-1.5940779580306039</v>
      </c>
      <c r="CD159" s="2">
        <f t="shared" si="165"/>
        <v>9.2971509798478014E-2</v>
      </c>
      <c r="CE159" s="69">
        <f t="shared" si="166"/>
        <v>7</v>
      </c>
      <c r="CF159" s="5">
        <v>10800</v>
      </c>
      <c r="CG159" s="5">
        <v>-2.4419290215201279</v>
      </c>
      <c r="CH159" s="72">
        <f t="shared" si="195"/>
        <v>-0.2904165473444591</v>
      </c>
      <c r="CI159" s="72">
        <f t="shared" si="196"/>
        <v>-1</v>
      </c>
      <c r="CJ159" s="5">
        <f t="shared" si="167"/>
        <v>0.29293669716009996</v>
      </c>
      <c r="CK159" s="5">
        <f t="shared" si="168"/>
        <v>-2.4419290215201279</v>
      </c>
      <c r="CL159" s="69">
        <f t="shared" si="169"/>
        <v>4</v>
      </c>
      <c r="CM159" s="5">
        <v>-0.76689070676061011</v>
      </c>
      <c r="CN159" s="70">
        <f t="shared" si="170"/>
        <v>0.94282128613759886</v>
      </c>
      <c r="CO159" s="5">
        <f t="shared" si="171"/>
        <v>0.94282128613759886</v>
      </c>
      <c r="CP159" s="5">
        <f>IF(G159&lt;48,"UF", IF(NOT(ISBLANK(CM:CM)), CM:CM, IF(BW:BW=1, BV:BV+Sheet2!B152, IF(Sheet1!BW:BW=2, Sheet1!BV:BV+Sheet2!B153, IF(Sheet1!BW:BW=7, Sheet1!BV:BV+Sheet2!B154,"")))))</f>
        <v>-0.76689070676061011</v>
      </c>
      <c r="CQ159" s="69">
        <f t="shared" si="197"/>
        <v>7</v>
      </c>
      <c r="CR159" s="5">
        <v>95.5</v>
      </c>
      <c r="CS159" s="5">
        <v>-1.2938896219802809</v>
      </c>
      <c r="CT159" s="5">
        <f t="shared" si="172"/>
        <v>0.30018833605032302</v>
      </c>
      <c r="CU159" s="80">
        <f t="shared" si="173"/>
        <v>0.30018833605032302</v>
      </c>
      <c r="CV159" s="80">
        <f t="shared" si="174"/>
        <v>1</v>
      </c>
      <c r="CW159" s="20">
        <f>IF(G159&lt;48,"UF", IF(NOT(ISBLANK(CS159)), CS159, IF(CE159=5, CC159+Sheet2!B141, IF(CE159=6, CC159+Sheet2!B142, IF(CE159=7, CC159+Sheet2!B143,"")))))</f>
        <v>-1.2938896219802809</v>
      </c>
      <c r="CX159" s="68">
        <f t="shared" si="198"/>
        <v>7</v>
      </c>
      <c r="CY159" s="5">
        <v>13200</v>
      </c>
      <c r="CZ159" s="5">
        <v>-1.5656390798554689</v>
      </c>
      <c r="DA159" s="5">
        <f t="shared" si="175"/>
        <v>0.87628994166465901</v>
      </c>
      <c r="DB159" s="73">
        <f t="shared" si="176"/>
        <v>0.87628994166465901</v>
      </c>
      <c r="DC159" s="73">
        <f t="shared" si="177"/>
        <v>2</v>
      </c>
      <c r="DD159" s="5">
        <f>IF(G159&lt;48,"UF", IF(NOT(ISBLANK(CZ:CZ)), CZ:CZ, IF(CL:CL=3, CK:CK+Sheet2!B146, IF(CL:CL=4, CK:CK+Sheet2!B147, IF(CL:CL=7, CK:CK+Sheet2!B148,"")))))</f>
        <v>-1.5656390798554689</v>
      </c>
      <c r="DE159" s="69">
        <f t="shared" si="178"/>
        <v>7</v>
      </c>
      <c r="DF159" s="2">
        <v>1</v>
      </c>
      <c r="DG159" s="2">
        <v>20</v>
      </c>
      <c r="DH159" s="2">
        <v>2</v>
      </c>
      <c r="DI159" s="2">
        <v>2</v>
      </c>
      <c r="DJ159" s="2">
        <v>2</v>
      </c>
      <c r="DK159" s="2">
        <v>100</v>
      </c>
      <c r="DL159" s="2">
        <v>70</v>
      </c>
      <c r="DM159" s="2">
        <v>105</v>
      </c>
      <c r="DN159" s="2">
        <v>70</v>
      </c>
      <c r="DO159" s="2">
        <v>105</v>
      </c>
      <c r="DP159" s="2">
        <v>60</v>
      </c>
      <c r="DQ159" s="2">
        <v>2</v>
      </c>
      <c r="DR159" s="2">
        <v>41</v>
      </c>
      <c r="DS159" s="2">
        <v>2</v>
      </c>
      <c r="DT159" s="2">
        <v>88</v>
      </c>
      <c r="DU159" s="2">
        <v>72</v>
      </c>
      <c r="DV159" s="2">
        <v>2</v>
      </c>
      <c r="DW159" s="2">
        <v>2</v>
      </c>
      <c r="DX159" s="2">
        <v>2</v>
      </c>
      <c r="DY159" s="2">
        <v>3</v>
      </c>
      <c r="DZ159" s="2">
        <v>33</v>
      </c>
      <c r="EA159" s="2" t="s">
        <v>12</v>
      </c>
      <c r="EB159" s="2">
        <v>43.5</v>
      </c>
      <c r="EC159" s="2" t="s">
        <v>12</v>
      </c>
      <c r="ED159" s="2">
        <v>4</v>
      </c>
    </row>
    <row r="160" spans="2:134" x14ac:dyDescent="0.25">
      <c r="C160" s="8" t="s">
        <v>191</v>
      </c>
      <c r="D160" s="4">
        <v>2501014758</v>
      </c>
      <c r="E160" s="5">
        <v>7</v>
      </c>
      <c r="F160" s="2">
        <v>2</v>
      </c>
      <c r="G160" s="2">
        <v>49</v>
      </c>
      <c r="H160" s="2">
        <v>1.739819942154428</v>
      </c>
      <c r="I160" s="2">
        <v>52</v>
      </c>
      <c r="J160" s="2">
        <v>1.117633928075521</v>
      </c>
      <c r="K160" s="1">
        <v>4300</v>
      </c>
      <c r="L160" s="2">
        <v>1.794391246922002</v>
      </c>
      <c r="M160" s="2">
        <v>1.0892999999999999</v>
      </c>
      <c r="N160" s="2">
        <f t="shared" si="137"/>
        <v>0.16579002892278605</v>
      </c>
      <c r="O160" s="2">
        <f t="shared" si="138"/>
        <v>1.0892999999999999</v>
      </c>
      <c r="P160" s="2">
        <v>71</v>
      </c>
      <c r="Q160" s="2">
        <v>1.57</v>
      </c>
      <c r="R160" s="5">
        <f t="shared" si="139"/>
        <v>0.12618303596223956</v>
      </c>
      <c r="S160" s="5">
        <f t="shared" si="140"/>
        <v>1.57</v>
      </c>
      <c r="T160" s="1">
        <v>9570</v>
      </c>
      <c r="U160" s="2">
        <v>1.73</v>
      </c>
      <c r="V160" s="2">
        <f t="shared" si="141"/>
        <v>0.28280437653899893</v>
      </c>
      <c r="W160" s="2">
        <f t="shared" si="142"/>
        <v>1.73</v>
      </c>
      <c r="X160" s="2">
        <v>2.0714000000000001</v>
      </c>
      <c r="Y160" s="76">
        <f t="shared" si="179"/>
        <v>0.3315800578455721</v>
      </c>
      <c r="Z160" s="76">
        <f t="shared" si="180"/>
        <v>1</v>
      </c>
      <c r="AA160" s="2" t="str">
        <f t="shared" si="143"/>
        <v/>
      </c>
      <c r="AB160" s="2">
        <f t="shared" si="144"/>
        <v>2.0714000000000001</v>
      </c>
      <c r="AC160" s="2">
        <v>79</v>
      </c>
      <c r="AD160" s="2">
        <v>1.37</v>
      </c>
      <c r="AE160" s="79">
        <f t="shared" si="181"/>
        <v>0.25236607192447913</v>
      </c>
      <c r="AF160" s="79">
        <f t="shared" si="182"/>
        <v>1</v>
      </c>
      <c r="AG160" s="2" t="str">
        <f t="shared" si="134"/>
        <v/>
      </c>
      <c r="AH160" s="2">
        <f t="shared" si="145"/>
        <v>1.37</v>
      </c>
      <c r="AI160" s="2">
        <v>12450</v>
      </c>
      <c r="AJ160" s="2">
        <v>2.36</v>
      </c>
      <c r="AK160" s="76">
        <f t="shared" si="183"/>
        <v>0.56560875307799785</v>
      </c>
      <c r="AL160" s="76">
        <f t="shared" si="184"/>
        <v>1</v>
      </c>
      <c r="AM160" s="2" t="str">
        <f t="shared" si="146"/>
        <v/>
      </c>
      <c r="AN160" s="2">
        <f t="shared" si="147"/>
        <v>2.36</v>
      </c>
      <c r="AP160" s="2">
        <f t="shared" si="148"/>
        <v>-0.29921794105191957</v>
      </c>
      <c r="AQ160" s="2">
        <f t="shared" si="149"/>
        <v>1.7721820589480806</v>
      </c>
      <c r="AR160" s="2" t="s">
        <v>12</v>
      </c>
      <c r="AT160" s="2">
        <f t="shared" si="150"/>
        <v>-0.80777292729072525</v>
      </c>
      <c r="AU160" s="2">
        <f t="shared" si="151"/>
        <v>0.56222707270927486</v>
      </c>
      <c r="AV160" s="2" t="s">
        <v>12</v>
      </c>
      <c r="AX160" s="2">
        <f t="shared" si="152"/>
        <v>-0.74901603194634303</v>
      </c>
      <c r="AY160" s="2">
        <f t="shared" si="153"/>
        <v>1.6109839680536568</v>
      </c>
      <c r="AZ160" s="2">
        <v>1.472964117896161</v>
      </c>
      <c r="BA160" s="78">
        <f t="shared" si="185"/>
        <v>-0.59843588210383913</v>
      </c>
      <c r="BB160" s="78">
        <f t="shared" si="186"/>
        <v>-1</v>
      </c>
      <c r="BC160" s="2" t="str">
        <f t="shared" si="154"/>
        <v/>
      </c>
      <c r="BD160" s="2">
        <f t="shared" si="155"/>
        <v>1.472964117896161</v>
      </c>
      <c r="BE160" s="67">
        <f t="shared" si="187"/>
        <v>7</v>
      </c>
      <c r="BF160" s="2">
        <v>86</v>
      </c>
      <c r="BG160" s="2">
        <v>-0.24554585458145031</v>
      </c>
      <c r="BH160" s="2" t="str">
        <f t="shared" si="156"/>
        <v/>
      </c>
      <c r="BI160" s="2">
        <f t="shared" si="157"/>
        <v>-0.24554585458145031</v>
      </c>
      <c r="BJ160" s="67">
        <f t="shared" si="158"/>
        <v>7</v>
      </c>
      <c r="BK160" s="2">
        <v>14000</v>
      </c>
      <c r="BL160" s="2">
        <v>0.86196793610731381</v>
      </c>
      <c r="BM160" s="77">
        <f t="shared" si="188"/>
        <v>-1.4980320638926861</v>
      </c>
      <c r="BN160" s="77">
        <f t="shared" si="189"/>
        <v>-2</v>
      </c>
      <c r="BO160" s="2" t="str">
        <f t="shared" si="159"/>
        <v/>
      </c>
      <c r="BP160" s="2">
        <f t="shared" si="160"/>
        <v>0.86196793610731381</v>
      </c>
      <c r="BQ160" s="67">
        <f t="shared" si="190"/>
        <v>7</v>
      </c>
      <c r="BS160" s="75" t="e">
        <f t="shared" si="191"/>
        <v>#REF!</v>
      </c>
      <c r="BT160" s="75" t="e">
        <f t="shared" si="192"/>
        <v>#REF!</v>
      </c>
      <c r="BU160" s="5" t="e">
        <f>IF(#REF!&gt;=36, IF(AND(NOT(ISBLANK(CM:CM)), NOT(ISBLANK(BD:BD))), (CM:CM-BD:BD)/2, ""), "UF")</f>
        <v>#REF!</v>
      </c>
      <c r="BV160" s="5" t="e">
        <f t="shared" si="161"/>
        <v>#REF!</v>
      </c>
      <c r="BW160" s="69" t="e">
        <f t="shared" si="162"/>
        <v>#REF!</v>
      </c>
      <c r="BX160" s="2" t="s">
        <v>12</v>
      </c>
      <c r="BZ160" s="74" t="e">
        <f t="shared" si="193"/>
        <v>#VALUE!</v>
      </c>
      <c r="CA160" s="74" t="e">
        <f t="shared" si="194"/>
        <v>#VALUE!</v>
      </c>
      <c r="CB160" s="5" t="str">
        <f t="shared" si="163"/>
        <v/>
      </c>
      <c r="CC160" s="5" t="e">
        <f t="shared" si="164"/>
        <v>#VALUE!</v>
      </c>
      <c r="CD160" s="2" t="e">
        <f t="shared" si="165"/>
        <v>#VALUE!</v>
      </c>
      <c r="CE160" s="69" t="e">
        <f t="shared" si="166"/>
        <v>#VALUE!</v>
      </c>
      <c r="CF160" s="5" t="s">
        <v>12</v>
      </c>
      <c r="CH160" s="72" t="e">
        <f t="shared" si="195"/>
        <v>#VALUE!</v>
      </c>
      <c r="CI160" s="72" t="e">
        <f t="shared" si="196"/>
        <v>#VALUE!</v>
      </c>
      <c r="CJ160" s="5" t="str">
        <f t="shared" si="167"/>
        <v/>
      </c>
      <c r="CK160" s="5" t="e">
        <f t="shared" si="168"/>
        <v>#VALUE!</v>
      </c>
      <c r="CL160" s="69" t="e">
        <f t="shared" si="169"/>
        <v>#VALUE!</v>
      </c>
      <c r="CN160" s="70" t="str">
        <f t="shared" si="170"/>
        <v/>
      </c>
      <c r="CO160" s="5" t="e">
        <f t="shared" si="171"/>
        <v>#REF!</v>
      </c>
      <c r="CP160" s="5" t="e">
        <f>IF(G160&lt;48,"UF", IF(NOT(ISBLANK(CM:CM)), CM:CM, IF(BW:BW=1, BV:BV+Sheet2!B364, IF(Sheet1!BW:BW=2, Sheet1!BV:BV+Sheet2!B365, IF(Sheet1!BW:BW=7, Sheet1!BV:BV+Sheet2!B366,"")))))</f>
        <v>#REF!</v>
      </c>
      <c r="CQ160" s="69" t="e">
        <f t="shared" si="197"/>
        <v>#REF!</v>
      </c>
      <c r="CR160" s="5" t="s">
        <v>12</v>
      </c>
      <c r="CT160" s="5" t="str">
        <f t="shared" si="172"/>
        <v/>
      </c>
      <c r="CU160" s="80" t="e">
        <f t="shared" si="173"/>
        <v>#VALUE!</v>
      </c>
      <c r="CV160" s="80" t="e">
        <f t="shared" si="174"/>
        <v>#VALUE!</v>
      </c>
      <c r="CW160" s="20" t="e">
        <f>IF(G160&lt;48,"UF", IF(NOT(ISBLANK(CS160)), CS160, IF(CE160=5, CC160+Sheet2!B353, IF(CE160=6, CC160+Sheet2!B354, IF(CE160=7, CC160+Sheet2!B355,"")))))</f>
        <v>#VALUE!</v>
      </c>
      <c r="CX160" s="68" t="e">
        <f t="shared" si="198"/>
        <v>#VALUE!</v>
      </c>
      <c r="CY160" s="5" t="s">
        <v>12</v>
      </c>
      <c r="DA160" s="5" t="str">
        <f t="shared" si="175"/>
        <v/>
      </c>
      <c r="DB160" s="73" t="e">
        <f t="shared" si="176"/>
        <v>#VALUE!</v>
      </c>
      <c r="DC160" s="73" t="e">
        <f t="shared" si="177"/>
        <v>#VALUE!</v>
      </c>
      <c r="DD160" s="5" t="e">
        <f>IF(G160&lt;48,"UF", IF(NOT(ISBLANK(CZ:CZ)), CZ:CZ, IF(CL:CL=3, CK:CK+Sheet2!B358, IF(CL:CL=4, CK:CK+Sheet2!B359, IF(CL:CL=7, CK:CK+Sheet2!B360,"")))))</f>
        <v>#VALUE!</v>
      </c>
      <c r="DE160" s="69" t="e">
        <f t="shared" si="178"/>
        <v>#VALUE!</v>
      </c>
      <c r="DF160" s="2">
        <v>3</v>
      </c>
      <c r="DG160" s="2">
        <v>37</v>
      </c>
      <c r="DH160" s="2">
        <v>1</v>
      </c>
      <c r="DI160" s="2">
        <v>2</v>
      </c>
      <c r="DJ160" s="2">
        <v>3</v>
      </c>
      <c r="DK160" s="2" t="s">
        <v>12</v>
      </c>
      <c r="DL160" s="2" t="s">
        <v>12</v>
      </c>
      <c r="DM160" s="2" t="s">
        <v>12</v>
      </c>
      <c r="DN160" s="2" t="s">
        <v>12</v>
      </c>
      <c r="DO160" s="2" t="s">
        <v>12</v>
      </c>
      <c r="DP160" s="2" t="s">
        <v>12</v>
      </c>
      <c r="DQ160" s="2" t="s">
        <v>12</v>
      </c>
      <c r="DR160" s="2">
        <v>35</v>
      </c>
      <c r="DS160" s="2">
        <v>3</v>
      </c>
      <c r="DT160" s="2" t="s">
        <v>12</v>
      </c>
      <c r="DU160" s="2" t="s">
        <v>12</v>
      </c>
      <c r="DV160" s="2">
        <v>3</v>
      </c>
      <c r="DW160" s="2">
        <v>2</v>
      </c>
      <c r="DX160" s="2">
        <v>3</v>
      </c>
      <c r="DY160" s="2">
        <v>3</v>
      </c>
      <c r="DZ160" s="2">
        <v>33</v>
      </c>
      <c r="EA160" s="2">
        <v>36.5</v>
      </c>
      <c r="EB160" s="2">
        <v>50</v>
      </c>
      <c r="EC160" s="2">
        <v>1</v>
      </c>
      <c r="ED160" s="2">
        <v>2</v>
      </c>
    </row>
    <row r="161" spans="2:134" x14ac:dyDescent="0.25">
      <c r="C161" s="8" t="s">
        <v>375</v>
      </c>
      <c r="D161" s="4">
        <v>2501014804</v>
      </c>
      <c r="E161" s="2">
        <v>4</v>
      </c>
      <c r="F161" s="2">
        <v>2</v>
      </c>
      <c r="G161" s="2">
        <v>50</v>
      </c>
      <c r="H161" s="2">
        <v>-0.99506270094907723</v>
      </c>
      <c r="I161" s="2">
        <v>51</v>
      </c>
      <c r="J161" s="2">
        <v>0.58940135287155082</v>
      </c>
      <c r="K161" s="5">
        <v>3175</v>
      </c>
      <c r="L161" s="2">
        <v>-0.35679000799385258</v>
      </c>
      <c r="M161" s="2">
        <v>-0.49519999999999997</v>
      </c>
      <c r="N161" s="2">
        <f t="shared" si="137"/>
        <v>0.57403135047453857</v>
      </c>
      <c r="O161" s="2">
        <f t="shared" si="138"/>
        <v>-0.49519999999999997</v>
      </c>
      <c r="P161" s="2">
        <v>68</v>
      </c>
      <c r="Q161" s="2">
        <v>0.17</v>
      </c>
      <c r="R161" s="5">
        <f t="shared" si="139"/>
        <v>-0.75470067643577543</v>
      </c>
      <c r="S161" s="5">
        <f t="shared" si="140"/>
        <v>0.17</v>
      </c>
      <c r="T161" s="1">
        <v>7700</v>
      </c>
      <c r="U161" s="2">
        <v>-0.28000000000000003</v>
      </c>
      <c r="V161" s="2">
        <f t="shared" si="141"/>
        <v>-3.6604996003073709E-2</v>
      </c>
      <c r="W161" s="2">
        <f t="shared" si="142"/>
        <v>-0.28000000000000003</v>
      </c>
      <c r="X161" s="2">
        <v>0.153</v>
      </c>
      <c r="Y161" s="76">
        <f t="shared" si="179"/>
        <v>1.1480627009490771</v>
      </c>
      <c r="Z161" s="76">
        <f t="shared" si="180"/>
        <v>2</v>
      </c>
      <c r="AA161" s="2">
        <f t="shared" si="143"/>
        <v>-0.79494999999999993</v>
      </c>
      <c r="AB161" s="2">
        <f t="shared" si="144"/>
        <v>0.153</v>
      </c>
      <c r="AC161" s="2">
        <v>73.55</v>
      </c>
      <c r="AD161" s="2">
        <v>-0.92</v>
      </c>
      <c r="AE161" s="79">
        <f t="shared" si="181"/>
        <v>-1.5094013528715509</v>
      </c>
      <c r="AF161" s="79">
        <f t="shared" si="182"/>
        <v>-2</v>
      </c>
      <c r="AG161" s="2">
        <f t="shared" ref="AG161:AG224" si="200">IF(AND(NOT(ISBLANK(S161)), NOT(ISBLANK(AS161))), (AS161 - S161)/2, "")</f>
        <v>-0.32</v>
      </c>
      <c r="AH161" s="2">
        <f t="shared" si="145"/>
        <v>-0.92</v>
      </c>
      <c r="AI161" s="2">
        <v>9200</v>
      </c>
      <c r="AJ161" s="2">
        <v>-0.43</v>
      </c>
      <c r="AK161" s="76">
        <f t="shared" si="183"/>
        <v>-7.3209992006147417E-2</v>
      </c>
      <c r="AL161" s="76">
        <f t="shared" si="184"/>
        <v>-1</v>
      </c>
      <c r="AM161" s="2">
        <f t="shared" si="146"/>
        <v>-0.495</v>
      </c>
      <c r="AN161" s="2">
        <f t="shared" si="147"/>
        <v>-0.43</v>
      </c>
      <c r="AO161" s="2">
        <v>-1.4198999999999999</v>
      </c>
      <c r="AP161" s="2">
        <f t="shared" si="148"/>
        <v>-0.76034952392986499</v>
      </c>
      <c r="AQ161" s="2">
        <f t="shared" si="149"/>
        <v>-1.4198999999999999</v>
      </c>
      <c r="AR161" s="2">
        <v>81</v>
      </c>
      <c r="AS161" s="2">
        <v>-0.47</v>
      </c>
      <c r="AT161" s="2">
        <f t="shared" si="150"/>
        <v>0.12350942652203534</v>
      </c>
      <c r="AU161" s="2">
        <f t="shared" si="151"/>
        <v>-0.47</v>
      </c>
      <c r="AV161" s="2">
        <v>9500</v>
      </c>
      <c r="AW161" s="2">
        <v>-1.27</v>
      </c>
      <c r="AX161" s="2">
        <f t="shared" si="152"/>
        <v>-0.60765695452153157</v>
      </c>
      <c r="AY161" s="2">
        <f t="shared" si="153"/>
        <v>-1.27</v>
      </c>
      <c r="AZ161" s="2">
        <v>-1.36769904785973</v>
      </c>
      <c r="BA161" s="78">
        <f t="shared" si="185"/>
        <v>-1.52069904785973</v>
      </c>
      <c r="BB161" s="78">
        <f t="shared" si="186"/>
        <v>-2</v>
      </c>
      <c r="BC161" s="2">
        <f t="shared" si="154"/>
        <v>-0.37413117757442643</v>
      </c>
      <c r="BD161" s="2">
        <f t="shared" si="155"/>
        <v>-1.36769904785973</v>
      </c>
      <c r="BE161" s="67">
        <f t="shared" si="187"/>
        <v>7</v>
      </c>
      <c r="BF161" s="2">
        <v>84.5</v>
      </c>
      <c r="BG161" s="2">
        <v>-0.67298114695592937</v>
      </c>
      <c r="BH161" s="2">
        <f t="shared" si="156"/>
        <v>-0.31685616854647264</v>
      </c>
      <c r="BI161" s="2">
        <f t="shared" si="157"/>
        <v>-0.67298114695592937</v>
      </c>
      <c r="BJ161" s="67">
        <f t="shared" si="158"/>
        <v>7</v>
      </c>
      <c r="BK161" s="2">
        <v>10700</v>
      </c>
      <c r="BL161" s="2">
        <v>-1.6453139090430631</v>
      </c>
      <c r="BM161" s="77">
        <f t="shared" si="188"/>
        <v>-1.2153139090430631</v>
      </c>
      <c r="BN161" s="77">
        <f t="shared" si="189"/>
        <v>-2</v>
      </c>
      <c r="BO161" s="2">
        <f t="shared" si="159"/>
        <v>-0.45084670308500402</v>
      </c>
      <c r="BP161" s="2">
        <f t="shared" si="160"/>
        <v>-1.6453139090430631</v>
      </c>
      <c r="BQ161" s="67">
        <f t="shared" si="190"/>
        <v>7</v>
      </c>
      <c r="BR161" s="5">
        <v>-2.5422935327232792</v>
      </c>
      <c r="BS161" s="75">
        <f t="shared" si="191"/>
        <v>-1.1745944848635492</v>
      </c>
      <c r="BT161" s="75">
        <f t="shared" si="192"/>
        <v>-2</v>
      </c>
      <c r="BU161" s="5">
        <f>IF(G168&gt;=36, IF(AND(NOT(ISBLANK(CM:CM)), NOT(ISBLANK(BD:BD))), (CM:CM-BD:BD)/2, ""), "UF")</f>
        <v>-0.81073579118362504</v>
      </c>
      <c r="BV161" s="5">
        <f t="shared" si="161"/>
        <v>-2.5422935327232792</v>
      </c>
      <c r="BW161" s="69">
        <f t="shared" si="162"/>
        <v>2</v>
      </c>
      <c r="BX161" s="2">
        <v>90</v>
      </c>
      <c r="BY161" s="5">
        <v>-1.4205685056394179</v>
      </c>
      <c r="BZ161" s="74">
        <f t="shared" si="193"/>
        <v>0.22474540340364513</v>
      </c>
      <c r="CA161" s="74">
        <f t="shared" si="194"/>
        <v>1</v>
      </c>
      <c r="CB161" s="5">
        <f t="shared" si="163"/>
        <v>-0.1976817007708998</v>
      </c>
      <c r="CC161" s="5">
        <f t="shared" si="164"/>
        <v>-1.4205685056394179</v>
      </c>
      <c r="CD161" s="2">
        <f t="shared" si="165"/>
        <v>-0.74758735868348858</v>
      </c>
      <c r="CE161" s="69">
        <f t="shared" si="166"/>
        <v>7</v>
      </c>
      <c r="CF161" s="5">
        <v>11000</v>
      </c>
      <c r="CG161" s="5">
        <v>-2.622540109255012</v>
      </c>
      <c r="CH161" s="72">
        <f t="shared" si="195"/>
        <v>-0.97722620021194895</v>
      </c>
      <c r="CI161" s="72">
        <f t="shared" si="196"/>
        <v>-2</v>
      </c>
      <c r="CJ161" s="5">
        <f t="shared" si="167"/>
        <v>-0.43517758081926605</v>
      </c>
      <c r="CK161" s="5">
        <f t="shared" si="168"/>
        <v>-2.622540109255012</v>
      </c>
      <c r="CL161" s="69">
        <f t="shared" si="169"/>
        <v>4</v>
      </c>
      <c r="CM161" s="5">
        <v>-2.98917063022698</v>
      </c>
      <c r="CN161" s="70">
        <f t="shared" si="170"/>
        <v>-0.44687709750370086</v>
      </c>
      <c r="CO161" s="5">
        <f t="shared" si="171"/>
        <v>-0.44687709750370086</v>
      </c>
      <c r="CP161" s="5">
        <f>IF(G161&lt;48,"UF", IF(NOT(ISBLANK(CM:CM)), CM:CM, IF(BW:BW=1, BV:BV+Sheet2!B219, IF(Sheet1!BW:BW=2, Sheet1!BV:BV+Sheet2!B220, IF(Sheet1!BW:BW=7, Sheet1!BV:BV+Sheet2!B221,"")))))</f>
        <v>-2.98917063022698</v>
      </c>
      <c r="CQ161" s="69">
        <f t="shared" si="197"/>
        <v>2</v>
      </c>
      <c r="CR161" s="5">
        <v>98</v>
      </c>
      <c r="CS161" s="5">
        <v>-1.068344548497729</v>
      </c>
      <c r="CT161" s="5">
        <f t="shared" si="172"/>
        <v>0.35222395714168897</v>
      </c>
      <c r="CU161" s="80">
        <f t="shared" si="173"/>
        <v>0.35222395714168897</v>
      </c>
      <c r="CV161" s="80">
        <f t="shared" si="174"/>
        <v>1</v>
      </c>
      <c r="CW161" s="20">
        <f>IF(G161&lt;48,"UF", IF(NOT(ISBLANK(CS161)), CS161, IF(CE161=5, CC161+Sheet2!B208, IF(CE161=6, CC161+Sheet2!B209, IF(CE161=7, CC161+Sheet2!B210,"")))))</f>
        <v>-1.068344548497729</v>
      </c>
      <c r="CX161" s="68">
        <f t="shared" si="198"/>
        <v>7</v>
      </c>
      <c r="CY161" s="5">
        <v>12500</v>
      </c>
      <c r="CZ161" s="5">
        <v>-2.5156690706815952</v>
      </c>
      <c r="DA161" s="5">
        <f t="shared" si="175"/>
        <v>0.10687103857341684</v>
      </c>
      <c r="DB161" s="73">
        <f t="shared" si="176"/>
        <v>0.10687103857341684</v>
      </c>
      <c r="DC161" s="73">
        <f t="shared" si="177"/>
        <v>1</v>
      </c>
      <c r="DD161" s="5">
        <f>IF(G161&lt;48,"UF", IF(NOT(ISBLANK(CZ:CZ)), CZ:CZ, IF(CL:CL=3, CK:CK+Sheet2!B213, IF(CL:CL=4, CK:CK+Sheet2!B214, IF(CL:CL=7, CK:CK+Sheet2!B215,"")))))</f>
        <v>-2.5156690706815952</v>
      </c>
      <c r="DE161" s="69">
        <f t="shared" ref="DE161:DE173" si="201">IF(DD:DD&lt;-3,3,IF(AND(DD:DD&gt;=-3,DD:DD&lt;-2),4,IF(AND(DD:DD&gt;=-2,DD:DD&lt;=2),7,"")))</f>
        <v>4</v>
      </c>
      <c r="DF161" s="2">
        <v>4</v>
      </c>
      <c r="DG161" s="2">
        <v>30</v>
      </c>
      <c r="DH161" s="2">
        <v>1</v>
      </c>
      <c r="DI161" s="2">
        <v>2</v>
      </c>
      <c r="DJ161" s="2">
        <v>2</v>
      </c>
      <c r="DK161" s="2">
        <v>117</v>
      </c>
      <c r="DL161" s="2">
        <v>70</v>
      </c>
      <c r="DM161" s="2">
        <v>107</v>
      </c>
      <c r="DN161" s="2">
        <v>60</v>
      </c>
      <c r="DO161" s="2">
        <v>110</v>
      </c>
      <c r="DP161" s="2">
        <v>60</v>
      </c>
      <c r="DQ161" s="2">
        <v>2</v>
      </c>
      <c r="DR161" s="2">
        <v>38</v>
      </c>
      <c r="DS161" s="2">
        <v>2</v>
      </c>
      <c r="DT161" s="2">
        <v>85</v>
      </c>
      <c r="DU161" s="2">
        <v>83</v>
      </c>
      <c r="DV161" s="2">
        <v>2</v>
      </c>
      <c r="DW161" s="2">
        <v>3</v>
      </c>
      <c r="DX161" s="2">
        <v>2</v>
      </c>
      <c r="DY161" s="2">
        <v>1</v>
      </c>
      <c r="DZ161" s="2">
        <v>36.5</v>
      </c>
      <c r="EA161" s="2" t="s">
        <v>12</v>
      </c>
      <c r="EB161" s="2">
        <v>45.5</v>
      </c>
      <c r="EC161" s="2" t="s">
        <v>12</v>
      </c>
      <c r="ED161" s="2">
        <v>1</v>
      </c>
    </row>
    <row r="162" spans="2:134" x14ac:dyDescent="0.25">
      <c r="C162" s="8" t="s">
        <v>281</v>
      </c>
      <c r="D162" s="8">
        <v>2501015258</v>
      </c>
      <c r="E162" s="5">
        <v>7</v>
      </c>
      <c r="F162" s="2">
        <v>2</v>
      </c>
      <c r="G162" s="2">
        <v>50</v>
      </c>
      <c r="H162" s="2">
        <v>-0.1146908345446275</v>
      </c>
      <c r="I162" s="2">
        <v>53</v>
      </c>
      <c r="J162" s="2">
        <v>1.645866503279491</v>
      </c>
      <c r="K162" s="2">
        <v>3725</v>
      </c>
      <c r="L162" s="2">
        <v>0.7479099667118615</v>
      </c>
      <c r="M162" s="2">
        <v>-0.34229999999999999</v>
      </c>
      <c r="N162" s="2">
        <f t="shared" si="137"/>
        <v>-7.9504582727686249E-2</v>
      </c>
      <c r="O162" s="2">
        <f t="shared" si="138"/>
        <v>-0.34229999999999999</v>
      </c>
      <c r="P162" s="2">
        <v>71</v>
      </c>
      <c r="Q162" s="2">
        <v>1.57</v>
      </c>
      <c r="R162" s="5">
        <f t="shared" si="139"/>
        <v>-0.34793325163974553</v>
      </c>
      <c r="S162" s="5">
        <f t="shared" si="140"/>
        <v>1.57</v>
      </c>
      <c r="T162" s="2">
        <v>8500</v>
      </c>
      <c r="U162" s="2">
        <v>0.63</v>
      </c>
      <c r="V162" s="2">
        <f t="shared" si="141"/>
        <v>-0.20895498335593074</v>
      </c>
      <c r="W162" s="2">
        <f t="shared" si="142"/>
        <v>0.63</v>
      </c>
      <c r="X162" s="2">
        <v>-0.2737</v>
      </c>
      <c r="Y162" s="76">
        <f t="shared" si="179"/>
        <v>-0.1590091654553725</v>
      </c>
      <c r="Z162" s="76">
        <f t="shared" si="180"/>
        <v>-1</v>
      </c>
      <c r="AA162" s="2">
        <f t="shared" si="143"/>
        <v>-1.0436000000000001</v>
      </c>
      <c r="AB162" s="2">
        <f t="shared" si="144"/>
        <v>-0.2737</v>
      </c>
      <c r="AC162" s="2">
        <v>78</v>
      </c>
      <c r="AD162" s="2">
        <v>0.95</v>
      </c>
      <c r="AE162" s="79">
        <f t="shared" si="181"/>
        <v>-0.69586650327949107</v>
      </c>
      <c r="AF162" s="79">
        <f t="shared" si="182"/>
        <v>-2</v>
      </c>
      <c r="AG162" s="2">
        <f t="shared" si="200"/>
        <v>-0.28000000000000003</v>
      </c>
      <c r="AH162" s="2">
        <f t="shared" si="145"/>
        <v>0.95</v>
      </c>
      <c r="AI162" s="2">
        <v>10000</v>
      </c>
      <c r="AJ162" s="2">
        <v>0.33</v>
      </c>
      <c r="AK162" s="76">
        <f t="shared" si="183"/>
        <v>-0.41790996671186148</v>
      </c>
      <c r="AL162" s="76">
        <f t="shared" si="184"/>
        <v>-1</v>
      </c>
      <c r="AM162" s="2">
        <f t="shared" si="146"/>
        <v>-0.21000000000000002</v>
      </c>
      <c r="AN162" s="2">
        <f t="shared" si="147"/>
        <v>0.33</v>
      </c>
      <c r="AO162" s="2">
        <v>-0.51719999999999999</v>
      </c>
      <c r="AP162" s="2" t="str">
        <f t="shared" si="148"/>
        <v/>
      </c>
      <c r="AQ162" s="2">
        <f t="shared" si="149"/>
        <v>-0.51719999999999999</v>
      </c>
      <c r="AR162" s="2">
        <v>85</v>
      </c>
      <c r="AS162" s="2">
        <v>1.01</v>
      </c>
      <c r="AT162" s="2" t="str">
        <f t="shared" si="150"/>
        <v/>
      </c>
      <c r="AU162" s="2">
        <f t="shared" si="151"/>
        <v>1.01</v>
      </c>
      <c r="AV162" s="2">
        <v>11200</v>
      </c>
      <c r="AW162" s="2">
        <v>0.21</v>
      </c>
      <c r="AX162" s="2" t="str">
        <f t="shared" si="152"/>
        <v/>
      </c>
      <c r="AY162" s="2">
        <f t="shared" si="153"/>
        <v>0.21</v>
      </c>
      <c r="BA162" s="78" t="e">
        <f t="shared" si="185"/>
        <v>#VALUE!</v>
      </c>
      <c r="BB162" s="78" t="e">
        <f t="shared" si="186"/>
        <v>#VALUE!</v>
      </c>
      <c r="BC162" s="2" t="str">
        <f t="shared" si="154"/>
        <v/>
      </c>
      <c r="BD162" s="2" t="e">
        <f t="shared" si="155"/>
        <v>#VALUE!</v>
      </c>
      <c r="BE162" s="67" t="e">
        <f t="shared" si="187"/>
        <v>#VALUE!</v>
      </c>
      <c r="BF162" s="2" t="s">
        <v>12</v>
      </c>
      <c r="BH162" s="2" t="str">
        <f t="shared" si="156"/>
        <v/>
      </c>
      <c r="BI162" s="2" t="e">
        <f t="shared" si="157"/>
        <v>#VALUE!</v>
      </c>
      <c r="BJ162" s="67" t="e">
        <f t="shared" si="158"/>
        <v>#VALUE!</v>
      </c>
      <c r="BK162" s="2" t="s">
        <v>12</v>
      </c>
      <c r="BM162" s="77" t="e">
        <f t="shared" si="188"/>
        <v>#VALUE!</v>
      </c>
      <c r="BN162" s="77" t="e">
        <f t="shared" si="189"/>
        <v>#VALUE!</v>
      </c>
      <c r="BO162" s="2" t="str">
        <f t="shared" si="159"/>
        <v/>
      </c>
      <c r="BP162" s="2" t="e">
        <f t="shared" si="160"/>
        <v>#VALUE!</v>
      </c>
      <c r="BQ162" s="67" t="e">
        <f t="shared" si="190"/>
        <v>#VALUE!</v>
      </c>
      <c r="BS162" s="75" t="e">
        <f t="shared" si="191"/>
        <v>#VALUE!</v>
      </c>
      <c r="BT162" s="75" t="e">
        <f t="shared" si="192"/>
        <v>#VALUE!</v>
      </c>
      <c r="BU162" s="5" t="str">
        <f>IF(G169&gt;=36, IF(AND(NOT(ISBLANK(CM:CM)), NOT(ISBLANK(BD:BD))), (CM:CM-BD:BD)/2, ""), "UF")</f>
        <v/>
      </c>
      <c r="BV162" s="5" t="e">
        <f t="shared" si="161"/>
        <v>#VALUE!</v>
      </c>
      <c r="BW162" s="69" t="e">
        <f t="shared" si="162"/>
        <v>#VALUE!</v>
      </c>
      <c r="BX162" s="2" t="s">
        <v>12</v>
      </c>
      <c r="BZ162" s="74" t="e">
        <f t="shared" si="193"/>
        <v>#VALUE!</v>
      </c>
      <c r="CA162" s="74" t="e">
        <f t="shared" si="194"/>
        <v>#VALUE!</v>
      </c>
      <c r="CB162" s="5" t="str">
        <f t="shared" si="163"/>
        <v/>
      </c>
      <c r="CC162" s="5" t="e">
        <f t="shared" si="164"/>
        <v>#VALUE!</v>
      </c>
      <c r="CD162" s="2" t="e">
        <f t="shared" si="165"/>
        <v>#VALUE!</v>
      </c>
      <c r="CE162" s="69" t="e">
        <f t="shared" si="166"/>
        <v>#VALUE!</v>
      </c>
      <c r="CF162" s="5" t="s">
        <v>12</v>
      </c>
      <c r="CH162" s="72" t="e">
        <f t="shared" si="195"/>
        <v>#VALUE!</v>
      </c>
      <c r="CI162" s="72" t="e">
        <f t="shared" si="196"/>
        <v>#VALUE!</v>
      </c>
      <c r="CJ162" s="5" t="str">
        <f t="shared" si="167"/>
        <v/>
      </c>
      <c r="CK162" s="5" t="e">
        <f t="shared" si="168"/>
        <v>#VALUE!</v>
      </c>
      <c r="CL162" s="69" t="e">
        <f t="shared" si="169"/>
        <v>#VALUE!</v>
      </c>
      <c r="CN162" s="70" t="str">
        <f t="shared" si="170"/>
        <v/>
      </c>
      <c r="CO162" s="5" t="e">
        <f t="shared" si="171"/>
        <v>#VALUE!</v>
      </c>
      <c r="CP162" s="5" t="e">
        <f>IF(G162&lt;48,"UF", IF(NOT(ISBLANK(CM:CM)), CM:CM, IF(BW:BW=1, BV:BV+Sheet2!B486, IF(Sheet1!BW:BW=2, Sheet1!BV:BV+Sheet2!B487, IF(Sheet1!BW:BW=7, Sheet1!BV:BV+Sheet2!B488,"")))))</f>
        <v>#VALUE!</v>
      </c>
      <c r="CQ162" s="69" t="e">
        <f t="shared" si="197"/>
        <v>#VALUE!</v>
      </c>
      <c r="CR162" s="5" t="s">
        <v>12</v>
      </c>
      <c r="CT162" s="5" t="str">
        <f t="shared" si="172"/>
        <v/>
      </c>
      <c r="CU162" s="80" t="e">
        <f t="shared" si="173"/>
        <v>#VALUE!</v>
      </c>
      <c r="CV162" s="80" t="e">
        <f t="shared" si="174"/>
        <v>#VALUE!</v>
      </c>
      <c r="CW162" s="20" t="e">
        <f>IF(G162&lt;48,"UF", IF(NOT(ISBLANK(CS162)), CS162, IF(CE162=5, CC162+Sheet2!B475, IF(CE162=6, CC162+Sheet2!B476, IF(CE162=7, CC162+Sheet2!B477,"")))))</f>
        <v>#VALUE!</v>
      </c>
      <c r="CX162" s="68" t="e">
        <f t="shared" si="198"/>
        <v>#VALUE!</v>
      </c>
      <c r="CY162" s="5" t="s">
        <v>12</v>
      </c>
      <c r="DA162" s="5" t="str">
        <f t="shared" si="175"/>
        <v/>
      </c>
      <c r="DB162" s="73" t="e">
        <f t="shared" si="176"/>
        <v>#VALUE!</v>
      </c>
      <c r="DC162" s="73" t="e">
        <f t="shared" si="177"/>
        <v>#VALUE!</v>
      </c>
      <c r="DD162" s="5" t="e">
        <f>IF(G162&lt;48,"UF", IF(NOT(ISBLANK(CZ:CZ)), CZ:CZ, IF(CL:CL=3, CK:CK+Sheet2!B480, IF(CL:CL=4, CK:CK+Sheet2!B481, IF(CL:CL=7, CK:CK+Sheet2!B482,"")))))</f>
        <v>#VALUE!</v>
      </c>
      <c r="DE162" s="69" t="e">
        <f t="shared" si="201"/>
        <v>#VALUE!</v>
      </c>
      <c r="DF162" s="2">
        <v>1</v>
      </c>
      <c r="DG162" s="2">
        <v>35</v>
      </c>
      <c r="DH162" s="2">
        <v>1</v>
      </c>
      <c r="DI162" s="2">
        <v>2</v>
      </c>
      <c r="DJ162" s="2">
        <v>2</v>
      </c>
      <c r="DK162" s="2">
        <v>90</v>
      </c>
      <c r="DL162" s="2">
        <v>60</v>
      </c>
      <c r="DM162" s="2">
        <v>100</v>
      </c>
      <c r="DN162" s="2">
        <v>60</v>
      </c>
      <c r="DO162" s="2" t="s">
        <v>12</v>
      </c>
      <c r="DP162" s="2" t="s">
        <v>12</v>
      </c>
      <c r="DQ162" s="2">
        <v>2</v>
      </c>
      <c r="DR162" s="2">
        <v>40</v>
      </c>
      <c r="DS162" s="2">
        <v>2</v>
      </c>
      <c r="DT162" s="2">
        <v>85</v>
      </c>
      <c r="DU162" s="2" t="s">
        <v>12</v>
      </c>
      <c r="DV162" s="2">
        <v>2</v>
      </c>
      <c r="DW162" s="2">
        <v>2</v>
      </c>
      <c r="DX162" s="2">
        <v>2</v>
      </c>
      <c r="DY162" s="2">
        <v>2</v>
      </c>
      <c r="DZ162" s="2">
        <v>35.5</v>
      </c>
      <c r="EA162" s="2">
        <v>36</v>
      </c>
      <c r="EB162" s="2">
        <v>47.5</v>
      </c>
      <c r="EC162" s="2">
        <v>1</v>
      </c>
      <c r="ED162" s="2">
        <v>1</v>
      </c>
    </row>
    <row r="163" spans="2:134" x14ac:dyDescent="0.25">
      <c r="C163" s="8" t="s">
        <v>300</v>
      </c>
      <c r="D163" s="8">
        <v>2501015274</v>
      </c>
      <c r="E163" s="5">
        <v>7</v>
      </c>
      <c r="F163" s="2">
        <v>2</v>
      </c>
      <c r="G163" s="2">
        <v>50</v>
      </c>
      <c r="H163" s="2">
        <v>-0.48800718488977213</v>
      </c>
      <c r="I163" s="2">
        <v>50</v>
      </c>
      <c r="J163" s="2">
        <v>6.1168777667580831E-2</v>
      </c>
      <c r="K163" s="2">
        <v>3200</v>
      </c>
      <c r="L163" s="2">
        <v>-0.30398057951686752</v>
      </c>
      <c r="M163" s="2">
        <v>-0.93369999999999997</v>
      </c>
      <c r="N163" s="2">
        <f t="shared" si="137"/>
        <v>9.0035924448860771E-3</v>
      </c>
      <c r="O163" s="2">
        <f t="shared" si="138"/>
        <v>-0.93369999999999997</v>
      </c>
      <c r="P163" s="2">
        <v>71</v>
      </c>
      <c r="Q163" s="2">
        <v>1.57</v>
      </c>
      <c r="R163" s="5">
        <f t="shared" si="139"/>
        <v>0.65441561116620961</v>
      </c>
      <c r="S163" s="5">
        <f t="shared" si="140"/>
        <v>1.57</v>
      </c>
      <c r="T163" s="2">
        <v>8100</v>
      </c>
      <c r="U163" s="2">
        <v>0.18</v>
      </c>
      <c r="V163" s="2">
        <f t="shared" si="141"/>
        <v>0.36199028975843373</v>
      </c>
      <c r="W163" s="2">
        <f t="shared" si="142"/>
        <v>0.18</v>
      </c>
      <c r="X163" s="2">
        <v>-0.47</v>
      </c>
      <c r="Y163" s="76">
        <f t="shared" si="179"/>
        <v>1.8007184889772154E-2</v>
      </c>
      <c r="Z163" s="76">
        <f t="shared" si="180"/>
        <v>1</v>
      </c>
      <c r="AA163" s="2">
        <f t="shared" si="143"/>
        <v>-1.1612</v>
      </c>
      <c r="AB163" s="2">
        <f t="shared" si="144"/>
        <v>-0.47</v>
      </c>
      <c r="AC163" s="2">
        <v>79</v>
      </c>
      <c r="AD163" s="2">
        <v>1.37</v>
      </c>
      <c r="AE163" s="79">
        <f t="shared" si="181"/>
        <v>1.3088312223324192</v>
      </c>
      <c r="AF163" s="79">
        <f t="shared" si="182"/>
        <v>2</v>
      </c>
      <c r="AG163" s="2">
        <f t="shared" si="200"/>
        <v>-0.28000000000000003</v>
      </c>
      <c r="AH163" s="2">
        <f t="shared" si="145"/>
        <v>1.37</v>
      </c>
      <c r="AI163" s="2">
        <v>10100</v>
      </c>
      <c r="AJ163" s="2">
        <v>0.42</v>
      </c>
      <c r="AK163" s="76">
        <f t="shared" si="183"/>
        <v>0.72398057951686745</v>
      </c>
      <c r="AL163" s="76">
        <f t="shared" si="184"/>
        <v>2</v>
      </c>
      <c r="AM163" s="2">
        <f t="shared" si="146"/>
        <v>-6.5000000000000002E-2</v>
      </c>
      <c r="AN163" s="2">
        <f t="shared" si="147"/>
        <v>0.42</v>
      </c>
      <c r="AO163" s="2">
        <v>-0.75239999999999996</v>
      </c>
      <c r="AP163" s="2">
        <f t="shared" si="148"/>
        <v>-0.62766079468525005</v>
      </c>
      <c r="AQ163" s="2">
        <f t="shared" si="149"/>
        <v>-0.75239999999999996</v>
      </c>
      <c r="AR163" s="2">
        <v>85</v>
      </c>
      <c r="AS163" s="2">
        <v>1.01</v>
      </c>
      <c r="AT163" s="2">
        <f t="shared" si="150"/>
        <v>-0.38025747606636501</v>
      </c>
      <c r="AU163" s="2">
        <f t="shared" si="151"/>
        <v>1.01</v>
      </c>
      <c r="AV163" s="2">
        <v>11000</v>
      </c>
      <c r="AW163" s="2">
        <v>0.05</v>
      </c>
      <c r="AX163" s="2">
        <f t="shared" si="152"/>
        <v>-0.64832134625139504</v>
      </c>
      <c r="AY163" s="2">
        <f t="shared" si="153"/>
        <v>0.05</v>
      </c>
      <c r="AZ163" s="2">
        <v>-1.7253215893705001</v>
      </c>
      <c r="BA163" s="78">
        <f t="shared" si="185"/>
        <v>-1.2553215893705001</v>
      </c>
      <c r="BB163" s="78">
        <f t="shared" si="186"/>
        <v>-2</v>
      </c>
      <c r="BC163" s="2" t="str">
        <f t="shared" si="154"/>
        <v/>
      </c>
      <c r="BD163" s="2">
        <f t="shared" si="155"/>
        <v>-1.7253215893705001</v>
      </c>
      <c r="BE163" s="67">
        <f t="shared" si="187"/>
        <v>7</v>
      </c>
      <c r="BF163" s="2">
        <v>89</v>
      </c>
      <c r="BG163" s="2">
        <v>0.60948504786727009</v>
      </c>
      <c r="BH163" s="2" t="str">
        <f t="shared" si="156"/>
        <v/>
      </c>
      <c r="BI163" s="2">
        <f t="shared" si="157"/>
        <v>0.60948504786727009</v>
      </c>
      <c r="BJ163" s="67">
        <f t="shared" si="158"/>
        <v>7</v>
      </c>
      <c r="BK163" s="2">
        <v>11600</v>
      </c>
      <c r="BL163" s="2">
        <v>-0.87664269250279003</v>
      </c>
      <c r="BM163" s="77">
        <f t="shared" si="188"/>
        <v>-1.2966426925027901</v>
      </c>
      <c r="BN163" s="77">
        <f t="shared" si="189"/>
        <v>-2</v>
      </c>
      <c r="BO163" s="2" t="str">
        <f t="shared" si="159"/>
        <v/>
      </c>
      <c r="BP163" s="2">
        <f t="shared" si="160"/>
        <v>-0.87664269250279003</v>
      </c>
      <c r="BQ163" s="67">
        <f t="shared" si="190"/>
        <v>7</v>
      </c>
      <c r="BS163" s="75" t="e">
        <f t="shared" si="191"/>
        <v>#REF!</v>
      </c>
      <c r="BT163" s="75" t="e">
        <f t="shared" si="192"/>
        <v>#REF!</v>
      </c>
      <c r="BU163" s="5" t="e">
        <f>IF(#REF!&gt;=36, IF(AND(NOT(ISBLANK(CM:CM)), NOT(ISBLANK(BD:BD))), (CM:CM-BD:BD)/2, ""), "UF")</f>
        <v>#REF!</v>
      </c>
      <c r="BV163" s="5" t="e">
        <f t="shared" si="161"/>
        <v>#REF!</v>
      </c>
      <c r="BW163" s="69" t="e">
        <f t="shared" si="162"/>
        <v>#REF!</v>
      </c>
      <c r="BX163" s="2" t="s">
        <v>12</v>
      </c>
      <c r="BZ163" s="74">
        <f t="shared" si="193"/>
        <v>1.5918669259350162</v>
      </c>
      <c r="CA163" s="74">
        <f t="shared" si="194"/>
        <v>2</v>
      </c>
      <c r="CB163" s="5">
        <f t="shared" si="163"/>
        <v>0.10573918556495626</v>
      </c>
      <c r="CC163" s="5">
        <f t="shared" si="164"/>
        <v>0.7152242334322263</v>
      </c>
      <c r="CD163" s="2">
        <f t="shared" si="165"/>
        <v>0.10573918556495621</v>
      </c>
      <c r="CE163" s="69">
        <f t="shared" si="166"/>
        <v>7</v>
      </c>
      <c r="CF163" s="5" t="s">
        <v>12</v>
      </c>
      <c r="CH163" s="72">
        <f t="shared" si="195"/>
        <v>0.50949212402902577</v>
      </c>
      <c r="CI163" s="72">
        <f t="shared" si="196"/>
        <v>1</v>
      </c>
      <c r="CJ163" s="5">
        <f t="shared" si="167"/>
        <v>0.50949212402902577</v>
      </c>
      <c r="CK163" s="5">
        <f t="shared" si="168"/>
        <v>-0.36715056847376426</v>
      </c>
      <c r="CL163" s="69">
        <f t="shared" si="169"/>
        <v>7</v>
      </c>
      <c r="CM163" s="5">
        <v>-0.82082812042014131</v>
      </c>
      <c r="CN163" s="70" t="e">
        <f t="shared" si="170"/>
        <v>#REF!</v>
      </c>
      <c r="CO163" s="5" t="e">
        <f t="shared" si="171"/>
        <v>#REF!</v>
      </c>
      <c r="CP163" s="5">
        <f>IF(G163&lt;48,"UF", IF(NOT(ISBLANK(CM:CM)), CM:CM, IF(BW:BW=1, BV:BV+Sheet2!B512, IF(Sheet1!BW:BW=2, Sheet1!BV:BV+Sheet2!B513, IF(Sheet1!BW:BW=7, Sheet1!BV:BV+Sheet2!B514,"")))))</f>
        <v>-0.82082812042014131</v>
      </c>
      <c r="CQ163" s="69">
        <f t="shared" si="197"/>
        <v>7</v>
      </c>
      <c r="CR163" s="5">
        <v>106</v>
      </c>
      <c r="CS163" s="5">
        <v>0.82096341899718261</v>
      </c>
      <c r="CT163" s="5">
        <f t="shared" si="172"/>
        <v>0.10573918556495632</v>
      </c>
      <c r="CU163" s="80">
        <f t="shared" si="173"/>
        <v>0.10573918556495632</v>
      </c>
      <c r="CV163" s="80">
        <f t="shared" si="174"/>
        <v>1</v>
      </c>
      <c r="CW163" s="20">
        <f>IF(G163&lt;48,"UF", IF(NOT(ISBLANK(CS163)), CS163, IF(CE163=5, CC163+Sheet2!B501, IF(CE163=6, CC163+Sheet2!B502, IF(CE163=7, CC163+Sheet2!B503,"")))))</f>
        <v>0.82096341899718261</v>
      </c>
      <c r="CX163" s="68">
        <f t="shared" si="198"/>
        <v>7</v>
      </c>
      <c r="CY163" s="5">
        <v>16600</v>
      </c>
      <c r="CZ163" s="5">
        <v>0.14234155555526151</v>
      </c>
      <c r="DA163" s="5">
        <f t="shared" si="175"/>
        <v>0.50949212402902577</v>
      </c>
      <c r="DB163" s="73">
        <f t="shared" si="176"/>
        <v>0.50949212402902577</v>
      </c>
      <c r="DC163" s="73">
        <f t="shared" si="177"/>
        <v>1</v>
      </c>
      <c r="DD163" s="5">
        <f>IF(G163&lt;48,"UF", IF(NOT(ISBLANK(CZ:CZ)), CZ:CZ, IF(CL:CL=3, CK:CK+Sheet2!B506, IF(CL:CL=4, CK:CK+Sheet2!B507, IF(CL:CL=7, CK:CK+Sheet2!B508,"")))))</f>
        <v>0.14234155555526151</v>
      </c>
      <c r="DE163" s="69">
        <f t="shared" si="201"/>
        <v>7</v>
      </c>
      <c r="DF163" s="2">
        <v>2</v>
      </c>
      <c r="DG163" s="2">
        <v>32</v>
      </c>
      <c r="DH163" s="2">
        <v>2</v>
      </c>
      <c r="DI163" s="2">
        <v>2</v>
      </c>
      <c r="DJ163" s="2">
        <v>2</v>
      </c>
      <c r="DK163" s="2">
        <v>100</v>
      </c>
      <c r="DL163" s="2">
        <v>60</v>
      </c>
      <c r="DM163" s="2" t="s">
        <v>12</v>
      </c>
      <c r="DN163" s="2" t="s">
        <v>12</v>
      </c>
      <c r="DO163" s="2" t="s">
        <v>12</v>
      </c>
      <c r="DP163" s="2" t="s">
        <v>12</v>
      </c>
      <c r="DQ163" s="2">
        <v>2</v>
      </c>
      <c r="DR163" s="2">
        <v>39</v>
      </c>
      <c r="DS163" s="2">
        <v>2</v>
      </c>
      <c r="DT163" s="2">
        <v>88</v>
      </c>
      <c r="DU163" s="2">
        <v>66</v>
      </c>
      <c r="DV163" s="2">
        <v>2</v>
      </c>
      <c r="DW163" s="2">
        <v>2</v>
      </c>
      <c r="DX163" s="2">
        <v>2</v>
      </c>
      <c r="DY163" s="2">
        <v>2</v>
      </c>
      <c r="DZ163" s="2">
        <v>32</v>
      </c>
      <c r="EA163" s="2">
        <v>36.5</v>
      </c>
      <c r="EB163" s="2">
        <v>45.5</v>
      </c>
      <c r="EC163" s="2">
        <v>1</v>
      </c>
      <c r="ED163" s="2">
        <v>1</v>
      </c>
    </row>
    <row r="164" spans="2:134" x14ac:dyDescent="0.25">
      <c r="C164" s="8" t="s">
        <v>356</v>
      </c>
      <c r="D164" s="2">
        <v>2501015363</v>
      </c>
      <c r="E164" s="5">
        <v>7</v>
      </c>
      <c r="F164" s="2">
        <v>1</v>
      </c>
      <c r="G164" s="2">
        <v>52</v>
      </c>
      <c r="H164" s="2">
        <v>-1.344609972450082</v>
      </c>
      <c r="I164" s="2">
        <v>52</v>
      </c>
      <c r="J164" s="2">
        <v>1.531272843240846</v>
      </c>
      <c r="K164" s="2">
        <v>3185</v>
      </c>
      <c r="L164" s="2">
        <v>-0.10351820616140681</v>
      </c>
      <c r="M164" s="2">
        <v>1.284</v>
      </c>
      <c r="N164" s="2">
        <f t="shared" si="137"/>
        <v>1.4049049862250409</v>
      </c>
      <c r="O164" s="2">
        <f t="shared" si="138"/>
        <v>1.284</v>
      </c>
      <c r="P164" s="2">
        <v>65.2</v>
      </c>
      <c r="Q164" s="2">
        <v>-0.24</v>
      </c>
      <c r="R164" s="5">
        <f t="shared" si="139"/>
        <v>-0.57063642162042294</v>
      </c>
      <c r="S164" s="5">
        <f t="shared" si="140"/>
        <v>-0.24</v>
      </c>
      <c r="T164" s="2">
        <v>8080</v>
      </c>
      <c r="U164" s="2">
        <v>0.83</v>
      </c>
      <c r="V164" s="2">
        <f t="shared" si="141"/>
        <v>0.69175910308070343</v>
      </c>
      <c r="W164" s="2">
        <f t="shared" si="142"/>
        <v>0.83</v>
      </c>
      <c r="X164" s="2">
        <v>1.4652000000000001</v>
      </c>
      <c r="Y164" s="76">
        <f t="shared" si="179"/>
        <v>2.8098099724500818</v>
      </c>
      <c r="Z164" s="76">
        <f t="shared" si="180"/>
        <v>2</v>
      </c>
      <c r="AA164" s="2">
        <f t="shared" si="143"/>
        <v>0.87565000000000004</v>
      </c>
      <c r="AB164" s="2">
        <f t="shared" si="144"/>
        <v>1.4652000000000001</v>
      </c>
      <c r="AC164" s="2">
        <v>75</v>
      </c>
      <c r="AD164" s="2">
        <v>0.39</v>
      </c>
      <c r="AE164" s="79">
        <f t="shared" si="181"/>
        <v>-1.1412728432408459</v>
      </c>
      <c r="AF164" s="79">
        <f t="shared" si="182"/>
        <v>-2</v>
      </c>
      <c r="AG164" s="2">
        <f t="shared" si="200"/>
        <v>0.20500000000000002</v>
      </c>
      <c r="AH164" s="2">
        <f t="shared" si="145"/>
        <v>0.39</v>
      </c>
      <c r="AI164" s="2">
        <v>10500</v>
      </c>
      <c r="AJ164" s="2">
        <v>1.28</v>
      </c>
      <c r="AK164" s="76">
        <f t="shared" si="183"/>
        <v>1.3835182061614069</v>
      </c>
      <c r="AL164" s="76">
        <f t="shared" si="184"/>
        <v>2</v>
      </c>
      <c r="AM164" s="2">
        <f t="shared" si="146"/>
        <v>0.17499999999999999</v>
      </c>
      <c r="AN164" s="2">
        <f t="shared" si="147"/>
        <v>1.28</v>
      </c>
      <c r="AO164" s="2">
        <v>1.5113000000000001</v>
      </c>
      <c r="AP164" s="2">
        <f t="shared" si="148"/>
        <v>-0.78237858597549026</v>
      </c>
      <c r="AQ164" s="2">
        <f t="shared" si="149"/>
        <v>1.5113000000000001</v>
      </c>
      <c r="AR164" s="2">
        <v>81.2</v>
      </c>
      <c r="AS164" s="2">
        <v>0.17</v>
      </c>
      <c r="AT164" s="2">
        <f t="shared" si="150"/>
        <v>3.4765938992431134E-2</v>
      </c>
      <c r="AU164" s="2">
        <f t="shared" si="151"/>
        <v>0.17</v>
      </c>
      <c r="AV164" s="2">
        <v>11870</v>
      </c>
      <c r="AW164" s="2">
        <v>1.18</v>
      </c>
      <c r="AX164" s="2">
        <f t="shared" si="152"/>
        <v>-0.57747311396668122</v>
      </c>
      <c r="AY164" s="2">
        <f t="shared" si="153"/>
        <v>1.18</v>
      </c>
      <c r="AZ164" s="2">
        <v>-9.9557171950980447E-2</v>
      </c>
      <c r="BA164" s="78">
        <f t="shared" si="185"/>
        <v>-1.5647571719509805</v>
      </c>
      <c r="BB164" s="78">
        <f t="shared" si="186"/>
        <v>-2</v>
      </c>
      <c r="BC164" s="2">
        <f t="shared" si="154"/>
        <v>-0.57498401787269537</v>
      </c>
      <c r="BD164" s="2">
        <f t="shared" si="155"/>
        <v>-9.9557171950980447E-2</v>
      </c>
      <c r="BE164" s="67">
        <f t="shared" si="187"/>
        <v>7</v>
      </c>
      <c r="BF164" s="2">
        <v>87</v>
      </c>
      <c r="BG164" s="2">
        <v>0.45953187798486228</v>
      </c>
      <c r="BH164" s="2">
        <f t="shared" si="156"/>
        <v>-0.11683917813101978</v>
      </c>
      <c r="BI164" s="2">
        <f t="shared" si="157"/>
        <v>0.45953187798486228</v>
      </c>
      <c r="BJ164" s="67">
        <f t="shared" si="158"/>
        <v>7</v>
      </c>
      <c r="BK164" s="2">
        <v>12300</v>
      </c>
      <c r="BL164" s="2">
        <v>0.12505377206663751</v>
      </c>
      <c r="BM164" s="77">
        <f t="shared" si="188"/>
        <v>-1.1549462279333624</v>
      </c>
      <c r="BN164" s="77">
        <f t="shared" si="189"/>
        <v>-2</v>
      </c>
      <c r="BO164" s="2">
        <f t="shared" si="159"/>
        <v>-0.48451336827065355</v>
      </c>
      <c r="BP164" s="2">
        <f t="shared" si="160"/>
        <v>0.12505377206663751</v>
      </c>
      <c r="BQ164" s="67">
        <f t="shared" si="190"/>
        <v>7</v>
      </c>
      <c r="BR164" s="5">
        <v>-0.21365205361808609</v>
      </c>
      <c r="BS164" s="75">
        <f t="shared" si="191"/>
        <v>-0.11409488166710564</v>
      </c>
      <c r="BT164" s="75">
        <f t="shared" si="192"/>
        <v>-1</v>
      </c>
      <c r="BU164" s="5">
        <f>IF(G170&gt;=36, IF(AND(NOT(ISBLANK(CM:CM)), NOT(ISBLANK(BD:BD))), (CM:CM-BD:BD)/2, ""), "UF")</f>
        <v>9.6024296177788099E-2</v>
      </c>
      <c r="BV164" s="5">
        <f t="shared" si="161"/>
        <v>-0.21365205361808609</v>
      </c>
      <c r="BW164" s="69">
        <f t="shared" si="162"/>
        <v>7</v>
      </c>
      <c r="BX164" s="2">
        <v>93.5</v>
      </c>
      <c r="BY164" s="5">
        <v>-0.18051753439305929</v>
      </c>
      <c r="BZ164" s="74">
        <f t="shared" si="193"/>
        <v>-0.30557130645969677</v>
      </c>
      <c r="CA164" s="74">
        <f t="shared" si="194"/>
        <v>-1</v>
      </c>
      <c r="CB164" s="5">
        <f t="shared" si="163"/>
        <v>-0.37159660681264783</v>
      </c>
      <c r="CC164" s="5">
        <f t="shared" si="164"/>
        <v>-0.18051753439305929</v>
      </c>
      <c r="CD164" s="2">
        <f t="shared" si="165"/>
        <v>-0.64004941237792157</v>
      </c>
      <c r="CE164" s="69">
        <f t="shared" si="166"/>
        <v>7</v>
      </c>
      <c r="CF164" s="5">
        <v>13500</v>
      </c>
      <c r="CG164" s="5">
        <v>-0.27354010481196073</v>
      </c>
      <c r="CH164" s="72">
        <f t="shared" si="195"/>
        <v>-0.39859387687859826</v>
      </c>
      <c r="CI164" s="72">
        <f t="shared" si="196"/>
        <v>-1</v>
      </c>
      <c r="CJ164" s="5">
        <f t="shared" si="167"/>
        <v>-0.19346804435515891</v>
      </c>
      <c r="CK164" s="5">
        <f t="shared" si="168"/>
        <v>-0.27354010481196073</v>
      </c>
      <c r="CL164" s="69">
        <f t="shared" si="169"/>
        <v>7</v>
      </c>
      <c r="CM164" s="5">
        <v>9.2491420404595751E-2</v>
      </c>
      <c r="CN164" s="70">
        <f t="shared" si="170"/>
        <v>0.30614347402268183</v>
      </c>
      <c r="CO164" s="5">
        <f t="shared" si="171"/>
        <v>0.30614347402268183</v>
      </c>
      <c r="CP164" s="5">
        <f>IF(G164&lt;48,"UF", IF(NOT(ISBLANK(CM:CM)), CM:CM, IF(BW:BW=1, BV:BV+Sheet2!B594, IF(Sheet1!BW:BW=2, Sheet1!BV:BV+Sheet2!B595, IF(Sheet1!BW:BW=7, Sheet1!BV:BV+Sheet2!B596,"")))))</f>
        <v>9.2491420404595751E-2</v>
      </c>
      <c r="CQ164" s="69">
        <f t="shared" si="197"/>
        <v>7</v>
      </c>
      <c r="CR164" s="5">
        <v>99.8</v>
      </c>
      <c r="CS164" s="5">
        <v>-0.28366133564043339</v>
      </c>
      <c r="CT164" s="5">
        <f t="shared" si="172"/>
        <v>-0.1031438012473741</v>
      </c>
      <c r="CU164" s="80">
        <f t="shared" si="173"/>
        <v>-0.1031438012473741</v>
      </c>
      <c r="CV164" s="80">
        <f t="shared" si="174"/>
        <v>-1</v>
      </c>
      <c r="CW164" s="20">
        <f>IF(G164&lt;48,"UF", IF(NOT(ISBLANK(CS164)), CS164, IF(CE164=5, CC164+Sheet2!B583, IF(CE164=6, CC164+Sheet2!B584, IF(CE164=7, CC164+Sheet2!B585,"")))))</f>
        <v>-0.28366133564043339</v>
      </c>
      <c r="CX164" s="68">
        <f t="shared" si="198"/>
        <v>7</v>
      </c>
      <c r="CY164" s="5">
        <v>15350</v>
      </c>
      <c r="CZ164" s="5">
        <v>-0.26188231664368028</v>
      </c>
      <c r="DA164" s="5">
        <f t="shared" si="175"/>
        <v>1.1657788168280447E-2</v>
      </c>
      <c r="DB164" s="73">
        <f t="shared" si="176"/>
        <v>1.1657788168280447E-2</v>
      </c>
      <c r="DC164" s="73">
        <f t="shared" si="177"/>
        <v>1</v>
      </c>
      <c r="DD164" s="5">
        <f>IF(G164&lt;48,"UF", IF(NOT(ISBLANK(CZ:CZ)), CZ:CZ, IF(CL:CL=3, CK:CK+Sheet2!B588, IF(CL:CL=4, CK:CK+Sheet2!B589, IF(CL:CL=7, CK:CK+Sheet2!B590,"")))))</f>
        <v>-0.26188231664368028</v>
      </c>
      <c r="DE164" s="69">
        <f t="shared" si="201"/>
        <v>7</v>
      </c>
      <c r="DF164" s="2">
        <v>4</v>
      </c>
      <c r="DG164" s="2">
        <v>34</v>
      </c>
      <c r="DH164" s="2">
        <v>1</v>
      </c>
      <c r="DI164" s="2">
        <v>2</v>
      </c>
      <c r="DJ164" s="2">
        <v>2</v>
      </c>
      <c r="DK164" s="2">
        <v>100</v>
      </c>
      <c r="DL164" s="2">
        <v>60</v>
      </c>
      <c r="DM164" s="2">
        <v>110</v>
      </c>
      <c r="DN164" s="2">
        <v>60</v>
      </c>
      <c r="DO164" s="2">
        <v>110</v>
      </c>
      <c r="DP164" s="2">
        <v>60</v>
      </c>
      <c r="DQ164" s="2">
        <v>2</v>
      </c>
      <c r="DR164" s="2">
        <v>38</v>
      </c>
      <c r="DS164" s="2">
        <v>1</v>
      </c>
      <c r="DT164" s="2">
        <v>94.5</v>
      </c>
      <c r="DU164" s="2">
        <v>85.5</v>
      </c>
      <c r="DV164" s="2">
        <v>2</v>
      </c>
      <c r="DW164" s="2">
        <v>2</v>
      </c>
      <c r="DX164" s="2">
        <v>2</v>
      </c>
      <c r="DY164" s="2">
        <v>1</v>
      </c>
      <c r="DZ164" s="2">
        <v>35</v>
      </c>
      <c r="EA164" s="2">
        <v>35.6</v>
      </c>
      <c r="EB164" s="2">
        <v>38.9</v>
      </c>
      <c r="EC164" s="2">
        <v>1</v>
      </c>
      <c r="ED164" s="2">
        <v>1</v>
      </c>
    </row>
    <row r="165" spans="2:134" x14ac:dyDescent="0.25">
      <c r="C165" s="2" t="s">
        <v>371</v>
      </c>
      <c r="D165" s="2">
        <v>2501015851</v>
      </c>
      <c r="E165" s="5" t="s">
        <v>528</v>
      </c>
      <c r="F165" s="2">
        <v>1</v>
      </c>
      <c r="G165" s="2">
        <v>52</v>
      </c>
      <c r="H165" s="2">
        <v>-1.7796250266849609</v>
      </c>
      <c r="I165" s="2">
        <v>47</v>
      </c>
      <c r="J165" s="2">
        <v>-1.153005671500261</v>
      </c>
      <c r="K165" s="5">
        <v>2500</v>
      </c>
      <c r="L165" s="2">
        <v>-1.7268064884432719</v>
      </c>
      <c r="M165" s="2">
        <v>-3.2238000000000002</v>
      </c>
      <c r="N165" s="2">
        <f t="shared" si="137"/>
        <v>-0.72183748665751957</v>
      </c>
      <c r="O165" s="2">
        <f t="shared" si="138"/>
        <v>-3.2238000000000002</v>
      </c>
      <c r="P165" s="2">
        <v>64</v>
      </c>
      <c r="Q165" s="2">
        <v>-0.77</v>
      </c>
      <c r="R165" s="5">
        <f t="shared" si="139"/>
        <v>-0.10349716424986954</v>
      </c>
      <c r="S165" s="5">
        <f t="shared" si="140"/>
        <v>-0.77</v>
      </c>
      <c r="T165" s="1">
        <v>5200</v>
      </c>
      <c r="U165" s="2">
        <v>-2.82</v>
      </c>
      <c r="V165" s="2">
        <f t="shared" si="141"/>
        <v>-0.6865967557783641</v>
      </c>
      <c r="W165" s="2">
        <f t="shared" si="142"/>
        <v>-2.82</v>
      </c>
      <c r="X165" s="2">
        <v>-3.2233000000000001</v>
      </c>
      <c r="Y165" s="76">
        <f t="shared" si="179"/>
        <v>-1.4436749733150391</v>
      </c>
      <c r="Z165" s="76">
        <f t="shared" si="180"/>
        <v>-2</v>
      </c>
      <c r="AA165" s="2">
        <f t="shared" si="143"/>
        <v>-0.96379999999999999</v>
      </c>
      <c r="AB165" s="2">
        <f t="shared" si="144"/>
        <v>-3.2233000000000001</v>
      </c>
      <c r="AC165" s="2">
        <v>70.5</v>
      </c>
      <c r="AD165" s="2">
        <v>-1.36</v>
      </c>
      <c r="AE165" s="79">
        <f t="shared" si="181"/>
        <v>-0.20699432849973909</v>
      </c>
      <c r="AF165" s="79">
        <f t="shared" si="182"/>
        <v>-1</v>
      </c>
      <c r="AG165" s="2">
        <f t="shared" si="200"/>
        <v>-0.68500000000000005</v>
      </c>
      <c r="AH165" s="2">
        <f t="shared" si="145"/>
        <v>-1.36</v>
      </c>
      <c r="AI165" s="2">
        <v>6200</v>
      </c>
      <c r="AJ165" s="2">
        <v>-3.1</v>
      </c>
      <c r="AK165" s="76">
        <f t="shared" si="183"/>
        <v>-1.3731935115567282</v>
      </c>
      <c r="AL165" s="76">
        <f t="shared" si="184"/>
        <v>-2</v>
      </c>
      <c r="AM165" s="2">
        <f t="shared" si="146"/>
        <v>-0.20000000000000018</v>
      </c>
      <c r="AN165" s="2">
        <f t="shared" si="147"/>
        <v>-3.1</v>
      </c>
      <c r="AO165" s="2">
        <v>-2.6976</v>
      </c>
      <c r="AP165" s="2">
        <f t="shared" si="148"/>
        <v>9.7193765004728094E-2</v>
      </c>
      <c r="AQ165" s="2">
        <f t="shared" si="149"/>
        <v>-2.6976</v>
      </c>
      <c r="AR165" s="2">
        <v>74.5</v>
      </c>
      <c r="AS165" s="2">
        <v>-2.14</v>
      </c>
      <c r="AT165" s="2">
        <f t="shared" si="150"/>
        <v>-2.0708894774135955E-2</v>
      </c>
      <c r="AU165" s="2">
        <f t="shared" si="151"/>
        <v>-2.14</v>
      </c>
      <c r="AV165" s="2">
        <v>7000</v>
      </c>
      <c r="AW165" s="2">
        <v>-3.22</v>
      </c>
      <c r="AX165" s="2">
        <f t="shared" si="152"/>
        <v>-0.38027992185027304</v>
      </c>
      <c r="AY165" s="2">
        <f t="shared" si="153"/>
        <v>-3.22</v>
      </c>
      <c r="AZ165" s="2">
        <v>-3.0289124699905439</v>
      </c>
      <c r="BA165" s="78">
        <f t="shared" si="185"/>
        <v>0.19438753000945619</v>
      </c>
      <c r="BB165" s="78">
        <f t="shared" si="186"/>
        <v>1</v>
      </c>
      <c r="BC165" s="2" t="str">
        <f t="shared" si="154"/>
        <v/>
      </c>
      <c r="BD165" s="2">
        <f t="shared" si="155"/>
        <v>-3.0289124699905439</v>
      </c>
      <c r="BE165" s="67">
        <f t="shared" si="187"/>
        <v>1</v>
      </c>
      <c r="BF165" s="2">
        <v>80.5</v>
      </c>
      <c r="BG165" s="2">
        <v>-1.401417789548272</v>
      </c>
      <c r="BH165" s="2" t="str">
        <f t="shared" si="156"/>
        <v/>
      </c>
      <c r="BI165" s="2">
        <f t="shared" si="157"/>
        <v>-1.401417789548272</v>
      </c>
      <c r="BJ165" s="67">
        <f t="shared" si="158"/>
        <v>7</v>
      </c>
      <c r="BK165" s="2">
        <v>8450</v>
      </c>
      <c r="BL165" s="2">
        <v>-3.8605598437005462</v>
      </c>
      <c r="BM165" s="77">
        <f t="shared" si="188"/>
        <v>-0.76055984370054608</v>
      </c>
      <c r="BN165" s="77">
        <f t="shared" si="189"/>
        <v>-2</v>
      </c>
      <c r="BO165" s="2" t="str">
        <f t="shared" si="159"/>
        <v/>
      </c>
      <c r="BP165" s="2">
        <f t="shared" si="160"/>
        <v>-3.8605598437005462</v>
      </c>
      <c r="BQ165" s="67">
        <f t="shared" si="190"/>
        <v>3</v>
      </c>
      <c r="BS165" s="75" t="e">
        <f t="shared" si="191"/>
        <v>#REF!</v>
      </c>
      <c r="BT165" s="75" t="e">
        <f t="shared" si="192"/>
        <v>#REF!</v>
      </c>
      <c r="BU165" s="5" t="e">
        <f>IF(#REF!&gt;=36, IF(AND(NOT(ISBLANK(CM:CM)), NOT(ISBLANK(BD:BD))), (CM:CM-BD:BD)/2, ""), "UF")</f>
        <v>#REF!</v>
      </c>
      <c r="BV165" s="5" t="e">
        <f t="shared" si="161"/>
        <v>#REF!</v>
      </c>
      <c r="BW165" s="69" t="e">
        <f t="shared" si="162"/>
        <v>#REF!</v>
      </c>
      <c r="BX165" s="2" t="s">
        <v>12</v>
      </c>
      <c r="BZ165" s="74" t="e">
        <f t="shared" si="193"/>
        <v>#VALUE!</v>
      </c>
      <c r="CA165" s="74" t="e">
        <f t="shared" si="194"/>
        <v>#VALUE!</v>
      </c>
      <c r="CB165" s="5" t="str">
        <f t="shared" si="163"/>
        <v/>
      </c>
      <c r="CC165" s="5" t="e">
        <f t="shared" si="164"/>
        <v>#VALUE!</v>
      </c>
      <c r="CD165" s="2" t="e">
        <f t="shared" si="165"/>
        <v>#VALUE!</v>
      </c>
      <c r="CE165" s="69" t="e">
        <f t="shared" si="166"/>
        <v>#VALUE!</v>
      </c>
      <c r="CF165" s="5" t="s">
        <v>12</v>
      </c>
      <c r="CH165" s="72" t="e">
        <f t="shared" si="195"/>
        <v>#VALUE!</v>
      </c>
      <c r="CI165" s="72" t="e">
        <f t="shared" si="196"/>
        <v>#VALUE!</v>
      </c>
      <c r="CJ165" s="5" t="str">
        <f t="shared" si="167"/>
        <v/>
      </c>
      <c r="CK165" s="5" t="e">
        <f t="shared" si="168"/>
        <v>#VALUE!</v>
      </c>
      <c r="CL165" s="69" t="e">
        <f t="shared" si="169"/>
        <v>#VALUE!</v>
      </c>
      <c r="CN165" s="70" t="str">
        <f t="shared" si="170"/>
        <v/>
      </c>
      <c r="CO165" s="5" t="e">
        <f t="shared" si="171"/>
        <v>#REF!</v>
      </c>
      <c r="CP165" s="5" t="e">
        <f>IF(G165&lt;48,"UF", IF(NOT(ISBLANK(CM:CM)), CM:CM, IF(BW:BW=1, BV:BV+Sheet2!B110, IF(Sheet1!BW:BW=2, Sheet1!BV:BV+Sheet2!B111, IF(Sheet1!BW:BW=7, Sheet1!BV:BV+Sheet2!B112,"")))))</f>
        <v>#REF!</v>
      </c>
      <c r="CQ165" s="69" t="e">
        <f t="shared" si="197"/>
        <v>#REF!</v>
      </c>
      <c r="CR165" s="5" t="s">
        <v>12</v>
      </c>
      <c r="CT165" s="5" t="str">
        <f t="shared" si="172"/>
        <v/>
      </c>
      <c r="CU165" s="80" t="e">
        <f t="shared" si="173"/>
        <v>#VALUE!</v>
      </c>
      <c r="CV165" s="80" t="e">
        <f t="shared" si="174"/>
        <v>#VALUE!</v>
      </c>
      <c r="CW165" s="20" t="e">
        <f>IF(G165&lt;48,"UF", IF(NOT(ISBLANK(CS165)), CS165, IF(CE165=5, CC165+Sheet2!B99, IF(CE165=6, CC165+Sheet2!B100, IF(CE165=7, CC165+Sheet2!B101,"")))))</f>
        <v>#VALUE!</v>
      </c>
      <c r="CX165" s="68" t="e">
        <f t="shared" si="198"/>
        <v>#VALUE!</v>
      </c>
      <c r="CY165" s="5" t="s">
        <v>12</v>
      </c>
      <c r="DA165" s="5" t="str">
        <f t="shared" si="175"/>
        <v/>
      </c>
      <c r="DB165" s="73" t="e">
        <f t="shared" si="176"/>
        <v>#VALUE!</v>
      </c>
      <c r="DC165" s="73" t="e">
        <f t="shared" si="177"/>
        <v>#VALUE!</v>
      </c>
      <c r="DD165" s="5" t="e">
        <f>IF(G165&lt;48,"UF", IF(NOT(ISBLANK(CZ:CZ)), CZ:CZ, IF(CL:CL=3, CK:CK+Sheet2!B104, IF(CL:CL=4, CK:CK+Sheet2!B105, IF(CL:CL=7, CK:CK+Sheet2!B106,"")))))</f>
        <v>#VALUE!</v>
      </c>
      <c r="DE165" s="69" t="e">
        <f t="shared" si="201"/>
        <v>#VALUE!</v>
      </c>
      <c r="DF165" s="2">
        <v>1</v>
      </c>
      <c r="DG165" s="2">
        <v>24</v>
      </c>
      <c r="DH165" s="2">
        <v>2</v>
      </c>
      <c r="DI165" s="2">
        <v>2</v>
      </c>
      <c r="DJ165" s="2">
        <v>2</v>
      </c>
      <c r="DK165" s="2">
        <v>100</v>
      </c>
      <c r="DL165" s="2">
        <v>69</v>
      </c>
      <c r="DM165" s="2">
        <v>100</v>
      </c>
      <c r="DN165" s="2">
        <v>60</v>
      </c>
      <c r="DO165" s="2">
        <v>106</v>
      </c>
      <c r="DP165" s="2">
        <v>66</v>
      </c>
      <c r="DQ165" s="2">
        <v>1</v>
      </c>
      <c r="DR165" s="2">
        <v>39</v>
      </c>
      <c r="DS165" s="2">
        <v>2</v>
      </c>
      <c r="DT165" s="2">
        <v>80</v>
      </c>
      <c r="DU165" s="2">
        <v>79</v>
      </c>
      <c r="DV165" s="2">
        <v>2</v>
      </c>
      <c r="DW165" s="2">
        <v>2</v>
      </c>
      <c r="DX165" s="2">
        <v>2</v>
      </c>
      <c r="DY165" s="2">
        <v>2</v>
      </c>
      <c r="DZ165" s="2">
        <v>33</v>
      </c>
      <c r="EA165" s="2">
        <v>35.200000000000003</v>
      </c>
      <c r="EB165" s="2">
        <v>45</v>
      </c>
      <c r="EC165" s="2">
        <v>1</v>
      </c>
      <c r="ED165" s="2">
        <v>1</v>
      </c>
    </row>
    <row r="166" spans="2:134" x14ac:dyDescent="0.25">
      <c r="B166" s="2"/>
      <c r="C166" t="s">
        <v>427</v>
      </c>
      <c r="D166" s="3">
        <v>2501016173</v>
      </c>
      <c r="E166" s="3">
        <v>7</v>
      </c>
      <c r="F166" s="2">
        <v>1</v>
      </c>
      <c r="G166" s="2">
        <v>52</v>
      </c>
      <c r="H166">
        <v>0.21104474410941809</v>
      </c>
      <c r="I166" s="2">
        <v>50</v>
      </c>
      <c r="J166">
        <v>0.45756143734440202</v>
      </c>
      <c r="K166" s="2">
        <v>3400</v>
      </c>
      <c r="L166" s="2">
        <v>0.36061993902816308</v>
      </c>
      <c r="M166" s="2">
        <v>2.4414253760751952</v>
      </c>
      <c r="N166" s="2" t="str">
        <f t="shared" si="137"/>
        <v/>
      </c>
      <c r="O166" s="2">
        <f t="shared" si="138"/>
        <v>2.4414253760751952</v>
      </c>
      <c r="P166" s="2">
        <v>67</v>
      </c>
      <c r="Q166" s="2">
        <v>0.2270279725153789</v>
      </c>
      <c r="R166" s="5" t="str">
        <f t="shared" si="139"/>
        <v/>
      </c>
      <c r="S166" s="5">
        <f t="shared" si="140"/>
        <v>0.2270279725153789</v>
      </c>
      <c r="T166" s="2">
        <v>9500</v>
      </c>
      <c r="U166" s="2">
        <v>1.955985278362494</v>
      </c>
      <c r="V166" s="2" t="str">
        <f t="shared" si="141"/>
        <v/>
      </c>
      <c r="W166" s="2">
        <f t="shared" si="142"/>
        <v>1.955985278362494</v>
      </c>
      <c r="Y166" s="76">
        <f t="shared" si="179"/>
        <v>2.9926026506089203</v>
      </c>
      <c r="Z166" s="76">
        <f t="shared" si="180"/>
        <v>2</v>
      </c>
      <c r="AA166" s="2">
        <f t="shared" si="143"/>
        <v>0.76222201864314298</v>
      </c>
      <c r="AB166" s="2">
        <f t="shared" si="144"/>
        <v>3.2036473947183381</v>
      </c>
      <c r="AC166" s="2" t="s">
        <v>12</v>
      </c>
      <c r="AE166" s="79">
        <f t="shared" si="181"/>
        <v>-0.28940387428087511</v>
      </c>
      <c r="AF166" s="79">
        <f t="shared" si="182"/>
        <v>-1</v>
      </c>
      <c r="AG166" s="2">
        <f t="shared" si="200"/>
        <v>-5.8870409451851999E-2</v>
      </c>
      <c r="AH166" s="2">
        <f t="shared" si="145"/>
        <v>0.16815756306352692</v>
      </c>
      <c r="AI166" s="2" t="s">
        <v>12</v>
      </c>
      <c r="AK166" s="76">
        <f t="shared" si="183"/>
        <v>1.2790008570044555</v>
      </c>
      <c r="AL166" s="76">
        <f t="shared" si="184"/>
        <v>2</v>
      </c>
      <c r="AM166" s="2">
        <f t="shared" si="146"/>
        <v>-0.31636448232987546</v>
      </c>
      <c r="AN166" s="2">
        <f t="shared" si="147"/>
        <v>1.6396207960326186</v>
      </c>
      <c r="AO166" s="2">
        <v>1.751472009801665</v>
      </c>
      <c r="AP166" s="2">
        <f t="shared" si="148"/>
        <v>-1.4648542101141095</v>
      </c>
      <c r="AQ166" s="2">
        <f t="shared" si="149"/>
        <v>1.751472009801665</v>
      </c>
      <c r="AR166" s="2">
        <v>81.5</v>
      </c>
      <c r="AS166" s="2">
        <v>0.1092871536116749</v>
      </c>
      <c r="AT166" s="2">
        <f t="shared" si="150"/>
        <v>0.14568715746066768</v>
      </c>
      <c r="AU166" s="2">
        <f t="shared" si="151"/>
        <v>0.1092871536116749</v>
      </c>
      <c r="AV166" s="2">
        <v>12200</v>
      </c>
      <c r="AW166" s="2">
        <v>1.3232563137027431</v>
      </c>
      <c r="AX166" s="2">
        <f t="shared" si="152"/>
        <v>-0.61202621971022997</v>
      </c>
      <c r="AY166" s="2">
        <f t="shared" si="153"/>
        <v>1.3232563137027431</v>
      </c>
      <c r="AZ166" s="2">
        <v>0.27393897449011911</v>
      </c>
      <c r="BA166" s="78">
        <f t="shared" si="185"/>
        <v>-2.9297084202282191</v>
      </c>
      <c r="BB166" s="78">
        <f t="shared" si="186"/>
        <v>-2</v>
      </c>
      <c r="BC166" s="2" t="str">
        <f t="shared" si="154"/>
        <v/>
      </c>
      <c r="BD166" s="2">
        <f t="shared" si="155"/>
        <v>0.27393897449011911</v>
      </c>
      <c r="BE166" s="67">
        <f t="shared" si="187"/>
        <v>7</v>
      </c>
      <c r="BF166" s="2">
        <v>87</v>
      </c>
      <c r="BG166" s="2">
        <v>0.45953187798486228</v>
      </c>
      <c r="BH166" s="2" t="str">
        <f t="shared" si="156"/>
        <v/>
      </c>
      <c r="BI166" s="2">
        <f t="shared" si="157"/>
        <v>0.45953187798486228</v>
      </c>
      <c r="BJ166" s="67">
        <f t="shared" si="158"/>
        <v>7</v>
      </c>
      <c r="BK166" s="2">
        <v>12700</v>
      </c>
      <c r="BL166" s="2">
        <v>0.41556835661215857</v>
      </c>
      <c r="BM166" s="77">
        <f t="shared" si="188"/>
        <v>-1.2240524394204599</v>
      </c>
      <c r="BN166" s="77">
        <f t="shared" si="189"/>
        <v>-2</v>
      </c>
      <c r="BO166" s="2" t="str">
        <f t="shared" si="159"/>
        <v/>
      </c>
      <c r="BP166" s="2">
        <f t="shared" si="160"/>
        <v>0.41556835661215857</v>
      </c>
      <c r="BQ166" s="67">
        <f t="shared" si="190"/>
        <v>7</v>
      </c>
      <c r="BR166" s="2"/>
      <c r="BS166" s="75">
        <f t="shared" si="191"/>
        <v>-0.26595511411846245</v>
      </c>
      <c r="BT166" s="75">
        <f t="shared" si="192"/>
        <v>-1</v>
      </c>
      <c r="BU166" s="5">
        <f>IF(G172&gt;=36, IF(AND(NOT(ISBLANK(CM:CM)), NOT(ISBLANK(BD:BD))), (CM:CM-BD:BD)/2, ""), "UF")</f>
        <v>-0.26595511411846245</v>
      </c>
      <c r="BV166" s="5">
        <f t="shared" si="161"/>
        <v>7.9838603716566592E-3</v>
      </c>
      <c r="BW166" s="69">
        <f t="shared" si="162"/>
        <v>7</v>
      </c>
      <c r="BX166" s="2" t="s">
        <v>12</v>
      </c>
      <c r="BY166" s="2"/>
      <c r="BZ166" s="74">
        <f t="shared" si="193"/>
        <v>-0.30455272022505436</v>
      </c>
      <c r="CA166" s="74">
        <f t="shared" si="194"/>
        <v>-1</v>
      </c>
      <c r="CB166" s="5">
        <f t="shared" si="163"/>
        <v>-0.34851624159775807</v>
      </c>
      <c r="CC166" s="5">
        <f t="shared" si="164"/>
        <v>0.11101563638710421</v>
      </c>
      <c r="CD166" s="2">
        <f t="shared" si="165"/>
        <v>-0.34851624159775807</v>
      </c>
      <c r="CE166" s="69">
        <f t="shared" si="166"/>
        <v>7</v>
      </c>
      <c r="CF166" s="5" t="s">
        <v>12</v>
      </c>
      <c r="CG166" s="2"/>
      <c r="CH166" s="72">
        <f t="shared" si="195"/>
        <v>-0.43102703697446232</v>
      </c>
      <c r="CI166" s="72">
        <f t="shared" si="196"/>
        <v>-1</v>
      </c>
      <c r="CJ166" s="5">
        <f t="shared" si="167"/>
        <v>-0.43102703697446232</v>
      </c>
      <c r="CK166" s="5">
        <f t="shared" si="168"/>
        <v>-1.5458680362303745E-2</v>
      </c>
      <c r="CL166" s="69">
        <f t="shared" si="169"/>
        <v>7</v>
      </c>
      <c r="CM166" s="2">
        <v>-0.2579712537468058</v>
      </c>
      <c r="CN166" s="70">
        <f t="shared" si="170"/>
        <v>-0.26595511411846245</v>
      </c>
      <c r="CO166" s="5">
        <f t="shared" si="171"/>
        <v>-0.26595511411846245</v>
      </c>
      <c r="CP166" s="5">
        <f>IF(G166&lt;48,"UF", IF(NOT(ISBLANK(CM:CM)), CM:CM, IF(BW:BW=1, BV:BV+Sheet2!B634, IF(Sheet1!BW:BW=2, Sheet1!BV:BV+Sheet2!B635, IF(Sheet1!BW:BW=7, Sheet1!BV:BV+Sheet2!B636,"")))))</f>
        <v>-0.2579712537468058</v>
      </c>
      <c r="CQ166" s="69">
        <f t="shared" si="197"/>
        <v>7</v>
      </c>
      <c r="CR166" s="5">
        <v>100</v>
      </c>
      <c r="CS166" s="2">
        <v>-0.2375006052106538</v>
      </c>
      <c r="CT166" s="5">
        <f t="shared" si="172"/>
        <v>-0.34851624159775801</v>
      </c>
      <c r="CU166" s="80">
        <f t="shared" si="173"/>
        <v>-0.34851624159775801</v>
      </c>
      <c r="CV166" s="80">
        <f t="shared" si="174"/>
        <v>-1</v>
      </c>
      <c r="CW166" s="20">
        <f>IF(G166&lt;48,"UF", IF(NOT(ISBLANK(CS166)), CS166, IF(CE166=5, CC166+Sheet2!B623, IF(CE166=6, CC166+Sheet2!B624, IF(CE166=7, CC166+Sheet2!B625,"")))))</f>
        <v>-0.2375006052106538</v>
      </c>
      <c r="CX166" s="68">
        <f t="shared" si="198"/>
        <v>7</v>
      </c>
      <c r="CY166" s="5">
        <v>15000</v>
      </c>
      <c r="CZ166" s="5">
        <v>-0.44648571733676612</v>
      </c>
      <c r="DA166" s="5">
        <f t="shared" si="175"/>
        <v>-0.43102703697446237</v>
      </c>
      <c r="DB166" s="73">
        <f t="shared" si="176"/>
        <v>-0.43102703697446237</v>
      </c>
      <c r="DC166" s="73">
        <f t="shared" si="177"/>
        <v>-1</v>
      </c>
      <c r="DD166" s="5">
        <f>IF(G166&lt;48,"UF", IF(NOT(ISBLANK(CZ:CZ)), CZ:CZ, IF(CL:CL=3, CK:CK+Sheet2!B628, IF(CL:CL=4, CK:CK+Sheet2!B629, IF(CL:CL=7, CK:CK+Sheet2!B630,"")))))</f>
        <v>-0.44648571733676612</v>
      </c>
      <c r="DE166" s="69">
        <f t="shared" si="201"/>
        <v>7</v>
      </c>
      <c r="DF166" s="2">
        <v>4</v>
      </c>
      <c r="DG166" s="2">
        <v>41</v>
      </c>
      <c r="DH166" s="2">
        <v>2</v>
      </c>
      <c r="DI166" s="2">
        <v>2</v>
      </c>
      <c r="DJ166" s="2">
        <v>2</v>
      </c>
      <c r="DK166" s="2">
        <v>91</v>
      </c>
      <c r="DL166" s="2">
        <v>55</v>
      </c>
      <c r="DM166" s="2">
        <v>104</v>
      </c>
      <c r="DN166" s="2">
        <v>60</v>
      </c>
      <c r="DO166" s="2">
        <v>119</v>
      </c>
      <c r="DP166" s="2">
        <v>73</v>
      </c>
      <c r="DQ166" s="2">
        <v>2</v>
      </c>
      <c r="DR166" s="2">
        <v>39</v>
      </c>
      <c r="DS166" s="2">
        <v>2</v>
      </c>
      <c r="DT166" s="2">
        <v>85</v>
      </c>
      <c r="DU166" s="2">
        <v>74</v>
      </c>
      <c r="DV166" s="2">
        <v>2</v>
      </c>
      <c r="DW166" s="2">
        <v>2</v>
      </c>
      <c r="DX166" s="2">
        <v>2</v>
      </c>
      <c r="DY166" s="2">
        <v>2</v>
      </c>
      <c r="DZ166" s="2">
        <v>36</v>
      </c>
      <c r="EA166" s="2">
        <v>35</v>
      </c>
      <c r="EB166" s="2">
        <v>44.5</v>
      </c>
      <c r="EC166" s="2">
        <v>1</v>
      </c>
      <c r="ED166" s="2">
        <v>1</v>
      </c>
    </row>
    <row r="167" spans="2:134" x14ac:dyDescent="0.25">
      <c r="C167" s="5" t="s">
        <v>31</v>
      </c>
      <c r="D167" s="2">
        <v>2501016211</v>
      </c>
      <c r="E167" s="5" t="s">
        <v>527</v>
      </c>
      <c r="F167" s="2">
        <v>2</v>
      </c>
      <c r="G167" s="2">
        <v>49</v>
      </c>
      <c r="H167" s="2">
        <v>-4.0551594991084157</v>
      </c>
      <c r="I167" s="2">
        <v>33</v>
      </c>
      <c r="J167" s="2">
        <v>-8.9187850007999092</v>
      </c>
      <c r="K167" s="5">
        <v>1000</v>
      </c>
      <c r="L167" s="2">
        <v>-5.850381803399717</v>
      </c>
      <c r="M167" s="2">
        <v>-0.48809999999999998</v>
      </c>
      <c r="N167" s="2" t="str">
        <f t="shared" si="137"/>
        <v/>
      </c>
      <c r="O167" s="2">
        <f t="shared" si="138"/>
        <v>-0.48809999999999998</v>
      </c>
      <c r="P167" s="2">
        <v>59</v>
      </c>
      <c r="Q167" s="2">
        <v>-4.04</v>
      </c>
      <c r="R167" s="5" t="str">
        <f t="shared" si="139"/>
        <v/>
      </c>
      <c r="S167" s="5">
        <f t="shared" si="140"/>
        <v>-4.04</v>
      </c>
      <c r="T167" s="1">
        <v>5800</v>
      </c>
      <c r="U167" s="2">
        <v>-2.81</v>
      </c>
      <c r="V167" s="2" t="str">
        <f t="shared" si="141"/>
        <v/>
      </c>
      <c r="W167" s="2">
        <f t="shared" si="142"/>
        <v>-2.81</v>
      </c>
      <c r="Y167" s="76">
        <f t="shared" si="179"/>
        <v>4.9665594991084152</v>
      </c>
      <c r="Z167" s="76">
        <f t="shared" si="180"/>
        <v>2</v>
      </c>
      <c r="AA167" s="2">
        <f t="shared" si="143"/>
        <v>1.3995</v>
      </c>
      <c r="AB167" s="2">
        <f t="shared" si="144"/>
        <v>0.91139999999999999</v>
      </c>
      <c r="AC167" s="2" t="s">
        <v>12</v>
      </c>
      <c r="AE167" s="79">
        <f t="shared" si="181"/>
        <v>5.9237850007999091</v>
      </c>
      <c r="AF167" s="79">
        <f t="shared" si="182"/>
        <v>2</v>
      </c>
      <c r="AG167" s="2">
        <f t="shared" si="200"/>
        <v>1.0449999999999999</v>
      </c>
      <c r="AH167" s="2">
        <f t="shared" si="145"/>
        <v>-2.9950000000000001</v>
      </c>
      <c r="AI167" s="2" t="s">
        <v>12</v>
      </c>
      <c r="AK167" s="76">
        <f t="shared" si="183"/>
        <v>3.4203818033997173</v>
      </c>
      <c r="AL167" s="76">
        <f t="shared" si="184"/>
        <v>2</v>
      </c>
      <c r="AM167" s="2">
        <f t="shared" si="146"/>
        <v>0.38000000000000012</v>
      </c>
      <c r="AN167" s="2">
        <f t="shared" si="147"/>
        <v>-2.4299999999999997</v>
      </c>
      <c r="AO167" s="2">
        <v>-1.2410000000000001</v>
      </c>
      <c r="AP167" s="2">
        <f t="shared" si="148"/>
        <v>-1.8259893173042929</v>
      </c>
      <c r="AQ167" s="2">
        <f t="shared" si="149"/>
        <v>-1.2410000000000001</v>
      </c>
      <c r="AR167" s="2">
        <v>77</v>
      </c>
      <c r="AS167" s="2">
        <v>-1.95</v>
      </c>
      <c r="AT167" s="2">
        <f t="shared" si="150"/>
        <v>0.94731912602383406</v>
      </c>
      <c r="AU167" s="2">
        <f t="shared" si="151"/>
        <v>-1.95</v>
      </c>
      <c r="AV167" s="2">
        <v>8700</v>
      </c>
      <c r="AW167" s="2">
        <v>-2.0499999999999998</v>
      </c>
      <c r="AX167" s="2">
        <f t="shared" si="152"/>
        <v>-0.18611794421476024</v>
      </c>
      <c r="AY167" s="2">
        <f t="shared" si="153"/>
        <v>-2.0499999999999998</v>
      </c>
      <c r="AZ167" s="2">
        <v>-2.7405786346085859</v>
      </c>
      <c r="BA167" s="78">
        <f t="shared" si="185"/>
        <v>-3.6519786346085858</v>
      </c>
      <c r="BB167" s="78">
        <f t="shared" si="186"/>
        <v>-2</v>
      </c>
      <c r="BC167" s="2">
        <f t="shared" si="154"/>
        <v>-0.46460954398358095</v>
      </c>
      <c r="BD167" s="2">
        <f t="shared" si="155"/>
        <v>-2.7405786346085859</v>
      </c>
      <c r="BE167" s="67">
        <f t="shared" si="187"/>
        <v>2</v>
      </c>
      <c r="BF167" s="2">
        <v>83</v>
      </c>
      <c r="BG167" s="2">
        <v>-1.100361747952332</v>
      </c>
      <c r="BH167" s="2">
        <f t="shared" si="156"/>
        <v>8.2319492847091988E-2</v>
      </c>
      <c r="BI167" s="2">
        <f t="shared" si="157"/>
        <v>-1.100361747952332</v>
      </c>
      <c r="BJ167" s="67">
        <f t="shared" si="158"/>
        <v>7</v>
      </c>
      <c r="BK167" s="2">
        <v>9500</v>
      </c>
      <c r="BL167" s="2">
        <v>-2.8022358884295202</v>
      </c>
      <c r="BM167" s="77">
        <f t="shared" si="188"/>
        <v>-0.37223588842952049</v>
      </c>
      <c r="BN167" s="77">
        <f t="shared" si="189"/>
        <v>-1</v>
      </c>
      <c r="BO167" s="2">
        <f t="shared" si="159"/>
        <v>-0.28909559865165413</v>
      </c>
      <c r="BP167" s="2">
        <f t="shared" si="160"/>
        <v>-2.8022358884295202</v>
      </c>
      <c r="BQ167" s="67">
        <f t="shared" si="190"/>
        <v>4</v>
      </c>
      <c r="BR167" s="5">
        <v>-2.634828631950743</v>
      </c>
      <c r="BS167" s="75">
        <f t="shared" si="191"/>
        <v>0.10575000265784285</v>
      </c>
      <c r="BT167" s="75">
        <f t="shared" si="192"/>
        <v>1</v>
      </c>
      <c r="BU167" s="5">
        <f>IF(G173&gt;=36, IF(AND(NOT(ISBLANK(CM:CM)), NOT(ISBLANK(BD:BD))), (CM:CM-BD:BD)/2, ""), "UF")</f>
        <v>0.6541477557364419</v>
      </c>
      <c r="BV167" s="5">
        <f t="shared" si="161"/>
        <v>-2.634828631950743</v>
      </c>
      <c r="BW167" s="69">
        <f t="shared" si="162"/>
        <v>2</v>
      </c>
      <c r="BX167" s="2">
        <v>89</v>
      </c>
      <c r="BY167" s="5">
        <v>-1.703041521458724</v>
      </c>
      <c r="BZ167" s="74">
        <f t="shared" si="193"/>
        <v>1.0991943669707962</v>
      </c>
      <c r="CA167" s="74">
        <f t="shared" si="194"/>
        <v>2</v>
      </c>
      <c r="CB167" s="5">
        <f t="shared" si="163"/>
        <v>-0.53315151165699848</v>
      </c>
      <c r="CC167" s="5">
        <f t="shared" si="164"/>
        <v>-1.703041521458724</v>
      </c>
      <c r="CD167" s="2">
        <f t="shared" si="165"/>
        <v>-0.60267977350639201</v>
      </c>
      <c r="CE167" s="69">
        <f t="shared" si="166"/>
        <v>7</v>
      </c>
      <c r="CF167" s="5">
        <v>10700</v>
      </c>
      <c r="CG167" s="5">
        <v>-2.9172867959549622</v>
      </c>
      <c r="CH167" s="72">
        <f t="shared" si="195"/>
        <v>-0.115050907525442</v>
      </c>
      <c r="CI167" s="72">
        <f t="shared" si="196"/>
        <v>-1</v>
      </c>
      <c r="CJ167" s="5">
        <f t="shared" si="167"/>
        <v>0.10039930905297356</v>
      </c>
      <c r="CK167" s="5">
        <f t="shared" si="168"/>
        <v>-2.9172867959549622</v>
      </c>
      <c r="CL167" s="69">
        <f t="shared" si="169"/>
        <v>4</v>
      </c>
      <c r="CM167" s="5">
        <v>-1.4322831231357021</v>
      </c>
      <c r="CN167" s="70">
        <f t="shared" si="170"/>
        <v>1.202545508815041</v>
      </c>
      <c r="CO167" s="5">
        <f t="shared" si="171"/>
        <v>1.202545508815041</v>
      </c>
      <c r="CP167" s="5">
        <f>IF(G167&lt;48,"UF", IF(NOT(ISBLANK(CM:CM)), CM:CM, IF(BW:BW=1, BV:BV+Sheet2!B148, IF(Sheet1!BW:BW=2, Sheet1!BV:BV+Sheet2!B149, IF(Sheet1!BW:BW=7, Sheet1!BV:BV+Sheet2!B150,"")))))</f>
        <v>-1.4322831231357021</v>
      </c>
      <c r="CQ167" s="69">
        <f t="shared" si="197"/>
        <v>7</v>
      </c>
      <c r="CR167" s="5">
        <v>93.4</v>
      </c>
      <c r="CS167" s="5">
        <v>-2.1666647712663289</v>
      </c>
      <c r="CT167" s="5">
        <f t="shared" si="172"/>
        <v>-0.46362324980760494</v>
      </c>
      <c r="CU167" s="80">
        <f t="shared" si="173"/>
        <v>-0.46362324980760494</v>
      </c>
      <c r="CV167" s="80">
        <f t="shared" si="174"/>
        <v>-1</v>
      </c>
      <c r="CW167" s="20">
        <f>IF(G167&lt;48,"UF", IF(NOT(ISBLANK(CS167)), CS167, IF(CE167=5, CC167+Sheet2!B137, IF(CE167=6, CC167+Sheet2!B138, IF(CE167=7, CC167+Sheet2!B139,"")))))</f>
        <v>-2.1666647712663289</v>
      </c>
      <c r="CX167" s="68">
        <f t="shared" si="198"/>
        <v>6</v>
      </c>
      <c r="CY167" s="5">
        <v>12400</v>
      </c>
      <c r="CZ167" s="5">
        <v>-2.6014372703235731</v>
      </c>
      <c r="DA167" s="5">
        <f t="shared" si="175"/>
        <v>0.31584952563138913</v>
      </c>
      <c r="DB167" s="73">
        <f t="shared" si="176"/>
        <v>0.31584952563138913</v>
      </c>
      <c r="DC167" s="73">
        <f t="shared" si="177"/>
        <v>1</v>
      </c>
      <c r="DD167" s="5">
        <f>IF(G167&lt;48,"UF", IF(NOT(ISBLANK(CZ:CZ)), CZ:CZ, IF(CL:CL=3, CK:CK+Sheet2!B142, IF(CL:CL=4, CK:CK+Sheet2!B143, IF(CL:CL=7, CK:CK+Sheet2!B144,"")))))</f>
        <v>-2.6014372703235731</v>
      </c>
      <c r="DE167" s="69">
        <f t="shared" si="201"/>
        <v>4</v>
      </c>
      <c r="DF167" s="2">
        <v>1</v>
      </c>
      <c r="DG167" s="2">
        <v>37</v>
      </c>
      <c r="DH167" s="2">
        <v>1</v>
      </c>
      <c r="DI167" s="2">
        <v>2</v>
      </c>
      <c r="DJ167" s="2">
        <v>3</v>
      </c>
      <c r="DK167" s="2" t="s">
        <v>12</v>
      </c>
      <c r="DL167" s="2" t="s">
        <v>12</v>
      </c>
      <c r="DM167" s="2" t="s">
        <v>12</v>
      </c>
      <c r="DN167" s="2" t="s">
        <v>12</v>
      </c>
      <c r="DO167" s="2" t="s">
        <v>12</v>
      </c>
      <c r="DP167" s="2" t="s">
        <v>12</v>
      </c>
      <c r="DQ167" s="2">
        <v>2</v>
      </c>
      <c r="DR167" s="2">
        <v>28</v>
      </c>
      <c r="DS167" s="2">
        <v>2</v>
      </c>
      <c r="DT167" s="2" t="s">
        <v>12</v>
      </c>
      <c r="DU167" s="2">
        <v>87</v>
      </c>
      <c r="DV167" s="2">
        <v>2</v>
      </c>
      <c r="DW167" s="2">
        <v>3</v>
      </c>
      <c r="DX167" s="2">
        <v>2</v>
      </c>
      <c r="DY167" s="2">
        <v>3</v>
      </c>
      <c r="DZ167" s="2">
        <v>29</v>
      </c>
      <c r="EA167" s="2" t="s">
        <v>12</v>
      </c>
      <c r="EB167" s="2" t="s">
        <v>12</v>
      </c>
      <c r="EC167" s="2">
        <v>2</v>
      </c>
      <c r="ED167" s="2" t="s">
        <v>12</v>
      </c>
    </row>
    <row r="168" spans="2:134" x14ac:dyDescent="0.25">
      <c r="C168" s="8" t="s">
        <v>354</v>
      </c>
      <c r="D168" s="2">
        <v>2501016548</v>
      </c>
      <c r="E168" s="5">
        <v>7</v>
      </c>
      <c r="F168" s="2">
        <v>1</v>
      </c>
      <c r="G168" s="2">
        <v>51</v>
      </c>
      <c r="H168" s="2">
        <v>-1.2935446016266849</v>
      </c>
      <c r="I168" s="2">
        <v>52</v>
      </c>
      <c r="J168" s="2">
        <v>1.531272843240846</v>
      </c>
      <c r="K168" s="2">
        <v>3200</v>
      </c>
      <c r="L168" s="2">
        <v>-7.0518060756779827E-2</v>
      </c>
      <c r="M168" s="2">
        <v>2.0243000000000002</v>
      </c>
      <c r="N168" s="2">
        <f t="shared" si="137"/>
        <v>1.2945723008133425</v>
      </c>
      <c r="O168" s="2">
        <f t="shared" si="138"/>
        <v>2.0243000000000002</v>
      </c>
      <c r="P168" s="2">
        <v>66.5</v>
      </c>
      <c r="Q168" s="2">
        <v>0.33</v>
      </c>
      <c r="R168" s="5">
        <f t="shared" si="139"/>
        <v>-0.67063642162042303</v>
      </c>
      <c r="S168" s="5">
        <f t="shared" si="140"/>
        <v>0.33</v>
      </c>
      <c r="T168" s="2">
        <v>9000</v>
      </c>
      <c r="U168" s="2">
        <v>1.7</v>
      </c>
      <c r="V168" s="2">
        <f t="shared" si="141"/>
        <v>0.56525903037838998</v>
      </c>
      <c r="W168" s="2">
        <f t="shared" si="142"/>
        <v>1.7</v>
      </c>
      <c r="X168" s="2">
        <v>1.2956000000000001</v>
      </c>
      <c r="Y168" s="76">
        <f t="shared" si="179"/>
        <v>2.589144601626685</v>
      </c>
      <c r="Z168" s="76">
        <f t="shared" si="180"/>
        <v>2</v>
      </c>
      <c r="AA168" s="2">
        <f t="shared" si="143"/>
        <v>0.1636</v>
      </c>
      <c r="AB168" s="2">
        <f t="shared" si="144"/>
        <v>1.2956000000000001</v>
      </c>
      <c r="AC168" s="2">
        <v>74.5</v>
      </c>
      <c r="AD168" s="2">
        <v>0.19</v>
      </c>
      <c r="AE168" s="79">
        <f t="shared" si="181"/>
        <v>-1.3412728432408461</v>
      </c>
      <c r="AF168" s="79">
        <f t="shared" si="182"/>
        <v>-2</v>
      </c>
      <c r="AG168" s="2">
        <f t="shared" si="200"/>
        <v>-0.42500000000000004</v>
      </c>
      <c r="AH168" s="2">
        <f t="shared" si="145"/>
        <v>0.19</v>
      </c>
      <c r="AI168" s="2">
        <v>10200</v>
      </c>
      <c r="AJ168" s="2">
        <v>1.06</v>
      </c>
      <c r="AK168" s="76">
        <f t="shared" si="183"/>
        <v>1.13051806075678</v>
      </c>
      <c r="AL168" s="76">
        <f t="shared" si="184"/>
        <v>2</v>
      </c>
      <c r="AM168" s="2">
        <f t="shared" si="146"/>
        <v>-0.76500000000000001</v>
      </c>
      <c r="AN168" s="2">
        <f t="shared" si="147"/>
        <v>1.06</v>
      </c>
      <c r="AO168" s="2">
        <v>0.65720000000000001</v>
      </c>
      <c r="AP168" s="2">
        <f t="shared" si="148"/>
        <v>-0.71345873315757191</v>
      </c>
      <c r="AQ168" s="2">
        <f t="shared" si="149"/>
        <v>0.65720000000000001</v>
      </c>
      <c r="AR168" s="2">
        <v>79.2</v>
      </c>
      <c r="AS168" s="2">
        <v>-0.52</v>
      </c>
      <c r="AT168" s="2">
        <f t="shared" si="150"/>
        <v>-0.36671962069761843</v>
      </c>
      <c r="AU168" s="2">
        <f t="shared" si="151"/>
        <v>-0.52</v>
      </c>
      <c r="AV168" s="2">
        <v>10450</v>
      </c>
      <c r="AW168" s="2">
        <v>0.17</v>
      </c>
      <c r="AX168" s="2">
        <f t="shared" si="152"/>
        <v>-0.8696990702329952</v>
      </c>
      <c r="AY168" s="2">
        <f t="shared" si="153"/>
        <v>0.17</v>
      </c>
      <c r="AZ168" s="2">
        <v>-0.13131746631514371</v>
      </c>
      <c r="BA168" s="78">
        <f t="shared" si="185"/>
        <v>-1.4269174663151438</v>
      </c>
      <c r="BB168" s="78">
        <f t="shared" si="186"/>
        <v>-2</v>
      </c>
      <c r="BC168" s="2">
        <f t="shared" si="154"/>
        <v>-0.26625813601448661</v>
      </c>
      <c r="BD168" s="2">
        <f t="shared" si="155"/>
        <v>-0.13131746631514371</v>
      </c>
      <c r="BE168" s="67">
        <f t="shared" si="187"/>
        <v>7</v>
      </c>
      <c r="BF168" s="2">
        <v>83.5</v>
      </c>
      <c r="BG168" s="2">
        <v>-0.54343924139523681</v>
      </c>
      <c r="BH168" s="2">
        <f t="shared" si="156"/>
        <v>-5.6672288450037391E-2</v>
      </c>
      <c r="BI168" s="2">
        <f t="shared" si="157"/>
        <v>-0.54343924139523681</v>
      </c>
      <c r="BJ168" s="67">
        <f t="shared" si="158"/>
        <v>7</v>
      </c>
      <c r="BK168" s="2">
        <v>11300</v>
      </c>
      <c r="BL168" s="2">
        <v>-0.67939814046599045</v>
      </c>
      <c r="BM168" s="77">
        <f t="shared" si="188"/>
        <v>-1.7393981404659904</v>
      </c>
      <c r="BN168" s="77">
        <f t="shared" si="189"/>
        <v>-2</v>
      </c>
      <c r="BO168" s="2">
        <f t="shared" si="159"/>
        <v>-0.25878309304188224</v>
      </c>
      <c r="BP168" s="2">
        <f t="shared" si="160"/>
        <v>-0.67939814046599045</v>
      </c>
      <c r="BQ168" s="67">
        <f t="shared" si="190"/>
        <v>7</v>
      </c>
      <c r="BR168" s="5">
        <v>-0.1415744080434598</v>
      </c>
      <c r="BS168" s="75">
        <f t="shared" si="191"/>
        <v>-1.0256941728316094E-2</v>
      </c>
      <c r="BT168" s="75">
        <f t="shared" si="192"/>
        <v>-1</v>
      </c>
      <c r="BU168" s="5">
        <f>IF(G175&gt;=36, IF(AND(NOT(ISBLANK(CM:CM)), NOT(ISBLANK(BD:BD))), (CM:CM-BD:BD)/2, ""), "UF")</f>
        <v>0.13269213989180012</v>
      </c>
      <c r="BV168" s="5">
        <f t="shared" si="161"/>
        <v>-0.1415744080434598</v>
      </c>
      <c r="BW168" s="69">
        <f t="shared" si="162"/>
        <v>7</v>
      </c>
      <c r="BX168" s="2">
        <v>91.5</v>
      </c>
      <c r="BY168" s="5">
        <v>-0.6900168653501122</v>
      </c>
      <c r="BZ168" s="74">
        <f t="shared" si="193"/>
        <v>-1.0618724884121744E-2</v>
      </c>
      <c r="CA168" s="74">
        <f t="shared" si="194"/>
        <v>-1</v>
      </c>
      <c r="CB168" s="5">
        <f t="shared" si="163"/>
        <v>-0.25620898010849807</v>
      </c>
      <c r="CC168" s="5">
        <f t="shared" si="164"/>
        <v>-0.6900168653501122</v>
      </c>
      <c r="CD168" s="2">
        <f t="shared" si="165"/>
        <v>-0.14657762395487539</v>
      </c>
      <c r="CE168" s="69">
        <f t="shared" si="166"/>
        <v>7</v>
      </c>
      <c r="CF168" s="5">
        <v>13000</v>
      </c>
      <c r="CG168" s="5">
        <v>-0.60634927912564673</v>
      </c>
      <c r="CH168" s="72">
        <f t="shared" si="195"/>
        <v>7.3048861340343718E-2</v>
      </c>
      <c r="CI168" s="72">
        <f t="shared" si="196"/>
        <v>1</v>
      </c>
      <c r="CJ168" s="5">
        <f t="shared" si="167"/>
        <v>-5.3173776944914652E-2</v>
      </c>
      <c r="CK168" s="5">
        <f t="shared" si="168"/>
        <v>-0.60634927912564673</v>
      </c>
      <c r="CL168" s="69">
        <f t="shared" si="169"/>
        <v>7</v>
      </c>
      <c r="CM168" s="5">
        <v>0.1340668134684565</v>
      </c>
      <c r="CN168" s="70">
        <f t="shared" si="170"/>
        <v>0.27564122151191628</v>
      </c>
      <c r="CO168" s="5">
        <f t="shared" si="171"/>
        <v>0.27564122151191628</v>
      </c>
      <c r="CP168" s="5">
        <f>IF(G168&lt;48,"UF", IF(NOT(ISBLANK(CM:CM)), CM:CM, IF(BW:BW=1, BV:BV+Sheet2!B591, IF(Sheet1!BW:BW=2, Sheet1!BV:BV+Sheet2!B592, IF(Sheet1!BW:BW=7, Sheet1!BV:BV+Sheet2!B593,"")))))</f>
        <v>0.1340668134684565</v>
      </c>
      <c r="CQ168" s="69">
        <f t="shared" si="197"/>
        <v>7</v>
      </c>
      <c r="CR168" s="5">
        <v>96.5</v>
      </c>
      <c r="CS168" s="5">
        <v>-1.055857201612233</v>
      </c>
      <c r="CT168" s="5">
        <f t="shared" si="172"/>
        <v>-0.36584033626212076</v>
      </c>
      <c r="CU168" s="80">
        <f t="shared" si="173"/>
        <v>-0.36584033626212076</v>
      </c>
      <c r="CV168" s="80">
        <f t="shared" si="174"/>
        <v>-1</v>
      </c>
      <c r="CW168" s="20">
        <f>IF(G168&lt;48,"UF", IF(NOT(ISBLANK(CS168)), CS168, IF(CE168=5, CC168+Sheet2!B580, IF(CE168=6, CC168+Sheet2!B581, IF(CE168=7, CC168+Sheet2!B582,"")))))</f>
        <v>-1.055857201612233</v>
      </c>
      <c r="CX168" s="68">
        <f t="shared" si="198"/>
        <v>7</v>
      </c>
      <c r="CY168" s="5">
        <v>14400</v>
      </c>
      <c r="CZ168" s="5">
        <v>-0.78574569435581976</v>
      </c>
      <c r="DA168" s="5">
        <f t="shared" si="175"/>
        <v>-0.17939641523017302</v>
      </c>
      <c r="DB168" s="73">
        <f t="shared" si="176"/>
        <v>-0.17939641523017302</v>
      </c>
      <c r="DC168" s="73">
        <f t="shared" si="177"/>
        <v>-1</v>
      </c>
      <c r="DD168" s="5">
        <f>IF(G168&lt;48,"UF", IF(NOT(ISBLANK(CZ:CZ)), CZ:CZ, IF(CL:CL=3, CK:CK+Sheet2!B585, IF(CL:CL=4, CK:CK+Sheet2!B586, IF(CL:CL=7, CK:CK+Sheet2!B587,"")))))</f>
        <v>-0.78574569435581976</v>
      </c>
      <c r="DE168" s="69">
        <f t="shared" si="201"/>
        <v>7</v>
      </c>
      <c r="DF168" s="2">
        <v>2</v>
      </c>
      <c r="DG168" s="2">
        <v>32</v>
      </c>
      <c r="DH168" s="2">
        <v>1</v>
      </c>
      <c r="DI168" s="2">
        <v>2</v>
      </c>
      <c r="DJ168" s="2">
        <v>2</v>
      </c>
      <c r="DK168" s="2">
        <v>112</v>
      </c>
      <c r="DL168" s="2">
        <v>80</v>
      </c>
      <c r="DM168" s="2">
        <v>100</v>
      </c>
      <c r="DN168" s="2">
        <v>60</v>
      </c>
      <c r="DO168" s="2">
        <v>100</v>
      </c>
      <c r="DP168" s="2">
        <v>55</v>
      </c>
      <c r="DQ168" s="2">
        <v>1</v>
      </c>
      <c r="DR168" s="2">
        <v>39</v>
      </c>
      <c r="DS168" s="2">
        <v>1</v>
      </c>
      <c r="DT168" s="2">
        <v>83</v>
      </c>
      <c r="DU168" s="2">
        <v>86.5</v>
      </c>
      <c r="DV168" s="2">
        <v>2</v>
      </c>
      <c r="DW168" s="2">
        <v>2</v>
      </c>
      <c r="DX168" s="2">
        <v>2</v>
      </c>
      <c r="DY168" s="2">
        <v>2</v>
      </c>
      <c r="DZ168" s="2">
        <v>34</v>
      </c>
      <c r="EA168" s="2">
        <v>35</v>
      </c>
      <c r="EB168" s="2">
        <v>45</v>
      </c>
      <c r="EC168" s="2">
        <v>1</v>
      </c>
      <c r="ED168" s="2">
        <v>1</v>
      </c>
    </row>
    <row r="169" spans="2:134" x14ac:dyDescent="0.25">
      <c r="C169" s="5" t="s">
        <v>31</v>
      </c>
      <c r="D169" s="2">
        <v>2501016769</v>
      </c>
      <c r="E169" s="5" t="s">
        <v>535</v>
      </c>
      <c r="F169" s="2">
        <v>1</v>
      </c>
      <c r="G169" s="2">
        <v>49</v>
      </c>
      <c r="H169" s="2">
        <v>-1.5110027127012691</v>
      </c>
      <c r="I169" s="2">
        <v>50</v>
      </c>
      <c r="J169" s="2">
        <v>0.45756143734440202</v>
      </c>
      <c r="K169" s="5">
        <v>2900</v>
      </c>
      <c r="L169" s="2">
        <v>-0.74971937445688897</v>
      </c>
      <c r="M169" s="2">
        <v>-2.7967</v>
      </c>
      <c r="N169" s="2">
        <f t="shared" si="137"/>
        <v>-0.29579864364936537</v>
      </c>
      <c r="O169" s="2">
        <f t="shared" si="138"/>
        <v>-2.7967</v>
      </c>
      <c r="P169" s="2">
        <v>68</v>
      </c>
      <c r="Q169" s="2">
        <v>0.99</v>
      </c>
      <c r="R169" s="5">
        <f t="shared" si="139"/>
        <v>0.156219281327799</v>
      </c>
      <c r="S169" s="5">
        <f t="shared" si="140"/>
        <v>0.99</v>
      </c>
      <c r="T169" s="1">
        <v>6100</v>
      </c>
      <c r="U169" s="2">
        <v>-1.48</v>
      </c>
      <c r="V169" s="2">
        <f t="shared" si="141"/>
        <v>-0.14014031277155553</v>
      </c>
      <c r="W169" s="2">
        <f t="shared" si="142"/>
        <v>-1.48</v>
      </c>
      <c r="X169" s="2">
        <v>-2.1025999999999998</v>
      </c>
      <c r="Y169" s="76">
        <f t="shared" si="179"/>
        <v>-0.59159728729873073</v>
      </c>
      <c r="Z169" s="76">
        <f t="shared" si="180"/>
        <v>-1</v>
      </c>
      <c r="AA169" s="2" t="str">
        <f t="shared" si="143"/>
        <v/>
      </c>
      <c r="AB169" s="2">
        <f t="shared" si="144"/>
        <v>-2.1025999999999998</v>
      </c>
      <c r="AC169" s="2">
        <v>76</v>
      </c>
      <c r="AD169" s="2">
        <v>0.77</v>
      </c>
      <c r="AE169" s="79">
        <f t="shared" si="181"/>
        <v>0.312438562655598</v>
      </c>
      <c r="AF169" s="79">
        <f t="shared" si="182"/>
        <v>1</v>
      </c>
      <c r="AG169" s="2" t="str">
        <f t="shared" si="200"/>
        <v/>
      </c>
      <c r="AH169" s="2">
        <f t="shared" si="145"/>
        <v>0.77</v>
      </c>
      <c r="AI169" s="2">
        <v>7900</v>
      </c>
      <c r="AJ169" s="2">
        <v>-1.03</v>
      </c>
      <c r="AK169" s="76">
        <f t="shared" si="183"/>
        <v>-0.28028062554311106</v>
      </c>
      <c r="AL169" s="76">
        <f t="shared" si="184"/>
        <v>-1</v>
      </c>
      <c r="AM169" s="2">
        <f t="shared" si="146"/>
        <v>0.41499999999999998</v>
      </c>
      <c r="AN169" s="2">
        <f t="shared" si="147"/>
        <v>-1.03</v>
      </c>
      <c r="AP169" s="2">
        <f t="shared" si="148"/>
        <v>-0.38875821875440963</v>
      </c>
      <c r="AQ169" s="2">
        <f t="shared" si="149"/>
        <v>-2.4913582187544092</v>
      </c>
      <c r="AR169" s="2" t="s">
        <v>12</v>
      </c>
      <c r="AT169" s="2">
        <f t="shared" si="150"/>
        <v>-1.176051204878692E-2</v>
      </c>
      <c r="AU169" s="2">
        <f t="shared" si="151"/>
        <v>0.7582394879512131</v>
      </c>
      <c r="AV169" s="2" t="s">
        <v>12</v>
      </c>
      <c r="AW169" s="2">
        <v>-0.65</v>
      </c>
      <c r="AX169" s="2">
        <f t="shared" si="152"/>
        <v>-0.34597586695671845</v>
      </c>
      <c r="AY169" s="2">
        <f t="shared" si="153"/>
        <v>-0.65</v>
      </c>
      <c r="AZ169" s="2">
        <v>-2.8801164375088191</v>
      </c>
      <c r="BA169" s="78">
        <f t="shared" si="185"/>
        <v>-0.77751643750881927</v>
      </c>
      <c r="BB169" s="78">
        <f t="shared" si="186"/>
        <v>-2</v>
      </c>
      <c r="BC169" s="2">
        <f t="shared" si="154"/>
        <v>-1.2182395891103177</v>
      </c>
      <c r="BD169" s="2">
        <f t="shared" si="155"/>
        <v>-2.8801164375088191</v>
      </c>
      <c r="BE169" s="67">
        <f t="shared" si="187"/>
        <v>2</v>
      </c>
      <c r="BF169" s="2">
        <v>88</v>
      </c>
      <c r="BG169" s="2">
        <v>0.74647897590242618</v>
      </c>
      <c r="BH169" s="2">
        <f t="shared" si="156"/>
        <v>6.3227465410223394E-2</v>
      </c>
      <c r="BI169" s="2">
        <f t="shared" si="157"/>
        <v>0.74647897590242618</v>
      </c>
      <c r="BJ169" s="67">
        <f t="shared" si="158"/>
        <v>7</v>
      </c>
      <c r="BK169" s="2">
        <v>10200</v>
      </c>
      <c r="BL169" s="2">
        <v>-1.7219517339134369</v>
      </c>
      <c r="BM169" s="77">
        <f t="shared" si="188"/>
        <v>-0.69195173391343689</v>
      </c>
      <c r="BN169" s="77">
        <f t="shared" si="189"/>
        <v>-2</v>
      </c>
      <c r="BO169" s="2">
        <f t="shared" si="159"/>
        <v>-0.59730967384004263</v>
      </c>
      <c r="BP169" s="2">
        <f t="shared" si="160"/>
        <v>-1.7219517339134369</v>
      </c>
      <c r="BQ169" s="67">
        <f t="shared" si="190"/>
        <v>7</v>
      </c>
      <c r="BR169" s="5">
        <v>-6.1460769860853626</v>
      </c>
      <c r="BS169" s="75">
        <f t="shared" si="191"/>
        <v>-3.2659605485765435</v>
      </c>
      <c r="BT169" s="75">
        <f t="shared" si="192"/>
        <v>-2</v>
      </c>
      <c r="BU169" s="5" t="e">
        <f>IF(#REF!&gt;=36, IF(AND(NOT(ISBLANK(CM:CM)), NOT(ISBLANK(BD:BD))), (CM:CM-BD:BD)/2, ""), "UF")</f>
        <v>#REF!</v>
      </c>
      <c r="BV169" s="5">
        <f t="shared" si="161"/>
        <v>-6.1460769860853626</v>
      </c>
      <c r="BW169" s="69">
        <f t="shared" si="162"/>
        <v>1</v>
      </c>
      <c r="BX169" s="2">
        <v>98</v>
      </c>
      <c r="BY169" s="5">
        <v>0.94792188418188328</v>
      </c>
      <c r="BZ169" s="74">
        <f t="shared" si="193"/>
        <v>2.6698736180953202</v>
      </c>
      <c r="CA169" s="74">
        <f t="shared" si="194"/>
        <v>2</v>
      </c>
      <c r="CB169" s="5">
        <f t="shared" si="163"/>
        <v>-0.37712116245827293</v>
      </c>
      <c r="CC169" s="5">
        <f t="shared" si="164"/>
        <v>0.94792188418188328</v>
      </c>
      <c r="CD169" s="2">
        <f t="shared" si="165"/>
        <v>0.2014429082794571</v>
      </c>
      <c r="CE169" s="69">
        <f t="shared" si="166"/>
        <v>7</v>
      </c>
      <c r="CF169" s="5">
        <v>10800</v>
      </c>
      <c r="CG169" s="5">
        <v>-2.4419290215201279</v>
      </c>
      <c r="CH169" s="72">
        <f t="shared" si="195"/>
        <v>-0.719977287606691</v>
      </c>
      <c r="CI169" s="72">
        <f t="shared" si="196"/>
        <v>-2</v>
      </c>
      <c r="CJ169" s="5">
        <f t="shared" si="167"/>
        <v>-6.9590473126340036E-2</v>
      </c>
      <c r="CK169" s="5">
        <f t="shared" si="168"/>
        <v>-2.4419290215201279</v>
      </c>
      <c r="CL169" s="69">
        <f t="shared" si="169"/>
        <v>4</v>
      </c>
      <c r="CM169" s="5">
        <v>-3.447190274737427</v>
      </c>
      <c r="CN169" s="70">
        <f t="shared" si="170"/>
        <v>2.6988867113479356</v>
      </c>
      <c r="CO169" s="5">
        <f t="shared" si="171"/>
        <v>2.6988867113479356</v>
      </c>
      <c r="CP169" s="5">
        <f>IF(G169&lt;48,"UF", IF(NOT(ISBLANK(CM:CM)), CM:CM, IF(BW:BW=1, BV:BV+Sheet2!B25, IF(Sheet1!BW:BW=2, Sheet1!BV:BV+Sheet2!B26, IF(Sheet1!BW:BW=7, Sheet1!BV:BV+Sheet2!B27,"")))))</f>
        <v>-3.447190274737427</v>
      </c>
      <c r="CQ169" s="69">
        <f t="shared" si="197"/>
        <v>1</v>
      </c>
      <c r="CR169" s="5">
        <v>101</v>
      </c>
      <c r="CS169" s="5">
        <v>-7.7633490141196491E-3</v>
      </c>
      <c r="CT169" s="5">
        <f t="shared" si="172"/>
        <v>-0.95568523319600296</v>
      </c>
      <c r="CU169" s="80">
        <f t="shared" si="173"/>
        <v>-0.95568523319600296</v>
      </c>
      <c r="CV169" s="80">
        <f t="shared" si="174"/>
        <v>-2</v>
      </c>
      <c r="CW169" s="20">
        <f>IF(G169&lt;48,"UF", IF(NOT(ISBLANK(CS169)), CS169, IF(CE169=5, CC169+Sheet2!B14, IF(CE169=6, CC169+Sheet2!B15, IF(CE169=7, CC169+Sheet2!B16,"")))))</f>
        <v>-7.7633490141196491E-3</v>
      </c>
      <c r="CX169" s="68">
        <f t="shared" si="198"/>
        <v>7</v>
      </c>
      <c r="CY169" s="5">
        <v>12800</v>
      </c>
      <c r="CZ169" s="5">
        <v>-1.861132680166117</v>
      </c>
      <c r="DA169" s="5">
        <f t="shared" si="175"/>
        <v>0.58079634135401093</v>
      </c>
      <c r="DB169" s="73">
        <f t="shared" si="176"/>
        <v>0.58079634135401093</v>
      </c>
      <c r="DC169" s="73">
        <f t="shared" si="177"/>
        <v>1</v>
      </c>
      <c r="DD169" s="5">
        <f>IF(G169&lt;48,"UF", IF(NOT(ISBLANK(CZ:CZ)), CZ:CZ, IF(CL:CL=3, CK:CK+Sheet2!B19, IF(CL:CL=4, CK:CK+Sheet2!B20, IF(CL:CL=7, CK:CK+Sheet2!B21,"")))))</f>
        <v>-1.861132680166117</v>
      </c>
      <c r="DE169" s="69">
        <f t="shared" si="201"/>
        <v>7</v>
      </c>
      <c r="DF169" s="2">
        <v>1</v>
      </c>
      <c r="DG169" s="2">
        <v>29</v>
      </c>
      <c r="DH169" s="2">
        <v>2</v>
      </c>
      <c r="DI169" s="2">
        <v>2</v>
      </c>
      <c r="DJ169" s="2">
        <v>3</v>
      </c>
      <c r="DK169" s="2" t="s">
        <v>12</v>
      </c>
      <c r="DL169" s="2" t="s">
        <v>12</v>
      </c>
      <c r="DM169" s="2" t="s">
        <v>12</v>
      </c>
      <c r="DN169" s="2" t="s">
        <v>12</v>
      </c>
      <c r="DO169" s="2" t="s">
        <v>12</v>
      </c>
      <c r="DP169" s="2" t="s">
        <v>12</v>
      </c>
      <c r="DQ169" s="2">
        <v>1</v>
      </c>
      <c r="DR169" s="2">
        <v>39</v>
      </c>
      <c r="DS169" s="2">
        <v>3</v>
      </c>
      <c r="DT169" s="2" t="s">
        <v>12</v>
      </c>
      <c r="DU169" s="2" t="s">
        <v>12</v>
      </c>
      <c r="DV169" s="2">
        <v>2</v>
      </c>
      <c r="DW169" s="2">
        <v>2</v>
      </c>
      <c r="DX169" s="2">
        <v>2</v>
      </c>
      <c r="DY169" s="2">
        <v>2</v>
      </c>
      <c r="DZ169" s="2">
        <v>33</v>
      </c>
      <c r="EA169" s="2">
        <v>35</v>
      </c>
      <c r="EB169" s="2">
        <v>44</v>
      </c>
      <c r="EC169" s="2">
        <v>1</v>
      </c>
      <c r="ED169" s="2">
        <v>1</v>
      </c>
    </row>
    <row r="170" spans="2:134" x14ac:dyDescent="0.25">
      <c r="C170" s="2">
        <v>13991218</v>
      </c>
      <c r="D170" s="2">
        <v>2501016998</v>
      </c>
      <c r="E170" s="5" t="s">
        <v>528</v>
      </c>
      <c r="F170" s="2">
        <v>1</v>
      </c>
      <c r="G170" s="2">
        <v>51</v>
      </c>
      <c r="H170" s="2">
        <v>-1.0719314123951951</v>
      </c>
      <c r="I170" s="2">
        <v>49</v>
      </c>
      <c r="J170" s="2">
        <v>-7.9294265603816944E-2</v>
      </c>
      <c r="K170" s="5">
        <v>2900</v>
      </c>
      <c r="L170" s="2">
        <v>-0.74971937445688897</v>
      </c>
      <c r="M170" s="2">
        <v>-1.5708</v>
      </c>
      <c r="N170" s="2">
        <f t="shared" si="137"/>
        <v>5.9665706197597534E-2</v>
      </c>
      <c r="O170" s="2">
        <f t="shared" si="138"/>
        <v>-1.5708</v>
      </c>
      <c r="P170" s="2">
        <v>66</v>
      </c>
      <c r="Q170" s="2">
        <v>0.11</v>
      </c>
      <c r="R170" s="5">
        <f t="shared" si="139"/>
        <v>-0.44535286719809153</v>
      </c>
      <c r="S170" s="5">
        <f t="shared" si="140"/>
        <v>0.11</v>
      </c>
      <c r="T170" s="1">
        <v>6400</v>
      </c>
      <c r="U170" s="2">
        <v>-1.0900000000000001</v>
      </c>
      <c r="V170" s="2">
        <f t="shared" si="141"/>
        <v>-0.24514031277155551</v>
      </c>
      <c r="W170" s="2">
        <f t="shared" si="142"/>
        <v>-1.0900000000000001</v>
      </c>
      <c r="X170" s="2">
        <v>-0.9526</v>
      </c>
      <c r="Y170" s="76">
        <f t="shared" si="179"/>
        <v>0.11933141239519507</v>
      </c>
      <c r="Z170" s="76">
        <f t="shared" si="180"/>
        <v>1</v>
      </c>
      <c r="AA170" s="2">
        <f t="shared" si="143"/>
        <v>-0.67430000000000001</v>
      </c>
      <c r="AB170" s="2">
        <f t="shared" si="144"/>
        <v>-0.9526</v>
      </c>
      <c r="AC170" s="2">
        <v>71.5</v>
      </c>
      <c r="AD170" s="2">
        <v>-0.97</v>
      </c>
      <c r="AE170" s="79">
        <f t="shared" si="181"/>
        <v>-0.89070573439618306</v>
      </c>
      <c r="AF170" s="79">
        <f t="shared" si="182"/>
        <v>-2</v>
      </c>
      <c r="AG170" s="2">
        <f t="shared" si="200"/>
        <v>-0.69500000000000006</v>
      </c>
      <c r="AH170" s="2">
        <f t="shared" si="145"/>
        <v>-0.97</v>
      </c>
      <c r="AI170" s="2">
        <v>7700</v>
      </c>
      <c r="AJ170" s="2">
        <v>-1.24</v>
      </c>
      <c r="AK170" s="76">
        <f t="shared" si="183"/>
        <v>-0.49028062554311103</v>
      </c>
      <c r="AL170" s="76">
        <f t="shared" si="184"/>
        <v>-1</v>
      </c>
      <c r="AM170" s="2">
        <f t="shared" si="146"/>
        <v>-0.27999999999999992</v>
      </c>
      <c r="AN170" s="2">
        <f t="shared" si="147"/>
        <v>-1.24</v>
      </c>
      <c r="AO170" s="2">
        <v>-1.2385999999999999</v>
      </c>
      <c r="AP170" s="2" t="str">
        <f t="shared" si="148"/>
        <v/>
      </c>
      <c r="AQ170" s="2">
        <f t="shared" si="149"/>
        <v>-1.2385999999999999</v>
      </c>
      <c r="AR170" s="2">
        <v>77</v>
      </c>
      <c r="AS170" s="2">
        <v>-1.28</v>
      </c>
      <c r="AT170" s="2" t="str">
        <f t="shared" si="150"/>
        <v/>
      </c>
      <c r="AU170" s="2">
        <f t="shared" si="151"/>
        <v>-1.28</v>
      </c>
      <c r="AV170" s="2">
        <v>8400</v>
      </c>
      <c r="AW170" s="2">
        <v>-1.65</v>
      </c>
      <c r="AX170" s="2" t="str">
        <f t="shared" si="152"/>
        <v/>
      </c>
      <c r="AY170" s="2">
        <f t="shared" si="153"/>
        <v>-1.65</v>
      </c>
      <c r="BA170" s="78" t="e">
        <f t="shared" si="185"/>
        <v>#VALUE!</v>
      </c>
      <c r="BB170" s="78" t="e">
        <f t="shared" si="186"/>
        <v>#VALUE!</v>
      </c>
      <c r="BC170" s="2" t="str">
        <f t="shared" si="154"/>
        <v/>
      </c>
      <c r="BD170" s="2" t="e">
        <f t="shared" si="155"/>
        <v>#VALUE!</v>
      </c>
      <c r="BE170" s="67" t="e">
        <f t="shared" si="187"/>
        <v>#VALUE!</v>
      </c>
      <c r="BF170" s="2" t="s">
        <v>12</v>
      </c>
      <c r="BH170" s="2" t="str">
        <f t="shared" si="156"/>
        <v/>
      </c>
      <c r="BI170" s="2" t="e">
        <f t="shared" si="157"/>
        <v>#VALUE!</v>
      </c>
      <c r="BJ170" s="67" t="e">
        <f t="shared" si="158"/>
        <v>#VALUE!</v>
      </c>
      <c r="BK170" s="2" t="s">
        <v>12</v>
      </c>
      <c r="BM170" s="77" t="e">
        <f t="shared" si="188"/>
        <v>#VALUE!</v>
      </c>
      <c r="BN170" s="77" t="e">
        <f t="shared" si="189"/>
        <v>#VALUE!</v>
      </c>
      <c r="BO170" s="2" t="str">
        <f t="shared" si="159"/>
        <v/>
      </c>
      <c r="BP170" s="2" t="e">
        <f t="shared" si="160"/>
        <v>#VALUE!</v>
      </c>
      <c r="BQ170" s="67" t="e">
        <f t="shared" si="190"/>
        <v>#VALUE!</v>
      </c>
      <c r="BS170" s="75" t="e">
        <f t="shared" si="191"/>
        <v>#VALUE!</v>
      </c>
      <c r="BT170" s="75" t="e">
        <f t="shared" si="192"/>
        <v>#VALUE!</v>
      </c>
      <c r="BU170" s="5" t="e">
        <f>IF(G177&gt;=36, IF(AND(NOT(ISBLANK(CM:CM)), NOT(ISBLANK(BD:BD))), (CM:CM-BD:BD)/2, ""), "UF")</f>
        <v>#VALUE!</v>
      </c>
      <c r="BV170" s="5" t="e">
        <f t="shared" si="161"/>
        <v>#VALUE!</v>
      </c>
      <c r="BW170" s="69" t="e">
        <f t="shared" si="162"/>
        <v>#VALUE!</v>
      </c>
      <c r="BX170" s="2" t="s">
        <v>12</v>
      </c>
      <c r="BZ170" s="74" t="e">
        <f t="shared" si="193"/>
        <v>#VALUE!</v>
      </c>
      <c r="CA170" s="74" t="e">
        <f t="shared" si="194"/>
        <v>#VALUE!</v>
      </c>
      <c r="CB170" s="5" t="e">
        <f t="shared" si="163"/>
        <v>#VALUE!</v>
      </c>
      <c r="CC170" s="5" t="e">
        <f t="shared" si="164"/>
        <v>#VALUE!</v>
      </c>
      <c r="CD170" s="2" t="e">
        <f t="shared" si="165"/>
        <v>#VALUE!</v>
      </c>
      <c r="CE170" s="69" t="e">
        <f t="shared" si="166"/>
        <v>#VALUE!</v>
      </c>
      <c r="CF170" s="5" t="s">
        <v>12</v>
      </c>
      <c r="CH170" s="72" t="e">
        <f t="shared" si="195"/>
        <v>#VALUE!</v>
      </c>
      <c r="CI170" s="72" t="e">
        <f t="shared" si="196"/>
        <v>#VALUE!</v>
      </c>
      <c r="CJ170" s="5" t="e">
        <f t="shared" si="167"/>
        <v>#VALUE!</v>
      </c>
      <c r="CK170" s="5" t="e">
        <f t="shared" si="168"/>
        <v>#VALUE!</v>
      </c>
      <c r="CL170" s="69" t="e">
        <f t="shared" si="169"/>
        <v>#VALUE!</v>
      </c>
      <c r="CM170" s="5">
        <v>-1.2952462394840141</v>
      </c>
      <c r="CN170" s="70" t="e">
        <f t="shared" si="170"/>
        <v>#VALUE!</v>
      </c>
      <c r="CO170" s="5" t="e">
        <f t="shared" si="171"/>
        <v>#VALUE!</v>
      </c>
      <c r="CP170" s="5">
        <f>IF(G170&lt;48,"UF", IF(NOT(ISBLANK(CM:CM)), CM:CM, IF(BW:BW=1, BV:BV+Sheet2!B112, IF(Sheet1!BW:BW=2, Sheet1!BV:BV+Sheet2!B113, IF(Sheet1!BW:BW=7, Sheet1!BV:BV+Sheet2!B114,"")))))</f>
        <v>-1.2952462394840141</v>
      </c>
      <c r="CQ170" s="69">
        <f t="shared" si="197"/>
        <v>7</v>
      </c>
      <c r="CR170" s="5">
        <v>96</v>
      </c>
      <c r="CS170" s="5">
        <v>-1.1746334274447561</v>
      </c>
      <c r="CT170" s="5" t="e">
        <f t="shared" si="172"/>
        <v>#VALUE!</v>
      </c>
      <c r="CU170" s="80" t="e">
        <f t="shared" si="173"/>
        <v>#VALUE!</v>
      </c>
      <c r="CV170" s="80" t="e">
        <f t="shared" si="174"/>
        <v>#VALUE!</v>
      </c>
      <c r="CW170" s="20">
        <f>IF(G170&lt;48,"UF", IF(NOT(ISBLANK(CS170)), CS170, IF(CE170=5, CC170+Sheet2!B101, IF(CE170=6, CC170+Sheet2!B102, IF(CE170=7, CC170+Sheet2!B103,"")))))</f>
        <v>-1.1746334274447561</v>
      </c>
      <c r="CX170" s="68">
        <f t="shared" si="198"/>
        <v>7</v>
      </c>
      <c r="CY170" s="5">
        <v>12900</v>
      </c>
      <c r="CZ170" s="5">
        <v>-1.7853883933348811</v>
      </c>
      <c r="DA170" s="5" t="e">
        <f t="shared" si="175"/>
        <v>#VALUE!</v>
      </c>
      <c r="DB170" s="73" t="e">
        <f t="shared" si="176"/>
        <v>#VALUE!</v>
      </c>
      <c r="DC170" s="73" t="e">
        <f t="shared" si="177"/>
        <v>#VALUE!</v>
      </c>
      <c r="DD170" s="5">
        <f>IF(G170&lt;48,"UF", IF(NOT(ISBLANK(CZ:CZ)), CZ:CZ, IF(CL:CL=3, CK:CK+Sheet2!B106, IF(CL:CL=4, CK:CK+Sheet2!B107, IF(CL:CL=7, CK:CK+Sheet2!B108,"")))))</f>
        <v>-1.7853883933348811</v>
      </c>
      <c r="DE170" s="69">
        <f t="shared" si="201"/>
        <v>7</v>
      </c>
      <c r="DF170" s="2">
        <v>2</v>
      </c>
      <c r="DG170" s="2">
        <v>36</v>
      </c>
      <c r="DH170" s="2">
        <v>2</v>
      </c>
      <c r="DI170" s="2">
        <v>2</v>
      </c>
      <c r="DJ170" s="2">
        <v>2</v>
      </c>
      <c r="DK170" s="2">
        <v>106</v>
      </c>
      <c r="DL170" s="2">
        <v>66</v>
      </c>
      <c r="DM170" s="2">
        <v>100</v>
      </c>
      <c r="DN170" s="2">
        <v>60</v>
      </c>
      <c r="DO170" s="2">
        <v>110</v>
      </c>
      <c r="DP170" s="2">
        <v>70</v>
      </c>
      <c r="DQ170" s="2">
        <v>2</v>
      </c>
      <c r="DR170" s="2">
        <v>39</v>
      </c>
      <c r="DS170" s="2">
        <v>2</v>
      </c>
      <c r="DT170" s="2">
        <v>75</v>
      </c>
      <c r="DU170" s="2">
        <v>74</v>
      </c>
      <c r="DV170" s="2">
        <v>2</v>
      </c>
      <c r="DW170" s="2">
        <v>2</v>
      </c>
      <c r="DX170" s="2">
        <v>2</v>
      </c>
      <c r="DY170" s="2">
        <v>2</v>
      </c>
      <c r="DZ170" s="2">
        <v>34</v>
      </c>
      <c r="EA170" s="2" t="s">
        <v>12</v>
      </c>
      <c r="EB170" s="2">
        <v>43.5</v>
      </c>
      <c r="EC170" s="2" t="s">
        <v>12</v>
      </c>
      <c r="ED170" s="2">
        <v>1</v>
      </c>
    </row>
    <row r="171" spans="2:134" x14ac:dyDescent="0.25">
      <c r="C171" s="8" t="s">
        <v>133</v>
      </c>
      <c r="D171" s="2">
        <v>2501017188</v>
      </c>
      <c r="E171" s="5">
        <v>4</v>
      </c>
      <c r="F171" s="2">
        <v>2</v>
      </c>
      <c r="G171" s="2">
        <v>51</v>
      </c>
      <c r="H171" s="2">
        <v>-7.9763991796636393</v>
      </c>
      <c r="I171" s="2">
        <v>69</v>
      </c>
      <c r="J171" s="2">
        <v>10.097587706543001</v>
      </c>
      <c r="K171" s="5">
        <v>26000</v>
      </c>
      <c r="L171" s="2">
        <v>-1.654483181853698</v>
      </c>
      <c r="N171" s="2">
        <f t="shared" si="137"/>
        <v>3.9203495898318197</v>
      </c>
      <c r="O171" s="2">
        <f t="shared" si="138"/>
        <v>-4.0560495898318196</v>
      </c>
      <c r="P171" s="2" t="s">
        <v>12</v>
      </c>
      <c r="R171" s="5">
        <f t="shared" si="139"/>
        <v>-5.4137938532715006</v>
      </c>
      <c r="S171" s="5">
        <f t="shared" si="140"/>
        <v>4.6837938532715002</v>
      </c>
      <c r="T171" s="1" t="s">
        <v>12</v>
      </c>
      <c r="V171" s="2">
        <f t="shared" si="141"/>
        <v>0.562241590926849</v>
      </c>
      <c r="W171" s="2">
        <f t="shared" si="142"/>
        <v>-1.092241590926849</v>
      </c>
      <c r="X171" s="2">
        <v>-0.13569999999999999</v>
      </c>
      <c r="Y171" s="76">
        <f t="shared" si="179"/>
        <v>7.8406991796636394</v>
      </c>
      <c r="Z171" s="76">
        <f t="shared" si="180"/>
        <v>2</v>
      </c>
      <c r="AA171" s="2">
        <f t="shared" si="143"/>
        <v>-2.68054692663575</v>
      </c>
      <c r="AB171" s="2">
        <f t="shared" si="144"/>
        <v>-0.13569999999999999</v>
      </c>
      <c r="AC171" s="2">
        <v>74</v>
      </c>
      <c r="AD171" s="2">
        <v>-0.73</v>
      </c>
      <c r="AE171" s="79">
        <f t="shared" si="181"/>
        <v>-10.827587706543001</v>
      </c>
      <c r="AF171" s="79">
        <f t="shared" si="182"/>
        <v>-2</v>
      </c>
      <c r="AG171" s="2">
        <f t="shared" si="200"/>
        <v>-2.76189692663575</v>
      </c>
      <c r="AH171" s="2">
        <f t="shared" si="145"/>
        <v>-0.73</v>
      </c>
      <c r="AI171" s="2">
        <v>9100</v>
      </c>
      <c r="AJ171" s="2">
        <v>-0.53</v>
      </c>
      <c r="AK171" s="76">
        <f t="shared" si="183"/>
        <v>1.124483181853698</v>
      </c>
      <c r="AL171" s="76">
        <f t="shared" si="184"/>
        <v>2</v>
      </c>
      <c r="AM171" s="2">
        <f t="shared" si="146"/>
        <v>5.1120795463424518E-2</v>
      </c>
      <c r="AN171" s="2">
        <f t="shared" si="147"/>
        <v>-0.53</v>
      </c>
      <c r="AO171" s="2">
        <v>-0.67730000000000001</v>
      </c>
      <c r="AP171" s="2">
        <f t="shared" si="148"/>
        <v>1.3793439278667795E-2</v>
      </c>
      <c r="AQ171" s="2">
        <f t="shared" si="149"/>
        <v>-0.67730000000000001</v>
      </c>
      <c r="AR171" s="2">
        <v>80</v>
      </c>
      <c r="AS171" s="2">
        <v>-0.84</v>
      </c>
      <c r="AT171" s="2">
        <f t="shared" si="150"/>
        <v>-0.61247745727585101</v>
      </c>
      <c r="AU171" s="2">
        <f t="shared" si="151"/>
        <v>-0.84</v>
      </c>
      <c r="AV171" s="2">
        <v>9800</v>
      </c>
      <c r="AW171" s="2">
        <v>-0.99</v>
      </c>
      <c r="AX171" s="2">
        <f t="shared" si="152"/>
        <v>-0.64842284320353549</v>
      </c>
      <c r="AY171" s="2">
        <f t="shared" si="153"/>
        <v>-0.99</v>
      </c>
      <c r="AZ171" s="2">
        <v>-0.1081131214426644</v>
      </c>
      <c r="BA171" s="78">
        <f t="shared" si="185"/>
        <v>2.758687855733559E-2</v>
      </c>
      <c r="BB171" s="78">
        <f t="shared" si="186"/>
        <v>1</v>
      </c>
      <c r="BC171" s="2">
        <f t="shared" si="154"/>
        <v>-0.72163467129419434</v>
      </c>
      <c r="BD171" s="2">
        <f t="shared" si="155"/>
        <v>-0.1081131214426644</v>
      </c>
      <c r="BE171" s="67">
        <f t="shared" si="187"/>
        <v>7</v>
      </c>
      <c r="BF171" s="2">
        <v>80</v>
      </c>
      <c r="BG171" s="2">
        <v>-1.954954914551702</v>
      </c>
      <c r="BH171" s="2">
        <f t="shared" si="156"/>
        <v>-9.501948401108776E-3</v>
      </c>
      <c r="BI171" s="2">
        <f t="shared" si="157"/>
        <v>-1.954954914551702</v>
      </c>
      <c r="BJ171" s="67">
        <f t="shared" si="158"/>
        <v>7</v>
      </c>
      <c r="BK171" s="2">
        <v>10500</v>
      </c>
      <c r="BL171" s="2">
        <v>-1.826845686407071</v>
      </c>
      <c r="BM171" s="77">
        <f t="shared" si="188"/>
        <v>-1.296845686407071</v>
      </c>
      <c r="BN171" s="77">
        <f t="shared" si="189"/>
        <v>-2</v>
      </c>
      <c r="BO171" s="2">
        <f t="shared" si="159"/>
        <v>-0.45018177660833597</v>
      </c>
      <c r="BP171" s="2">
        <f t="shared" si="160"/>
        <v>-1.826845686407071</v>
      </c>
      <c r="BQ171" s="67">
        <f t="shared" si="190"/>
        <v>7</v>
      </c>
      <c r="BR171" s="5">
        <v>-2.8422040138825828</v>
      </c>
      <c r="BS171" s="75">
        <f t="shared" si="191"/>
        <v>-2.7340908924399185</v>
      </c>
      <c r="BT171" s="75">
        <f t="shared" si="192"/>
        <v>-2</v>
      </c>
      <c r="BU171" s="5">
        <f>IF(G179&gt;=36, IF(AND(NOT(ISBLANK(CM:CM)), NOT(ISBLANK(BD:BD))), (CM:CM-BD:BD)/2, ""), "UF")</f>
        <v>-0.72518879233728173</v>
      </c>
      <c r="BV171" s="5">
        <f t="shared" si="161"/>
        <v>-2.8422040138825828</v>
      </c>
      <c r="BW171" s="69">
        <f t="shared" si="162"/>
        <v>2</v>
      </c>
      <c r="BX171" s="2">
        <v>92</v>
      </c>
      <c r="BY171" s="5">
        <v>-0.8685058452033263</v>
      </c>
      <c r="BZ171" s="74">
        <f t="shared" si="193"/>
        <v>0.95833984120374471</v>
      </c>
      <c r="CA171" s="74">
        <f t="shared" si="194"/>
        <v>2</v>
      </c>
      <c r="CB171" s="5">
        <f t="shared" si="163"/>
        <v>0.20509833671629651</v>
      </c>
      <c r="CC171" s="5">
        <f t="shared" si="164"/>
        <v>-0.8685058452033263</v>
      </c>
      <c r="CD171" s="2">
        <f t="shared" si="165"/>
        <v>1.0864490693483757</v>
      </c>
      <c r="CE171" s="69">
        <f t="shared" si="166"/>
        <v>7</v>
      </c>
      <c r="CF171" s="5">
        <v>11300</v>
      </c>
      <c r="CG171" s="5">
        <v>-2.3405453298250078</v>
      </c>
      <c r="CH171" s="72">
        <f t="shared" si="195"/>
        <v>-0.51369964341793684</v>
      </c>
      <c r="CI171" s="72">
        <f t="shared" si="196"/>
        <v>-1</v>
      </c>
      <c r="CJ171" s="5">
        <f t="shared" si="167"/>
        <v>-0.13947958840072949</v>
      </c>
      <c r="CK171" s="5">
        <f t="shared" si="168"/>
        <v>-2.3405453298250078</v>
      </c>
      <c r="CL171" s="69">
        <f t="shared" si="169"/>
        <v>4</v>
      </c>
      <c r="CM171" s="5">
        <v>-1.558490706117228</v>
      </c>
      <c r="CN171" s="70">
        <f t="shared" si="170"/>
        <v>1.2837133077653549</v>
      </c>
      <c r="CO171" s="5">
        <f t="shared" si="171"/>
        <v>1.2837133077653549</v>
      </c>
      <c r="CP171" s="5">
        <f>IF(G171&lt;48,"UF", IF(NOT(ISBLANK(CM:CM)), CM:CM, IF(BW:BW=1, BV:BV+Sheet2!B182, IF(Sheet1!BW:BW=2, Sheet1!BV:BV+Sheet2!B183, IF(Sheet1!BW:BW=7, Sheet1!BV:BV+Sheet2!B184,"")))))</f>
        <v>-1.558490706117228</v>
      </c>
      <c r="CQ171" s="69">
        <f t="shared" si="197"/>
        <v>7</v>
      </c>
      <c r="CR171" s="5">
        <v>96</v>
      </c>
      <c r="CS171" s="5">
        <v>-1.544758241119109</v>
      </c>
      <c r="CT171" s="5">
        <f t="shared" si="172"/>
        <v>-0.67625239591578268</v>
      </c>
      <c r="CU171" s="80">
        <f t="shared" si="173"/>
        <v>-0.67625239591578268</v>
      </c>
      <c r="CV171" s="80">
        <f t="shared" si="174"/>
        <v>-2</v>
      </c>
      <c r="CW171" s="20">
        <f>IF(G171&lt;48,"UF", IF(NOT(ISBLANK(CS171)), CS171, IF(CE171=5, CC171+Sheet2!B171, IF(CE171=6, CC171+Sheet2!B172, IF(CE171=7, CC171+Sheet2!B173,"")))))</f>
        <v>-1.544758241119109</v>
      </c>
      <c r="CX171" s="68">
        <f t="shared" si="198"/>
        <v>7</v>
      </c>
      <c r="CY171" s="5">
        <v>13000</v>
      </c>
      <c r="CZ171" s="5">
        <v>-2.10580486320853</v>
      </c>
      <c r="DA171" s="5">
        <f t="shared" si="175"/>
        <v>0.23474046661647785</v>
      </c>
      <c r="DB171" s="73">
        <f t="shared" si="176"/>
        <v>0.23474046661647785</v>
      </c>
      <c r="DC171" s="73">
        <f t="shared" si="177"/>
        <v>1</v>
      </c>
      <c r="DD171" s="5">
        <f>IF(G171&lt;48,"UF", IF(NOT(ISBLANK(CZ:CZ)), CZ:CZ, IF(CL:CL=3, CK:CK+Sheet2!B176, IF(CL:CL=4, CK:CK+Sheet2!B177, IF(CL:CL=7, CK:CK+Sheet2!B178,"")))))</f>
        <v>-2.10580486320853</v>
      </c>
      <c r="DE171" s="69">
        <f t="shared" si="201"/>
        <v>4</v>
      </c>
      <c r="DF171" s="2">
        <v>2</v>
      </c>
      <c r="DG171" s="2">
        <v>28</v>
      </c>
      <c r="DH171" s="2">
        <v>1</v>
      </c>
      <c r="DI171" s="2">
        <v>2</v>
      </c>
      <c r="DJ171" s="2">
        <v>2</v>
      </c>
      <c r="DK171" s="2" t="s">
        <v>12</v>
      </c>
      <c r="DL171" s="2" t="s">
        <v>12</v>
      </c>
      <c r="DM171" s="2" t="s">
        <v>12</v>
      </c>
      <c r="DN171" s="2" t="s">
        <v>12</v>
      </c>
      <c r="DO171" s="2">
        <v>90</v>
      </c>
      <c r="DP171" s="2">
        <v>60</v>
      </c>
      <c r="DQ171" s="2">
        <v>2</v>
      </c>
      <c r="DR171" s="2">
        <v>38</v>
      </c>
      <c r="DS171" s="2">
        <v>1</v>
      </c>
      <c r="DT171" s="2">
        <v>95</v>
      </c>
      <c r="DU171" s="2">
        <v>97</v>
      </c>
      <c r="DV171" s="2">
        <v>2</v>
      </c>
      <c r="DW171" s="2">
        <v>2</v>
      </c>
      <c r="DX171" s="2">
        <v>3</v>
      </c>
      <c r="DY171" s="2">
        <v>2</v>
      </c>
      <c r="DZ171" s="2">
        <v>33</v>
      </c>
      <c r="EA171" s="2" t="s">
        <v>12</v>
      </c>
      <c r="EB171" s="2">
        <v>45</v>
      </c>
      <c r="EC171" s="2" t="s">
        <v>12</v>
      </c>
      <c r="ED171" s="2">
        <v>1</v>
      </c>
    </row>
    <row r="172" spans="2:134" x14ac:dyDescent="0.25">
      <c r="B172" s="2"/>
      <c r="C172" s="2" t="s">
        <v>408</v>
      </c>
      <c r="D172" s="2">
        <v>2501017552</v>
      </c>
      <c r="E172" s="5">
        <v>2</v>
      </c>
      <c r="F172" s="2">
        <v>2</v>
      </c>
      <c r="G172" s="2">
        <v>52</v>
      </c>
      <c r="H172">
        <v>0.36746741326793969</v>
      </c>
      <c r="I172" s="2">
        <v>48</v>
      </c>
      <c r="J172">
        <v>-0.99529637274036198</v>
      </c>
      <c r="K172" s="5">
        <v>3200</v>
      </c>
      <c r="L172" s="2">
        <v>-0.30398057951686752</v>
      </c>
      <c r="M172" s="2">
        <v>-1.3101558065450849</v>
      </c>
      <c r="N172" s="2">
        <f t="shared" si="137"/>
        <v>-1.3579915333243169</v>
      </c>
      <c r="O172" s="2">
        <f t="shared" si="138"/>
        <v>-1.3101558065450849</v>
      </c>
      <c r="P172" s="2">
        <v>67</v>
      </c>
      <c r="Q172" s="2">
        <v>-0.63504199143723494</v>
      </c>
      <c r="R172" s="5">
        <f t="shared" si="139"/>
        <v>0.84746032820241068</v>
      </c>
      <c r="S172" s="5">
        <f t="shared" si="140"/>
        <v>-0.63504199143723494</v>
      </c>
      <c r="T172" s="1">
        <v>7000</v>
      </c>
      <c r="U172" s="2">
        <v>-1.3376752364517379</v>
      </c>
      <c r="V172" s="2">
        <f t="shared" si="141"/>
        <v>-0.47679487172229573</v>
      </c>
      <c r="W172" s="2">
        <f t="shared" si="142"/>
        <v>-1.3376752364517379</v>
      </c>
      <c r="X172" s="2">
        <v>-2.3485156533806939</v>
      </c>
      <c r="Y172" s="76">
        <f t="shared" si="179"/>
        <v>-2.7159830666486338</v>
      </c>
      <c r="Z172" s="76">
        <f t="shared" si="180"/>
        <v>-2</v>
      </c>
      <c r="AA172" s="2">
        <f t="shared" si="143"/>
        <v>-0.35959358030138255</v>
      </c>
      <c r="AB172" s="2">
        <f t="shared" si="144"/>
        <v>-2.3485156533806939</v>
      </c>
      <c r="AC172" s="2">
        <v>78</v>
      </c>
      <c r="AD172" s="2">
        <v>0.6996242836644595</v>
      </c>
      <c r="AE172" s="79">
        <f t="shared" si="181"/>
        <v>1.6949206564048214</v>
      </c>
      <c r="AF172" s="79">
        <f t="shared" si="182"/>
        <v>2</v>
      </c>
      <c r="AG172" s="2">
        <f t="shared" si="200"/>
        <v>0.36924797394446446</v>
      </c>
      <c r="AH172" s="2">
        <f t="shared" si="145"/>
        <v>0.6996242836644595</v>
      </c>
      <c r="AI172" s="2">
        <v>8500</v>
      </c>
      <c r="AJ172" s="2">
        <v>-1.257570322961459</v>
      </c>
      <c r="AK172" s="76">
        <f t="shared" si="183"/>
        <v>-0.95358974344459146</v>
      </c>
      <c r="AL172" s="76">
        <f t="shared" si="184"/>
        <v>-2</v>
      </c>
      <c r="AM172" s="2">
        <f t="shared" si="146"/>
        <v>0.22771835078966562</v>
      </c>
      <c r="AN172" s="2">
        <f t="shared" si="147"/>
        <v>-1.257570322961459</v>
      </c>
      <c r="AO172" s="2">
        <v>-1.3542291520400001</v>
      </c>
      <c r="AP172" s="2">
        <f t="shared" si="148"/>
        <v>-0.82450270514511947</v>
      </c>
      <c r="AQ172" s="2">
        <f t="shared" si="149"/>
        <v>-1.3542291520400001</v>
      </c>
      <c r="AR172" s="2">
        <v>83</v>
      </c>
      <c r="AS172" s="2">
        <v>0.103453956451694</v>
      </c>
      <c r="AT172" s="2">
        <f t="shared" si="150"/>
        <v>-0.187586486022493</v>
      </c>
      <c r="AU172" s="2">
        <f t="shared" si="151"/>
        <v>0.103453956451694</v>
      </c>
      <c r="AV172" s="2">
        <v>10000</v>
      </c>
      <c r="AW172" s="2">
        <v>-0.88223853487240667</v>
      </c>
      <c r="AX172" s="2">
        <f t="shared" si="152"/>
        <v>-0.5210665250541241</v>
      </c>
      <c r="AY172" s="2">
        <f t="shared" si="153"/>
        <v>-0.88223853487240667</v>
      </c>
      <c r="AZ172" s="2">
        <v>-3.9975210636709329</v>
      </c>
      <c r="BA172" s="78">
        <f t="shared" si="185"/>
        <v>-1.6490054102902389</v>
      </c>
      <c r="BB172" s="78">
        <f t="shared" si="186"/>
        <v>-2</v>
      </c>
      <c r="BC172" s="2" t="str">
        <f t="shared" si="154"/>
        <v/>
      </c>
      <c r="BD172" s="2">
        <f t="shared" si="155"/>
        <v>-3.9975210636709329</v>
      </c>
      <c r="BE172" s="67">
        <f t="shared" si="187"/>
        <v>1</v>
      </c>
      <c r="BF172" s="2">
        <v>88</v>
      </c>
      <c r="BG172" s="2">
        <v>0.32445131161947349</v>
      </c>
      <c r="BH172" s="2" t="str">
        <f t="shared" si="156"/>
        <v/>
      </c>
      <c r="BI172" s="2">
        <f t="shared" si="157"/>
        <v>0.32445131161947349</v>
      </c>
      <c r="BJ172" s="67">
        <f t="shared" si="158"/>
        <v>7</v>
      </c>
      <c r="BK172" s="2">
        <v>10000</v>
      </c>
      <c r="BL172" s="2">
        <v>-2.2997033730697072</v>
      </c>
      <c r="BM172" s="77">
        <f t="shared" si="188"/>
        <v>-1.0421330501082482</v>
      </c>
      <c r="BN172" s="77">
        <f t="shared" si="189"/>
        <v>-2</v>
      </c>
      <c r="BO172" s="2" t="str">
        <f t="shared" si="159"/>
        <v/>
      </c>
      <c r="BP172" s="2">
        <f t="shared" si="160"/>
        <v>-2.2997033730697072</v>
      </c>
      <c r="BQ172" s="67">
        <f t="shared" si="190"/>
        <v>4</v>
      </c>
      <c r="BR172" s="2"/>
      <c r="BS172" s="75" t="e">
        <f t="shared" si="191"/>
        <v>#REF!</v>
      </c>
      <c r="BT172" s="75" t="e">
        <f t="shared" si="192"/>
        <v>#REF!</v>
      </c>
      <c r="BU172" s="5" t="e">
        <f>IF(#REF!&gt;=36, IF(AND(NOT(ISBLANK(CM:CM)), NOT(ISBLANK(BD:BD))), (CM:CM-BD:BD)/2, ""), "UF")</f>
        <v>#REF!</v>
      </c>
      <c r="BV172" s="5" t="e">
        <f t="shared" si="161"/>
        <v>#REF!</v>
      </c>
      <c r="BW172" s="69" t="e">
        <f t="shared" si="162"/>
        <v>#REF!</v>
      </c>
      <c r="BX172" s="2" t="s">
        <v>12</v>
      </c>
      <c r="BY172" s="2"/>
      <c r="BZ172" s="74" t="e">
        <f t="shared" si="193"/>
        <v>#VALUE!</v>
      </c>
      <c r="CA172" s="74" t="e">
        <f t="shared" si="194"/>
        <v>#VALUE!</v>
      </c>
      <c r="CB172" s="5" t="str">
        <f t="shared" si="163"/>
        <v/>
      </c>
      <c r="CC172" s="5" t="e">
        <f t="shared" si="164"/>
        <v>#VALUE!</v>
      </c>
      <c r="CD172" s="2" t="e">
        <f t="shared" si="165"/>
        <v>#VALUE!</v>
      </c>
      <c r="CE172" s="69" t="e">
        <f t="shared" si="166"/>
        <v>#VALUE!</v>
      </c>
      <c r="CF172" s="5" t="s">
        <v>12</v>
      </c>
      <c r="CG172" s="2"/>
      <c r="CH172" s="72" t="e">
        <f t="shared" si="195"/>
        <v>#VALUE!</v>
      </c>
      <c r="CI172" s="72" t="e">
        <f t="shared" si="196"/>
        <v>#VALUE!</v>
      </c>
      <c r="CJ172" s="5" t="str">
        <f t="shared" si="167"/>
        <v/>
      </c>
      <c r="CK172" s="5" t="e">
        <f t="shared" si="168"/>
        <v>#VALUE!</v>
      </c>
      <c r="CL172" s="69" t="e">
        <f t="shared" si="169"/>
        <v>#VALUE!</v>
      </c>
      <c r="CM172" s="2"/>
      <c r="CN172" s="70" t="str">
        <f t="shared" si="170"/>
        <v/>
      </c>
      <c r="CO172" s="5" t="e">
        <f t="shared" si="171"/>
        <v>#REF!</v>
      </c>
      <c r="CP172" s="5" t="e">
        <f>IF(G172&lt;48,"UF", IF(NOT(ISBLANK(CM:CM)), CM:CM, IF(BW:BW=1, BV:BV+Sheet2!B615, IF(Sheet1!BW:BW=2, Sheet1!BV:BV+Sheet2!B616, IF(Sheet1!BW:BW=7, Sheet1!BV:BV+Sheet2!B617,"")))))</f>
        <v>#REF!</v>
      </c>
      <c r="CQ172" s="69" t="e">
        <f t="shared" si="197"/>
        <v>#REF!</v>
      </c>
      <c r="CR172" s="5" t="s">
        <v>12</v>
      </c>
      <c r="CS172" s="2"/>
      <c r="CT172" s="5" t="str">
        <f t="shared" si="172"/>
        <v/>
      </c>
      <c r="CU172" s="80" t="e">
        <f t="shared" si="173"/>
        <v>#VALUE!</v>
      </c>
      <c r="CV172" s="80" t="e">
        <f t="shared" si="174"/>
        <v>#VALUE!</v>
      </c>
      <c r="CW172" s="20" t="e">
        <f>IF(G172&lt;48,"UF", IF(NOT(ISBLANK(CS172)), CS172, IF(CE172=5, CC172+Sheet2!B604, IF(CE172=6, CC172+Sheet2!B605, IF(CE172=7, CC172+Sheet2!B606,"")))))</f>
        <v>#VALUE!</v>
      </c>
      <c r="CX172" s="68" t="e">
        <f t="shared" si="198"/>
        <v>#VALUE!</v>
      </c>
      <c r="CY172" s="5" t="s">
        <v>12</v>
      </c>
      <c r="DA172" s="5" t="str">
        <f t="shared" si="175"/>
        <v/>
      </c>
      <c r="DB172" s="73" t="e">
        <f t="shared" si="176"/>
        <v>#VALUE!</v>
      </c>
      <c r="DC172" s="73" t="e">
        <f t="shared" si="177"/>
        <v>#VALUE!</v>
      </c>
      <c r="DD172" s="5" t="e">
        <f>IF(G172&lt;48,"UF", IF(NOT(ISBLANK(CZ:CZ)), CZ:CZ, IF(CL:CL=3, CK:CK+Sheet2!B609, IF(CL:CL=4, CK:CK+Sheet2!B610, IF(CL:CL=7, CK:CK+Sheet2!B611,"")))))</f>
        <v>#VALUE!</v>
      </c>
      <c r="DE172" s="69" t="e">
        <f t="shared" si="201"/>
        <v>#VALUE!</v>
      </c>
      <c r="DF172" s="2">
        <v>2</v>
      </c>
      <c r="DG172" s="2">
        <v>36</v>
      </c>
      <c r="DH172" s="2">
        <v>1</v>
      </c>
      <c r="DI172" s="2">
        <v>2</v>
      </c>
      <c r="DJ172" s="2">
        <v>2</v>
      </c>
      <c r="DK172" s="2">
        <v>130</v>
      </c>
      <c r="DL172" s="2">
        <v>77</v>
      </c>
      <c r="DM172" s="2">
        <v>135</v>
      </c>
      <c r="DN172" s="2">
        <v>80</v>
      </c>
      <c r="DO172" s="2">
        <v>130</v>
      </c>
      <c r="DP172" s="2">
        <v>85</v>
      </c>
      <c r="DQ172" s="2">
        <v>2</v>
      </c>
      <c r="DR172" s="2">
        <v>38</v>
      </c>
      <c r="DS172" s="2">
        <v>1</v>
      </c>
      <c r="DT172" s="2">
        <v>95</v>
      </c>
      <c r="DU172" s="2">
        <v>74</v>
      </c>
      <c r="DV172" s="2">
        <v>2</v>
      </c>
      <c r="DW172" s="2">
        <v>3</v>
      </c>
      <c r="DX172" s="2">
        <v>2</v>
      </c>
      <c r="DY172" s="2">
        <v>2</v>
      </c>
      <c r="DZ172" s="2">
        <v>35</v>
      </c>
      <c r="EA172" s="2">
        <v>37.5</v>
      </c>
      <c r="EB172" s="2">
        <v>42.5</v>
      </c>
      <c r="EC172" s="2">
        <v>1</v>
      </c>
      <c r="ED172" s="2">
        <v>1</v>
      </c>
    </row>
    <row r="173" spans="2:134" x14ac:dyDescent="0.25">
      <c r="C173" s="8" t="s">
        <v>353</v>
      </c>
      <c r="D173" s="2">
        <v>2501017781</v>
      </c>
      <c r="E173" s="5">
        <v>7</v>
      </c>
      <c r="F173" s="2">
        <v>2</v>
      </c>
      <c r="G173" s="2">
        <v>51</v>
      </c>
      <c r="H173" s="2">
        <v>-2.0421905550065671</v>
      </c>
      <c r="I173" s="2">
        <v>47</v>
      </c>
      <c r="J173" s="2">
        <v>-1.5235289479443319</v>
      </c>
      <c r="K173" s="2">
        <v>2450</v>
      </c>
      <c r="L173" s="2">
        <v>-2.023320197997946</v>
      </c>
      <c r="M173" s="2">
        <v>1.4564999999999999</v>
      </c>
      <c r="N173" s="2">
        <f t="shared" si="137"/>
        <v>1.7679952775032834</v>
      </c>
      <c r="O173" s="2">
        <f t="shared" si="138"/>
        <v>1.4564999999999999</v>
      </c>
      <c r="P173" s="2">
        <v>65.5</v>
      </c>
      <c r="Q173" s="2">
        <v>-1</v>
      </c>
      <c r="R173" s="5">
        <f t="shared" si="139"/>
        <v>0.39676447397216597</v>
      </c>
      <c r="S173" s="5">
        <f t="shared" si="140"/>
        <v>-1</v>
      </c>
      <c r="T173" s="2">
        <v>8400</v>
      </c>
      <c r="U173" s="2">
        <v>0.52</v>
      </c>
      <c r="V173" s="2">
        <f t="shared" si="141"/>
        <v>1.356660098998973</v>
      </c>
      <c r="W173" s="2">
        <f t="shared" si="142"/>
        <v>0.52</v>
      </c>
      <c r="X173" s="2">
        <v>1.4938</v>
      </c>
      <c r="Y173" s="76">
        <f t="shared" si="179"/>
        <v>3.5359905550065669</v>
      </c>
      <c r="Z173" s="76">
        <f t="shared" si="180"/>
        <v>2</v>
      </c>
      <c r="AA173" s="2" t="str">
        <f t="shared" si="143"/>
        <v/>
      </c>
      <c r="AB173" s="2">
        <f t="shared" si="144"/>
        <v>1.4938</v>
      </c>
      <c r="AC173" s="2">
        <v>74</v>
      </c>
      <c r="AD173" s="2">
        <v>-0.73</v>
      </c>
      <c r="AE173" s="79">
        <f t="shared" si="181"/>
        <v>0.79352894794433193</v>
      </c>
      <c r="AF173" s="79">
        <f t="shared" si="182"/>
        <v>2</v>
      </c>
      <c r="AG173" s="2" t="str">
        <f t="shared" si="200"/>
        <v/>
      </c>
      <c r="AH173" s="2">
        <f t="shared" si="145"/>
        <v>-0.73</v>
      </c>
      <c r="AI173" s="2">
        <v>10400</v>
      </c>
      <c r="AJ173" s="2">
        <v>0.69</v>
      </c>
      <c r="AK173" s="76">
        <f t="shared" si="183"/>
        <v>2.713320197997946</v>
      </c>
      <c r="AL173" s="76">
        <f t="shared" si="184"/>
        <v>2</v>
      </c>
      <c r="AM173" s="2" t="str">
        <f t="shared" si="146"/>
        <v/>
      </c>
      <c r="AN173" s="2">
        <f t="shared" si="147"/>
        <v>0.69</v>
      </c>
      <c r="AP173" s="2">
        <f t="shared" si="148"/>
        <v>-1.3691585119721461</v>
      </c>
      <c r="AQ173" s="2">
        <f t="shared" si="149"/>
        <v>0.12464148802785391</v>
      </c>
      <c r="AR173" s="2" t="s">
        <v>12</v>
      </c>
      <c r="AT173" s="2">
        <f t="shared" si="150"/>
        <v>0.52722565580973679</v>
      </c>
      <c r="AU173" s="2">
        <f t="shared" si="151"/>
        <v>-0.20277434419026319</v>
      </c>
      <c r="AV173" s="2" t="s">
        <v>12</v>
      </c>
      <c r="AX173" s="2">
        <f t="shared" si="152"/>
        <v>-0.74286581208355096</v>
      </c>
      <c r="AY173" s="2">
        <f t="shared" si="153"/>
        <v>-5.2865812083551011E-2</v>
      </c>
      <c r="AZ173" s="2">
        <v>-1.244517023944292</v>
      </c>
      <c r="BA173" s="78">
        <f t="shared" si="185"/>
        <v>-2.7383170239442922</v>
      </c>
      <c r="BB173" s="78">
        <f t="shared" si="186"/>
        <v>-2</v>
      </c>
      <c r="BC173" s="2">
        <f t="shared" si="154"/>
        <v>-0.4731383647212673</v>
      </c>
      <c r="BD173" s="2">
        <f t="shared" si="155"/>
        <v>-1.244517023944292</v>
      </c>
      <c r="BE173" s="67">
        <f t="shared" si="187"/>
        <v>7</v>
      </c>
      <c r="BF173" s="2">
        <v>88</v>
      </c>
      <c r="BG173" s="2">
        <v>0.32445131161947349</v>
      </c>
      <c r="BH173" s="2">
        <f t="shared" si="156"/>
        <v>0.12996085976299379</v>
      </c>
      <c r="BI173" s="2">
        <f t="shared" si="157"/>
        <v>0.32445131161947349</v>
      </c>
      <c r="BJ173" s="67">
        <f t="shared" si="158"/>
        <v>7</v>
      </c>
      <c r="BK173" s="2">
        <v>11700</v>
      </c>
      <c r="BL173" s="2">
        <v>-0.79573162416710208</v>
      </c>
      <c r="BM173" s="77">
        <f t="shared" si="188"/>
        <v>-1.4857316241671019</v>
      </c>
      <c r="BN173" s="77">
        <f t="shared" si="189"/>
        <v>-2</v>
      </c>
      <c r="BO173" s="2">
        <f t="shared" si="159"/>
        <v>-0.17914579054238466</v>
      </c>
      <c r="BP173" s="2">
        <f t="shared" si="160"/>
        <v>-0.79573162416710208</v>
      </c>
      <c r="BQ173" s="67">
        <f t="shared" si="190"/>
        <v>7</v>
      </c>
      <c r="BR173" s="5">
        <v>-1.2947736061359481</v>
      </c>
      <c r="BS173" s="75">
        <f t="shared" si="191"/>
        <v>-5.0256582191656074E-2</v>
      </c>
      <c r="BT173" s="75">
        <f t="shared" si="192"/>
        <v>-1</v>
      </c>
      <c r="BU173" s="5">
        <f>IF(G180&gt;=36, IF(AND(NOT(ISBLANK(CM:CM)), NOT(ISBLANK(BD:BD))), (CM:CM-BD:BD)/2, ""), "UF")</f>
        <v>-0.23898166613940297</v>
      </c>
      <c r="BV173" s="5">
        <f t="shared" si="161"/>
        <v>-1.2947736061359481</v>
      </c>
      <c r="BW173" s="69">
        <f t="shared" si="162"/>
        <v>7</v>
      </c>
      <c r="BX173" s="2">
        <v>96</v>
      </c>
      <c r="BY173" s="5">
        <v>0.18710823509871821</v>
      </c>
      <c r="BZ173" s="74">
        <f t="shared" si="193"/>
        <v>0.98283985926582029</v>
      </c>
      <c r="CA173" s="74">
        <f t="shared" si="194"/>
        <v>2</v>
      </c>
      <c r="CB173" s="5">
        <f t="shared" si="163"/>
        <v>0.13086497838171146</v>
      </c>
      <c r="CC173" s="5">
        <f t="shared" si="164"/>
        <v>0.18710823509871821</v>
      </c>
      <c r="CD173" s="2">
        <f t="shared" si="165"/>
        <v>-0.13734307652075528</v>
      </c>
      <c r="CE173" s="69">
        <f t="shared" si="166"/>
        <v>7</v>
      </c>
      <c r="CF173" s="5">
        <v>13500</v>
      </c>
      <c r="CG173" s="5">
        <v>-0.590303183710705</v>
      </c>
      <c r="CH173" s="72">
        <f t="shared" si="195"/>
        <v>0.20542844045639708</v>
      </c>
      <c r="CI173" s="72">
        <f t="shared" si="196"/>
        <v>1</v>
      </c>
      <c r="CJ173" s="5">
        <f t="shared" si="167"/>
        <v>0.15034326697564249</v>
      </c>
      <c r="CK173" s="5">
        <f t="shared" si="168"/>
        <v>-0.590303183710705</v>
      </c>
      <c r="CL173" s="69">
        <f t="shared" si="169"/>
        <v>7</v>
      </c>
      <c r="CM173" s="5">
        <v>-1.7224803562230979</v>
      </c>
      <c r="CN173" s="70">
        <f t="shared" si="170"/>
        <v>-0.42770675008714987</v>
      </c>
      <c r="CO173" s="5">
        <f t="shared" si="171"/>
        <v>-0.42770675008714987</v>
      </c>
      <c r="CP173" s="5">
        <f>IF(G173&lt;48,"UF", IF(NOT(ISBLANK(CM:CM)), CM:CM, IF(BW:BW=1, BV:BV+Sheet2!B590, IF(Sheet1!BW:BW=2, Sheet1!BV:BV+Sheet2!B591, IF(Sheet1!BW:BW=7, Sheet1!BV:BV+Sheet2!B592,"")))))</f>
        <v>-1.7224803562230979</v>
      </c>
      <c r="CQ173" s="69">
        <f t="shared" si="197"/>
        <v>7</v>
      </c>
      <c r="CR173" s="5">
        <v>105</v>
      </c>
      <c r="CS173" s="5">
        <v>0.58618126838289641</v>
      </c>
      <c r="CT173" s="5">
        <f t="shared" si="172"/>
        <v>0.3990730332841782</v>
      </c>
      <c r="CU173" s="80">
        <f t="shared" si="173"/>
        <v>0.3990730332841782</v>
      </c>
      <c r="CV173" s="80">
        <f t="shared" si="174"/>
        <v>1</v>
      </c>
      <c r="CW173" s="20">
        <f>IF(G173&lt;48,"UF", IF(NOT(ISBLANK(CS173)), CS173, IF(CE173=5, CC173+Sheet2!B579, IF(CE173=6, CC173+Sheet2!B580, IF(CE173=7, CC173+Sheet2!B581,"")))))</f>
        <v>0.58618126838289641</v>
      </c>
      <c r="CX173" s="68">
        <f t="shared" si="198"/>
        <v>7</v>
      </c>
      <c r="CY173" s="5">
        <v>15400</v>
      </c>
      <c r="CZ173" s="5">
        <v>-0.49504509021581711</v>
      </c>
      <c r="DA173" s="5">
        <f t="shared" si="175"/>
        <v>9.5258093494887897E-2</v>
      </c>
      <c r="DB173" s="73">
        <f t="shared" si="176"/>
        <v>9.5258093494887897E-2</v>
      </c>
      <c r="DC173" s="73">
        <f t="shared" si="177"/>
        <v>1</v>
      </c>
      <c r="DD173" s="5">
        <f>IF(G173&lt;48,"UF", IF(NOT(ISBLANK(CZ:CZ)), CZ:CZ, IF(CL:CL=3, CK:CK+Sheet2!B584, IF(CL:CL=4, CK:CK+Sheet2!B585, IF(CL:CL=7, CK:CK+Sheet2!B586,"")))))</f>
        <v>-0.49504509021581711</v>
      </c>
      <c r="DE173" s="69">
        <f t="shared" si="201"/>
        <v>7</v>
      </c>
      <c r="DF173" s="2">
        <v>1</v>
      </c>
      <c r="DG173" s="2">
        <v>27</v>
      </c>
      <c r="DH173" s="2">
        <v>2</v>
      </c>
      <c r="DI173" s="2">
        <v>2</v>
      </c>
      <c r="DJ173" s="2">
        <v>3</v>
      </c>
      <c r="DK173" s="2" t="s">
        <v>12</v>
      </c>
      <c r="DL173" s="2" t="s">
        <v>12</v>
      </c>
      <c r="DM173" s="2" t="s">
        <v>12</v>
      </c>
      <c r="DN173" s="2" t="s">
        <v>12</v>
      </c>
      <c r="DO173" s="2" t="s">
        <v>12</v>
      </c>
      <c r="DP173" s="2" t="s">
        <v>12</v>
      </c>
      <c r="DQ173" s="2">
        <v>2</v>
      </c>
      <c r="DR173" s="2">
        <v>38</v>
      </c>
      <c r="DS173" s="2">
        <v>2</v>
      </c>
      <c r="DT173" s="2">
        <v>73</v>
      </c>
      <c r="DU173" s="2" t="s">
        <v>12</v>
      </c>
      <c r="DV173" s="2">
        <v>2</v>
      </c>
      <c r="DW173" s="2">
        <v>2</v>
      </c>
      <c r="DX173" s="2">
        <v>2</v>
      </c>
      <c r="DY173" s="2">
        <v>3</v>
      </c>
      <c r="DZ173" s="2">
        <v>35</v>
      </c>
      <c r="EA173" s="2" t="s">
        <v>12</v>
      </c>
      <c r="EB173" s="2">
        <v>48</v>
      </c>
      <c r="EC173" s="2" t="s">
        <v>12</v>
      </c>
      <c r="ED173" s="2">
        <v>1</v>
      </c>
    </row>
    <row r="174" spans="2:134" x14ac:dyDescent="0.25">
      <c r="C174" s="8" t="s">
        <v>343</v>
      </c>
      <c r="D174" s="2">
        <v>2501018087</v>
      </c>
      <c r="E174" s="5">
        <v>7</v>
      </c>
      <c r="F174" s="2">
        <v>2</v>
      </c>
      <c r="G174" s="2">
        <v>50</v>
      </c>
      <c r="H174" s="2">
        <v>-2.2552594052700581</v>
      </c>
      <c r="I174" s="2">
        <v>51</v>
      </c>
      <c r="J174" s="2">
        <v>0.58940135287155082</v>
      </c>
      <c r="K174" s="2">
        <v>2830</v>
      </c>
      <c r="L174" s="2">
        <v>-1.114946864466642</v>
      </c>
      <c r="N174" s="2">
        <f t="shared" si="137"/>
        <v>0.43052970263502899</v>
      </c>
      <c r="O174" s="2">
        <f t="shared" si="138"/>
        <v>-1.8247297026350291</v>
      </c>
      <c r="P174" s="2" t="s">
        <v>12</v>
      </c>
      <c r="R174" s="5">
        <f t="shared" si="139"/>
        <v>0.39029932356422464</v>
      </c>
      <c r="S174" s="5">
        <f t="shared" si="140"/>
        <v>0.97970067643577541</v>
      </c>
      <c r="T174" s="2" t="s">
        <v>12</v>
      </c>
      <c r="V174" s="2">
        <f t="shared" si="141"/>
        <v>0.43747343223332102</v>
      </c>
      <c r="W174" s="2">
        <f t="shared" si="142"/>
        <v>-0.67747343223332102</v>
      </c>
      <c r="X174" s="2">
        <v>-1.3942000000000001</v>
      </c>
      <c r="Y174" s="76">
        <f t="shared" si="179"/>
        <v>0.86105940527005798</v>
      </c>
      <c r="Z174" s="76">
        <f t="shared" si="180"/>
        <v>2</v>
      </c>
      <c r="AA174" s="2">
        <f t="shared" si="143"/>
        <v>-0.83120033821788764</v>
      </c>
      <c r="AB174" s="2">
        <f t="shared" si="144"/>
        <v>-1.3942000000000001</v>
      </c>
      <c r="AC174" s="2">
        <v>79</v>
      </c>
      <c r="AD174" s="2">
        <v>1.37</v>
      </c>
      <c r="AE174" s="79">
        <f t="shared" si="181"/>
        <v>0.78059864712844929</v>
      </c>
      <c r="AF174" s="79">
        <f t="shared" si="182"/>
        <v>2</v>
      </c>
      <c r="AG174" s="2">
        <f t="shared" si="200"/>
        <v>-0.1698503382178877</v>
      </c>
      <c r="AH174" s="2">
        <f t="shared" si="145"/>
        <v>1.37</v>
      </c>
      <c r="AI174" s="2">
        <v>9400</v>
      </c>
      <c r="AJ174" s="2">
        <v>-0.24</v>
      </c>
      <c r="AK174" s="76">
        <f t="shared" si="183"/>
        <v>0.87494686446664205</v>
      </c>
      <c r="AL174" s="76">
        <f t="shared" si="184"/>
        <v>2</v>
      </c>
      <c r="AM174" s="2">
        <f t="shared" si="146"/>
        <v>0.27873671611666051</v>
      </c>
      <c r="AN174" s="2">
        <f t="shared" si="147"/>
        <v>-0.24</v>
      </c>
      <c r="AO174" s="2">
        <v>-0.68269999999999997</v>
      </c>
      <c r="AP174" s="2">
        <f t="shared" si="148"/>
        <v>-7.4741039881533466E-2</v>
      </c>
      <c r="AQ174" s="2">
        <f t="shared" si="149"/>
        <v>-0.68269999999999997</v>
      </c>
      <c r="AR174" s="2">
        <v>84</v>
      </c>
      <c r="AS174" s="2">
        <v>0.64</v>
      </c>
      <c r="AT174" s="2">
        <f t="shared" si="150"/>
        <v>-0.23772906485592643</v>
      </c>
      <c r="AU174" s="2">
        <f t="shared" si="151"/>
        <v>0.64</v>
      </c>
      <c r="AV174" s="2">
        <v>10800</v>
      </c>
      <c r="AW174" s="2">
        <v>-0.12</v>
      </c>
      <c r="AX174" s="2">
        <f t="shared" si="152"/>
        <v>-0.15897891830913841</v>
      </c>
      <c r="AY174" s="2">
        <f t="shared" si="153"/>
        <v>-0.12</v>
      </c>
      <c r="AZ174" s="2">
        <v>-1.543682079763067</v>
      </c>
      <c r="BA174" s="78">
        <f t="shared" si="185"/>
        <v>-0.14948207976306693</v>
      </c>
      <c r="BB174" s="78">
        <f t="shared" si="186"/>
        <v>-1</v>
      </c>
      <c r="BC174" s="2">
        <f t="shared" si="154"/>
        <v>-0.55926371230692939</v>
      </c>
      <c r="BD174" s="2">
        <f t="shared" si="155"/>
        <v>-1.543682079763067</v>
      </c>
      <c r="BE174" s="67">
        <f t="shared" si="187"/>
        <v>7</v>
      </c>
      <c r="BF174" s="2">
        <v>90</v>
      </c>
      <c r="BG174" s="2">
        <v>0.89454187028814725</v>
      </c>
      <c r="BH174" s="2">
        <f t="shared" si="156"/>
        <v>0.26122162137020533</v>
      </c>
      <c r="BI174" s="2">
        <f t="shared" si="157"/>
        <v>0.89454187028814725</v>
      </c>
      <c r="BJ174" s="67">
        <f t="shared" si="158"/>
        <v>7</v>
      </c>
      <c r="BK174" s="2">
        <v>12000</v>
      </c>
      <c r="BL174" s="2">
        <v>-0.5579578366182768</v>
      </c>
      <c r="BM174" s="77">
        <f t="shared" si="188"/>
        <v>-0.31795783661827681</v>
      </c>
      <c r="BN174" s="77">
        <f t="shared" si="189"/>
        <v>-1</v>
      </c>
      <c r="BO174" s="2">
        <f t="shared" si="159"/>
        <v>-4.5228052353515104E-2</v>
      </c>
      <c r="BP174" s="2">
        <f t="shared" si="160"/>
        <v>-0.5579578366182768</v>
      </c>
      <c r="BQ174" s="67">
        <f t="shared" si="190"/>
        <v>7</v>
      </c>
      <c r="BR174" s="5">
        <v>-2.3604911369207882</v>
      </c>
      <c r="BS174" s="75">
        <f t="shared" si="191"/>
        <v>-0.81680905715772112</v>
      </c>
      <c r="BT174" s="75">
        <f t="shared" si="192"/>
        <v>-2</v>
      </c>
      <c r="BU174" s="5">
        <f>IF(G181&gt;=36, IF(AND(NOT(ISBLANK(CM:CM)), NOT(ISBLANK(BD:BD))), (CM:CM-BD:BD)/2, ""), "UF")</f>
        <v>0.16721389568164102</v>
      </c>
      <c r="BV174" s="5">
        <f t="shared" si="161"/>
        <v>-2.3604911369207882</v>
      </c>
      <c r="BW174" s="69">
        <f t="shared" si="162"/>
        <v>2</v>
      </c>
      <c r="BX174" s="2">
        <v>101</v>
      </c>
      <c r="BY174" s="5">
        <v>1.423664864110616</v>
      </c>
      <c r="BZ174" s="74">
        <f t="shared" si="193"/>
        <v>1.9816227007288929</v>
      </c>
      <c r="CA174" s="74">
        <f t="shared" si="194"/>
        <v>2</v>
      </c>
      <c r="CB174" s="5">
        <f t="shared" si="163"/>
        <v>8.0411115770717412E-2</v>
      </c>
      <c r="CC174" s="5">
        <f t="shared" si="164"/>
        <v>1.423664864110616</v>
      </c>
      <c r="CD174" s="2">
        <f t="shared" si="165"/>
        <v>0.52912299382246875</v>
      </c>
      <c r="CE174" s="69">
        <f t="shared" si="166"/>
        <v>7</v>
      </c>
      <c r="CF174" s="5">
        <v>14000</v>
      </c>
      <c r="CG174" s="5">
        <v>-0.25568415706054531</v>
      </c>
      <c r="CH174" s="72">
        <f t="shared" si="195"/>
        <v>0.30227367955773149</v>
      </c>
      <c r="CI174" s="72">
        <f t="shared" si="196"/>
        <v>1</v>
      </c>
      <c r="CJ174" s="5">
        <f t="shared" si="167"/>
        <v>0.3252889165130517</v>
      </c>
      <c r="CK174" s="5">
        <f t="shared" si="168"/>
        <v>-0.25568415706054531</v>
      </c>
      <c r="CL174" s="69">
        <f t="shared" si="169"/>
        <v>7</v>
      </c>
      <c r="CM174" s="5">
        <v>-1.209254288399785</v>
      </c>
      <c r="CN174" s="70">
        <f t="shared" si="170"/>
        <v>1.1512368485210032</v>
      </c>
      <c r="CO174" s="5">
        <f t="shared" si="171"/>
        <v>1.1512368485210032</v>
      </c>
      <c r="CP174" s="5">
        <f>IF(G174&lt;48,"UF", IF(NOT(ISBLANK(CM:CM)), CM:CM, IF(BW:BW=1, BV:BV+Sheet2!B574, IF(Sheet1!BW:BW=2, Sheet1!BV:BV+Sheet2!B575, IF(Sheet1!BW:BW=7, Sheet1!BV:BV+Sheet2!B576,"")))))</f>
        <v>-1.209254288399785</v>
      </c>
      <c r="CQ174" s="69">
        <f t="shared" si="197"/>
        <v>7</v>
      </c>
      <c r="CR174" s="5">
        <v>107</v>
      </c>
      <c r="CS174" s="5">
        <v>1.0553641018295821</v>
      </c>
      <c r="CT174" s="5">
        <f t="shared" si="172"/>
        <v>-0.36830076228103392</v>
      </c>
      <c r="CU174" s="80">
        <f t="shared" si="173"/>
        <v>-0.36830076228103392</v>
      </c>
      <c r="CV174" s="80">
        <f t="shared" si="174"/>
        <v>-1</v>
      </c>
      <c r="CW174" s="20">
        <f>IF(G174&lt;48,"UF", IF(NOT(ISBLANK(CS174)), CS174, IF(CE174=5, CC174+Sheet2!B563, IF(CE174=6, CC174+Sheet2!B564, IF(CE174=7, CC174+Sheet2!B565,"")))))</f>
        <v>1.0553641018295821</v>
      </c>
      <c r="CX174" s="68">
        <f t="shared" si="198"/>
        <v>7</v>
      </c>
      <c r="CY174" s="5">
        <v>16500</v>
      </c>
      <c r="CZ174" s="5">
        <v>9.2619996407826644E-2</v>
      </c>
      <c r="DA174" s="5">
        <f t="shared" si="175"/>
        <v>0.34830415346837196</v>
      </c>
      <c r="DB174" s="73">
        <f t="shared" si="176"/>
        <v>0.34830415346837196</v>
      </c>
      <c r="DC174" s="73">
        <f t="shared" si="177"/>
        <v>1</v>
      </c>
      <c r="DD174" s="5">
        <f>IF(G174&lt;48,"UF", IF(NOT(ISBLANK(CZ:CZ)), CZ:CZ, IF(CL:CL=3, CK:CK+Sheet2!B568, IF(CL:CL=4, CK:CK+Sheet2!B569, IF(CL:CL=7, CK:CK+Sheet2!B570,"")))))</f>
        <v>9.2619996407826644E-2</v>
      </c>
      <c r="DE174" s="69">
        <f>IF(DD:DD&lt;-3,3,IF(AND(DD:DD&gt;=-3,DD:DD&lt;-2),4,IF(AND(DD:DD&gt;=-2,DD:DD&lt;=2),7,"")))</f>
        <v>7</v>
      </c>
      <c r="DF174" s="2">
        <v>1</v>
      </c>
      <c r="DG174" s="2">
        <v>26</v>
      </c>
      <c r="DH174" s="2">
        <v>2</v>
      </c>
      <c r="DI174" s="2">
        <v>2</v>
      </c>
      <c r="DJ174" s="2">
        <v>2</v>
      </c>
      <c r="DK174" s="2">
        <v>110</v>
      </c>
      <c r="DL174" s="2">
        <v>60</v>
      </c>
      <c r="DM174" s="2">
        <v>110</v>
      </c>
      <c r="DN174" s="2">
        <v>60</v>
      </c>
      <c r="DO174" s="2" t="s">
        <v>12</v>
      </c>
      <c r="DP174" s="2" t="s">
        <v>12</v>
      </c>
      <c r="DQ174" s="2">
        <v>2</v>
      </c>
      <c r="DR174" s="2">
        <v>38</v>
      </c>
      <c r="DS174" s="2">
        <v>2</v>
      </c>
      <c r="DT174" s="2">
        <v>62</v>
      </c>
      <c r="DU174" s="2">
        <v>73</v>
      </c>
      <c r="DV174" s="2">
        <v>2</v>
      </c>
      <c r="DW174" s="2">
        <v>2</v>
      </c>
      <c r="DX174" s="2">
        <v>3</v>
      </c>
      <c r="DY174" s="2">
        <v>3</v>
      </c>
      <c r="DZ174" s="2">
        <v>33</v>
      </c>
      <c r="EA174" s="2" t="s">
        <v>12</v>
      </c>
      <c r="EB174" s="2">
        <v>47</v>
      </c>
      <c r="EC174" s="2" t="s">
        <v>12</v>
      </c>
      <c r="ED174" s="2">
        <v>1</v>
      </c>
    </row>
    <row r="175" spans="2:134" x14ac:dyDescent="0.25">
      <c r="C175" s="2" t="s">
        <v>361</v>
      </c>
      <c r="D175" s="2">
        <v>2501018095</v>
      </c>
      <c r="E175" s="5" t="s">
        <v>528</v>
      </c>
      <c r="F175" s="2">
        <v>2</v>
      </c>
      <c r="G175" s="2">
        <v>50</v>
      </c>
      <c r="H175" s="2">
        <v>-1.7466425059166399</v>
      </c>
      <c r="I175" s="2">
        <v>53</v>
      </c>
      <c r="J175" s="2">
        <v>1.645866503279491</v>
      </c>
      <c r="K175" s="5">
        <v>3200</v>
      </c>
      <c r="L175" s="2">
        <v>-0.30398057951686752</v>
      </c>
      <c r="M175" s="2">
        <v>-1.129</v>
      </c>
      <c r="N175" s="2">
        <f t="shared" si="137"/>
        <v>0.56597125295831996</v>
      </c>
      <c r="O175" s="2">
        <f t="shared" si="138"/>
        <v>-1.129</v>
      </c>
      <c r="P175" s="2">
        <v>69</v>
      </c>
      <c r="Q175" s="2">
        <v>0.63</v>
      </c>
      <c r="R175" s="5">
        <f t="shared" si="139"/>
        <v>-0.97793325163974554</v>
      </c>
      <c r="S175" s="5">
        <f t="shared" si="140"/>
        <v>0.63</v>
      </c>
      <c r="T175" s="1">
        <v>7530</v>
      </c>
      <c r="U175" s="2">
        <v>-0.48</v>
      </c>
      <c r="V175" s="2">
        <f t="shared" si="141"/>
        <v>-0.16300971024156624</v>
      </c>
      <c r="W175" s="2">
        <f t="shared" si="142"/>
        <v>-0.48</v>
      </c>
      <c r="X175" s="2">
        <v>-0.61470000000000002</v>
      </c>
      <c r="Y175" s="76">
        <f t="shared" si="179"/>
        <v>1.1319425059166399</v>
      </c>
      <c r="Z175" s="76">
        <f t="shared" si="180"/>
        <v>2</v>
      </c>
      <c r="AA175" s="2">
        <f t="shared" si="143"/>
        <v>-0.62995000000000001</v>
      </c>
      <c r="AB175" s="2">
        <f t="shared" si="144"/>
        <v>-0.61470000000000002</v>
      </c>
      <c r="AC175" s="2">
        <v>75</v>
      </c>
      <c r="AD175" s="2">
        <v>-0.31</v>
      </c>
      <c r="AE175" s="79">
        <f t="shared" si="181"/>
        <v>-1.9558665032794911</v>
      </c>
      <c r="AF175" s="79">
        <f t="shared" si="182"/>
        <v>-2</v>
      </c>
      <c r="AG175" s="2">
        <f t="shared" si="200"/>
        <v>-1.105</v>
      </c>
      <c r="AH175" s="2">
        <f t="shared" si="145"/>
        <v>-0.31</v>
      </c>
      <c r="AI175" s="2">
        <v>9000</v>
      </c>
      <c r="AJ175" s="2">
        <v>-0.63</v>
      </c>
      <c r="AK175" s="76">
        <f t="shared" si="183"/>
        <v>-0.32601942048313248</v>
      </c>
      <c r="AL175" s="76">
        <f t="shared" si="184"/>
        <v>-1</v>
      </c>
      <c r="AM175" s="2">
        <f t="shared" si="146"/>
        <v>-0.46499999999999997</v>
      </c>
      <c r="AN175" s="2">
        <f t="shared" si="147"/>
        <v>-0.63</v>
      </c>
      <c r="AO175" s="2">
        <v>-0.62990000000000002</v>
      </c>
      <c r="AP175" s="2">
        <f t="shared" si="148"/>
        <v>-0.43003248576075148</v>
      </c>
      <c r="AQ175" s="2">
        <f t="shared" si="149"/>
        <v>-0.62990000000000002</v>
      </c>
      <c r="AR175" s="2">
        <v>78</v>
      </c>
      <c r="AS175" s="2">
        <v>-1.58</v>
      </c>
      <c r="AT175" s="2">
        <f t="shared" si="150"/>
        <v>-0.25272373592422315</v>
      </c>
      <c r="AU175" s="2">
        <f t="shared" si="151"/>
        <v>-1.58</v>
      </c>
      <c r="AV175" s="2">
        <v>9350</v>
      </c>
      <c r="AW175" s="2">
        <v>-1.41</v>
      </c>
      <c r="AX175" s="2">
        <f t="shared" si="152"/>
        <v>-0.59842284320353545</v>
      </c>
      <c r="AY175" s="2">
        <f t="shared" si="153"/>
        <v>-1.41</v>
      </c>
      <c r="AZ175" s="2">
        <v>-1.474764971521503</v>
      </c>
      <c r="BA175" s="78">
        <f t="shared" si="185"/>
        <v>-0.86006497152150296</v>
      </c>
      <c r="BB175" s="78">
        <f t="shared" si="186"/>
        <v>-2</v>
      </c>
      <c r="BC175" s="2">
        <f t="shared" si="154"/>
        <v>-0.39554545725980095</v>
      </c>
      <c r="BD175" s="2">
        <f t="shared" si="155"/>
        <v>-1.474764971521503</v>
      </c>
      <c r="BE175" s="67">
        <f t="shared" si="187"/>
        <v>7</v>
      </c>
      <c r="BF175" s="2">
        <v>84</v>
      </c>
      <c r="BG175" s="2">
        <v>-0.81544747184844635</v>
      </c>
      <c r="BH175" s="2">
        <f t="shared" si="156"/>
        <v>0.23716471826555793</v>
      </c>
      <c r="BI175" s="2">
        <f t="shared" si="157"/>
        <v>-0.81544747184844635</v>
      </c>
      <c r="BJ175" s="67">
        <f t="shared" si="158"/>
        <v>7</v>
      </c>
      <c r="BK175" s="2">
        <v>10500</v>
      </c>
      <c r="BL175" s="2">
        <v>-1.826845686407071</v>
      </c>
      <c r="BM175" s="77">
        <f t="shared" si="188"/>
        <v>-1.1968456864070709</v>
      </c>
      <c r="BN175" s="77">
        <f t="shared" si="189"/>
        <v>-2</v>
      </c>
      <c r="BO175" s="2">
        <f t="shared" si="159"/>
        <v>-0.10580533191404033</v>
      </c>
      <c r="BP175" s="2">
        <f t="shared" si="160"/>
        <v>-1.826845686407071</v>
      </c>
      <c r="BQ175" s="67">
        <f t="shared" si="190"/>
        <v>7</v>
      </c>
      <c r="BR175" s="5">
        <v>-1.816536371779403</v>
      </c>
      <c r="BS175" s="75">
        <f t="shared" si="191"/>
        <v>-0.34177140025789998</v>
      </c>
      <c r="BT175" s="75">
        <f t="shared" si="192"/>
        <v>-1</v>
      </c>
      <c r="BU175" s="5" t="str">
        <f>IF(G182&gt;=36, IF(AND(NOT(ISBLANK(CM:CM)), NOT(ISBLANK(BD:BD))), (CM:CM-BD:BD)/2, ""), "UF")</f>
        <v/>
      </c>
      <c r="BV175" s="5">
        <f t="shared" si="161"/>
        <v>-1.816536371779403</v>
      </c>
      <c r="BW175" s="69">
        <f t="shared" si="162"/>
        <v>7</v>
      </c>
      <c r="BX175" s="2">
        <v>92</v>
      </c>
      <c r="BY175" s="5">
        <v>-0.8685058452033263</v>
      </c>
      <c r="BZ175" s="74">
        <f t="shared" si="193"/>
        <v>0.95833984120374471</v>
      </c>
      <c r="CA175" s="74">
        <f t="shared" si="194"/>
        <v>2</v>
      </c>
      <c r="CB175" s="5" t="str">
        <f t="shared" si="163"/>
        <v/>
      </c>
      <c r="CC175" s="5">
        <f t="shared" si="164"/>
        <v>-0.8685058452033263</v>
      </c>
      <c r="CD175" s="2">
        <f t="shared" si="165"/>
        <v>-5.3058373354879951E-2</v>
      </c>
      <c r="CE175" s="69">
        <f t="shared" si="166"/>
        <v>7</v>
      </c>
      <c r="CF175" s="5">
        <v>12000</v>
      </c>
      <c r="CG175" s="5">
        <v>-1.7274159957421209</v>
      </c>
      <c r="CH175" s="72">
        <f t="shared" si="195"/>
        <v>9.942969066495011E-2</v>
      </c>
      <c r="CI175" s="72">
        <f t="shared" si="196"/>
        <v>1</v>
      </c>
      <c r="CJ175" s="5" t="str">
        <f t="shared" si="167"/>
        <v/>
      </c>
      <c r="CK175" s="5">
        <f t="shared" si="168"/>
        <v>-1.7274159957421209</v>
      </c>
      <c r="CL175" s="69">
        <f t="shared" si="169"/>
        <v>7</v>
      </c>
      <c r="CN175" s="70" t="str">
        <f t="shared" si="170"/>
        <v/>
      </c>
      <c r="CO175" s="5">
        <f t="shared" si="171"/>
        <v>0</v>
      </c>
      <c r="CP175" s="5">
        <f>IF(G175&lt;48,"UF", IF(NOT(ISBLANK(CM:CM)), CM:CM, IF(BW:BW=1, BV:BV+Sheet2!B42, IF(Sheet1!BW:BW=2, Sheet1!BV:BV+Sheet2!B43, IF(Sheet1!BW:BW=7, Sheet1!BV:BV+Sheet2!B44,"")))))</f>
        <v>-1.816536371779403</v>
      </c>
      <c r="CQ175" s="69">
        <f t="shared" si="197"/>
        <v>7</v>
      </c>
      <c r="CR175" s="5" t="s">
        <v>12</v>
      </c>
      <c r="CT175" s="5" t="str">
        <f t="shared" si="172"/>
        <v/>
      </c>
      <c r="CU175" s="80">
        <f t="shared" si="173"/>
        <v>0</v>
      </c>
      <c r="CV175" s="80">
        <f t="shared" si="174"/>
        <v>-1</v>
      </c>
      <c r="CW175" s="20">
        <f>IF(G175&lt;48,"UF", IF(NOT(ISBLANK(CS175)), CS175, IF(CE175=5, CC175+Sheet2!B31, IF(CE175=6, CC175+Sheet2!B32, IF(CE175=7, CC175+Sheet2!B33,"")))))</f>
        <v>-0.8685058452033263</v>
      </c>
      <c r="CX175" s="68">
        <f t="shared" si="198"/>
        <v>7</v>
      </c>
      <c r="CY175" s="5" t="s">
        <v>12</v>
      </c>
      <c r="DA175" s="5" t="str">
        <f t="shared" si="175"/>
        <v/>
      </c>
      <c r="DB175" s="73">
        <f t="shared" si="176"/>
        <v>0</v>
      </c>
      <c r="DC175" s="73">
        <f t="shared" si="177"/>
        <v>-1</v>
      </c>
      <c r="DD175" s="5">
        <f>IF(G175&lt;48,"UF", IF(NOT(ISBLANK(CZ:CZ)), CZ:CZ, IF(CL:CL=3, CK:CK+Sheet2!B36, IF(CL:CL=4, CK:CK+Sheet2!B37, IF(CL:CL=7, CK:CK+Sheet2!B38,"")))))</f>
        <v>-1.7274159957421209</v>
      </c>
      <c r="DE175" s="69">
        <f t="shared" ref="DE175:DE238" si="202">IF(DD:DD&lt;-3,3,IF(AND(DD:DD&gt;=-3,DD:DD&lt;-2),4,IF(AND(DD:DD&gt;=-2,DD:DD&lt;=2),7,"")))</f>
        <v>7</v>
      </c>
      <c r="DF175" s="2">
        <v>2</v>
      </c>
      <c r="DG175" s="2">
        <v>33</v>
      </c>
      <c r="DH175" s="2">
        <v>2</v>
      </c>
      <c r="DI175" s="2">
        <v>2</v>
      </c>
      <c r="DJ175" s="2">
        <v>2</v>
      </c>
      <c r="DK175" s="2">
        <v>110</v>
      </c>
      <c r="DL175" s="2">
        <v>60</v>
      </c>
      <c r="DM175" s="2">
        <v>110</v>
      </c>
      <c r="DN175" s="2">
        <v>60</v>
      </c>
      <c r="DO175" s="2">
        <v>110</v>
      </c>
      <c r="DP175" s="2">
        <v>70</v>
      </c>
      <c r="DQ175" s="2">
        <v>2</v>
      </c>
      <c r="DR175" s="2">
        <v>40</v>
      </c>
      <c r="DS175" s="2">
        <v>2</v>
      </c>
      <c r="DT175" s="2">
        <v>88</v>
      </c>
      <c r="DU175" s="2">
        <v>77</v>
      </c>
      <c r="DV175" s="2">
        <v>4</v>
      </c>
      <c r="DW175" s="2">
        <v>2</v>
      </c>
      <c r="DX175" s="2">
        <v>2</v>
      </c>
      <c r="DY175" s="2">
        <v>2</v>
      </c>
      <c r="DZ175" s="2">
        <v>33</v>
      </c>
      <c r="EA175" s="2">
        <v>35</v>
      </c>
      <c r="EB175" s="2">
        <v>45</v>
      </c>
      <c r="EC175" s="2">
        <v>1</v>
      </c>
      <c r="ED175" s="2">
        <v>1</v>
      </c>
    </row>
    <row r="176" spans="2:134" x14ac:dyDescent="0.25">
      <c r="B176" s="2"/>
      <c r="C176" t="s">
        <v>426</v>
      </c>
      <c r="D176" s="3">
        <v>2501018184</v>
      </c>
      <c r="E176" s="3">
        <v>7</v>
      </c>
      <c r="F176" s="2">
        <v>1</v>
      </c>
      <c r="G176" s="2">
        <v>51</v>
      </c>
      <c r="H176">
        <v>-0.53777838652024401</v>
      </c>
      <c r="I176" s="2">
        <v>54</v>
      </c>
      <c r="J176">
        <v>2.604984249137289</v>
      </c>
      <c r="K176" s="2">
        <v>3700</v>
      </c>
      <c r="L176" s="2">
        <v>0.97883011041566159</v>
      </c>
      <c r="M176" s="2">
        <v>-0.1022522152708842</v>
      </c>
      <c r="N176" s="2">
        <f t="shared" si="137"/>
        <v>0.50253198992383263</v>
      </c>
      <c r="O176" s="2">
        <f t="shared" si="138"/>
        <v>-0.1022522152708842</v>
      </c>
      <c r="P176" s="2">
        <v>66</v>
      </c>
      <c r="Q176" s="2">
        <v>-0.20973371325961271</v>
      </c>
      <c r="R176" s="5">
        <f t="shared" si="139"/>
        <v>-1.418333633063555</v>
      </c>
      <c r="S176" s="5">
        <f t="shared" si="140"/>
        <v>-0.20973371325961271</v>
      </c>
      <c r="T176" s="2">
        <v>7300</v>
      </c>
      <c r="U176" s="2">
        <v>-0.1843403565711684</v>
      </c>
      <c r="V176" s="2">
        <f t="shared" si="141"/>
        <v>-0.38156171357212509</v>
      </c>
      <c r="W176" s="2">
        <f t="shared" si="142"/>
        <v>-0.1843403565711684</v>
      </c>
      <c r="X176" s="2">
        <v>0.46728559332742131</v>
      </c>
      <c r="Y176" s="76">
        <f t="shared" si="179"/>
        <v>1.0050639798476653</v>
      </c>
      <c r="Z176" s="76">
        <f t="shared" si="180"/>
        <v>2</v>
      </c>
      <c r="AA176" s="2">
        <f t="shared" si="143"/>
        <v>0.44540611449684753</v>
      </c>
      <c r="AB176" s="2">
        <f t="shared" si="144"/>
        <v>0.46728559332742131</v>
      </c>
      <c r="AC176" s="2">
        <v>74</v>
      </c>
      <c r="AD176" s="2">
        <v>-0.23168301698982111</v>
      </c>
      <c r="AE176" s="79">
        <f t="shared" si="181"/>
        <v>-2.83666726612711</v>
      </c>
      <c r="AF176" s="79">
        <f t="shared" si="182"/>
        <v>-2</v>
      </c>
      <c r="AG176" s="2">
        <f t="shared" si="200"/>
        <v>0.24486464855500126</v>
      </c>
      <c r="AH176" s="2">
        <f t="shared" si="145"/>
        <v>-0.23168301698982111</v>
      </c>
      <c r="AI176" s="2">
        <v>9300</v>
      </c>
      <c r="AJ176" s="2">
        <v>0.2157066832714114</v>
      </c>
      <c r="AK176" s="76">
        <f t="shared" si="183"/>
        <v>-0.76312342714425019</v>
      </c>
      <c r="AL176" s="76">
        <f t="shared" si="184"/>
        <v>-2</v>
      </c>
      <c r="AM176" s="2">
        <f t="shared" si="146"/>
        <v>0.41776780438604244</v>
      </c>
      <c r="AN176" s="2">
        <f t="shared" si="147"/>
        <v>0.2157066832714114</v>
      </c>
      <c r="AO176" s="2">
        <v>0.68107851573408229</v>
      </c>
      <c r="AP176" s="2" t="str">
        <f t="shared" si="148"/>
        <v/>
      </c>
      <c r="AQ176" s="2">
        <f t="shared" si="149"/>
        <v>0.68107851573408229</v>
      </c>
      <c r="AR176" s="2">
        <v>82</v>
      </c>
      <c r="AS176" s="2">
        <v>0.27999558385038981</v>
      </c>
      <c r="AT176" s="2" t="str">
        <f t="shared" si="150"/>
        <v/>
      </c>
      <c r="AU176" s="2">
        <f t="shared" si="151"/>
        <v>0.27999558385038981</v>
      </c>
      <c r="AV176" s="2">
        <v>11200</v>
      </c>
      <c r="AW176" s="2">
        <v>0.65119525220091645</v>
      </c>
      <c r="AX176" s="2" t="str">
        <f t="shared" si="152"/>
        <v/>
      </c>
      <c r="AY176" s="2">
        <f t="shared" si="153"/>
        <v>0.65119525220091645</v>
      </c>
      <c r="BA176" s="78" t="e">
        <f t="shared" si="185"/>
        <v>#VALUE!</v>
      </c>
      <c r="BB176" s="78" t="e">
        <f t="shared" si="186"/>
        <v>#VALUE!</v>
      </c>
      <c r="BC176" s="2" t="str">
        <f t="shared" si="154"/>
        <v/>
      </c>
      <c r="BD176" s="2" t="e">
        <f t="shared" si="155"/>
        <v>#VALUE!</v>
      </c>
      <c r="BE176" s="67" t="e">
        <f t="shared" si="187"/>
        <v>#VALUE!</v>
      </c>
      <c r="BF176" s="2" t="s">
        <v>12</v>
      </c>
      <c r="BH176" s="2" t="str">
        <f t="shared" si="156"/>
        <v/>
      </c>
      <c r="BI176" s="2" t="e">
        <f t="shared" si="157"/>
        <v>#VALUE!</v>
      </c>
      <c r="BJ176" s="67" t="e">
        <f t="shared" si="158"/>
        <v>#VALUE!</v>
      </c>
      <c r="BK176" s="2" t="s">
        <v>12</v>
      </c>
      <c r="BM176" s="77" t="e">
        <f t="shared" si="188"/>
        <v>#VALUE!</v>
      </c>
      <c r="BN176" s="77" t="e">
        <f t="shared" si="189"/>
        <v>#VALUE!</v>
      </c>
      <c r="BO176" s="2" t="str">
        <f t="shared" si="159"/>
        <v/>
      </c>
      <c r="BP176" s="2" t="e">
        <f t="shared" si="160"/>
        <v>#VALUE!</v>
      </c>
      <c r="BQ176" s="67" t="e">
        <f t="shared" si="190"/>
        <v>#VALUE!</v>
      </c>
      <c r="BR176" s="2"/>
      <c r="BS176" s="75" t="e">
        <f t="shared" si="191"/>
        <v>#VALUE!</v>
      </c>
      <c r="BT176" s="75" t="e">
        <f t="shared" si="192"/>
        <v>#VALUE!</v>
      </c>
      <c r="BU176" s="5" t="str">
        <f>IF(G183&gt;=36, IF(AND(NOT(ISBLANK(CM:CM)), NOT(ISBLANK(BD:BD))), (CM:CM-BD:BD)/2, ""), "UF")</f>
        <v/>
      </c>
      <c r="BV176" s="5" t="e">
        <f t="shared" si="161"/>
        <v>#VALUE!</v>
      </c>
      <c r="BW176" s="69" t="e">
        <f t="shared" si="162"/>
        <v>#VALUE!</v>
      </c>
      <c r="BX176" s="2" t="s">
        <v>12</v>
      </c>
      <c r="BY176" s="2"/>
      <c r="BZ176" s="74" t="e">
        <f t="shared" si="193"/>
        <v>#VALUE!</v>
      </c>
      <c r="CA176" s="74" t="e">
        <f t="shared" si="194"/>
        <v>#VALUE!</v>
      </c>
      <c r="CB176" s="5" t="str">
        <f t="shared" si="163"/>
        <v/>
      </c>
      <c r="CC176" s="5" t="e">
        <f t="shared" si="164"/>
        <v>#VALUE!</v>
      </c>
      <c r="CD176" s="2" t="e">
        <f t="shared" si="165"/>
        <v>#VALUE!</v>
      </c>
      <c r="CE176" s="69" t="e">
        <f t="shared" si="166"/>
        <v>#VALUE!</v>
      </c>
      <c r="CF176" s="5" t="s">
        <v>12</v>
      </c>
      <c r="CG176" s="2"/>
      <c r="CH176" s="72" t="e">
        <f t="shared" si="195"/>
        <v>#VALUE!</v>
      </c>
      <c r="CI176" s="72" t="e">
        <f t="shared" si="196"/>
        <v>#VALUE!</v>
      </c>
      <c r="CJ176" s="5" t="str">
        <f t="shared" si="167"/>
        <v/>
      </c>
      <c r="CK176" s="5" t="e">
        <f t="shared" si="168"/>
        <v>#VALUE!</v>
      </c>
      <c r="CL176" s="69" t="e">
        <f t="shared" si="169"/>
        <v>#VALUE!</v>
      </c>
      <c r="CM176" s="2"/>
      <c r="CN176" s="70" t="str">
        <f t="shared" si="170"/>
        <v/>
      </c>
      <c r="CO176" s="5" t="e">
        <f t="shared" si="171"/>
        <v>#VALUE!</v>
      </c>
      <c r="CP176" s="5" t="e">
        <f>IF(G176&lt;48,"UF", IF(NOT(ISBLANK(CM:CM)), CM:CM, IF(BW:BW=1, BV:BV+Sheet2!B635, IF(Sheet1!BW:BW=2, Sheet1!BV:BV+Sheet2!B636, IF(Sheet1!BW:BW=7, Sheet1!BV:BV+Sheet2!B637,"")))))</f>
        <v>#VALUE!</v>
      </c>
      <c r="CQ176" s="69" t="e">
        <f t="shared" si="197"/>
        <v>#VALUE!</v>
      </c>
      <c r="CR176" s="5" t="s">
        <v>12</v>
      </c>
      <c r="CS176" s="2"/>
      <c r="CT176" s="5" t="str">
        <f t="shared" si="172"/>
        <v/>
      </c>
      <c r="CU176" s="80" t="e">
        <f t="shared" si="173"/>
        <v>#VALUE!</v>
      </c>
      <c r="CV176" s="80" t="e">
        <f t="shared" si="174"/>
        <v>#VALUE!</v>
      </c>
      <c r="CW176" s="20" t="e">
        <f>IF(G176&lt;48,"UF", IF(NOT(ISBLANK(CS176)), CS176, IF(CE176=5, CC176+Sheet2!B624, IF(CE176=6, CC176+Sheet2!B625, IF(CE176=7, CC176+Sheet2!B626,"")))))</f>
        <v>#VALUE!</v>
      </c>
      <c r="CX176" s="68" t="e">
        <f t="shared" si="198"/>
        <v>#VALUE!</v>
      </c>
      <c r="CY176" s="5" t="s">
        <v>12</v>
      </c>
      <c r="DA176" s="5" t="str">
        <f t="shared" si="175"/>
        <v/>
      </c>
      <c r="DB176" s="73" t="e">
        <f t="shared" si="176"/>
        <v>#VALUE!</v>
      </c>
      <c r="DC176" s="73" t="e">
        <f t="shared" si="177"/>
        <v>#VALUE!</v>
      </c>
      <c r="DD176" s="5" t="e">
        <f>IF(G176&lt;48,"UF", IF(NOT(ISBLANK(CZ:CZ)), CZ:CZ, IF(CL:CL=3, CK:CK+Sheet2!B629, IF(CL:CL=4, CK:CK+Sheet2!B630, IF(CL:CL=7, CK:CK+Sheet2!B631,"")))))</f>
        <v>#VALUE!</v>
      </c>
      <c r="DE176" s="69" t="e">
        <f t="shared" si="202"/>
        <v>#VALUE!</v>
      </c>
      <c r="DF176" s="2">
        <v>3</v>
      </c>
      <c r="DG176" s="2">
        <v>31</v>
      </c>
      <c r="DH176" s="2">
        <v>2</v>
      </c>
      <c r="DI176" s="2">
        <v>2</v>
      </c>
      <c r="DJ176" s="2">
        <v>2</v>
      </c>
      <c r="DK176" s="2">
        <v>99</v>
      </c>
      <c r="DL176" s="2">
        <v>60</v>
      </c>
      <c r="DM176" s="2">
        <v>107</v>
      </c>
      <c r="DN176" s="2">
        <v>66</v>
      </c>
      <c r="DO176" s="2">
        <v>100</v>
      </c>
      <c r="DP176" s="2">
        <v>59</v>
      </c>
      <c r="DQ176" s="2">
        <v>1</v>
      </c>
      <c r="DR176" s="2">
        <v>40</v>
      </c>
      <c r="DS176" s="2">
        <v>2</v>
      </c>
      <c r="DT176" s="2">
        <v>77</v>
      </c>
      <c r="DU176" s="2">
        <v>86</v>
      </c>
      <c r="DV176" s="2">
        <v>2</v>
      </c>
      <c r="DW176" s="2">
        <v>2</v>
      </c>
      <c r="DX176" s="2">
        <v>2</v>
      </c>
      <c r="DY176" s="2">
        <v>1</v>
      </c>
      <c r="DZ176" s="2">
        <v>35</v>
      </c>
      <c r="EA176" s="2">
        <v>36</v>
      </c>
      <c r="EB176" s="2">
        <v>46</v>
      </c>
      <c r="EC176" s="2">
        <v>1</v>
      </c>
      <c r="ED176" s="2">
        <v>1</v>
      </c>
    </row>
    <row r="177" spans="2:134" x14ac:dyDescent="0.25">
      <c r="C177" s="8" t="s">
        <v>347</v>
      </c>
      <c r="D177" s="2">
        <v>2501018192</v>
      </c>
      <c r="E177" s="5">
        <v>7</v>
      </c>
      <c r="F177" s="2">
        <v>1</v>
      </c>
      <c r="G177" s="2">
        <v>50</v>
      </c>
      <c r="H177" s="2">
        <v>-1.6388966007400689</v>
      </c>
      <c r="I177" s="2">
        <v>52</v>
      </c>
      <c r="J177" s="2">
        <v>1.531272843240846</v>
      </c>
      <c r="K177" s="2">
        <v>3100</v>
      </c>
      <c r="L177" s="2">
        <v>-0.29236112544414727</v>
      </c>
      <c r="M177" s="2">
        <v>0.44140000000000001</v>
      </c>
      <c r="N177" s="2">
        <f t="shared" si="137"/>
        <v>0.73149830037003449</v>
      </c>
      <c r="O177" s="2">
        <f t="shared" si="138"/>
        <v>0.44140000000000001</v>
      </c>
      <c r="P177" s="2">
        <v>67</v>
      </c>
      <c r="Q177" s="2">
        <v>0.55000000000000004</v>
      </c>
      <c r="R177" s="5">
        <f t="shared" si="139"/>
        <v>-0.18563642162042304</v>
      </c>
      <c r="S177" s="5">
        <f t="shared" si="140"/>
        <v>0.55000000000000004</v>
      </c>
      <c r="T177" s="2">
        <v>7900</v>
      </c>
      <c r="U177" s="2">
        <v>0.64</v>
      </c>
      <c r="V177" s="2">
        <f t="shared" si="141"/>
        <v>0.41118056272207365</v>
      </c>
      <c r="W177" s="2">
        <f t="shared" si="142"/>
        <v>0.64</v>
      </c>
      <c r="X177" s="2">
        <v>-0.1759</v>
      </c>
      <c r="Y177" s="76">
        <f t="shared" si="179"/>
        <v>1.462996600740069</v>
      </c>
      <c r="Z177" s="76">
        <f t="shared" si="180"/>
        <v>2</v>
      </c>
      <c r="AA177" s="2">
        <f t="shared" si="143"/>
        <v>2.1499999999999853E-3</v>
      </c>
      <c r="AB177" s="2">
        <f t="shared" si="144"/>
        <v>-0.1759</v>
      </c>
      <c r="AC177" s="2">
        <v>77</v>
      </c>
      <c r="AD177" s="2">
        <v>1.1599999999999999</v>
      </c>
      <c r="AE177" s="79">
        <f t="shared" si="181"/>
        <v>-0.37127284324084608</v>
      </c>
      <c r="AF177" s="79">
        <f t="shared" si="182"/>
        <v>-1</v>
      </c>
      <c r="AG177" s="2">
        <f t="shared" si="200"/>
        <v>-5.5000000000000021E-2</v>
      </c>
      <c r="AH177" s="2">
        <f t="shared" si="145"/>
        <v>1.1599999999999999</v>
      </c>
      <c r="AI177" s="2">
        <v>9550</v>
      </c>
      <c r="AJ177" s="2">
        <v>0.53</v>
      </c>
      <c r="AK177" s="76">
        <f t="shared" si="183"/>
        <v>0.8223611254441473</v>
      </c>
      <c r="AL177" s="76">
        <f t="shared" si="184"/>
        <v>2</v>
      </c>
      <c r="AM177" s="2">
        <f t="shared" si="146"/>
        <v>5.0000000000000044E-3</v>
      </c>
      <c r="AN177" s="2">
        <f t="shared" si="147"/>
        <v>0.53</v>
      </c>
      <c r="AO177" s="2">
        <v>0.55430000000000001</v>
      </c>
      <c r="AP177" s="2">
        <f t="shared" si="148"/>
        <v>-0.53730892296474908</v>
      </c>
      <c r="AQ177" s="2">
        <f t="shared" si="149"/>
        <v>0.55430000000000001</v>
      </c>
      <c r="AR177" s="2">
        <v>82</v>
      </c>
      <c r="AS177" s="2">
        <v>0.44</v>
      </c>
      <c r="AT177" s="2">
        <f t="shared" si="150"/>
        <v>8.0436555708527036E-2</v>
      </c>
      <c r="AU177" s="2">
        <f t="shared" si="151"/>
        <v>0.44</v>
      </c>
      <c r="AV177" s="2">
        <v>11100</v>
      </c>
      <c r="AW177" s="2">
        <v>0.65</v>
      </c>
      <c r="AX177" s="2">
        <f t="shared" si="152"/>
        <v>-0.31696489070164369</v>
      </c>
      <c r="AY177" s="2">
        <f t="shared" si="153"/>
        <v>0.65</v>
      </c>
      <c r="AZ177" s="2">
        <v>-1.2505178459294981</v>
      </c>
      <c r="BA177" s="78">
        <f t="shared" si="185"/>
        <v>-1.0746178459294982</v>
      </c>
      <c r="BB177" s="78">
        <f t="shared" si="186"/>
        <v>-2</v>
      </c>
      <c r="BC177" s="2">
        <f t="shared" si="154"/>
        <v>-0.95652509936632957</v>
      </c>
      <c r="BD177" s="2">
        <f t="shared" si="155"/>
        <v>-1.2505178459294981</v>
      </c>
      <c r="BE177" s="67">
        <f t="shared" si="187"/>
        <v>7</v>
      </c>
      <c r="BF177" s="2">
        <v>90</v>
      </c>
      <c r="BG177" s="2">
        <v>1.320873111417054</v>
      </c>
      <c r="BH177" s="2">
        <f t="shared" si="156"/>
        <v>0.49706907913800596</v>
      </c>
      <c r="BI177" s="2">
        <f t="shared" si="157"/>
        <v>1.320873111417054</v>
      </c>
      <c r="BJ177" s="67">
        <f t="shared" si="158"/>
        <v>7</v>
      </c>
      <c r="BK177" s="2">
        <v>12000</v>
      </c>
      <c r="BL177" s="2">
        <v>-0.10392978140328731</v>
      </c>
      <c r="BM177" s="77">
        <f t="shared" si="188"/>
        <v>-0.63392978140328737</v>
      </c>
      <c r="BN177" s="77">
        <f t="shared" si="189"/>
        <v>-1</v>
      </c>
      <c r="BO177" s="2">
        <f t="shared" si="159"/>
        <v>-0.20492772472573872</v>
      </c>
      <c r="BP177" s="2">
        <f t="shared" si="160"/>
        <v>-0.10392978140328731</v>
      </c>
      <c r="BQ177" s="67">
        <f t="shared" si="190"/>
        <v>7</v>
      </c>
      <c r="BR177" s="5">
        <v>-2.3152752980989888</v>
      </c>
      <c r="BS177" s="75">
        <f t="shared" si="191"/>
        <v>-1.0647574521694907</v>
      </c>
      <c r="BT177" s="75">
        <f t="shared" si="192"/>
        <v>-2</v>
      </c>
      <c r="BU177" s="5" t="e">
        <f>IF(#REF!&gt;=36, IF(AND(NOT(ISBLANK(CM:CM)), NOT(ISBLANK(BD:BD))), (CM:CM-BD:BD)/2, ""), "UF")</f>
        <v>#REF!</v>
      </c>
      <c r="BV177" s="5">
        <f t="shared" si="161"/>
        <v>-2.3152752980989888</v>
      </c>
      <c r="BW177" s="69">
        <f t="shared" si="162"/>
        <v>2</v>
      </c>
      <c r="BX177" s="2">
        <v>102</v>
      </c>
      <c r="BY177" s="5">
        <v>1.9312072374140179</v>
      </c>
      <c r="BZ177" s="74">
        <f t="shared" si="193"/>
        <v>2.0351370188173052</v>
      </c>
      <c r="CA177" s="74">
        <f t="shared" si="194"/>
        <v>2</v>
      </c>
      <c r="CB177" s="5">
        <f t="shared" si="163"/>
        <v>0.11602228000516845</v>
      </c>
      <c r="CC177" s="5">
        <f t="shared" si="164"/>
        <v>1.9312072374140179</v>
      </c>
      <c r="CD177" s="2">
        <f t="shared" si="165"/>
        <v>0.61033412599696391</v>
      </c>
      <c r="CE177" s="69">
        <f t="shared" si="166"/>
        <v>7</v>
      </c>
      <c r="CF177" s="5">
        <v>14000</v>
      </c>
      <c r="CG177" s="5">
        <v>3.5216825822783827E-2</v>
      </c>
      <c r="CH177" s="72">
        <f t="shared" si="195"/>
        <v>0.13914660722607114</v>
      </c>
      <c r="CI177" s="72">
        <f t="shared" si="196"/>
        <v>1</v>
      </c>
      <c r="CJ177" s="5">
        <f t="shared" si="167"/>
        <v>-0.17127796796673941</v>
      </c>
      <c r="CK177" s="5">
        <f t="shared" si="168"/>
        <v>3.5216825822783827E-2</v>
      </c>
      <c r="CL177" s="69">
        <f t="shared" si="169"/>
        <v>7</v>
      </c>
      <c r="CM177" s="5">
        <v>-2.8996364039836222</v>
      </c>
      <c r="CN177" s="70">
        <f t="shared" si="170"/>
        <v>-0.58436110588463341</v>
      </c>
      <c r="CO177" s="5">
        <f t="shared" si="171"/>
        <v>-0.58436110588463341</v>
      </c>
      <c r="CP177" s="5">
        <f>IF(G177&lt;48,"UF", IF(NOT(ISBLANK(CM:CM)), CM:CM, IF(BW:BW=1, BV:BV+Sheet2!B579, IF(Sheet1!BW:BW=2, Sheet1!BV:BV+Sheet2!B580, IF(Sheet1!BW:BW=7, Sheet1!BV:BV+Sheet2!B581,"")))))</f>
        <v>-2.8996364039836222</v>
      </c>
      <c r="CQ177" s="69">
        <f t="shared" si="197"/>
        <v>2</v>
      </c>
      <c r="CR177" s="5">
        <v>108</v>
      </c>
      <c r="CS177" s="5">
        <v>1.5529176714273909</v>
      </c>
      <c r="CT177" s="5">
        <f t="shared" si="172"/>
        <v>-0.378289565986627</v>
      </c>
      <c r="CU177" s="80">
        <f t="shared" si="173"/>
        <v>-0.378289565986627</v>
      </c>
      <c r="CV177" s="80">
        <f t="shared" si="174"/>
        <v>-1</v>
      </c>
      <c r="CW177" s="20">
        <f>IF(G177&lt;48,"UF", IF(NOT(ISBLANK(CS177)), CS177, IF(CE177=5, CC177+Sheet2!B568, IF(CE177=6, CC177+Sheet2!B569, IF(CE177=7, CC177+Sheet2!B570,"")))))</f>
        <v>1.5529176714273909</v>
      </c>
      <c r="CX177" s="68">
        <f t="shared" si="198"/>
        <v>7</v>
      </c>
      <c r="CY177" s="5">
        <v>15000</v>
      </c>
      <c r="CZ177" s="5">
        <v>-0.44648571733676612</v>
      </c>
      <c r="DA177" s="5">
        <f t="shared" si="175"/>
        <v>-0.48170254315954997</v>
      </c>
      <c r="DB177" s="73">
        <f t="shared" si="176"/>
        <v>-0.48170254315954997</v>
      </c>
      <c r="DC177" s="73">
        <f t="shared" si="177"/>
        <v>-1</v>
      </c>
      <c r="DD177" s="5">
        <f>IF(G177&lt;48,"UF", IF(NOT(ISBLANK(CZ:CZ)), CZ:CZ, IF(CL:CL=3, CK:CK+Sheet2!B573, IF(CL:CL=4, CK:CK+Sheet2!B574, IF(CL:CL=7, CK:CK+Sheet2!B575,"")))))</f>
        <v>-0.44648571733676612</v>
      </c>
      <c r="DE177" s="69">
        <f t="shared" si="202"/>
        <v>7</v>
      </c>
      <c r="DF177" s="2">
        <v>3</v>
      </c>
      <c r="DG177" s="2">
        <v>37</v>
      </c>
      <c r="DH177" s="2">
        <v>1</v>
      </c>
      <c r="DI177" s="2">
        <v>2</v>
      </c>
      <c r="DJ177" s="2">
        <v>2</v>
      </c>
      <c r="DK177" s="2">
        <v>100</v>
      </c>
      <c r="DL177" s="2">
        <v>60</v>
      </c>
      <c r="DM177" s="2">
        <v>100</v>
      </c>
      <c r="DN177" s="2">
        <v>60</v>
      </c>
      <c r="DO177" s="2">
        <v>120</v>
      </c>
      <c r="DP177" s="2">
        <v>63</v>
      </c>
      <c r="DQ177" s="2">
        <v>1</v>
      </c>
      <c r="DR177" s="2">
        <v>37</v>
      </c>
      <c r="DS177" s="2">
        <v>1</v>
      </c>
      <c r="DT177" s="2">
        <v>97</v>
      </c>
      <c r="DU177" s="2">
        <v>71</v>
      </c>
      <c r="DV177" s="2">
        <v>2</v>
      </c>
      <c r="DW177" s="2">
        <v>2</v>
      </c>
      <c r="DX177" s="2">
        <v>2</v>
      </c>
      <c r="DY177" s="2">
        <v>2</v>
      </c>
      <c r="DZ177" s="2">
        <v>34</v>
      </c>
      <c r="EA177" s="2">
        <v>36</v>
      </c>
      <c r="EB177" s="2">
        <v>45</v>
      </c>
      <c r="EC177" s="2">
        <v>1</v>
      </c>
      <c r="ED177" s="2">
        <v>1</v>
      </c>
    </row>
    <row r="178" spans="2:134" x14ac:dyDescent="0.25">
      <c r="C178" s="2" t="s">
        <v>165</v>
      </c>
      <c r="D178" s="2">
        <v>2501018982</v>
      </c>
      <c r="E178" s="5">
        <v>6</v>
      </c>
      <c r="F178" s="2">
        <v>2</v>
      </c>
      <c r="G178" s="2">
        <v>50</v>
      </c>
      <c r="H178" s="2">
        <v>-0.82647443910598217</v>
      </c>
      <c r="I178" s="2">
        <v>50</v>
      </c>
      <c r="J178" s="2">
        <v>6.1168777667580831E-2</v>
      </c>
      <c r="K178" s="5">
        <v>3100</v>
      </c>
      <c r="L178" s="2">
        <v>-0.51686178682742712</v>
      </c>
      <c r="M178" s="2">
        <v>-1.3224</v>
      </c>
      <c r="N178" s="2">
        <f t="shared" si="137"/>
        <v>-0.32186278044700889</v>
      </c>
      <c r="O178" s="2">
        <f t="shared" si="138"/>
        <v>-1.3224</v>
      </c>
      <c r="P178" s="2">
        <v>68</v>
      </c>
      <c r="Q178" s="2">
        <v>0.17</v>
      </c>
      <c r="R178" s="5">
        <f t="shared" si="139"/>
        <v>-0.39558438883379043</v>
      </c>
      <c r="S178" s="5">
        <f t="shared" si="140"/>
        <v>0.17</v>
      </c>
      <c r="T178" s="1">
        <v>7200</v>
      </c>
      <c r="U178" s="2">
        <v>-0.89</v>
      </c>
      <c r="V178" s="2">
        <f t="shared" si="141"/>
        <v>-0.48156910658628643</v>
      </c>
      <c r="W178" s="2">
        <f t="shared" si="142"/>
        <v>-0.89</v>
      </c>
      <c r="X178" s="2">
        <v>-1.4702</v>
      </c>
      <c r="Y178" s="76">
        <f t="shared" si="179"/>
        <v>-0.64372556089401778</v>
      </c>
      <c r="Z178" s="76">
        <f t="shared" si="180"/>
        <v>-1</v>
      </c>
      <c r="AA178" s="2">
        <f t="shared" si="143"/>
        <v>-0.48075000000000001</v>
      </c>
      <c r="AB178" s="2">
        <f t="shared" si="144"/>
        <v>-1.4702</v>
      </c>
      <c r="AC178" s="2">
        <v>74</v>
      </c>
      <c r="AD178" s="2">
        <v>-0.73</v>
      </c>
      <c r="AE178" s="79">
        <f t="shared" si="181"/>
        <v>-0.79116877766758087</v>
      </c>
      <c r="AF178" s="79">
        <f t="shared" si="182"/>
        <v>-2</v>
      </c>
      <c r="AG178" s="2">
        <f t="shared" si="200"/>
        <v>-1.06</v>
      </c>
      <c r="AH178" s="2">
        <f t="shared" si="145"/>
        <v>-0.73</v>
      </c>
      <c r="AI178" s="2">
        <v>8200</v>
      </c>
      <c r="AJ178" s="2">
        <v>-1.48</v>
      </c>
      <c r="AK178" s="76">
        <f t="shared" si="183"/>
        <v>-0.96313821317257287</v>
      </c>
      <c r="AL178" s="76">
        <f t="shared" si="184"/>
        <v>-2</v>
      </c>
      <c r="AM178" s="2">
        <f t="shared" si="146"/>
        <v>-0.43</v>
      </c>
      <c r="AN178" s="2">
        <f t="shared" si="147"/>
        <v>-1.48</v>
      </c>
      <c r="AO178" s="2">
        <v>-0.79149999999999998</v>
      </c>
      <c r="AP178" s="2" t="str">
        <f t="shared" si="148"/>
        <v/>
      </c>
      <c r="AQ178" s="2">
        <f t="shared" si="149"/>
        <v>-0.79149999999999998</v>
      </c>
      <c r="AR178" s="2">
        <v>77</v>
      </c>
      <c r="AS178" s="2">
        <v>-1.95</v>
      </c>
      <c r="AT178" s="2" t="str">
        <f t="shared" si="150"/>
        <v/>
      </c>
      <c r="AU178" s="2">
        <f t="shared" si="151"/>
        <v>-1.95</v>
      </c>
      <c r="AV178" s="2">
        <v>9000</v>
      </c>
      <c r="AW178" s="2">
        <v>-1.75</v>
      </c>
      <c r="AX178" s="2" t="str">
        <f t="shared" si="152"/>
        <v/>
      </c>
      <c r="AY178" s="2">
        <f t="shared" si="153"/>
        <v>-1.75</v>
      </c>
      <c r="BA178" s="78" t="e">
        <f t="shared" si="185"/>
        <v>#VALUE!</v>
      </c>
      <c r="BB178" s="78" t="e">
        <f t="shared" si="186"/>
        <v>#VALUE!</v>
      </c>
      <c r="BC178" s="2" t="str">
        <f t="shared" si="154"/>
        <v/>
      </c>
      <c r="BD178" s="2" t="e">
        <f t="shared" si="155"/>
        <v>#VALUE!</v>
      </c>
      <c r="BE178" s="67" t="e">
        <f t="shared" si="187"/>
        <v>#VALUE!</v>
      </c>
      <c r="BF178" s="2" t="s">
        <v>12</v>
      </c>
      <c r="BH178" s="2" t="str">
        <f t="shared" si="156"/>
        <v/>
      </c>
      <c r="BI178" s="2" t="e">
        <f t="shared" si="157"/>
        <v>#VALUE!</v>
      </c>
      <c r="BJ178" s="67" t="e">
        <f t="shared" si="158"/>
        <v>#VALUE!</v>
      </c>
      <c r="BK178" s="2" t="s">
        <v>12</v>
      </c>
      <c r="BM178" s="77" t="e">
        <f t="shared" si="188"/>
        <v>#VALUE!</v>
      </c>
      <c r="BN178" s="77" t="e">
        <f t="shared" si="189"/>
        <v>#VALUE!</v>
      </c>
      <c r="BO178" s="2" t="str">
        <f t="shared" si="159"/>
        <v/>
      </c>
      <c r="BP178" s="2" t="e">
        <f t="shared" si="160"/>
        <v>#VALUE!</v>
      </c>
      <c r="BQ178" s="67" t="e">
        <f t="shared" si="190"/>
        <v>#VALUE!</v>
      </c>
      <c r="BS178" s="75" t="e">
        <f t="shared" si="191"/>
        <v>#VALUE!</v>
      </c>
      <c r="BT178" s="75" t="e">
        <f t="shared" si="192"/>
        <v>#VALUE!</v>
      </c>
      <c r="BU178" s="5" t="str">
        <f>IF(G184&gt;=36, IF(AND(NOT(ISBLANK(CM:CM)), NOT(ISBLANK(BD:BD))), (CM:CM-BD:BD)/2, ""), "UF")</f>
        <v/>
      </c>
      <c r="BV178" s="5" t="e">
        <f t="shared" si="161"/>
        <v>#VALUE!</v>
      </c>
      <c r="BW178" s="69" t="e">
        <f t="shared" si="162"/>
        <v>#VALUE!</v>
      </c>
      <c r="BX178" s="2" t="s">
        <v>12</v>
      </c>
      <c r="BZ178" s="74" t="e">
        <f t="shared" si="193"/>
        <v>#VALUE!</v>
      </c>
      <c r="CA178" s="74" t="e">
        <f t="shared" si="194"/>
        <v>#VALUE!</v>
      </c>
      <c r="CB178" s="5" t="str">
        <f t="shared" si="163"/>
        <v/>
      </c>
      <c r="CC178" s="5" t="e">
        <f t="shared" si="164"/>
        <v>#VALUE!</v>
      </c>
      <c r="CD178" s="2" t="e">
        <f t="shared" si="165"/>
        <v>#VALUE!</v>
      </c>
      <c r="CE178" s="69" t="e">
        <f t="shared" si="166"/>
        <v>#VALUE!</v>
      </c>
      <c r="CF178" s="5" t="s">
        <v>12</v>
      </c>
      <c r="CH178" s="72" t="e">
        <f t="shared" si="195"/>
        <v>#VALUE!</v>
      </c>
      <c r="CI178" s="72" t="e">
        <f t="shared" si="196"/>
        <v>#VALUE!</v>
      </c>
      <c r="CJ178" s="5" t="str">
        <f t="shared" si="167"/>
        <v/>
      </c>
      <c r="CK178" s="5" t="e">
        <f t="shared" si="168"/>
        <v>#VALUE!</v>
      </c>
      <c r="CL178" s="69" t="e">
        <f t="shared" si="169"/>
        <v>#VALUE!</v>
      </c>
      <c r="CN178" s="70" t="str">
        <f t="shared" si="170"/>
        <v/>
      </c>
      <c r="CO178" s="5" t="e">
        <f t="shared" si="171"/>
        <v>#VALUE!</v>
      </c>
      <c r="CP178" s="5" t="e">
        <f>IF(G178&lt;48,"UF", IF(NOT(ISBLANK(CM:CM)), CM:CM, IF(BW:BW=1, BV:BV+Sheet2!B327, IF(Sheet1!BW:BW=2, Sheet1!BV:BV+Sheet2!B328, IF(Sheet1!BW:BW=7, Sheet1!BV:BV+Sheet2!B329,"")))))</f>
        <v>#VALUE!</v>
      </c>
      <c r="CQ178" s="69" t="e">
        <f t="shared" si="197"/>
        <v>#VALUE!</v>
      </c>
      <c r="CR178" s="5" t="s">
        <v>12</v>
      </c>
      <c r="CT178" s="5" t="str">
        <f t="shared" si="172"/>
        <v/>
      </c>
      <c r="CU178" s="80" t="e">
        <f t="shared" si="173"/>
        <v>#VALUE!</v>
      </c>
      <c r="CV178" s="80" t="e">
        <f t="shared" si="174"/>
        <v>#VALUE!</v>
      </c>
      <c r="CW178" s="20" t="e">
        <f>IF(G178&lt;48,"UF", IF(NOT(ISBLANK(CS178)), CS178, IF(CE178=5, CC178+Sheet2!B316, IF(CE178=6, CC178+Sheet2!B317, IF(CE178=7, CC178+Sheet2!B318,"")))))</f>
        <v>#VALUE!</v>
      </c>
      <c r="CX178" s="68" t="e">
        <f t="shared" si="198"/>
        <v>#VALUE!</v>
      </c>
      <c r="CY178" s="5" t="s">
        <v>12</v>
      </c>
      <c r="DA178" s="5" t="str">
        <f t="shared" si="175"/>
        <v/>
      </c>
      <c r="DB178" s="73" t="e">
        <f t="shared" si="176"/>
        <v>#VALUE!</v>
      </c>
      <c r="DC178" s="73" t="e">
        <f t="shared" si="177"/>
        <v>#VALUE!</v>
      </c>
      <c r="DD178" s="5" t="e">
        <f>IF(G178&lt;48,"UF", IF(NOT(ISBLANK(CZ:CZ)), CZ:CZ, IF(CL:CL=3, CK:CK+Sheet2!B321, IF(CL:CL=4, CK:CK+Sheet2!B322, IF(CL:CL=7, CK:CK+Sheet2!B323,"")))))</f>
        <v>#VALUE!</v>
      </c>
      <c r="DE178" s="69" t="e">
        <f t="shared" si="202"/>
        <v>#VALUE!</v>
      </c>
      <c r="DF178" s="2">
        <v>2</v>
      </c>
      <c r="DG178" s="2">
        <v>28</v>
      </c>
      <c r="DH178" s="2">
        <v>1</v>
      </c>
      <c r="DI178" s="2">
        <v>2</v>
      </c>
      <c r="DJ178" s="2">
        <v>2</v>
      </c>
      <c r="DK178" s="2">
        <v>100</v>
      </c>
      <c r="DL178" s="2">
        <v>60</v>
      </c>
      <c r="DM178" s="2">
        <v>110</v>
      </c>
      <c r="DN178" s="2">
        <v>70</v>
      </c>
      <c r="DO178" s="2" t="s">
        <v>12</v>
      </c>
      <c r="DP178" s="2" t="s">
        <v>12</v>
      </c>
      <c r="DQ178" s="2">
        <v>2</v>
      </c>
      <c r="DR178" s="2">
        <v>39</v>
      </c>
      <c r="DS178" s="2">
        <v>2</v>
      </c>
      <c r="DT178" s="2">
        <v>70</v>
      </c>
      <c r="DU178" s="2">
        <v>82</v>
      </c>
      <c r="DV178" s="2">
        <v>2</v>
      </c>
      <c r="DW178" s="2">
        <v>3</v>
      </c>
      <c r="DX178" s="2">
        <v>4</v>
      </c>
      <c r="DY178" s="2">
        <v>2</v>
      </c>
      <c r="DZ178" s="2">
        <v>33</v>
      </c>
      <c r="EA178" s="2">
        <v>35</v>
      </c>
      <c r="EB178" s="2">
        <v>46</v>
      </c>
      <c r="EC178" s="2">
        <v>1</v>
      </c>
      <c r="ED178" s="2">
        <v>1</v>
      </c>
    </row>
    <row r="179" spans="2:134" x14ac:dyDescent="0.25">
      <c r="C179" s="5" t="s">
        <v>64</v>
      </c>
      <c r="D179" s="2">
        <v>2501019024</v>
      </c>
      <c r="E179" s="2" t="s">
        <v>528</v>
      </c>
      <c r="F179" s="2">
        <v>2</v>
      </c>
      <c r="G179" s="2">
        <v>49</v>
      </c>
      <c r="H179" s="2">
        <v>-1.109197640946761</v>
      </c>
      <c r="I179" s="2">
        <v>49</v>
      </c>
      <c r="J179" s="2">
        <v>-0.46706379753639199</v>
      </c>
      <c r="K179" s="5">
        <v>2900</v>
      </c>
      <c r="L179" s="2">
        <v>-0.95643865409467577</v>
      </c>
      <c r="M179" s="2">
        <v>-2.2543000000000002</v>
      </c>
      <c r="N179" s="2">
        <f t="shared" si="137"/>
        <v>-0.77540117952661958</v>
      </c>
      <c r="O179" s="2">
        <f t="shared" si="138"/>
        <v>-2.2543000000000002</v>
      </c>
      <c r="P179" s="2">
        <v>65.5</v>
      </c>
      <c r="Q179" s="2">
        <v>-1</v>
      </c>
      <c r="R179" s="5">
        <f t="shared" si="139"/>
        <v>-0.131468101231804</v>
      </c>
      <c r="S179" s="5">
        <f t="shared" si="140"/>
        <v>-1</v>
      </c>
      <c r="T179" s="1">
        <v>6200</v>
      </c>
      <c r="U179" s="2">
        <v>-2.2200000000000002</v>
      </c>
      <c r="V179" s="2">
        <f t="shared" si="141"/>
        <v>-0.66178067295266207</v>
      </c>
      <c r="W179" s="2">
        <f t="shared" si="142"/>
        <v>-2.2200000000000002</v>
      </c>
      <c r="X179" s="2">
        <v>-2.66</v>
      </c>
      <c r="Y179" s="76">
        <f t="shared" si="179"/>
        <v>-1.5508023590532392</v>
      </c>
      <c r="Z179" s="76">
        <f t="shared" si="180"/>
        <v>-2</v>
      </c>
      <c r="AA179" s="2">
        <f t="shared" si="143"/>
        <v>-1.0790999999999999</v>
      </c>
      <c r="AB179" s="2">
        <f t="shared" si="144"/>
        <v>-2.66</v>
      </c>
      <c r="AC179" s="2">
        <v>74</v>
      </c>
      <c r="AD179" s="2">
        <v>-0.73</v>
      </c>
      <c r="AE179" s="79">
        <f t="shared" si="181"/>
        <v>-0.26293620246360799</v>
      </c>
      <c r="AF179" s="79">
        <f t="shared" si="182"/>
        <v>-1</v>
      </c>
      <c r="AG179" s="2">
        <f t="shared" si="200"/>
        <v>0.63500000000000001</v>
      </c>
      <c r="AH179" s="2">
        <f t="shared" si="145"/>
        <v>-0.73</v>
      </c>
      <c r="AI179" s="2">
        <v>7500</v>
      </c>
      <c r="AJ179" s="2">
        <v>-2.2799999999999998</v>
      </c>
      <c r="AK179" s="76">
        <f t="shared" si="183"/>
        <v>-1.3235613459053241</v>
      </c>
      <c r="AL179" s="76">
        <f t="shared" si="184"/>
        <v>-2</v>
      </c>
      <c r="AM179" s="2">
        <f t="shared" si="146"/>
        <v>0.13500000000000012</v>
      </c>
      <c r="AN179" s="2">
        <f t="shared" si="147"/>
        <v>-2.2799999999999998</v>
      </c>
      <c r="AO179" s="2">
        <v>-3.1581999999999999</v>
      </c>
      <c r="AP179" s="2">
        <f t="shared" si="148"/>
        <v>-0.48758995283549833</v>
      </c>
      <c r="AQ179" s="2">
        <f t="shared" si="149"/>
        <v>-3.1581999999999999</v>
      </c>
      <c r="AR179" s="2">
        <v>83</v>
      </c>
      <c r="AS179" s="2">
        <v>0.27</v>
      </c>
      <c r="AT179" s="2">
        <f t="shared" si="150"/>
        <v>9.9745627237860013E-2</v>
      </c>
      <c r="AU179" s="2">
        <f t="shared" si="151"/>
        <v>0.27</v>
      </c>
      <c r="AV179" s="2">
        <v>8800</v>
      </c>
      <c r="AW179" s="2">
        <v>-1.95</v>
      </c>
      <c r="AX179" s="2">
        <f t="shared" si="152"/>
        <v>-0.2611179442147602</v>
      </c>
      <c r="AY179" s="2">
        <f t="shared" si="153"/>
        <v>-1.95</v>
      </c>
      <c r="AZ179" s="2">
        <v>-3.6351799056709968</v>
      </c>
      <c r="BA179" s="78">
        <f t="shared" si="185"/>
        <v>-0.97517990567099666</v>
      </c>
      <c r="BB179" s="78">
        <f t="shared" si="186"/>
        <v>-2</v>
      </c>
      <c r="BC179" s="2">
        <f t="shared" si="154"/>
        <v>8.1063775704969629E-2</v>
      </c>
      <c r="BD179" s="2">
        <f t="shared" si="155"/>
        <v>-3.6351799056709968</v>
      </c>
      <c r="BE179" s="67">
        <f t="shared" si="187"/>
        <v>1</v>
      </c>
      <c r="BF179" s="2">
        <v>85</v>
      </c>
      <c r="BG179" s="2">
        <v>-0.53050874552427996</v>
      </c>
      <c r="BH179" s="2">
        <f t="shared" si="156"/>
        <v>-0.2895648041752506</v>
      </c>
      <c r="BI179" s="2">
        <f t="shared" si="157"/>
        <v>-0.53050874552427996</v>
      </c>
      <c r="BJ179" s="67">
        <f t="shared" si="158"/>
        <v>7</v>
      </c>
      <c r="BK179" s="2">
        <v>9500</v>
      </c>
      <c r="BL179" s="2">
        <v>-2.8022358884295202</v>
      </c>
      <c r="BM179" s="77">
        <f t="shared" si="188"/>
        <v>-0.5222358884295204</v>
      </c>
      <c r="BN179" s="77">
        <f t="shared" si="189"/>
        <v>-1</v>
      </c>
      <c r="BO179" s="2">
        <f t="shared" si="159"/>
        <v>-6.9733591790693092E-2</v>
      </c>
      <c r="BP179" s="2">
        <f t="shared" si="160"/>
        <v>-2.8022358884295202</v>
      </c>
      <c r="BQ179" s="67">
        <f t="shared" si="190"/>
        <v>4</v>
      </c>
      <c r="BR179" s="5">
        <v>-2.915008672885091</v>
      </c>
      <c r="BS179" s="75">
        <f t="shared" si="191"/>
        <v>0.72017123278590578</v>
      </c>
      <c r="BT179" s="75">
        <f t="shared" si="192"/>
        <v>2</v>
      </c>
      <c r="BU179" s="5" t="str">
        <f>IF(G185&gt;=36, IF(AND(NOT(ISBLANK(CM:CM)), NOT(ISBLANK(BD:BD))), (CM:CM-BD:BD)/2, ""), "UF")</f>
        <v/>
      </c>
      <c r="BV179" s="5">
        <f t="shared" si="161"/>
        <v>-2.915008672885091</v>
      </c>
      <c r="BW179" s="69">
        <f t="shared" si="162"/>
        <v>2</v>
      </c>
      <c r="BX179" s="2">
        <v>93</v>
      </c>
      <c r="BY179" s="5">
        <v>-0.59869441252575184</v>
      </c>
      <c r="BZ179" s="74">
        <f t="shared" si="193"/>
        <v>2.2035414759037684</v>
      </c>
      <c r="CA179" s="74">
        <f t="shared" si="194"/>
        <v>2</v>
      </c>
      <c r="CB179" s="5" t="str">
        <f t="shared" si="163"/>
        <v/>
      </c>
      <c r="CC179" s="5">
        <f t="shared" si="164"/>
        <v>-0.59869441252575184</v>
      </c>
      <c r="CD179" s="2">
        <f t="shared" si="165"/>
        <v>-6.8185667001471884E-2</v>
      </c>
      <c r="CE179" s="69">
        <f t="shared" si="166"/>
        <v>7</v>
      </c>
      <c r="CF179" s="5">
        <v>11500</v>
      </c>
      <c r="CG179" s="5">
        <v>-2.1592007753720792</v>
      </c>
      <c r="CH179" s="72">
        <f t="shared" si="195"/>
        <v>0.64303511305744099</v>
      </c>
      <c r="CI179" s="72">
        <f t="shared" si="196"/>
        <v>1</v>
      </c>
      <c r="CJ179" s="5" t="str">
        <f t="shared" si="167"/>
        <v/>
      </c>
      <c r="CK179" s="5">
        <f t="shared" si="168"/>
        <v>-2.1592007753720792</v>
      </c>
      <c r="CL179" s="69">
        <f t="shared" si="169"/>
        <v>4</v>
      </c>
      <c r="CN179" s="70" t="str">
        <f t="shared" si="170"/>
        <v/>
      </c>
      <c r="CO179" s="5">
        <f t="shared" si="171"/>
        <v>0</v>
      </c>
      <c r="CP179" s="5">
        <f>IF(G179&lt;48,"UF", IF(NOT(ISBLANK(CM:CM)), CM:CM, IF(BW:BW=1, BV:BV+Sheet2!B85, IF(Sheet1!BW:BW=2, Sheet1!BV:BV+Sheet2!B86, IF(Sheet1!BW:BW=7, Sheet1!BV:BV+Sheet2!B87,"")))))</f>
        <v>-2.915008672885091</v>
      </c>
      <c r="CQ179" s="69">
        <f t="shared" si="197"/>
        <v>2</v>
      </c>
      <c r="CR179" s="5" t="s">
        <v>12</v>
      </c>
      <c r="CT179" s="5" t="str">
        <f t="shared" si="172"/>
        <v/>
      </c>
      <c r="CU179" s="80">
        <f t="shared" si="173"/>
        <v>0</v>
      </c>
      <c r="CV179" s="80">
        <f t="shared" si="174"/>
        <v>-1</v>
      </c>
      <c r="CW179" s="20">
        <f>IF(G179&lt;48,"UF", IF(NOT(ISBLANK(CS179)), CS179, IF(CE179=5, CC179+Sheet2!B74, IF(CE179=6, CC179+Sheet2!B75, IF(CE179=7, CC179+Sheet2!B76,"")))))</f>
        <v>-0.59869441252575184</v>
      </c>
      <c r="CX179" s="68">
        <f t="shared" si="198"/>
        <v>7</v>
      </c>
      <c r="CY179" s="5" t="s">
        <v>12</v>
      </c>
      <c r="DA179" s="5" t="str">
        <f t="shared" si="175"/>
        <v/>
      </c>
      <c r="DB179" s="73">
        <f t="shared" si="176"/>
        <v>0</v>
      </c>
      <c r="DC179" s="73">
        <f t="shared" si="177"/>
        <v>-1</v>
      </c>
      <c r="DD179" s="5">
        <f>IF(G179&lt;48,"UF", IF(NOT(ISBLANK(CZ:CZ)), CZ:CZ, IF(CL:CL=3, CK:CK+Sheet2!B79, IF(CL:CL=4, CK:CK+Sheet2!B80, IF(CL:CL=7, CK:CK+Sheet2!B81,"")))))</f>
        <v>-2.1592007753720792</v>
      </c>
      <c r="DE179" s="69">
        <f t="shared" si="202"/>
        <v>4</v>
      </c>
      <c r="DF179" s="2">
        <v>2</v>
      </c>
      <c r="DG179" s="2">
        <v>29</v>
      </c>
      <c r="DH179" s="2">
        <v>2</v>
      </c>
      <c r="DI179" s="2">
        <v>2</v>
      </c>
      <c r="DJ179" s="2">
        <v>2</v>
      </c>
      <c r="DK179" s="2">
        <v>95</v>
      </c>
      <c r="DL179" s="2">
        <v>65</v>
      </c>
      <c r="DM179" s="2">
        <v>110</v>
      </c>
      <c r="DN179" s="2">
        <v>70</v>
      </c>
      <c r="DO179" s="2">
        <v>100</v>
      </c>
      <c r="DP179" s="2">
        <v>60</v>
      </c>
      <c r="DQ179" s="2">
        <v>2</v>
      </c>
      <c r="DR179" s="2">
        <v>39</v>
      </c>
      <c r="DS179" s="2">
        <v>2</v>
      </c>
      <c r="DT179" s="2">
        <v>90</v>
      </c>
      <c r="DU179" s="2">
        <v>82</v>
      </c>
      <c r="DV179" s="2">
        <v>2</v>
      </c>
      <c r="DW179" s="2">
        <v>2</v>
      </c>
      <c r="DX179" s="2">
        <v>2</v>
      </c>
      <c r="DY179" s="2">
        <v>3</v>
      </c>
      <c r="DZ179" s="2">
        <v>35</v>
      </c>
      <c r="EA179" s="2">
        <v>37</v>
      </c>
      <c r="EB179" s="2">
        <v>44</v>
      </c>
      <c r="EC179" s="2">
        <v>1</v>
      </c>
      <c r="ED179" s="2">
        <v>1</v>
      </c>
    </row>
    <row r="180" spans="2:134" x14ac:dyDescent="0.25">
      <c r="C180" s="8" t="s">
        <v>48</v>
      </c>
      <c r="D180" s="2">
        <v>2501019180</v>
      </c>
      <c r="E180" s="2">
        <v>2</v>
      </c>
      <c r="F180" s="2">
        <v>1</v>
      </c>
      <c r="G180" s="2">
        <v>47</v>
      </c>
      <c r="H180" s="2">
        <v>-0.70439796274203903</v>
      </c>
      <c r="I180" s="2">
        <v>49</v>
      </c>
      <c r="J180" s="2">
        <v>-7.9294265603816944E-2</v>
      </c>
      <c r="K180" s="5">
        <v>3000</v>
      </c>
      <c r="L180" s="2">
        <v>-0.51868017376649433</v>
      </c>
      <c r="M180" s="2">
        <v>-2.1806000000000001</v>
      </c>
      <c r="N180" s="2" t="str">
        <f t="shared" si="137"/>
        <v/>
      </c>
      <c r="O180" s="2">
        <f t="shared" si="138"/>
        <v>-2.1806000000000001</v>
      </c>
      <c r="P180" s="2">
        <v>67</v>
      </c>
      <c r="Q180" s="2">
        <v>0.55000000000000004</v>
      </c>
      <c r="R180" s="5" t="str">
        <f t="shared" si="139"/>
        <v/>
      </c>
      <c r="S180" s="5">
        <f t="shared" si="140"/>
        <v>0.55000000000000004</v>
      </c>
      <c r="T180" s="1">
        <v>6250</v>
      </c>
      <c r="U180" s="2">
        <v>-1.28</v>
      </c>
      <c r="V180" s="2" t="str">
        <f t="shared" si="141"/>
        <v/>
      </c>
      <c r="W180" s="2">
        <f t="shared" si="142"/>
        <v>-1.28</v>
      </c>
      <c r="Y180" s="76" t="e">
        <f t="shared" si="179"/>
        <v>#VALUE!</v>
      </c>
      <c r="Z180" s="76" t="e">
        <f t="shared" si="180"/>
        <v>#VALUE!</v>
      </c>
      <c r="AA180" s="2" t="str">
        <f t="shared" si="143"/>
        <v/>
      </c>
      <c r="AB180" s="2" t="e">
        <f t="shared" si="144"/>
        <v>#VALUE!</v>
      </c>
      <c r="AC180" s="2" t="s">
        <v>12</v>
      </c>
      <c r="AE180" s="79" t="e">
        <f t="shared" si="181"/>
        <v>#VALUE!</v>
      </c>
      <c r="AF180" s="79" t="e">
        <f t="shared" si="182"/>
        <v>#VALUE!</v>
      </c>
      <c r="AG180" s="2" t="str">
        <f t="shared" si="200"/>
        <v/>
      </c>
      <c r="AH180" s="2" t="e">
        <f t="shared" si="145"/>
        <v>#VALUE!</v>
      </c>
      <c r="AI180" s="2" t="s">
        <v>12</v>
      </c>
      <c r="AK180" s="76" t="e">
        <f t="shared" si="183"/>
        <v>#VALUE!</v>
      </c>
      <c r="AL180" s="76" t="e">
        <f t="shared" si="184"/>
        <v>#VALUE!</v>
      </c>
      <c r="AM180" s="2" t="str">
        <f t="shared" si="146"/>
        <v/>
      </c>
      <c r="AN180" s="2" t="e">
        <f t="shared" si="147"/>
        <v>#VALUE!</v>
      </c>
      <c r="AP180" s="2" t="str">
        <f t="shared" si="148"/>
        <v/>
      </c>
      <c r="AQ180" s="2" t="e">
        <f t="shared" si="149"/>
        <v>#VALUE!</v>
      </c>
      <c r="AR180" s="2" t="s">
        <v>12</v>
      </c>
      <c r="AT180" s="2" t="str">
        <f t="shared" si="150"/>
        <v/>
      </c>
      <c r="AU180" s="2" t="e">
        <f t="shared" si="151"/>
        <v>#VALUE!</v>
      </c>
      <c r="AV180" s="2" t="s">
        <v>12</v>
      </c>
      <c r="AX180" s="2" t="str">
        <f t="shared" si="152"/>
        <v/>
      </c>
      <c r="AY180" s="2" t="e">
        <f t="shared" si="153"/>
        <v>#VALUE!</v>
      </c>
      <c r="BA180" s="78" t="e">
        <f t="shared" si="185"/>
        <v>#VALUE!</v>
      </c>
      <c r="BB180" s="78" t="e">
        <f t="shared" si="186"/>
        <v>#VALUE!</v>
      </c>
      <c r="BC180" s="2" t="e">
        <f t="shared" si="154"/>
        <v>#VALUE!</v>
      </c>
      <c r="BD180" s="2" t="e">
        <f t="shared" si="155"/>
        <v>#VALUE!</v>
      </c>
      <c r="BE180" s="67" t="e">
        <f t="shared" si="187"/>
        <v>#VALUE!</v>
      </c>
      <c r="BF180" s="2" t="s">
        <v>12</v>
      </c>
      <c r="BH180" s="2" t="e">
        <f t="shared" si="156"/>
        <v>#VALUE!</v>
      </c>
      <c r="BI180" s="2" t="e">
        <f t="shared" si="157"/>
        <v>#VALUE!</v>
      </c>
      <c r="BJ180" s="67" t="e">
        <f t="shared" si="158"/>
        <v>#VALUE!</v>
      </c>
      <c r="BK180" s="2" t="s">
        <v>12</v>
      </c>
      <c r="BM180" s="77" t="e">
        <f t="shared" si="188"/>
        <v>#VALUE!</v>
      </c>
      <c r="BN180" s="77" t="e">
        <f t="shared" si="189"/>
        <v>#VALUE!</v>
      </c>
      <c r="BO180" s="2" t="e">
        <f t="shared" si="159"/>
        <v>#VALUE!</v>
      </c>
      <c r="BP180" s="2" t="e">
        <f t="shared" si="160"/>
        <v>#VALUE!</v>
      </c>
      <c r="BQ180" s="67" t="e">
        <f t="shared" si="190"/>
        <v>#VALUE!</v>
      </c>
      <c r="BR180" s="5">
        <v>-5.9528530068515177</v>
      </c>
      <c r="BS180" s="75" t="e">
        <f t="shared" si="191"/>
        <v>#VALUE!</v>
      </c>
      <c r="BT180" s="75" t="e">
        <f t="shared" si="192"/>
        <v>#VALUE!</v>
      </c>
      <c r="BU180" s="5" t="str">
        <f>IF(G187&gt;=36, IF(AND(NOT(ISBLANK(CM:CM)), NOT(ISBLANK(BD:BD))), (CM:CM-BD:BD)/2, ""), "UF")</f>
        <v/>
      </c>
      <c r="BV180" s="5">
        <f t="shared" si="161"/>
        <v>-5.9528530068515177</v>
      </c>
      <c r="BW180" s="69">
        <f t="shared" si="162"/>
        <v>1</v>
      </c>
      <c r="BX180" s="2">
        <v>90</v>
      </c>
      <c r="BY180" s="5">
        <v>-0.67364843980063538</v>
      </c>
      <c r="BZ180" s="74" t="e">
        <f t="shared" si="193"/>
        <v>#VALUE!</v>
      </c>
      <c r="CA180" s="74" t="e">
        <f t="shared" si="194"/>
        <v>#VALUE!</v>
      </c>
      <c r="CB180" s="5" t="str">
        <f t="shared" si="163"/>
        <v/>
      </c>
      <c r="CC180" s="5">
        <f t="shared" si="164"/>
        <v>-0.67364843980063538</v>
      </c>
      <c r="CD180" s="2" t="e">
        <f t="shared" si="165"/>
        <v>#VALUE!</v>
      </c>
      <c r="CE180" s="69">
        <f t="shared" si="166"/>
        <v>7</v>
      </c>
      <c r="CF180" s="5">
        <v>9500</v>
      </c>
      <c r="CG180" s="5">
        <v>-3.931853840493261</v>
      </c>
      <c r="CH180" s="72" t="e">
        <f t="shared" si="195"/>
        <v>#VALUE!</v>
      </c>
      <c r="CI180" s="72" t="e">
        <f t="shared" si="196"/>
        <v>#VALUE!</v>
      </c>
      <c r="CJ180" s="5" t="str">
        <f t="shared" si="167"/>
        <v/>
      </c>
      <c r="CK180" s="5">
        <f t="shared" si="168"/>
        <v>-3.931853840493261</v>
      </c>
      <c r="CL180" s="69">
        <f t="shared" si="169"/>
        <v>3</v>
      </c>
      <c r="CN180" s="70" t="str">
        <f t="shared" si="170"/>
        <v/>
      </c>
      <c r="CO180" s="5" t="str">
        <f t="shared" si="171"/>
        <v>UF</v>
      </c>
      <c r="CP180" s="5" t="str">
        <f>IF(G180&lt;48,"UF", IF(NOT(ISBLANK(CM:CM)), CM:CM, IF(BW:BW=1, BV:BV+Sheet2!B72, IF(Sheet1!BW:BW=2, Sheet1!BV:BV+Sheet2!B73, IF(Sheet1!BW:BW=7, Sheet1!BV:BV+Sheet2!B74,"")))))</f>
        <v>UF</v>
      </c>
      <c r="CQ180" s="69" t="str">
        <f t="shared" si="197"/>
        <v/>
      </c>
      <c r="CR180" s="5" t="s">
        <v>12</v>
      </c>
      <c r="CT180" s="5" t="str">
        <f t="shared" si="172"/>
        <v/>
      </c>
      <c r="CU180" s="80" t="str">
        <f t="shared" si="173"/>
        <v>UF</v>
      </c>
      <c r="CV180" s="80" t="str">
        <f t="shared" si="174"/>
        <v>UF</v>
      </c>
      <c r="CW180" s="20" t="str">
        <f>IF(G180&lt;48,"UF", IF(NOT(ISBLANK(CS180)), CS180, IF(CE180=5, CC180+Sheet2!B61, IF(CE180=6, CC180+Sheet2!B62, IF(CE180=7, CC180+Sheet2!B63,"")))))</f>
        <v>UF</v>
      </c>
      <c r="CX180" s="68" t="str">
        <f t="shared" si="198"/>
        <v/>
      </c>
      <c r="CY180" s="5" t="s">
        <v>12</v>
      </c>
      <c r="DA180" s="5" t="str">
        <f t="shared" si="175"/>
        <v>UF</v>
      </c>
      <c r="DB180" s="73" t="str">
        <f t="shared" si="176"/>
        <v>UF</v>
      </c>
      <c r="DC180" s="73" t="str">
        <f t="shared" si="177"/>
        <v>UF</v>
      </c>
      <c r="DD180" s="5" t="str">
        <f>IF(G180&lt;48,"UF", IF(NOT(ISBLANK(CZ:CZ)), CZ:CZ, IF(CL:CL=3, CK:CK+Sheet2!B66, IF(CL:CL=4, CK:CK+Sheet2!B67, IF(CL:CL=7, CK:CK+Sheet2!B68,"")))))</f>
        <v>UF</v>
      </c>
      <c r="DE180" s="69" t="str">
        <f t="shared" si="202"/>
        <v/>
      </c>
      <c r="DF180" s="2">
        <v>4</v>
      </c>
      <c r="DG180" s="2">
        <v>42</v>
      </c>
      <c r="DH180" s="2">
        <v>2</v>
      </c>
      <c r="DI180" s="2">
        <v>2</v>
      </c>
      <c r="DJ180" s="2">
        <v>2</v>
      </c>
      <c r="DK180" s="2">
        <v>110</v>
      </c>
      <c r="DL180" s="2">
        <v>60</v>
      </c>
      <c r="DM180" s="2">
        <v>110</v>
      </c>
      <c r="DN180" s="2">
        <v>60</v>
      </c>
      <c r="DO180" s="2">
        <v>95</v>
      </c>
      <c r="DP180" s="2">
        <v>56</v>
      </c>
      <c r="DQ180" s="2">
        <v>2</v>
      </c>
      <c r="DR180" s="2">
        <v>39</v>
      </c>
      <c r="DS180" s="2">
        <v>2</v>
      </c>
      <c r="DT180" s="2">
        <v>91</v>
      </c>
      <c r="DU180" s="2">
        <v>87</v>
      </c>
      <c r="DV180" s="2">
        <v>2</v>
      </c>
      <c r="DW180" s="2">
        <v>3</v>
      </c>
      <c r="DX180" s="2">
        <v>3</v>
      </c>
      <c r="DY180" s="2">
        <v>3</v>
      </c>
      <c r="DZ180" s="2">
        <v>34</v>
      </c>
      <c r="EA180" s="2" t="s">
        <v>12</v>
      </c>
      <c r="EB180" s="2">
        <v>46</v>
      </c>
      <c r="EC180" s="2" t="s">
        <v>12</v>
      </c>
      <c r="ED180" s="2">
        <v>1</v>
      </c>
    </row>
    <row r="181" spans="2:134" x14ac:dyDescent="0.25">
      <c r="C181" s="8" t="s">
        <v>53</v>
      </c>
      <c r="D181" s="2">
        <v>2501019210</v>
      </c>
      <c r="E181" s="2">
        <v>2</v>
      </c>
      <c r="F181" s="2">
        <v>2</v>
      </c>
      <c r="G181" s="2">
        <v>47</v>
      </c>
      <c r="H181" s="2">
        <v>-1.0044707113310629</v>
      </c>
      <c r="I181" s="2">
        <v>48</v>
      </c>
      <c r="J181" s="2">
        <v>-0.99529637274036198</v>
      </c>
      <c r="K181" s="5">
        <v>2810</v>
      </c>
      <c r="L181" s="2">
        <v>-1.1607031860439929</v>
      </c>
      <c r="M181" s="2">
        <v>-0.77149999999999996</v>
      </c>
      <c r="N181" s="2" t="str">
        <f t="shared" si="137"/>
        <v/>
      </c>
      <c r="O181" s="2">
        <f t="shared" si="138"/>
        <v>-0.77149999999999996</v>
      </c>
      <c r="P181" s="2">
        <v>66.5</v>
      </c>
      <c r="Q181" s="2">
        <v>-0.53</v>
      </c>
      <c r="R181" s="5" t="str">
        <f t="shared" si="139"/>
        <v/>
      </c>
      <c r="S181" s="5">
        <f t="shared" si="140"/>
        <v>-0.53</v>
      </c>
      <c r="T181" s="1">
        <v>7200</v>
      </c>
      <c r="U181" s="2">
        <v>-0.89</v>
      </c>
      <c r="V181" s="2" t="str">
        <f t="shared" si="141"/>
        <v/>
      </c>
      <c r="W181" s="2">
        <f t="shared" si="142"/>
        <v>-0.89</v>
      </c>
      <c r="Y181" s="76">
        <f t="shared" si="179"/>
        <v>-5.887928866893688E-2</v>
      </c>
      <c r="Z181" s="76">
        <f t="shared" si="180"/>
        <v>-1</v>
      </c>
      <c r="AA181" s="2">
        <f t="shared" si="143"/>
        <v>-0.29184999999999994</v>
      </c>
      <c r="AB181" s="2">
        <f t="shared" si="144"/>
        <v>-1.0633499999999998</v>
      </c>
      <c r="AC181" s="2" t="s">
        <v>12</v>
      </c>
      <c r="AE181" s="79">
        <f t="shared" si="181"/>
        <v>0.4052963727403619</v>
      </c>
      <c r="AF181" s="79">
        <f t="shared" si="182"/>
        <v>1</v>
      </c>
      <c r="AG181" s="2">
        <f t="shared" si="200"/>
        <v>-0.06</v>
      </c>
      <c r="AH181" s="2">
        <f t="shared" si="145"/>
        <v>-0.59000000000000008</v>
      </c>
      <c r="AI181" s="2" t="s">
        <v>12</v>
      </c>
      <c r="AK181" s="76">
        <f t="shared" si="183"/>
        <v>0.13070318604399289</v>
      </c>
      <c r="AL181" s="76">
        <f t="shared" si="184"/>
        <v>1</v>
      </c>
      <c r="AM181" s="2">
        <f t="shared" si="146"/>
        <v>-0.13999999999999996</v>
      </c>
      <c r="AN181" s="2">
        <f t="shared" si="147"/>
        <v>-1.03</v>
      </c>
      <c r="AO181" s="2">
        <v>-1.1136999999999999</v>
      </c>
      <c r="AP181" s="2">
        <f t="shared" si="148"/>
        <v>-1.4670855318354665</v>
      </c>
      <c r="AQ181" s="2">
        <f t="shared" si="149"/>
        <v>-1.1136999999999999</v>
      </c>
      <c r="AR181" s="2">
        <v>80.5</v>
      </c>
      <c r="AS181" s="2">
        <v>-0.65</v>
      </c>
      <c r="AT181" s="2">
        <f t="shared" si="150"/>
        <v>0.45722565580973679</v>
      </c>
      <c r="AU181" s="2">
        <f t="shared" si="151"/>
        <v>-0.65</v>
      </c>
      <c r="AV181" s="2">
        <v>9600</v>
      </c>
      <c r="AW181" s="2">
        <v>-1.17</v>
      </c>
      <c r="AX181" s="2">
        <f t="shared" si="152"/>
        <v>-0.63485168653485358</v>
      </c>
      <c r="AY181" s="2">
        <f t="shared" si="153"/>
        <v>-1.17</v>
      </c>
      <c r="AZ181" s="2">
        <v>-3.9975210636709329</v>
      </c>
      <c r="BA181" s="78">
        <f t="shared" si="185"/>
        <v>-2.9341710636709331</v>
      </c>
      <c r="BB181" s="78">
        <f t="shared" si="186"/>
        <v>-2</v>
      </c>
      <c r="BC181" s="2">
        <f t="shared" si="154"/>
        <v>-0.94085200252880019</v>
      </c>
      <c r="BD181" s="2">
        <f t="shared" si="155"/>
        <v>-3.9975210636709329</v>
      </c>
      <c r="BE181" s="67">
        <f t="shared" si="187"/>
        <v>1</v>
      </c>
      <c r="BF181" s="2">
        <v>88</v>
      </c>
      <c r="BG181" s="2">
        <v>0.32445131161947349</v>
      </c>
      <c r="BH181" s="2">
        <f t="shared" si="156"/>
        <v>0.27903607836623939</v>
      </c>
      <c r="BI181" s="2">
        <f t="shared" si="157"/>
        <v>0.32445131161947349</v>
      </c>
      <c r="BJ181" s="67">
        <f t="shared" si="158"/>
        <v>7</v>
      </c>
      <c r="BK181" s="2">
        <v>10000</v>
      </c>
      <c r="BL181" s="2">
        <v>-2.2997033730697072</v>
      </c>
      <c r="BM181" s="77">
        <f t="shared" si="188"/>
        <v>-1.2697033730697072</v>
      </c>
      <c r="BN181" s="77">
        <f t="shared" si="189"/>
        <v>-2</v>
      </c>
      <c r="BO181" s="2">
        <f t="shared" si="159"/>
        <v>-0.30014454911119665</v>
      </c>
      <c r="BP181" s="2">
        <f t="shared" si="160"/>
        <v>-2.2997033730697072</v>
      </c>
      <c r="BQ181" s="67">
        <f t="shared" si="190"/>
        <v>4</v>
      </c>
      <c r="BR181" s="5">
        <v>-3.9362560075864002</v>
      </c>
      <c r="BS181" s="75">
        <f t="shared" si="191"/>
        <v>6.1265056084532699E-2</v>
      </c>
      <c r="BT181" s="75">
        <f t="shared" si="192"/>
        <v>1</v>
      </c>
      <c r="BU181" s="5" t="str">
        <f>IF(G188&gt;=36, IF(AND(NOT(ISBLANK(CM:CM)), NOT(ISBLANK(BD:BD))), (CM:CM-BD:BD)/2, ""), "UF")</f>
        <v/>
      </c>
      <c r="BV181" s="5">
        <f t="shared" si="161"/>
        <v>-3.9362560075864002</v>
      </c>
      <c r="BW181" s="69">
        <f t="shared" si="162"/>
        <v>1</v>
      </c>
      <c r="BX181" s="2">
        <v>96</v>
      </c>
      <c r="BY181" s="5">
        <v>0.18710823509871821</v>
      </c>
      <c r="BZ181" s="74">
        <f t="shared" si="193"/>
        <v>2.4868116081684253</v>
      </c>
      <c r="CA181" s="74">
        <f t="shared" si="194"/>
        <v>2</v>
      </c>
      <c r="CB181" s="5" t="str">
        <f t="shared" si="163"/>
        <v/>
      </c>
      <c r="CC181" s="5">
        <f t="shared" si="164"/>
        <v>0.18710823509871821</v>
      </c>
      <c r="CD181" s="2">
        <f t="shared" si="165"/>
        <v>-0.13734307652075528</v>
      </c>
      <c r="CE181" s="69">
        <f t="shared" si="166"/>
        <v>7</v>
      </c>
      <c r="CF181" s="5">
        <v>11600</v>
      </c>
      <c r="CG181" s="5">
        <v>-2.0704336473335898</v>
      </c>
      <c r="CH181" s="72">
        <f t="shared" si="195"/>
        <v>0.22926972573611737</v>
      </c>
      <c r="CI181" s="72">
        <f t="shared" si="196"/>
        <v>1</v>
      </c>
      <c r="CJ181" s="5" t="str">
        <f t="shared" si="167"/>
        <v/>
      </c>
      <c r="CK181" s="5">
        <f t="shared" si="168"/>
        <v>-2.0704336473335898</v>
      </c>
      <c r="CL181" s="69">
        <f t="shared" si="169"/>
        <v>4</v>
      </c>
      <c r="CN181" s="70" t="str">
        <f t="shared" si="170"/>
        <v/>
      </c>
      <c r="CO181" s="5" t="str">
        <f t="shared" si="171"/>
        <v>UF</v>
      </c>
      <c r="CP181" s="5" t="str">
        <f>IF(G181&lt;48,"UF", IF(NOT(ISBLANK(CM:CM)), CM:CM, IF(BW:BW=1, BV:BV+Sheet2!B76, IF(Sheet1!BW:BW=2, Sheet1!BV:BV+Sheet2!B77, IF(Sheet1!BW:BW=7, Sheet1!BV:BV+Sheet2!B78,"")))))</f>
        <v>UF</v>
      </c>
      <c r="CQ181" s="69" t="str">
        <f t="shared" si="197"/>
        <v/>
      </c>
      <c r="CR181" s="5" t="s">
        <v>12</v>
      </c>
      <c r="CT181" s="5" t="str">
        <f t="shared" si="172"/>
        <v/>
      </c>
      <c r="CU181" s="80" t="str">
        <f t="shared" si="173"/>
        <v>UF</v>
      </c>
      <c r="CV181" s="80" t="str">
        <f t="shared" si="174"/>
        <v>UF</v>
      </c>
      <c r="CW181" s="20" t="str">
        <f>IF(G181&lt;48,"UF", IF(NOT(ISBLANK(CS181)), CS181, IF(CE181=5, CC181+Sheet2!B65, IF(CE181=6, CC181+Sheet2!B66, IF(CE181=7, CC181+Sheet2!B67,"")))))</f>
        <v>UF</v>
      </c>
      <c r="CX181" s="68" t="str">
        <f t="shared" si="198"/>
        <v/>
      </c>
      <c r="CY181" s="5" t="s">
        <v>12</v>
      </c>
      <c r="DA181" s="5" t="str">
        <f t="shared" si="175"/>
        <v>UF</v>
      </c>
      <c r="DB181" s="73" t="str">
        <f t="shared" si="176"/>
        <v>UF</v>
      </c>
      <c r="DC181" s="73" t="str">
        <f t="shared" si="177"/>
        <v>UF</v>
      </c>
      <c r="DD181" s="5" t="str">
        <f>IF(G181&lt;48,"UF", IF(NOT(ISBLANK(CZ:CZ)), CZ:CZ, IF(CL:CL=3, CK:CK+Sheet2!B70, IF(CL:CL=4, CK:CK+Sheet2!B71, IF(CL:CL=7, CK:CK+Sheet2!B72,"")))))</f>
        <v>UF</v>
      </c>
      <c r="DE181" s="69" t="str">
        <f t="shared" si="202"/>
        <v/>
      </c>
      <c r="DF181" s="2">
        <v>3</v>
      </c>
      <c r="DG181" s="2">
        <v>38</v>
      </c>
      <c r="DH181" s="2">
        <v>1</v>
      </c>
      <c r="DI181" s="2">
        <v>2</v>
      </c>
      <c r="DJ181" s="2">
        <v>2</v>
      </c>
      <c r="DK181" s="2">
        <v>116</v>
      </c>
      <c r="DL181" s="2">
        <v>62</v>
      </c>
      <c r="DM181" s="2">
        <v>100</v>
      </c>
      <c r="DN181" s="2">
        <v>60</v>
      </c>
      <c r="DO181" s="2">
        <v>90</v>
      </c>
      <c r="DP181" s="2">
        <v>60</v>
      </c>
      <c r="DQ181" s="2">
        <v>2</v>
      </c>
      <c r="DR181" s="2">
        <v>38</v>
      </c>
      <c r="DS181" s="2">
        <v>2</v>
      </c>
      <c r="DT181" s="2">
        <v>89</v>
      </c>
      <c r="DU181" s="2">
        <v>83</v>
      </c>
      <c r="DV181" s="2">
        <v>2</v>
      </c>
      <c r="DW181" s="2">
        <v>2</v>
      </c>
      <c r="DX181" s="2">
        <v>2</v>
      </c>
      <c r="DY181" s="2">
        <v>2</v>
      </c>
      <c r="DZ181" s="2">
        <v>33</v>
      </c>
      <c r="EA181" s="2">
        <v>34</v>
      </c>
      <c r="EB181" s="2" t="s">
        <v>12</v>
      </c>
      <c r="EC181" s="2">
        <v>1</v>
      </c>
      <c r="ED181" s="2" t="s">
        <v>12</v>
      </c>
    </row>
    <row r="182" spans="2:134" x14ac:dyDescent="0.25">
      <c r="B182" s="2"/>
      <c r="C182" s="2" t="s">
        <v>412</v>
      </c>
      <c r="D182" s="2">
        <v>2501019296</v>
      </c>
      <c r="E182" s="5" t="s">
        <v>528</v>
      </c>
      <c r="F182" s="2">
        <v>2</v>
      </c>
      <c r="G182" s="2">
        <v>51</v>
      </c>
      <c r="H182">
        <v>-2.7622253432096389</v>
      </c>
      <c r="I182" s="2">
        <v>50</v>
      </c>
      <c r="J182">
        <v>6.1168777667580831E-2</v>
      </c>
      <c r="K182" s="5">
        <v>2600</v>
      </c>
      <c r="L182" s="2">
        <v>-1.654483181853698</v>
      </c>
      <c r="M182" s="2">
        <v>-1.670479174634304</v>
      </c>
      <c r="N182" s="2">
        <f t="shared" si="137"/>
        <v>0.57208751207312192</v>
      </c>
      <c r="O182" s="2">
        <f t="shared" si="138"/>
        <v>-1.670479174634304</v>
      </c>
      <c r="P182" s="2">
        <v>65.5</v>
      </c>
      <c r="Q182" s="2">
        <v>-1.331105679484919</v>
      </c>
      <c r="R182" s="5">
        <f t="shared" si="139"/>
        <v>-0.93062328592047694</v>
      </c>
      <c r="S182" s="5">
        <f t="shared" si="140"/>
        <v>-1.331105679484919</v>
      </c>
      <c r="T182" s="1">
        <v>6500</v>
      </c>
      <c r="U182" s="2">
        <v>-2.001195615362044</v>
      </c>
      <c r="V182" s="2">
        <f t="shared" si="141"/>
        <v>-0.27773033113160739</v>
      </c>
      <c r="W182" s="2">
        <f t="shared" si="142"/>
        <v>-2.001195615362044</v>
      </c>
      <c r="X182" s="2">
        <v>-1.618050319063395</v>
      </c>
      <c r="Y182" s="76">
        <f t="shared" si="179"/>
        <v>1.1441750241462438</v>
      </c>
      <c r="Z182" s="76">
        <f t="shared" si="180"/>
        <v>2</v>
      </c>
      <c r="AA182" s="2">
        <f t="shared" si="143"/>
        <v>-0.59605836243632893</v>
      </c>
      <c r="AB182" s="2">
        <f t="shared" si="144"/>
        <v>-1.618050319063395</v>
      </c>
      <c r="AC182" s="2">
        <v>72</v>
      </c>
      <c r="AD182" s="2">
        <v>-1.800077794173373</v>
      </c>
      <c r="AE182" s="79">
        <f t="shared" si="181"/>
        <v>-1.8612465718409539</v>
      </c>
      <c r="AF182" s="79">
        <f t="shared" si="182"/>
        <v>-2</v>
      </c>
      <c r="AG182" s="2">
        <f t="shared" si="200"/>
        <v>0.35016055816651726</v>
      </c>
      <c r="AH182" s="2">
        <f t="shared" si="145"/>
        <v>-1.800077794173373</v>
      </c>
      <c r="AI182" s="2">
        <v>7650</v>
      </c>
      <c r="AJ182" s="2">
        <v>-2.2099438441169128</v>
      </c>
      <c r="AK182" s="76">
        <f t="shared" si="183"/>
        <v>-0.55546066226321478</v>
      </c>
      <c r="AL182" s="76">
        <f t="shared" si="184"/>
        <v>-1</v>
      </c>
      <c r="AM182" s="2">
        <f t="shared" si="146"/>
        <v>-3.8119641386475056E-2</v>
      </c>
      <c r="AN182" s="2">
        <f t="shared" si="147"/>
        <v>-2.2099438441169128</v>
      </c>
      <c r="AO182" s="2">
        <v>-2.5232224043575768</v>
      </c>
      <c r="AP182" s="2">
        <f t="shared" si="148"/>
        <v>-0.11499559403299453</v>
      </c>
      <c r="AQ182" s="2">
        <f t="shared" si="149"/>
        <v>-2.5232224043575768</v>
      </c>
      <c r="AR182" s="2">
        <v>81</v>
      </c>
      <c r="AS182" s="2">
        <v>-0.63078456315188447</v>
      </c>
      <c r="AT182" s="2">
        <f t="shared" si="150"/>
        <v>0.63478452432454646</v>
      </c>
      <c r="AU182" s="2">
        <f t="shared" si="151"/>
        <v>-0.63078456315188447</v>
      </c>
      <c r="AV182" s="2">
        <v>8750</v>
      </c>
      <c r="AW182" s="2">
        <v>-2.0774348981349942</v>
      </c>
      <c r="AX182" s="2">
        <f t="shared" si="152"/>
        <v>0.1915490788549209</v>
      </c>
      <c r="AY182" s="2">
        <f t="shared" si="153"/>
        <v>-2.0774348981349942</v>
      </c>
      <c r="AZ182" s="2">
        <v>-1.8480415071293841</v>
      </c>
      <c r="BA182" s="78">
        <f t="shared" si="185"/>
        <v>-0.22999118806598906</v>
      </c>
      <c r="BB182" s="78">
        <f t="shared" si="186"/>
        <v>-1</v>
      </c>
      <c r="BC182" s="2">
        <f t="shared" si="154"/>
        <v>-0.54256387844414256</v>
      </c>
      <c r="BD182" s="2">
        <f t="shared" si="155"/>
        <v>-1.8480415071293841</v>
      </c>
      <c r="BE182" s="67">
        <f t="shared" si="187"/>
        <v>7</v>
      </c>
      <c r="BF182" s="2">
        <v>85</v>
      </c>
      <c r="BG182" s="2">
        <v>-0.53050874552427996</v>
      </c>
      <c r="BH182" s="2">
        <f t="shared" si="156"/>
        <v>9.9298716694693132E-2</v>
      </c>
      <c r="BI182" s="2">
        <f t="shared" si="157"/>
        <v>-0.53050874552427996</v>
      </c>
      <c r="BJ182" s="67">
        <f t="shared" si="158"/>
        <v>7</v>
      </c>
      <c r="BK182" s="2">
        <v>10500</v>
      </c>
      <c r="BL182" s="2">
        <v>-1.826845686407071</v>
      </c>
      <c r="BM182" s="77">
        <f t="shared" si="188"/>
        <v>0.38309815770984179</v>
      </c>
      <c r="BN182" s="77">
        <f t="shared" si="189"/>
        <v>1</v>
      </c>
      <c r="BO182" s="2">
        <f t="shared" si="159"/>
        <v>-0.18170173704000595</v>
      </c>
      <c r="BP182" s="2">
        <f t="shared" si="160"/>
        <v>-1.826845686407071</v>
      </c>
      <c r="BQ182" s="67">
        <f t="shared" si="190"/>
        <v>7</v>
      </c>
      <c r="BR182" s="2">
        <v>-4.1509140396900044</v>
      </c>
      <c r="BS182" s="75">
        <f t="shared" si="191"/>
        <v>-2.3028725325606203</v>
      </c>
      <c r="BT182" s="75">
        <f t="shared" si="192"/>
        <v>-2</v>
      </c>
      <c r="BU182" s="5" t="str">
        <f>IF(G189&gt;=36, IF(AND(NOT(ISBLANK(CM:CM)), NOT(ISBLANK(BD:BD))), (CM:CM-BD:BD)/2, ""), "UF")</f>
        <v/>
      </c>
      <c r="BV182" s="5">
        <f t="shared" si="161"/>
        <v>-4.1509140396900044</v>
      </c>
      <c r="BW182" s="69">
        <f t="shared" si="162"/>
        <v>1</v>
      </c>
      <c r="BX182" s="2">
        <v>94</v>
      </c>
      <c r="BY182" s="2">
        <v>-0.33288841306780509</v>
      </c>
      <c r="BZ182" s="74">
        <f t="shared" si="193"/>
        <v>1.4939572733392659</v>
      </c>
      <c r="CA182" s="74">
        <f t="shared" si="194"/>
        <v>2</v>
      </c>
      <c r="CB182" s="5" t="str">
        <f t="shared" si="163"/>
        <v/>
      </c>
      <c r="CC182" s="5">
        <f t="shared" si="164"/>
        <v>-0.33288841306780509</v>
      </c>
      <c r="CD182" s="2">
        <f t="shared" si="165"/>
        <v>0.19762033245647487</v>
      </c>
      <c r="CE182" s="69">
        <f t="shared" si="166"/>
        <v>7</v>
      </c>
      <c r="CF182" s="5">
        <v>11000</v>
      </c>
      <c r="CG182" s="2">
        <v>-2.622540109255012</v>
      </c>
      <c r="CH182" s="72">
        <f t="shared" si="195"/>
        <v>-0.79569442284794101</v>
      </c>
      <c r="CI182" s="72">
        <f t="shared" si="196"/>
        <v>-2</v>
      </c>
      <c r="CJ182" s="5" t="str">
        <f t="shared" si="167"/>
        <v/>
      </c>
      <c r="CK182" s="5">
        <f t="shared" si="168"/>
        <v>-2.622540109255012</v>
      </c>
      <c r="CL182" s="69">
        <f t="shared" si="169"/>
        <v>4</v>
      </c>
      <c r="CM182" s="2"/>
      <c r="CN182" s="70" t="str">
        <f t="shared" si="170"/>
        <v/>
      </c>
      <c r="CO182" s="5">
        <f t="shared" si="171"/>
        <v>0</v>
      </c>
      <c r="CP182" s="5">
        <f>IF(G182&lt;48,"UF", IF(NOT(ISBLANK(CM:CM)), CM:CM, IF(BW:BW=1, BV:BV+Sheet2!B623, IF(Sheet1!BW:BW=2, Sheet1!BV:BV+Sheet2!B624, IF(Sheet1!BW:BW=7, Sheet1!BV:BV+Sheet2!B625,"")))))</f>
        <v>-4.1509140396900044</v>
      </c>
      <c r="CQ182" s="69">
        <f t="shared" si="197"/>
        <v>1</v>
      </c>
      <c r="CR182" s="5" t="s">
        <v>12</v>
      </c>
      <c r="CS182" s="2"/>
      <c r="CT182" s="5" t="str">
        <f t="shared" si="172"/>
        <v/>
      </c>
      <c r="CU182" s="80">
        <f t="shared" si="173"/>
        <v>0</v>
      </c>
      <c r="CV182" s="80">
        <f t="shared" si="174"/>
        <v>-1</v>
      </c>
      <c r="CW182" s="20">
        <f>IF(G182&lt;48,"UF", IF(NOT(ISBLANK(CS182)), CS182, IF(CE182=5, CC182+Sheet2!B612, IF(CE182=6, CC182+Sheet2!B613, IF(CE182=7, CC182+Sheet2!B614,"")))))</f>
        <v>-0.33288841306780509</v>
      </c>
      <c r="CX182" s="68">
        <f t="shared" si="198"/>
        <v>7</v>
      </c>
      <c r="CY182" s="5" t="s">
        <v>12</v>
      </c>
      <c r="DA182" s="5" t="str">
        <f t="shared" si="175"/>
        <v/>
      </c>
      <c r="DB182" s="73">
        <f t="shared" si="176"/>
        <v>0</v>
      </c>
      <c r="DC182" s="73">
        <f t="shared" si="177"/>
        <v>-1</v>
      </c>
      <c r="DD182" s="5">
        <f>IF(G182&lt;48,"UF", IF(NOT(ISBLANK(CZ:CZ)), CZ:CZ, IF(CL:CL=3, CK:CK+Sheet2!B617, IF(CL:CL=4, CK:CK+Sheet2!B618, IF(CL:CL=7, CK:CK+Sheet2!B619,"")))))</f>
        <v>-2.622540109255012</v>
      </c>
      <c r="DE182" s="69">
        <f t="shared" si="202"/>
        <v>4</v>
      </c>
      <c r="DF182" s="2">
        <v>1</v>
      </c>
      <c r="DG182" s="2">
        <v>20</v>
      </c>
      <c r="DH182" s="2">
        <v>1</v>
      </c>
      <c r="DI182" s="2">
        <v>1</v>
      </c>
      <c r="DJ182" s="2">
        <v>2</v>
      </c>
      <c r="DK182" s="2">
        <v>100</v>
      </c>
      <c r="DL182" s="2">
        <v>60</v>
      </c>
      <c r="DM182" s="2">
        <v>100</v>
      </c>
      <c r="DN182" s="2">
        <v>60</v>
      </c>
      <c r="DO182" s="2">
        <v>100</v>
      </c>
      <c r="DP182" s="2">
        <v>60</v>
      </c>
      <c r="DQ182" s="2">
        <v>2</v>
      </c>
      <c r="DR182" s="2">
        <v>39</v>
      </c>
      <c r="DS182" s="2">
        <v>2</v>
      </c>
      <c r="DT182" s="2">
        <v>82</v>
      </c>
      <c r="DU182" s="2">
        <v>75</v>
      </c>
      <c r="DV182" s="2">
        <v>2</v>
      </c>
      <c r="DW182" s="2">
        <v>2</v>
      </c>
      <c r="DX182" s="2">
        <v>2</v>
      </c>
      <c r="DY182" s="2">
        <v>2</v>
      </c>
      <c r="DZ182" s="2">
        <v>32</v>
      </c>
      <c r="EA182" s="2">
        <v>33.799999999999997</v>
      </c>
      <c r="EB182" s="2">
        <v>44.2</v>
      </c>
      <c r="EC182" s="2">
        <v>1</v>
      </c>
      <c r="ED182" s="2">
        <v>1</v>
      </c>
    </row>
    <row r="183" spans="2:134" x14ac:dyDescent="0.25">
      <c r="C183" s="5" t="s">
        <v>39</v>
      </c>
      <c r="D183" s="2">
        <v>2501019571</v>
      </c>
      <c r="E183" s="5" t="s">
        <v>528</v>
      </c>
      <c r="F183" s="2">
        <v>1</v>
      </c>
      <c r="G183" s="2">
        <v>47</v>
      </c>
      <c r="H183" s="2">
        <v>-1.2935446016266849</v>
      </c>
      <c r="I183" s="2">
        <v>52</v>
      </c>
      <c r="J183" s="2">
        <v>1.531272843240846</v>
      </c>
      <c r="K183" s="5">
        <v>3200</v>
      </c>
      <c r="L183" s="2">
        <v>-7.0518060756779827E-2</v>
      </c>
      <c r="N183" s="2">
        <f t="shared" si="137"/>
        <v>1.9172300813342424E-2</v>
      </c>
      <c r="O183" s="2">
        <f t="shared" si="138"/>
        <v>-1.2743723008133425</v>
      </c>
      <c r="P183" s="2" t="s">
        <v>12</v>
      </c>
      <c r="R183" s="5">
        <f t="shared" si="139"/>
        <v>-1.350636421620423</v>
      </c>
      <c r="S183" s="5">
        <f t="shared" si="140"/>
        <v>0.18063642162042304</v>
      </c>
      <c r="T183" s="1" t="s">
        <v>12</v>
      </c>
      <c r="V183" s="2">
        <f t="shared" si="141"/>
        <v>-0.75474096962161008</v>
      </c>
      <c r="W183" s="2">
        <f t="shared" si="142"/>
        <v>-0.82525903037838988</v>
      </c>
      <c r="X183" s="2">
        <v>-1.2552000000000001</v>
      </c>
      <c r="Y183" s="76">
        <f t="shared" si="179"/>
        <v>3.8344601626684849E-2</v>
      </c>
      <c r="Z183" s="76">
        <f t="shared" si="180"/>
        <v>1</v>
      </c>
      <c r="AA183" s="2">
        <f t="shared" si="143"/>
        <v>-0.16016821081021151</v>
      </c>
      <c r="AB183" s="2">
        <f t="shared" si="144"/>
        <v>-1.2552000000000001</v>
      </c>
      <c r="AC183" s="2">
        <v>71</v>
      </c>
      <c r="AD183" s="2">
        <v>-1.17</v>
      </c>
      <c r="AE183" s="79">
        <f t="shared" si="181"/>
        <v>-2.7012728432408459</v>
      </c>
      <c r="AF183" s="79">
        <f t="shared" si="182"/>
        <v>-2</v>
      </c>
      <c r="AG183" s="2">
        <f t="shared" si="200"/>
        <v>-1.4203182108102115</v>
      </c>
      <c r="AH183" s="2">
        <f t="shared" si="145"/>
        <v>-1.17</v>
      </c>
      <c r="AI183" s="2">
        <v>7400</v>
      </c>
      <c r="AJ183" s="2">
        <v>-1.58</v>
      </c>
      <c r="AK183" s="76">
        <f t="shared" si="183"/>
        <v>-1.5094819392432202</v>
      </c>
      <c r="AL183" s="76">
        <f t="shared" si="184"/>
        <v>-2</v>
      </c>
      <c r="AM183" s="2">
        <f t="shared" si="146"/>
        <v>-0.47237048481080507</v>
      </c>
      <c r="AN183" s="2">
        <f t="shared" si="147"/>
        <v>-1.58</v>
      </c>
      <c r="AO183" s="2">
        <v>-0.13969999999999999</v>
      </c>
      <c r="AP183" s="2" t="str">
        <f t="shared" si="148"/>
        <v/>
      </c>
      <c r="AQ183" s="2">
        <f t="shared" si="149"/>
        <v>-0.13969999999999999</v>
      </c>
      <c r="AR183" s="2">
        <v>73</v>
      </c>
      <c r="AS183" s="2">
        <v>-2.66</v>
      </c>
      <c r="AT183" s="2" t="str">
        <f t="shared" si="150"/>
        <v/>
      </c>
      <c r="AU183" s="2">
        <f t="shared" si="151"/>
        <v>-2.66</v>
      </c>
      <c r="AV183" s="2">
        <v>8280</v>
      </c>
      <c r="AW183" s="2">
        <v>-1.77</v>
      </c>
      <c r="AX183" s="2" t="str">
        <f t="shared" si="152"/>
        <v/>
      </c>
      <c r="AY183" s="2">
        <f t="shared" si="153"/>
        <v>-1.77</v>
      </c>
      <c r="BA183" s="78" t="e">
        <f t="shared" si="185"/>
        <v>#VALUE!</v>
      </c>
      <c r="BB183" s="78" t="e">
        <f t="shared" si="186"/>
        <v>#VALUE!</v>
      </c>
      <c r="BC183" s="2" t="str">
        <f t="shared" si="154"/>
        <v/>
      </c>
      <c r="BD183" s="2" t="e">
        <f t="shared" si="155"/>
        <v>#VALUE!</v>
      </c>
      <c r="BE183" s="67" t="e">
        <f t="shared" si="187"/>
        <v>#VALUE!</v>
      </c>
      <c r="BF183" s="2" t="s">
        <v>12</v>
      </c>
      <c r="BH183" s="2" t="str">
        <f t="shared" si="156"/>
        <v/>
      </c>
      <c r="BI183" s="2" t="e">
        <f t="shared" si="157"/>
        <v>#VALUE!</v>
      </c>
      <c r="BJ183" s="67" t="e">
        <f t="shared" si="158"/>
        <v>#VALUE!</v>
      </c>
      <c r="BK183" s="2" t="s">
        <v>12</v>
      </c>
      <c r="BM183" s="77" t="e">
        <f t="shared" si="188"/>
        <v>#VALUE!</v>
      </c>
      <c r="BN183" s="77" t="e">
        <f t="shared" si="189"/>
        <v>#VALUE!</v>
      </c>
      <c r="BO183" s="2" t="str">
        <f t="shared" si="159"/>
        <v/>
      </c>
      <c r="BP183" s="2" t="e">
        <f t="shared" si="160"/>
        <v>#VALUE!</v>
      </c>
      <c r="BQ183" s="67" t="e">
        <f t="shared" si="190"/>
        <v>#VALUE!</v>
      </c>
      <c r="BS183" s="75" t="e">
        <f t="shared" si="191"/>
        <v>#VALUE!</v>
      </c>
      <c r="BT183" s="75" t="e">
        <f t="shared" si="192"/>
        <v>#VALUE!</v>
      </c>
      <c r="BU183" s="5" t="e">
        <f>IF(#REF!&gt;=36, IF(AND(NOT(ISBLANK(CM:CM)), NOT(ISBLANK(BD:BD))), (CM:CM-BD:BD)/2, ""), "UF")</f>
        <v>#REF!</v>
      </c>
      <c r="BV183" s="5" t="e">
        <f t="shared" si="161"/>
        <v>#VALUE!</v>
      </c>
      <c r="BW183" s="69" t="e">
        <f t="shared" si="162"/>
        <v>#VALUE!</v>
      </c>
      <c r="BX183" s="2" t="s">
        <v>12</v>
      </c>
      <c r="BZ183" s="74" t="e">
        <f t="shared" si="193"/>
        <v>#VALUE!</v>
      </c>
      <c r="CA183" s="74" t="e">
        <f t="shared" si="194"/>
        <v>#VALUE!</v>
      </c>
      <c r="CB183" s="5" t="str">
        <f t="shared" si="163"/>
        <v/>
      </c>
      <c r="CC183" s="5" t="e">
        <f t="shared" si="164"/>
        <v>#VALUE!</v>
      </c>
      <c r="CD183" s="2" t="e">
        <f t="shared" si="165"/>
        <v>#VALUE!</v>
      </c>
      <c r="CE183" s="69" t="e">
        <f t="shared" si="166"/>
        <v>#VALUE!</v>
      </c>
      <c r="CF183" s="5" t="s">
        <v>12</v>
      </c>
      <c r="CH183" s="72" t="e">
        <f t="shared" si="195"/>
        <v>#VALUE!</v>
      </c>
      <c r="CI183" s="72" t="e">
        <f t="shared" si="196"/>
        <v>#VALUE!</v>
      </c>
      <c r="CJ183" s="5" t="str">
        <f t="shared" si="167"/>
        <v/>
      </c>
      <c r="CK183" s="5" t="e">
        <f t="shared" si="168"/>
        <v>#VALUE!</v>
      </c>
      <c r="CL183" s="69" t="e">
        <f t="shared" si="169"/>
        <v>#VALUE!</v>
      </c>
      <c r="CN183" s="70" t="str">
        <f t="shared" si="170"/>
        <v/>
      </c>
      <c r="CO183" s="5" t="str">
        <f t="shared" si="171"/>
        <v>UF</v>
      </c>
      <c r="CP183" s="5" t="str">
        <f>IF(G183&lt;48,"UF", IF(NOT(ISBLANK(CM:CM)), CM:CM, IF(BW:BW=1, BV:BV+Sheet2!B60, IF(Sheet1!BW:BW=2, Sheet1!BV:BV+Sheet2!B61, IF(Sheet1!BW:BW=7, Sheet1!BV:BV+Sheet2!B62,"")))))</f>
        <v>UF</v>
      </c>
      <c r="CQ183" s="69" t="str">
        <f t="shared" si="197"/>
        <v/>
      </c>
      <c r="CR183" s="5" t="s">
        <v>12</v>
      </c>
      <c r="CT183" s="5" t="str">
        <f t="shared" si="172"/>
        <v/>
      </c>
      <c r="CU183" s="80" t="str">
        <f t="shared" si="173"/>
        <v>UF</v>
      </c>
      <c r="CV183" s="80" t="str">
        <f t="shared" si="174"/>
        <v>UF</v>
      </c>
      <c r="CW183" s="20" t="str">
        <f>IF(G183&lt;48,"UF", IF(NOT(ISBLANK(CS183)), CS183, IF(CE183=5, CC183+Sheet2!B49, IF(CE183=6, CC183+Sheet2!B50, IF(CE183=7, CC183+Sheet2!B51,"")))))</f>
        <v>UF</v>
      </c>
      <c r="CX183" s="68" t="str">
        <f t="shared" si="198"/>
        <v/>
      </c>
      <c r="CY183" s="5" t="s">
        <v>12</v>
      </c>
      <c r="DA183" s="5" t="str">
        <f t="shared" si="175"/>
        <v>UF</v>
      </c>
      <c r="DB183" s="73" t="str">
        <f t="shared" si="176"/>
        <v>UF</v>
      </c>
      <c r="DC183" s="73" t="str">
        <f t="shared" si="177"/>
        <v>UF</v>
      </c>
      <c r="DD183" s="5" t="str">
        <f>IF(G183&lt;48,"UF", IF(NOT(ISBLANK(CZ:CZ)), CZ:CZ, IF(CL:CL=3, CK:CK+Sheet2!B54, IF(CL:CL=4, CK:CK+Sheet2!B55, IF(CL:CL=7, CK:CK+Sheet2!B56,"")))))</f>
        <v>UF</v>
      </c>
      <c r="DE183" s="69" t="str">
        <f t="shared" si="202"/>
        <v/>
      </c>
      <c r="DF183" s="2">
        <v>2</v>
      </c>
      <c r="DG183" s="2">
        <v>36</v>
      </c>
      <c r="DH183" s="2">
        <v>1</v>
      </c>
      <c r="DI183" s="2">
        <v>2</v>
      </c>
      <c r="DJ183" s="2">
        <v>2</v>
      </c>
      <c r="DK183" s="2">
        <v>90</v>
      </c>
      <c r="DL183" s="2">
        <v>60</v>
      </c>
      <c r="DM183" s="2" t="s">
        <v>12</v>
      </c>
      <c r="DN183" s="2" t="s">
        <v>12</v>
      </c>
      <c r="DO183" s="2">
        <v>110</v>
      </c>
      <c r="DP183" s="2">
        <v>60</v>
      </c>
      <c r="DQ183" s="2">
        <v>1</v>
      </c>
      <c r="DR183" s="2">
        <v>39</v>
      </c>
      <c r="DS183" s="2">
        <v>2</v>
      </c>
      <c r="DT183" s="2">
        <v>87</v>
      </c>
      <c r="DU183" s="2">
        <v>79</v>
      </c>
      <c r="DV183" s="2">
        <v>2</v>
      </c>
      <c r="DW183" s="2">
        <v>2</v>
      </c>
      <c r="DX183" s="2">
        <v>2</v>
      </c>
      <c r="DY183" s="2">
        <v>2</v>
      </c>
      <c r="DZ183" s="2">
        <v>36.5</v>
      </c>
      <c r="EA183" s="2" t="s">
        <v>12</v>
      </c>
      <c r="EB183" s="2">
        <v>43.5</v>
      </c>
      <c r="EC183" s="2" t="s">
        <v>12</v>
      </c>
      <c r="ED183" s="2">
        <v>1</v>
      </c>
    </row>
    <row r="184" spans="2:134" x14ac:dyDescent="0.25">
      <c r="C184" s="2" t="s">
        <v>370</v>
      </c>
      <c r="D184" s="8">
        <v>2501019970</v>
      </c>
      <c r="E184" s="5">
        <v>6</v>
      </c>
      <c r="F184" s="2">
        <v>1</v>
      </c>
      <c r="G184" s="2">
        <v>50</v>
      </c>
      <c r="H184" s="2">
        <v>-1.4531923774712969</v>
      </c>
      <c r="I184" s="2">
        <v>49</v>
      </c>
      <c r="J184" s="2">
        <v>-7.9294265603816944E-2</v>
      </c>
      <c r="K184" s="5">
        <v>2800</v>
      </c>
      <c r="L184" s="2">
        <v>-0.98574519678023331</v>
      </c>
      <c r="M184" s="2">
        <v>-0.63029999999999997</v>
      </c>
      <c r="N184" s="2">
        <f t="shared" si="137"/>
        <v>9.1296188735648487E-2</v>
      </c>
      <c r="O184" s="2">
        <f t="shared" si="138"/>
        <v>-0.63029999999999997</v>
      </c>
      <c r="P184" s="2">
        <v>65</v>
      </c>
      <c r="Q184" s="2">
        <v>-0.33</v>
      </c>
      <c r="R184" s="5">
        <f t="shared" si="139"/>
        <v>-0.35035286719809156</v>
      </c>
      <c r="S184" s="5">
        <f t="shared" si="140"/>
        <v>-0.33</v>
      </c>
      <c r="T184" s="1">
        <v>6750</v>
      </c>
      <c r="U184" s="2">
        <v>-0.65</v>
      </c>
      <c r="V184" s="2">
        <f t="shared" si="141"/>
        <v>-0.18212740160988339</v>
      </c>
      <c r="W184" s="2">
        <f t="shared" si="142"/>
        <v>-0.65</v>
      </c>
      <c r="X184" s="2">
        <v>-1.2706</v>
      </c>
      <c r="Y184" s="76">
        <f t="shared" si="179"/>
        <v>0.18259237747129697</v>
      </c>
      <c r="Z184" s="76">
        <f t="shared" si="180"/>
        <v>1</v>
      </c>
      <c r="AA184" s="2" t="str">
        <f t="shared" si="143"/>
        <v/>
      </c>
      <c r="AB184" s="2">
        <f t="shared" si="144"/>
        <v>-1.2706</v>
      </c>
      <c r="AC184" s="2">
        <v>72</v>
      </c>
      <c r="AD184" s="2">
        <v>-0.78</v>
      </c>
      <c r="AE184" s="79">
        <f t="shared" si="181"/>
        <v>-0.70070573439618311</v>
      </c>
      <c r="AF184" s="79">
        <f t="shared" si="182"/>
        <v>-2</v>
      </c>
      <c r="AG184" s="2" t="str">
        <f t="shared" si="200"/>
        <v/>
      </c>
      <c r="AH184" s="2">
        <f t="shared" si="145"/>
        <v>-0.78</v>
      </c>
      <c r="AI184" s="2">
        <v>7600</v>
      </c>
      <c r="AJ184" s="2">
        <v>-1.35</v>
      </c>
      <c r="AK184" s="76">
        <f t="shared" si="183"/>
        <v>-0.36425480321976678</v>
      </c>
      <c r="AL184" s="76">
        <f t="shared" si="184"/>
        <v>-1</v>
      </c>
      <c r="AM184" s="2" t="str">
        <f t="shared" si="146"/>
        <v/>
      </c>
      <c r="AN184" s="2">
        <f t="shared" si="147"/>
        <v>-1.35</v>
      </c>
      <c r="AP184" s="2">
        <f t="shared" si="148"/>
        <v>0.50131767146217887</v>
      </c>
      <c r="AQ184" s="2">
        <f t="shared" si="149"/>
        <v>-0.76928232853782108</v>
      </c>
      <c r="AR184" s="2" t="s">
        <v>12</v>
      </c>
      <c r="AT184" s="2">
        <f t="shared" si="150"/>
        <v>-0.5248981921347935</v>
      </c>
      <c r="AU184" s="2">
        <f t="shared" si="151"/>
        <v>-1.3048981921347935</v>
      </c>
      <c r="AV184" s="2" t="s">
        <v>12</v>
      </c>
      <c r="AX184" s="2">
        <f t="shared" si="152"/>
        <v>-0.29148431136150399</v>
      </c>
      <c r="AY184" s="2">
        <f t="shared" si="153"/>
        <v>-1.6414843113615041</v>
      </c>
      <c r="AZ184" s="2">
        <v>-0.26796465707564221</v>
      </c>
      <c r="BA184" s="78">
        <f t="shared" si="185"/>
        <v>1.0026353429243577</v>
      </c>
      <c r="BB184" s="78">
        <f t="shared" si="186"/>
        <v>2</v>
      </c>
      <c r="BC184" s="2">
        <f t="shared" si="154"/>
        <v>-0.79468504048701705</v>
      </c>
      <c r="BD184" s="2">
        <f t="shared" si="155"/>
        <v>-0.26796465707564221</v>
      </c>
      <c r="BE184" s="67">
        <f t="shared" si="187"/>
        <v>7</v>
      </c>
      <c r="BF184" s="2">
        <v>79</v>
      </c>
      <c r="BG184" s="2">
        <v>-1.829796384269587</v>
      </c>
      <c r="BH184" s="2">
        <f t="shared" si="156"/>
        <v>3.3418366471689533E-2</v>
      </c>
      <c r="BI184" s="2">
        <f t="shared" si="157"/>
        <v>-1.829796384269587</v>
      </c>
      <c r="BJ184" s="67">
        <f t="shared" si="158"/>
        <v>7</v>
      </c>
      <c r="BK184" s="2">
        <v>10000</v>
      </c>
      <c r="BL184" s="2">
        <v>-1.9329686227230081</v>
      </c>
      <c r="BM184" s="77">
        <f t="shared" si="188"/>
        <v>-0.58296862272300798</v>
      </c>
      <c r="BN184" s="77">
        <f t="shared" si="189"/>
        <v>-1</v>
      </c>
      <c r="BO184" s="2">
        <f t="shared" si="159"/>
        <v>-0.44281534884079171</v>
      </c>
      <c r="BP184" s="2">
        <f t="shared" si="160"/>
        <v>-1.9329686227230081</v>
      </c>
      <c r="BQ184" s="67">
        <f t="shared" si="190"/>
        <v>7</v>
      </c>
      <c r="BR184" s="5">
        <v>-3.153337449998872</v>
      </c>
      <c r="BS184" s="75">
        <f t="shared" si="191"/>
        <v>-2.8853727929232296</v>
      </c>
      <c r="BT184" s="75">
        <f t="shared" si="192"/>
        <v>-2</v>
      </c>
      <c r="BU184" s="5" t="e">
        <f>IF(#REF!&gt;=36, IF(AND(NOT(ISBLANK(CM:CM)), NOT(ISBLANK(BD:BD))), (CM:CM-BD:BD)/2, ""), "UF")</f>
        <v>#REF!</v>
      </c>
      <c r="BV184" s="5">
        <f t="shared" si="161"/>
        <v>-3.153337449998872</v>
      </c>
      <c r="BW184" s="69">
        <f t="shared" si="162"/>
        <v>1</v>
      </c>
      <c r="BX184" s="2">
        <v>89.5</v>
      </c>
      <c r="BY184" s="5">
        <v>-1.2046430927197249</v>
      </c>
      <c r="BZ184" s="74">
        <f t="shared" si="193"/>
        <v>0.72832553000328315</v>
      </c>
      <c r="CA184" s="74">
        <f t="shared" si="194"/>
        <v>2</v>
      </c>
      <c r="CB184" s="5" t="str">
        <f t="shared" si="163"/>
        <v/>
      </c>
      <c r="CC184" s="5">
        <f t="shared" si="164"/>
        <v>-1.2046430927197249</v>
      </c>
      <c r="CD184" s="2">
        <f t="shared" si="165"/>
        <v>0.6251532915498621</v>
      </c>
      <c r="CE184" s="69">
        <f t="shared" si="166"/>
        <v>7</v>
      </c>
      <c r="CF184" s="5">
        <v>10300</v>
      </c>
      <c r="CG184" s="5">
        <v>-2.9699303578838792</v>
      </c>
      <c r="CH184" s="72">
        <f t="shared" si="195"/>
        <v>-1.0369617351608711</v>
      </c>
      <c r="CI184" s="72">
        <f t="shared" si="196"/>
        <v>-2</v>
      </c>
      <c r="CJ184" s="5" t="str">
        <f t="shared" si="167"/>
        <v/>
      </c>
      <c r="CK184" s="5">
        <f t="shared" si="168"/>
        <v>-2.9699303578838792</v>
      </c>
      <c r="CL184" s="69">
        <f t="shared" si="169"/>
        <v>4</v>
      </c>
      <c r="CN184" s="70" t="str">
        <f t="shared" si="170"/>
        <v/>
      </c>
      <c r="CO184" s="5">
        <f t="shared" si="171"/>
        <v>0</v>
      </c>
      <c r="CP184" s="5">
        <f>IF(G184&lt;48,"UF", IF(NOT(ISBLANK(CM:CM)), CM:CM, IF(BW:BW=1, BV:BV+Sheet2!B310, IF(Sheet1!BW:BW=2, Sheet1!BV:BV+Sheet2!B311, IF(Sheet1!BW:BW=7, Sheet1!BV:BV+Sheet2!B312,"")))))</f>
        <v>-3.153337449998872</v>
      </c>
      <c r="CQ184" s="69">
        <f t="shared" si="197"/>
        <v>1</v>
      </c>
      <c r="CR184" s="5" t="s">
        <v>12</v>
      </c>
      <c r="CT184" s="5" t="str">
        <f t="shared" si="172"/>
        <v/>
      </c>
      <c r="CU184" s="80">
        <f t="shared" si="173"/>
        <v>0</v>
      </c>
      <c r="CV184" s="80">
        <f t="shared" si="174"/>
        <v>-1</v>
      </c>
      <c r="CW184" s="20">
        <f>IF(G184&lt;48,"UF", IF(NOT(ISBLANK(CS184)), CS184, IF(CE184=5, CC184+Sheet2!B299, IF(CE184=6, CC184+Sheet2!B300, IF(CE184=7, CC184+Sheet2!B301,"")))))</f>
        <v>-1.2046430927197249</v>
      </c>
      <c r="CX184" s="68">
        <f t="shared" si="198"/>
        <v>7</v>
      </c>
      <c r="CY184" s="5" t="s">
        <v>12</v>
      </c>
      <c r="DA184" s="5" t="str">
        <f t="shared" si="175"/>
        <v/>
      </c>
      <c r="DB184" s="73">
        <f t="shared" si="176"/>
        <v>0</v>
      </c>
      <c r="DC184" s="73">
        <f t="shared" si="177"/>
        <v>-1</v>
      </c>
      <c r="DD184" s="5">
        <f>IF(G184&lt;48,"UF", IF(NOT(ISBLANK(CZ:CZ)), CZ:CZ, IF(CL:CL=3, CK:CK+Sheet2!B304, IF(CL:CL=4, CK:CK+Sheet2!B305, IF(CL:CL=7, CK:CK+Sheet2!B306,"")))))</f>
        <v>-2.9699303578838792</v>
      </c>
      <c r="DE184" s="69">
        <f t="shared" si="202"/>
        <v>4</v>
      </c>
      <c r="DF184" s="2">
        <v>2</v>
      </c>
      <c r="DG184" s="2">
        <v>32</v>
      </c>
      <c r="DH184" s="2">
        <v>2</v>
      </c>
      <c r="DI184" s="2">
        <v>2</v>
      </c>
      <c r="DJ184" s="2">
        <v>2</v>
      </c>
      <c r="DK184" s="2">
        <v>100</v>
      </c>
      <c r="DL184" s="2">
        <v>60</v>
      </c>
      <c r="DM184" s="2">
        <v>109</v>
      </c>
      <c r="DN184" s="2">
        <v>65</v>
      </c>
      <c r="DO184" s="2">
        <v>110</v>
      </c>
      <c r="DP184" s="2">
        <v>70</v>
      </c>
      <c r="DQ184" s="2">
        <v>2</v>
      </c>
      <c r="DR184" s="2">
        <v>40</v>
      </c>
      <c r="DS184" s="2">
        <v>2</v>
      </c>
      <c r="DT184" s="2">
        <v>75</v>
      </c>
      <c r="DU184" s="2">
        <v>65</v>
      </c>
      <c r="DV184" s="2">
        <v>2</v>
      </c>
      <c r="DW184" s="2">
        <v>2</v>
      </c>
      <c r="DX184" s="2">
        <v>2</v>
      </c>
      <c r="DY184" s="2">
        <v>2</v>
      </c>
      <c r="DZ184" s="2">
        <v>33</v>
      </c>
      <c r="EA184" s="2">
        <v>36.5</v>
      </c>
      <c r="EB184" s="2">
        <v>45</v>
      </c>
      <c r="EC184" s="2">
        <v>1</v>
      </c>
      <c r="ED184" s="2">
        <v>1</v>
      </c>
    </row>
    <row r="185" spans="2:134" x14ac:dyDescent="0.25">
      <c r="B185" s="2"/>
      <c r="C185" t="s">
        <v>425</v>
      </c>
      <c r="D185" s="3">
        <v>2501020316</v>
      </c>
      <c r="E185" s="3">
        <v>7</v>
      </c>
      <c r="F185" s="2">
        <v>1</v>
      </c>
      <c r="G185" s="2">
        <v>49</v>
      </c>
      <c r="H185">
        <v>-1.5057949238034429</v>
      </c>
      <c r="I185" s="2">
        <v>53</v>
      </c>
      <c r="J185">
        <v>2.0681285461890671</v>
      </c>
      <c r="K185" s="2">
        <v>3260</v>
      </c>
      <c r="L185" s="2">
        <v>6.0533399906780902E-2</v>
      </c>
      <c r="M185" s="2">
        <v>-1.059779148792567</v>
      </c>
      <c r="N185" s="2">
        <f t="shared" si="137"/>
        <v>0.67286378178038053</v>
      </c>
      <c r="O185" s="2">
        <f t="shared" si="138"/>
        <v>-1.059779148792567</v>
      </c>
      <c r="P185" s="2">
        <v>65</v>
      </c>
      <c r="Q185" s="2">
        <v>-0.6464953990346044</v>
      </c>
      <c r="R185" s="5">
        <f t="shared" si="139"/>
        <v>-1.7265192555736675</v>
      </c>
      <c r="S185" s="5">
        <f t="shared" si="140"/>
        <v>-0.6464953990346044</v>
      </c>
      <c r="T185" s="2">
        <v>6500</v>
      </c>
      <c r="U185" s="2">
        <v>-1.1435694685451021</v>
      </c>
      <c r="V185" s="2">
        <f t="shared" si="141"/>
        <v>-0.49014303774913237</v>
      </c>
      <c r="W185" s="2">
        <f t="shared" si="142"/>
        <v>-1.1435694685451021</v>
      </c>
      <c r="X185" s="2">
        <v>-0.16006736024268189</v>
      </c>
      <c r="Y185" s="76">
        <f t="shared" si="179"/>
        <v>1.3457275635607611</v>
      </c>
      <c r="Z185" s="76">
        <f t="shared" si="180"/>
        <v>2</v>
      </c>
      <c r="AA185" s="2">
        <f t="shared" si="143"/>
        <v>-0.15760592664845147</v>
      </c>
      <c r="AB185" s="2">
        <f t="shared" si="144"/>
        <v>-0.16006736024268189</v>
      </c>
      <c r="AC185" s="2">
        <v>71</v>
      </c>
      <c r="AD185" s="2">
        <v>-1.3849099649582679</v>
      </c>
      <c r="AE185" s="79">
        <f t="shared" si="181"/>
        <v>-3.453038511147335</v>
      </c>
      <c r="AF185" s="79">
        <f t="shared" si="182"/>
        <v>-2</v>
      </c>
      <c r="AG185" s="2">
        <f t="shared" si="200"/>
        <v>-0.21958822951235629</v>
      </c>
      <c r="AH185" s="2">
        <f t="shared" si="145"/>
        <v>-1.3849099649582679</v>
      </c>
      <c r="AI185" s="2">
        <v>8100</v>
      </c>
      <c r="AJ185" s="2">
        <v>-0.91975267559148388</v>
      </c>
      <c r="AK185" s="76">
        <f t="shared" si="183"/>
        <v>-0.98028607549826474</v>
      </c>
      <c r="AL185" s="76">
        <f t="shared" si="184"/>
        <v>-2</v>
      </c>
      <c r="AM185" s="2">
        <f t="shared" si="146"/>
        <v>-9.2555727686361444E-2</v>
      </c>
      <c r="AN185" s="2">
        <f t="shared" si="147"/>
        <v>-0.91975267559148388</v>
      </c>
      <c r="AO185" s="2">
        <v>-0.96170725233150733</v>
      </c>
      <c r="AP185" s="2">
        <f t="shared" si="148"/>
        <v>-1.0302289045693545</v>
      </c>
      <c r="AQ185" s="2">
        <f t="shared" si="149"/>
        <v>-0.96170725233150733</v>
      </c>
      <c r="AR185" s="2">
        <v>78</v>
      </c>
      <c r="AS185" s="2">
        <v>-1.085671858059317</v>
      </c>
      <c r="AT185" s="2">
        <f t="shared" si="150"/>
        <v>0.34918147772076591</v>
      </c>
      <c r="AU185" s="2">
        <f t="shared" si="151"/>
        <v>-1.085671858059317</v>
      </c>
      <c r="AV185" s="2">
        <v>8800</v>
      </c>
      <c r="AW185" s="2">
        <v>-1.328680923917825</v>
      </c>
      <c r="AX185" s="2">
        <f t="shared" si="152"/>
        <v>-0.78731979375662142</v>
      </c>
      <c r="AY185" s="2">
        <f t="shared" si="153"/>
        <v>-1.328680923917825</v>
      </c>
      <c r="AZ185" s="2">
        <v>-2.220525169381391</v>
      </c>
      <c r="BA185" s="78">
        <f t="shared" si="185"/>
        <v>-2.0604578091387089</v>
      </c>
      <c r="BB185" s="78">
        <f t="shared" si="186"/>
        <v>-2</v>
      </c>
      <c r="BC185" s="2">
        <f t="shared" si="154"/>
        <v>-0.65360228275800225</v>
      </c>
      <c r="BD185" s="2">
        <f t="shared" si="155"/>
        <v>-2.220525169381391</v>
      </c>
      <c r="BE185" s="67">
        <f t="shared" si="187"/>
        <v>2</v>
      </c>
      <c r="BF185" s="2">
        <v>83</v>
      </c>
      <c r="BG185" s="2">
        <v>-0.68654700951673608</v>
      </c>
      <c r="BH185" s="2">
        <f t="shared" si="156"/>
        <v>0.34391563725250124</v>
      </c>
      <c r="BI185" s="2">
        <f t="shared" si="157"/>
        <v>-0.68654700951673608</v>
      </c>
      <c r="BJ185" s="67">
        <f t="shared" si="158"/>
        <v>7</v>
      </c>
      <c r="BK185" s="2">
        <v>9500</v>
      </c>
      <c r="BL185" s="2">
        <v>-2.4943922631047268</v>
      </c>
      <c r="BM185" s="77">
        <f t="shared" si="188"/>
        <v>-1.5746395875132428</v>
      </c>
      <c r="BN185" s="77">
        <f t="shared" si="189"/>
        <v>-2</v>
      </c>
      <c r="BO185" s="2">
        <f t="shared" si="159"/>
        <v>-0.15069005118652234</v>
      </c>
      <c r="BP185" s="2">
        <f t="shared" si="160"/>
        <v>-2.4943922631047268</v>
      </c>
      <c r="BQ185" s="67">
        <f t="shared" si="190"/>
        <v>4</v>
      </c>
      <c r="BR185" s="2">
        <v>-2.9225141006055142</v>
      </c>
      <c r="BS185" s="75">
        <f t="shared" si="191"/>
        <v>-0.7019889312241232</v>
      </c>
      <c r="BT185" s="75">
        <f t="shared" si="192"/>
        <v>-2</v>
      </c>
      <c r="BU185" s="5" t="str">
        <f>IF(G192&gt;=36, IF(AND(NOT(ISBLANK(CM:CM)), NOT(ISBLANK(BD:BD))), (CM:CM-BD:BD)/2, ""), "UF")</f>
        <v/>
      </c>
      <c r="BV185" s="5">
        <f t="shared" si="161"/>
        <v>-2.9225141006055142</v>
      </c>
      <c r="BW185" s="69">
        <f t="shared" si="162"/>
        <v>2</v>
      </c>
      <c r="BX185" s="2">
        <v>94</v>
      </c>
      <c r="BY185" s="2">
        <v>-5.3924946301813291E-2</v>
      </c>
      <c r="BZ185" s="74">
        <f t="shared" si="193"/>
        <v>2.4404673168029136</v>
      </c>
      <c r="CA185" s="74">
        <f t="shared" si="194"/>
        <v>2</v>
      </c>
      <c r="CB185" s="5" t="str">
        <f t="shared" si="163"/>
        <v/>
      </c>
      <c r="CC185" s="5">
        <f t="shared" si="164"/>
        <v>-5.3924946301813291E-2</v>
      </c>
      <c r="CD185" s="2">
        <f t="shared" si="165"/>
        <v>0.63262206321492276</v>
      </c>
      <c r="CE185" s="69">
        <f t="shared" si="166"/>
        <v>7</v>
      </c>
      <c r="CF185" s="5">
        <v>11500</v>
      </c>
      <c r="CG185" s="2">
        <v>-1.780751077477392</v>
      </c>
      <c r="CH185" s="72">
        <f t="shared" si="195"/>
        <v>0.71364118562733481</v>
      </c>
      <c r="CI185" s="72">
        <f t="shared" si="196"/>
        <v>2</v>
      </c>
      <c r="CJ185" s="5" t="str">
        <f t="shared" si="167"/>
        <v/>
      </c>
      <c r="CK185" s="5">
        <f t="shared" si="168"/>
        <v>-1.780751077477392</v>
      </c>
      <c r="CL185" s="69">
        <f t="shared" si="169"/>
        <v>7</v>
      </c>
      <c r="CM185" s="2"/>
      <c r="CN185" s="70" t="str">
        <f t="shared" si="170"/>
        <v/>
      </c>
      <c r="CO185" s="5">
        <f t="shared" si="171"/>
        <v>0</v>
      </c>
      <c r="CP185" s="5">
        <f>IF(G185&lt;48,"UF", IF(NOT(ISBLANK(CM:CM)), CM:CM, IF(BW:BW=1, BV:BV+Sheet2!B636, IF(Sheet1!BW:BW=2, Sheet1!BV:BV+Sheet2!B637, IF(Sheet1!BW:BW=7, Sheet1!BV:BV+Sheet2!B638,"")))))</f>
        <v>-2.9225141006055142</v>
      </c>
      <c r="CQ185" s="69">
        <f t="shared" si="197"/>
        <v>2</v>
      </c>
      <c r="CR185" s="5" t="s">
        <v>12</v>
      </c>
      <c r="CS185" s="2"/>
      <c r="CT185" s="5" t="str">
        <f t="shared" si="172"/>
        <v/>
      </c>
      <c r="CU185" s="80">
        <f t="shared" si="173"/>
        <v>0</v>
      </c>
      <c r="CV185" s="80">
        <f t="shared" si="174"/>
        <v>-1</v>
      </c>
      <c r="CW185" s="20">
        <f>IF(G185&lt;48,"UF", IF(NOT(ISBLANK(CS185)), CS185, IF(CE185=5, CC185+Sheet2!B625, IF(CE185=6, CC185+Sheet2!B626, IF(CE185=7, CC185+Sheet2!B627,"")))))</f>
        <v>-5.3924946301813291E-2</v>
      </c>
      <c r="CX185" s="68">
        <f t="shared" si="198"/>
        <v>7</v>
      </c>
      <c r="CY185" s="5" t="s">
        <v>12</v>
      </c>
      <c r="DA185" s="5" t="str">
        <f t="shared" si="175"/>
        <v/>
      </c>
      <c r="DB185" s="73">
        <f t="shared" si="176"/>
        <v>0</v>
      </c>
      <c r="DC185" s="73">
        <f t="shared" si="177"/>
        <v>-1</v>
      </c>
      <c r="DD185" s="5">
        <f>IF(G185&lt;48,"UF", IF(NOT(ISBLANK(CZ:CZ)), CZ:CZ, IF(CL:CL=3, CK:CK+Sheet2!B630, IF(CL:CL=4, CK:CK+Sheet2!B631, IF(CL:CL=7, CK:CK+Sheet2!B632,"")))))</f>
        <v>-1.780751077477392</v>
      </c>
      <c r="DE185" s="69">
        <f t="shared" si="202"/>
        <v>7</v>
      </c>
      <c r="DF185" s="2">
        <v>1</v>
      </c>
      <c r="DG185" s="2">
        <v>27</v>
      </c>
      <c r="DH185" s="2">
        <v>2</v>
      </c>
      <c r="DI185" s="2">
        <v>2</v>
      </c>
      <c r="DJ185" s="2">
        <v>2</v>
      </c>
      <c r="DK185" s="2">
        <v>100</v>
      </c>
      <c r="DL185" s="2">
        <v>50</v>
      </c>
      <c r="DM185" s="2">
        <v>100</v>
      </c>
      <c r="DN185" s="2">
        <v>60</v>
      </c>
      <c r="DO185" s="2">
        <v>110</v>
      </c>
      <c r="DP185" s="2">
        <v>70</v>
      </c>
      <c r="DQ185" s="2">
        <v>2</v>
      </c>
      <c r="DR185" s="2">
        <v>39</v>
      </c>
      <c r="DS185" s="2">
        <v>2</v>
      </c>
      <c r="DT185" s="2">
        <v>76</v>
      </c>
      <c r="DU185" s="2">
        <v>67</v>
      </c>
      <c r="DV185" s="2">
        <v>2</v>
      </c>
      <c r="DW185" s="2">
        <v>2</v>
      </c>
      <c r="DX185" s="2">
        <v>2</v>
      </c>
      <c r="DY185" s="2">
        <v>2</v>
      </c>
      <c r="DZ185" s="2">
        <v>35</v>
      </c>
      <c r="EA185" s="2">
        <v>35.5</v>
      </c>
      <c r="EB185" s="2">
        <v>43</v>
      </c>
      <c r="EC185" s="2">
        <v>1</v>
      </c>
      <c r="ED185" s="2">
        <v>1</v>
      </c>
    </row>
    <row r="186" spans="2:134" x14ac:dyDescent="0.25">
      <c r="C186" s="10" t="s">
        <v>147</v>
      </c>
      <c r="D186" s="10">
        <v>2501020391</v>
      </c>
      <c r="E186" s="2">
        <v>5</v>
      </c>
      <c r="F186" s="2">
        <v>2</v>
      </c>
      <c r="G186" s="2">
        <v>47</v>
      </c>
      <c r="H186" s="2">
        <v>-3.5302775964346562</v>
      </c>
      <c r="I186" s="2">
        <v>43</v>
      </c>
      <c r="J186" s="2">
        <v>-3.6364592487602092</v>
      </c>
      <c r="K186" s="5">
        <v>1790</v>
      </c>
      <c r="L186" s="2">
        <v>-3.7659744818862571</v>
      </c>
      <c r="N186" s="2">
        <f t="shared" si="137"/>
        <v>1.0081887982173281</v>
      </c>
      <c r="O186" s="2">
        <f t="shared" si="138"/>
        <v>-2.5220887982173279</v>
      </c>
      <c r="P186" s="2" t="s">
        <v>12</v>
      </c>
      <c r="R186" s="5">
        <f t="shared" si="139"/>
        <v>8.3229624380104505E-2</v>
      </c>
      <c r="S186" s="5">
        <f t="shared" si="140"/>
        <v>-3.5532296243801049</v>
      </c>
      <c r="T186" s="2" t="s">
        <v>12</v>
      </c>
      <c r="V186" s="2">
        <f t="shared" si="141"/>
        <v>0.30798724094312857</v>
      </c>
      <c r="W186" s="2">
        <f t="shared" si="142"/>
        <v>-3.4579872409431287</v>
      </c>
      <c r="X186" s="2">
        <v>-1.5139</v>
      </c>
      <c r="Y186" s="76">
        <f t="shared" si="179"/>
        <v>2.0163775964346562</v>
      </c>
      <c r="Z186" s="76">
        <f t="shared" si="180"/>
        <v>2</v>
      </c>
      <c r="AA186" s="2">
        <f t="shared" si="143"/>
        <v>1.6694148121900525</v>
      </c>
      <c r="AB186" s="2">
        <f t="shared" si="144"/>
        <v>-1.5139</v>
      </c>
      <c r="AC186" s="2">
        <v>67.5</v>
      </c>
      <c r="AD186" s="2">
        <v>-3.47</v>
      </c>
      <c r="AE186" s="79">
        <f t="shared" si="181"/>
        <v>0.16645924876020901</v>
      </c>
      <c r="AF186" s="79">
        <f t="shared" si="182"/>
        <v>1</v>
      </c>
      <c r="AG186" s="2">
        <f t="shared" si="200"/>
        <v>-0.3133851878099474</v>
      </c>
      <c r="AH186" s="2">
        <f t="shared" si="145"/>
        <v>-3.47</v>
      </c>
      <c r="AI186" s="2">
        <v>6800</v>
      </c>
      <c r="AJ186" s="2">
        <v>-3.15</v>
      </c>
      <c r="AK186" s="76">
        <f t="shared" si="183"/>
        <v>0.61597448188625714</v>
      </c>
      <c r="AL186" s="76">
        <f t="shared" si="184"/>
        <v>1</v>
      </c>
      <c r="AM186" s="2">
        <f t="shared" si="146"/>
        <v>0.32899362047156444</v>
      </c>
      <c r="AN186" s="2">
        <f t="shared" si="147"/>
        <v>-3.15</v>
      </c>
      <c r="AO186" s="2">
        <v>-0.21440000000000001</v>
      </c>
      <c r="AP186" s="2">
        <f t="shared" si="148"/>
        <v>0.31874608902191276</v>
      </c>
      <c r="AQ186" s="2">
        <f t="shared" si="149"/>
        <v>-0.21440000000000001</v>
      </c>
      <c r="AR186" s="2">
        <v>71</v>
      </c>
      <c r="AS186" s="2">
        <v>-4.18</v>
      </c>
      <c r="AT186" s="2">
        <f t="shared" si="150"/>
        <v>-2.5551305529231794E-2</v>
      </c>
      <c r="AU186" s="2">
        <f t="shared" si="151"/>
        <v>-4.18</v>
      </c>
      <c r="AV186" s="2">
        <v>8000</v>
      </c>
      <c r="AW186" s="2">
        <v>-2.8</v>
      </c>
      <c r="AX186" s="2">
        <f t="shared" si="152"/>
        <v>-0.3217079843301125</v>
      </c>
      <c r="AY186" s="2">
        <f t="shared" si="153"/>
        <v>-2.8</v>
      </c>
      <c r="AZ186" s="2">
        <v>-0.8764078219561745</v>
      </c>
      <c r="BA186" s="78">
        <f t="shared" si="185"/>
        <v>0.63749217804382552</v>
      </c>
      <c r="BB186" s="78">
        <f t="shared" si="186"/>
        <v>1</v>
      </c>
      <c r="BC186" s="2">
        <f t="shared" si="154"/>
        <v>-3.9316664372222393E-2</v>
      </c>
      <c r="BD186" s="2">
        <f t="shared" si="155"/>
        <v>-0.8764078219561745</v>
      </c>
      <c r="BE186" s="67">
        <f t="shared" si="187"/>
        <v>7</v>
      </c>
      <c r="BF186" s="2">
        <v>74.5</v>
      </c>
      <c r="BG186" s="2">
        <v>-3.5211026110584638</v>
      </c>
      <c r="BH186" s="2">
        <f t="shared" si="156"/>
        <v>-9.373851114989229E-2</v>
      </c>
      <c r="BI186" s="2">
        <f t="shared" si="157"/>
        <v>-3.5211026110584638</v>
      </c>
      <c r="BJ186" s="67">
        <f t="shared" si="158"/>
        <v>5</v>
      </c>
      <c r="BK186" s="2">
        <v>8600</v>
      </c>
      <c r="BL186" s="2">
        <v>-3.7934159686602249</v>
      </c>
      <c r="BM186" s="77">
        <f t="shared" si="188"/>
        <v>-0.64341596866022499</v>
      </c>
      <c r="BN186" s="77">
        <f t="shared" si="189"/>
        <v>-1</v>
      </c>
      <c r="BO186" s="2">
        <f t="shared" si="159"/>
        <v>-0.28673371395078906</v>
      </c>
      <c r="BP186" s="2">
        <f t="shared" si="160"/>
        <v>-3.7934159686602249</v>
      </c>
      <c r="BQ186" s="67">
        <f t="shared" si="190"/>
        <v>3</v>
      </c>
      <c r="BR186" s="5">
        <v>-0.33234999311666719</v>
      </c>
      <c r="BS186" s="75">
        <f t="shared" si="191"/>
        <v>0.54405782883950726</v>
      </c>
      <c r="BT186" s="75">
        <f t="shared" si="192"/>
        <v>1</v>
      </c>
      <c r="BU186" s="5" t="str">
        <f>IF(G193&gt;=36, IF(AND(NOT(ISBLANK(CM:CM)), NOT(ISBLANK(BD:BD))), (CM:CM-BD:BD)/2, ""), "UF")</f>
        <v/>
      </c>
      <c r="BV186" s="5">
        <f t="shared" si="161"/>
        <v>-0.33234999311666719</v>
      </c>
      <c r="BW186" s="69">
        <f t="shared" si="162"/>
        <v>7</v>
      </c>
      <c r="BX186" s="2">
        <v>80</v>
      </c>
      <c r="BY186" s="5">
        <v>-4.4612155334496766</v>
      </c>
      <c r="BZ186" s="74">
        <f t="shared" si="193"/>
        <v>-0.66779956478945168</v>
      </c>
      <c r="CA186" s="74">
        <f t="shared" si="194"/>
        <v>-1</v>
      </c>
      <c r="CB186" s="5" t="str">
        <f t="shared" si="163"/>
        <v/>
      </c>
      <c r="CC186" s="5">
        <f t="shared" si="164"/>
        <v>-4.4612155334496766</v>
      </c>
      <c r="CD186" s="2">
        <f t="shared" si="165"/>
        <v>-0.9401129223912128</v>
      </c>
      <c r="CE186" s="69">
        <f t="shared" si="166"/>
        <v>5</v>
      </c>
      <c r="CF186" s="5">
        <v>10000</v>
      </c>
      <c r="CG186" s="5">
        <v>-3.660201141852367</v>
      </c>
      <c r="CH186" s="72">
        <f t="shared" si="195"/>
        <v>0.1332148268078579</v>
      </c>
      <c r="CI186" s="72">
        <f t="shared" si="196"/>
        <v>1</v>
      </c>
      <c r="CJ186" s="5" t="str">
        <f t="shared" si="167"/>
        <v/>
      </c>
      <c r="CK186" s="5">
        <f t="shared" si="168"/>
        <v>-3.660201141852367</v>
      </c>
      <c r="CL186" s="69">
        <f t="shared" si="169"/>
        <v>3</v>
      </c>
      <c r="CN186" s="70" t="str">
        <f t="shared" si="170"/>
        <v/>
      </c>
      <c r="CO186" s="5" t="str">
        <f t="shared" si="171"/>
        <v>UF</v>
      </c>
      <c r="CP186" s="5" t="str">
        <f>IF(G186&lt;48,"UF", IF(NOT(ISBLANK(CM:CM)), CM:CM, IF(BW:BW=1, BV:BV+Sheet2!B246, IF(Sheet1!BW:BW=2, Sheet1!BV:BV+Sheet2!B247, IF(Sheet1!BW:BW=7, Sheet1!BV:BV+Sheet2!B248,"")))))</f>
        <v>UF</v>
      </c>
      <c r="CQ186" s="69" t="str">
        <f t="shared" si="197"/>
        <v/>
      </c>
      <c r="CR186" s="5" t="s">
        <v>12</v>
      </c>
      <c r="CT186" s="5" t="str">
        <f t="shared" si="172"/>
        <v/>
      </c>
      <c r="CU186" s="80" t="str">
        <f t="shared" si="173"/>
        <v>UF</v>
      </c>
      <c r="CV186" s="80" t="str">
        <f t="shared" si="174"/>
        <v>UF</v>
      </c>
      <c r="CW186" s="20" t="str">
        <f>IF(G186&lt;48,"UF", IF(NOT(ISBLANK(CS186)), CS186, IF(CE186=5, CC186+Sheet2!B235, IF(CE186=6, CC186+Sheet2!B236, IF(CE186=7, CC186+Sheet2!B237,"")))))</f>
        <v>UF</v>
      </c>
      <c r="CX186" s="68" t="str">
        <f t="shared" si="198"/>
        <v/>
      </c>
      <c r="CY186" s="5" t="s">
        <v>12</v>
      </c>
      <c r="DA186" s="5" t="str">
        <f t="shared" si="175"/>
        <v>UF</v>
      </c>
      <c r="DB186" s="73" t="str">
        <f t="shared" si="176"/>
        <v>UF</v>
      </c>
      <c r="DC186" s="73" t="str">
        <f t="shared" si="177"/>
        <v>UF</v>
      </c>
      <c r="DD186" s="5" t="str">
        <f>IF(G186&lt;48,"UF", IF(NOT(ISBLANK(CZ:CZ)), CZ:CZ, IF(CL:CL=3, CK:CK+Sheet2!B240, IF(CL:CL=4, CK:CK+Sheet2!B241, IF(CL:CL=7, CK:CK+Sheet2!B242,"")))))</f>
        <v>UF</v>
      </c>
      <c r="DE186" s="69" t="str">
        <f t="shared" si="202"/>
        <v/>
      </c>
      <c r="DF186" s="2">
        <v>2</v>
      </c>
      <c r="DG186" s="2">
        <v>28</v>
      </c>
      <c r="DH186" s="2">
        <v>2</v>
      </c>
      <c r="DI186" s="2">
        <v>2</v>
      </c>
      <c r="DJ186" s="2">
        <v>2</v>
      </c>
      <c r="DK186" s="2" t="s">
        <v>12</v>
      </c>
      <c r="DL186" s="2" t="s">
        <v>12</v>
      </c>
      <c r="DM186" s="2">
        <v>59</v>
      </c>
      <c r="DN186" s="2">
        <v>123</v>
      </c>
      <c r="DO186" s="2">
        <v>61</v>
      </c>
      <c r="DP186" s="2">
        <v>109</v>
      </c>
      <c r="DQ186" s="2">
        <v>2</v>
      </c>
      <c r="DR186" s="2">
        <v>37</v>
      </c>
      <c r="DS186" s="2">
        <v>2</v>
      </c>
      <c r="DT186" s="2">
        <v>77</v>
      </c>
      <c r="DU186" s="2">
        <v>77</v>
      </c>
      <c r="DV186" s="2">
        <v>2</v>
      </c>
      <c r="DW186" s="2">
        <v>2</v>
      </c>
      <c r="DX186" s="2">
        <v>2</v>
      </c>
      <c r="DY186" s="2">
        <v>3</v>
      </c>
      <c r="DZ186" s="2">
        <v>31</v>
      </c>
      <c r="EA186" s="2" t="s">
        <v>12</v>
      </c>
      <c r="EB186" s="2">
        <v>42</v>
      </c>
      <c r="EC186" s="2" t="s">
        <v>12</v>
      </c>
      <c r="ED186" s="2">
        <v>3</v>
      </c>
    </row>
    <row r="187" spans="2:134" x14ac:dyDescent="0.25">
      <c r="C187" s="8" t="s">
        <v>256</v>
      </c>
      <c r="D187" s="8">
        <v>2501020741</v>
      </c>
      <c r="E187" s="5">
        <v>7</v>
      </c>
      <c r="F187" s="2">
        <v>2</v>
      </c>
      <c r="G187" s="2">
        <v>46</v>
      </c>
      <c r="H187" s="2">
        <v>-0.9107393947200394</v>
      </c>
      <c r="I187" s="2">
        <v>51</v>
      </c>
      <c r="J187" s="2">
        <v>0.58940135287155082</v>
      </c>
      <c r="K187" s="2">
        <v>3200</v>
      </c>
      <c r="L187" s="2">
        <v>-0.30398057951686752</v>
      </c>
      <c r="N187" s="2">
        <f t="shared" si="137"/>
        <v>0.94011969736001966</v>
      </c>
      <c r="O187" s="2">
        <f t="shared" si="138"/>
        <v>2.938030263998026E-2</v>
      </c>
      <c r="P187" s="2" t="s">
        <v>12</v>
      </c>
      <c r="R187" s="5">
        <f t="shared" si="139"/>
        <v>-0.23970067643577542</v>
      </c>
      <c r="S187" s="5">
        <f t="shared" si="140"/>
        <v>0.3497006764357754</v>
      </c>
      <c r="T187" s="2" t="s">
        <v>12</v>
      </c>
      <c r="V187" s="2">
        <f t="shared" si="141"/>
        <v>0.54199028975843377</v>
      </c>
      <c r="W187" s="2">
        <f t="shared" si="142"/>
        <v>0.23800971024156625</v>
      </c>
      <c r="X187" s="2">
        <v>0.96950000000000003</v>
      </c>
      <c r="Y187" s="76">
        <f t="shared" si="179"/>
        <v>1.8802393947200393</v>
      </c>
      <c r="Z187" s="76">
        <f t="shared" si="180"/>
        <v>2</v>
      </c>
      <c r="AA187" s="2">
        <f t="shared" si="143"/>
        <v>-0.1680503382178877</v>
      </c>
      <c r="AB187" s="2">
        <f t="shared" si="144"/>
        <v>0.96950000000000003</v>
      </c>
      <c r="AC187" s="2">
        <v>76</v>
      </c>
      <c r="AD187" s="2">
        <v>0.11</v>
      </c>
      <c r="AE187" s="79">
        <f t="shared" si="181"/>
        <v>-0.47940135287155083</v>
      </c>
      <c r="AF187" s="79">
        <f t="shared" si="182"/>
        <v>-1</v>
      </c>
      <c r="AG187" s="2">
        <f t="shared" si="200"/>
        <v>-0.40985033821788769</v>
      </c>
      <c r="AH187" s="2">
        <f t="shared" si="145"/>
        <v>0.11</v>
      </c>
      <c r="AI187" s="2">
        <v>10500</v>
      </c>
      <c r="AJ187" s="2">
        <v>0.78</v>
      </c>
      <c r="AK187" s="76">
        <f t="shared" si="183"/>
        <v>1.0839805795168675</v>
      </c>
      <c r="AL187" s="76">
        <f t="shared" si="184"/>
        <v>2</v>
      </c>
      <c r="AM187" s="2">
        <f t="shared" si="146"/>
        <v>-0.25900485512078314</v>
      </c>
      <c r="AN187" s="2">
        <f t="shared" si="147"/>
        <v>0.78</v>
      </c>
      <c r="AO187" s="2">
        <v>1.3599999999999999E-2</v>
      </c>
      <c r="AP187" s="2">
        <f t="shared" si="148"/>
        <v>-0.4305923979534021</v>
      </c>
      <c r="AQ187" s="2">
        <f t="shared" si="149"/>
        <v>1.3599999999999999E-2</v>
      </c>
      <c r="AR187" s="2">
        <v>81</v>
      </c>
      <c r="AS187" s="2">
        <v>-0.47</v>
      </c>
      <c r="AT187" s="2">
        <f t="shared" si="150"/>
        <v>-0.60518087397616604</v>
      </c>
      <c r="AU187" s="2">
        <f t="shared" si="151"/>
        <v>-0.47</v>
      </c>
      <c r="AV187" s="2">
        <v>10600</v>
      </c>
      <c r="AW187" s="2">
        <v>-0.28000000000000003</v>
      </c>
      <c r="AX187" s="2">
        <f t="shared" si="152"/>
        <v>-0.86920338178308176</v>
      </c>
      <c r="AY187" s="2">
        <f t="shared" si="153"/>
        <v>-0.28000000000000003</v>
      </c>
      <c r="AZ187" s="2">
        <v>0.10831520409319589</v>
      </c>
      <c r="BA187" s="78">
        <f t="shared" si="185"/>
        <v>-0.86118479590680419</v>
      </c>
      <c r="BB187" s="78">
        <f t="shared" si="186"/>
        <v>-2</v>
      </c>
      <c r="BC187" s="2" t="str">
        <f t="shared" si="154"/>
        <v/>
      </c>
      <c r="BD187" s="2">
        <f t="shared" si="155"/>
        <v>0.10831520409319589</v>
      </c>
      <c r="BE187" s="67">
        <f t="shared" si="187"/>
        <v>7</v>
      </c>
      <c r="BF187" s="2">
        <v>83</v>
      </c>
      <c r="BG187" s="2">
        <v>-1.100361747952332</v>
      </c>
      <c r="BH187" s="2" t="str">
        <f t="shared" si="156"/>
        <v/>
      </c>
      <c r="BI187" s="2">
        <f t="shared" si="157"/>
        <v>-1.100361747952332</v>
      </c>
      <c r="BJ187" s="67">
        <f t="shared" si="158"/>
        <v>7</v>
      </c>
      <c r="BK187" s="2">
        <v>11500</v>
      </c>
      <c r="BL187" s="2">
        <v>-0.95840676356616339</v>
      </c>
      <c r="BM187" s="77">
        <f t="shared" si="188"/>
        <v>-1.7384067635661635</v>
      </c>
      <c r="BN187" s="77">
        <f t="shared" si="189"/>
        <v>-2</v>
      </c>
      <c r="BO187" s="2" t="str">
        <f t="shared" si="159"/>
        <v/>
      </c>
      <c r="BP187" s="2">
        <f t="shared" si="160"/>
        <v>-0.95840676356616339</v>
      </c>
      <c r="BQ187" s="67">
        <f t="shared" si="190"/>
        <v>7</v>
      </c>
      <c r="BS187" s="75" t="e">
        <f t="shared" si="191"/>
        <v>#VALUE!</v>
      </c>
      <c r="BT187" s="75" t="e">
        <f t="shared" si="192"/>
        <v>#VALUE!</v>
      </c>
      <c r="BU187" s="5" t="str">
        <f>IF(G194&gt;=36, IF(AND(NOT(ISBLANK(CM:CM)), NOT(ISBLANK(BD:BD))), (CM:CM-BD:BD)/2, ""), "UF")</f>
        <v/>
      </c>
      <c r="BV187" s="5" t="e">
        <f t="shared" si="161"/>
        <v>#VALUE!</v>
      </c>
      <c r="BW187" s="69" t="e">
        <f t="shared" si="162"/>
        <v>#VALUE!</v>
      </c>
      <c r="BX187" s="2" t="s">
        <v>12</v>
      </c>
      <c r="BZ187" s="74" t="e">
        <f t="shared" si="193"/>
        <v>#VALUE!</v>
      </c>
      <c r="CA187" s="74" t="e">
        <f t="shared" si="194"/>
        <v>#VALUE!</v>
      </c>
      <c r="CB187" s="5" t="str">
        <f t="shared" si="163"/>
        <v/>
      </c>
      <c r="CC187" s="5" t="e">
        <f t="shared" si="164"/>
        <v>#VALUE!</v>
      </c>
      <c r="CD187" s="2" t="e">
        <f t="shared" si="165"/>
        <v>#VALUE!</v>
      </c>
      <c r="CE187" s="69" t="e">
        <f t="shared" si="166"/>
        <v>#VALUE!</v>
      </c>
      <c r="CF187" s="5" t="s">
        <v>12</v>
      </c>
      <c r="CH187" s="72" t="e">
        <f t="shared" si="195"/>
        <v>#VALUE!</v>
      </c>
      <c r="CI187" s="72" t="e">
        <f t="shared" si="196"/>
        <v>#VALUE!</v>
      </c>
      <c r="CJ187" s="5" t="str">
        <f t="shared" si="167"/>
        <v/>
      </c>
      <c r="CK187" s="5" t="e">
        <f t="shared" si="168"/>
        <v>#VALUE!</v>
      </c>
      <c r="CL187" s="69" t="e">
        <f t="shared" si="169"/>
        <v>#VALUE!</v>
      </c>
      <c r="CN187" s="70" t="str">
        <f t="shared" si="170"/>
        <v/>
      </c>
      <c r="CO187" s="5" t="str">
        <f t="shared" si="171"/>
        <v>UF</v>
      </c>
      <c r="CP187" s="5" t="str">
        <f>IF(G187&lt;48,"UF", IF(NOT(ISBLANK(CM:CM)), CM:CM, IF(BW:BW=1, BV:BV+Sheet2!B518, IF(Sheet1!BW:BW=2, Sheet1!BV:BV+Sheet2!B519, IF(Sheet1!BW:BW=7, Sheet1!BV:BV+Sheet2!B520,"")))))</f>
        <v>UF</v>
      </c>
      <c r="CQ187" s="69" t="str">
        <f t="shared" si="197"/>
        <v/>
      </c>
      <c r="CR187" s="5" t="s">
        <v>12</v>
      </c>
      <c r="CT187" s="5" t="str">
        <f t="shared" si="172"/>
        <v/>
      </c>
      <c r="CU187" s="80" t="str">
        <f t="shared" si="173"/>
        <v>UF</v>
      </c>
      <c r="CV187" s="80" t="str">
        <f t="shared" si="174"/>
        <v>UF</v>
      </c>
      <c r="CW187" s="20" t="str">
        <f>IF(G187&lt;48,"UF", IF(NOT(ISBLANK(CS187)), CS187, IF(CE187=5, CC187+Sheet2!B507, IF(CE187=6, CC187+Sheet2!B508, IF(CE187=7, CC187+Sheet2!B509,"")))))</f>
        <v>UF</v>
      </c>
      <c r="CX187" s="68" t="str">
        <f t="shared" si="198"/>
        <v/>
      </c>
      <c r="CY187" s="5" t="s">
        <v>12</v>
      </c>
      <c r="DA187" s="5" t="str">
        <f t="shared" si="175"/>
        <v>UF</v>
      </c>
      <c r="DB187" s="73" t="str">
        <f t="shared" si="176"/>
        <v>UF</v>
      </c>
      <c r="DC187" s="73" t="str">
        <f t="shared" si="177"/>
        <v>UF</v>
      </c>
      <c r="DD187" s="5" t="str">
        <f>IF(G187&lt;48,"UF", IF(NOT(ISBLANK(CZ:CZ)), CZ:CZ, IF(CL:CL=3, CK:CK+Sheet2!B512, IF(CL:CL=4, CK:CK+Sheet2!B513, IF(CL:CL=7, CK:CK+Sheet2!B514,"")))))</f>
        <v>UF</v>
      </c>
      <c r="DE187" s="69" t="str">
        <f t="shared" si="202"/>
        <v/>
      </c>
      <c r="DF187" s="2">
        <v>2</v>
      </c>
      <c r="DG187" s="2">
        <v>28</v>
      </c>
      <c r="DH187" s="2">
        <v>1</v>
      </c>
      <c r="DI187" s="2">
        <v>2</v>
      </c>
      <c r="DJ187" s="2">
        <v>2</v>
      </c>
      <c r="DK187" s="2">
        <v>110</v>
      </c>
      <c r="DL187" s="2">
        <v>60</v>
      </c>
      <c r="DM187" s="2">
        <v>110</v>
      </c>
      <c r="DN187" s="2">
        <v>72</v>
      </c>
      <c r="DO187" s="2">
        <v>111</v>
      </c>
      <c r="DP187" s="2">
        <v>66</v>
      </c>
      <c r="DQ187" s="2">
        <v>2</v>
      </c>
      <c r="DR187" s="2">
        <v>38</v>
      </c>
      <c r="DS187" s="2">
        <v>2</v>
      </c>
      <c r="DT187" s="2">
        <v>81</v>
      </c>
      <c r="DU187" s="2">
        <v>81</v>
      </c>
      <c r="DV187" s="2">
        <v>2</v>
      </c>
      <c r="DW187" s="2">
        <v>3</v>
      </c>
      <c r="DX187" s="2">
        <v>2</v>
      </c>
      <c r="DY187" s="2">
        <v>2</v>
      </c>
      <c r="DZ187" s="2">
        <v>34</v>
      </c>
      <c r="EA187" s="2" t="s">
        <v>12</v>
      </c>
      <c r="EB187" s="2">
        <v>46.5</v>
      </c>
      <c r="EC187" s="2" t="s">
        <v>12</v>
      </c>
      <c r="ED187" s="2">
        <v>1</v>
      </c>
    </row>
    <row r="188" spans="2:134" x14ac:dyDescent="0.25">
      <c r="C188" s="8" t="s">
        <v>126</v>
      </c>
      <c r="D188" s="2">
        <v>2501020758</v>
      </c>
      <c r="E188" s="2">
        <v>4</v>
      </c>
      <c r="F188" s="2">
        <v>1</v>
      </c>
      <c r="G188" s="2">
        <v>46</v>
      </c>
      <c r="H188" s="2">
        <v>0.32074009334579939</v>
      </c>
      <c r="I188" s="2">
        <v>47</v>
      </c>
      <c r="J188" s="2">
        <v>-1.153005671500261</v>
      </c>
      <c r="K188" s="5">
        <v>3035</v>
      </c>
      <c r="L188" s="2">
        <v>-0.43894453231166392</v>
      </c>
      <c r="N188" s="2">
        <f t="shared" si="137"/>
        <v>-0.53147004667289965</v>
      </c>
      <c r="O188" s="2">
        <f t="shared" si="138"/>
        <v>-0.21072995332710026</v>
      </c>
      <c r="P188" s="2" t="s">
        <v>12</v>
      </c>
      <c r="R188" s="5">
        <f t="shared" si="139"/>
        <v>0.18650283575013049</v>
      </c>
      <c r="S188" s="5">
        <f t="shared" si="140"/>
        <v>-0.96650283575013052</v>
      </c>
      <c r="T188" s="2" t="s">
        <v>12</v>
      </c>
      <c r="V188" s="2">
        <f t="shared" si="141"/>
        <v>-0.26552773384416806</v>
      </c>
      <c r="W188" s="2">
        <f t="shared" si="142"/>
        <v>-0.70447226615583203</v>
      </c>
      <c r="X188" s="2">
        <v>-0.74219999999999997</v>
      </c>
      <c r="Y188" s="76">
        <f t="shared" si="179"/>
        <v>-1.0629400933457993</v>
      </c>
      <c r="Z188" s="76">
        <f t="shared" si="180"/>
        <v>-2</v>
      </c>
      <c r="AA188" s="2">
        <f t="shared" si="143"/>
        <v>0.12420141787506528</v>
      </c>
      <c r="AB188" s="2">
        <f t="shared" si="144"/>
        <v>-0.74219999999999997</v>
      </c>
      <c r="AC188" s="2">
        <v>72</v>
      </c>
      <c r="AD188" s="2">
        <v>-0.78</v>
      </c>
      <c r="AE188" s="79">
        <f t="shared" si="181"/>
        <v>0.37300567150026098</v>
      </c>
      <c r="AF188" s="79">
        <f t="shared" si="182"/>
        <v>1</v>
      </c>
      <c r="AG188" s="2">
        <f t="shared" si="200"/>
        <v>1.8251417875065234E-2</v>
      </c>
      <c r="AH188" s="2">
        <f t="shared" si="145"/>
        <v>-0.78</v>
      </c>
      <c r="AI188" s="2">
        <v>7950</v>
      </c>
      <c r="AJ188" s="2">
        <v>-0.97</v>
      </c>
      <c r="AK188" s="76">
        <f t="shared" si="183"/>
        <v>-0.53105546768833611</v>
      </c>
      <c r="AL188" s="76">
        <f t="shared" si="184"/>
        <v>-1</v>
      </c>
      <c r="AM188" s="2">
        <f t="shared" si="146"/>
        <v>-0.17776386692208401</v>
      </c>
      <c r="AN188" s="2">
        <f t="shared" si="147"/>
        <v>-0.97</v>
      </c>
      <c r="AO188" s="2">
        <v>-0.71809999999999996</v>
      </c>
      <c r="AP188" s="2" t="str">
        <f t="shared" si="148"/>
        <v/>
      </c>
      <c r="AQ188" s="2">
        <f t="shared" si="149"/>
        <v>-0.71809999999999996</v>
      </c>
      <c r="AR188" s="2">
        <v>78</v>
      </c>
      <c r="AS188" s="2">
        <v>-0.93</v>
      </c>
      <c r="AT188" s="2" t="str">
        <f t="shared" si="150"/>
        <v/>
      </c>
      <c r="AU188" s="2">
        <f t="shared" si="151"/>
        <v>-0.93</v>
      </c>
      <c r="AV188" s="2">
        <v>9000</v>
      </c>
      <c r="AW188" s="2">
        <v>-1.06</v>
      </c>
      <c r="AX188" s="2" t="str">
        <f t="shared" si="152"/>
        <v/>
      </c>
      <c r="AY188" s="2">
        <f t="shared" si="153"/>
        <v>-1.06</v>
      </c>
      <c r="BA188" s="78" t="e">
        <f t="shared" si="185"/>
        <v>#VALUE!</v>
      </c>
      <c r="BB188" s="78" t="e">
        <f t="shared" si="186"/>
        <v>#VALUE!</v>
      </c>
      <c r="BC188" s="2" t="str">
        <f t="shared" si="154"/>
        <v/>
      </c>
      <c r="BD188" s="2" t="e">
        <f t="shared" si="155"/>
        <v>#VALUE!</v>
      </c>
      <c r="BE188" s="67" t="e">
        <f t="shared" si="187"/>
        <v>#VALUE!</v>
      </c>
      <c r="BF188" s="2" t="s">
        <v>12</v>
      </c>
      <c r="BH188" s="2" t="str">
        <f t="shared" si="156"/>
        <v/>
      </c>
      <c r="BI188" s="2" t="e">
        <f t="shared" si="157"/>
        <v>#VALUE!</v>
      </c>
      <c r="BJ188" s="67" t="e">
        <f t="shared" si="158"/>
        <v>#VALUE!</v>
      </c>
      <c r="BK188" s="2" t="s">
        <v>12</v>
      </c>
      <c r="BM188" s="77" t="e">
        <f t="shared" si="188"/>
        <v>#VALUE!</v>
      </c>
      <c r="BN188" s="77" t="e">
        <f t="shared" si="189"/>
        <v>#VALUE!</v>
      </c>
      <c r="BO188" s="2" t="str">
        <f t="shared" si="159"/>
        <v/>
      </c>
      <c r="BP188" s="2" t="e">
        <f t="shared" si="160"/>
        <v>#VALUE!</v>
      </c>
      <c r="BQ188" s="67" t="e">
        <f t="shared" si="190"/>
        <v>#VALUE!</v>
      </c>
      <c r="BS188" s="75" t="e">
        <f t="shared" si="191"/>
        <v>#VALUE!</v>
      </c>
      <c r="BT188" s="75" t="e">
        <f t="shared" si="192"/>
        <v>#VALUE!</v>
      </c>
      <c r="BU188" s="5" t="str">
        <f>IF(G195&gt;=36, IF(AND(NOT(ISBLANK(CM:CM)), NOT(ISBLANK(BD:BD))), (CM:CM-BD:BD)/2, ""), "UF")</f>
        <v/>
      </c>
      <c r="BV188" s="5" t="e">
        <f t="shared" si="161"/>
        <v>#VALUE!</v>
      </c>
      <c r="BW188" s="69" t="e">
        <f t="shared" si="162"/>
        <v>#VALUE!</v>
      </c>
      <c r="BX188" s="2" t="s">
        <v>12</v>
      </c>
      <c r="BZ188" s="74" t="e">
        <f t="shared" si="193"/>
        <v>#VALUE!</v>
      </c>
      <c r="CA188" s="74" t="e">
        <f t="shared" si="194"/>
        <v>#VALUE!</v>
      </c>
      <c r="CB188" s="5" t="str">
        <f t="shared" si="163"/>
        <v/>
      </c>
      <c r="CC188" s="5" t="e">
        <f t="shared" si="164"/>
        <v>#VALUE!</v>
      </c>
      <c r="CD188" s="2" t="e">
        <f t="shared" si="165"/>
        <v>#VALUE!</v>
      </c>
      <c r="CE188" s="69" t="e">
        <f t="shared" si="166"/>
        <v>#VALUE!</v>
      </c>
      <c r="CF188" s="5" t="s">
        <v>12</v>
      </c>
      <c r="CH188" s="72" t="e">
        <f t="shared" si="195"/>
        <v>#VALUE!</v>
      </c>
      <c r="CI188" s="72" t="e">
        <f t="shared" si="196"/>
        <v>#VALUE!</v>
      </c>
      <c r="CJ188" s="5" t="str">
        <f t="shared" si="167"/>
        <v/>
      </c>
      <c r="CK188" s="5" t="e">
        <f t="shared" si="168"/>
        <v>#VALUE!</v>
      </c>
      <c r="CL188" s="69" t="e">
        <f t="shared" si="169"/>
        <v>#VALUE!</v>
      </c>
      <c r="CN188" s="70" t="str">
        <f t="shared" si="170"/>
        <v/>
      </c>
      <c r="CO188" s="5" t="str">
        <f t="shared" si="171"/>
        <v>UF</v>
      </c>
      <c r="CP188" s="5" t="str">
        <f>IF(G188&lt;48,"UF", IF(NOT(ISBLANK(CM:CM)), CM:CM, IF(BW:BW=1, BV:BV+Sheet2!B174, IF(Sheet1!BW:BW=2, Sheet1!BV:BV+Sheet2!B175, IF(Sheet1!BW:BW=7, Sheet1!BV:BV+Sheet2!B176,"")))))</f>
        <v>UF</v>
      </c>
      <c r="CQ188" s="69" t="str">
        <f t="shared" si="197"/>
        <v/>
      </c>
      <c r="CR188" s="5" t="s">
        <v>12</v>
      </c>
      <c r="CT188" s="5" t="str">
        <f t="shared" si="172"/>
        <v/>
      </c>
      <c r="CU188" s="80" t="str">
        <f t="shared" si="173"/>
        <v>UF</v>
      </c>
      <c r="CV188" s="80" t="str">
        <f t="shared" si="174"/>
        <v>UF</v>
      </c>
      <c r="CW188" s="20" t="str">
        <f>IF(G188&lt;48,"UF", IF(NOT(ISBLANK(CS188)), CS188, IF(CE188=5, CC188+Sheet2!B163, IF(CE188=6, CC188+Sheet2!B164, IF(CE188=7, CC188+Sheet2!B165,"")))))</f>
        <v>UF</v>
      </c>
      <c r="CX188" s="68" t="str">
        <f t="shared" si="198"/>
        <v/>
      </c>
      <c r="CY188" s="5" t="s">
        <v>12</v>
      </c>
      <c r="DA188" s="5" t="str">
        <f t="shared" si="175"/>
        <v>UF</v>
      </c>
      <c r="DB188" s="73" t="str">
        <f t="shared" si="176"/>
        <v>UF</v>
      </c>
      <c r="DC188" s="73" t="str">
        <f t="shared" si="177"/>
        <v>UF</v>
      </c>
      <c r="DD188" s="5" t="str">
        <f>IF(G188&lt;48,"UF", IF(NOT(ISBLANK(CZ:CZ)), CZ:CZ, IF(CL:CL=3, CK:CK+Sheet2!B168, IF(CL:CL=4, CK:CK+Sheet2!B169, IF(CL:CL=7, CK:CK+Sheet2!B170,"")))))</f>
        <v>UF</v>
      </c>
      <c r="DE188" s="69" t="str">
        <f t="shared" si="202"/>
        <v/>
      </c>
      <c r="DF188" s="2">
        <v>3</v>
      </c>
      <c r="DG188" s="2">
        <v>27</v>
      </c>
      <c r="DH188" s="2">
        <v>2</v>
      </c>
      <c r="DI188" s="2">
        <v>2</v>
      </c>
      <c r="DJ188" s="2">
        <v>2</v>
      </c>
      <c r="DK188" s="2">
        <v>95</v>
      </c>
      <c r="DL188" s="2">
        <v>60</v>
      </c>
      <c r="DM188" s="2">
        <v>90</v>
      </c>
      <c r="DN188" s="2">
        <v>50</v>
      </c>
      <c r="DO188" s="2">
        <v>90</v>
      </c>
      <c r="DP188" s="2">
        <v>60</v>
      </c>
      <c r="DQ188" s="2">
        <v>2</v>
      </c>
      <c r="DR188" s="2">
        <v>38</v>
      </c>
      <c r="DS188" s="2">
        <v>2</v>
      </c>
      <c r="DT188" s="2">
        <v>74</v>
      </c>
      <c r="DU188" s="2">
        <v>67</v>
      </c>
      <c r="DV188" s="2">
        <v>2</v>
      </c>
      <c r="DW188" s="2">
        <v>3</v>
      </c>
      <c r="DX188" s="2">
        <v>2</v>
      </c>
      <c r="DY188" s="2">
        <v>3</v>
      </c>
      <c r="DZ188" s="2">
        <v>33.5</v>
      </c>
      <c r="EA188" s="2" t="s">
        <v>12</v>
      </c>
      <c r="EB188" s="2">
        <v>43</v>
      </c>
      <c r="EC188" s="2" t="s">
        <v>12</v>
      </c>
      <c r="ED188" s="2">
        <v>1</v>
      </c>
    </row>
    <row r="189" spans="2:134" x14ac:dyDescent="0.25">
      <c r="C189" s="8" t="s">
        <v>256</v>
      </c>
      <c r="D189" s="8">
        <v>2501020847</v>
      </c>
      <c r="E189" s="5">
        <v>7</v>
      </c>
      <c r="F189" s="2">
        <v>1</v>
      </c>
      <c r="G189" s="2">
        <v>45</v>
      </c>
      <c r="H189" s="2">
        <v>1.219507034519737</v>
      </c>
      <c r="I189" s="2">
        <v>47</v>
      </c>
      <c r="J189" s="2">
        <v>-1.153005671500261</v>
      </c>
      <c r="K189" s="2">
        <v>3300</v>
      </c>
      <c r="L189" s="2">
        <v>0.14707338780410831</v>
      </c>
      <c r="M189" s="2">
        <v>-0.58650000000000002</v>
      </c>
      <c r="N189" s="2">
        <f t="shared" si="137"/>
        <v>-1.0985535172598686</v>
      </c>
      <c r="O189" s="2">
        <f t="shared" si="138"/>
        <v>-0.58650000000000002</v>
      </c>
      <c r="P189" s="2">
        <v>67</v>
      </c>
      <c r="Q189" s="2">
        <v>0.55000000000000004</v>
      </c>
      <c r="R189" s="5">
        <f t="shared" si="139"/>
        <v>0.28650283575013052</v>
      </c>
      <c r="S189" s="5">
        <f t="shared" si="140"/>
        <v>0.55000000000000004</v>
      </c>
      <c r="T189" s="2">
        <v>7200</v>
      </c>
      <c r="U189" s="2">
        <v>-0.11</v>
      </c>
      <c r="V189" s="2">
        <f t="shared" si="141"/>
        <v>-0.58853669390205421</v>
      </c>
      <c r="W189" s="2">
        <f t="shared" si="142"/>
        <v>-0.11</v>
      </c>
      <c r="X189" s="2">
        <v>-0.97760000000000002</v>
      </c>
      <c r="Y189" s="76">
        <f t="shared" si="179"/>
        <v>-2.1971070345197372</v>
      </c>
      <c r="Z189" s="76">
        <f t="shared" si="180"/>
        <v>-2</v>
      </c>
      <c r="AA189" s="2">
        <f t="shared" si="143"/>
        <v>-0.63405</v>
      </c>
      <c r="AB189" s="2">
        <f t="shared" si="144"/>
        <v>-0.97760000000000002</v>
      </c>
      <c r="AC189" s="2">
        <v>72.5</v>
      </c>
      <c r="AD189" s="2">
        <v>-0.57999999999999996</v>
      </c>
      <c r="AE189" s="79">
        <f t="shared" si="181"/>
        <v>0.57300567150026105</v>
      </c>
      <c r="AF189" s="79">
        <f t="shared" si="182"/>
        <v>1</v>
      </c>
      <c r="AG189" s="2">
        <f t="shared" si="200"/>
        <v>-0.74</v>
      </c>
      <c r="AH189" s="2">
        <f t="shared" si="145"/>
        <v>-0.57999999999999996</v>
      </c>
      <c r="AI189" s="2">
        <v>7900</v>
      </c>
      <c r="AJ189" s="2">
        <v>-1.03</v>
      </c>
      <c r="AK189" s="76">
        <f t="shared" si="183"/>
        <v>-1.1770733878041084</v>
      </c>
      <c r="AL189" s="76">
        <f t="shared" si="184"/>
        <v>-2</v>
      </c>
      <c r="AM189" s="2">
        <f t="shared" si="146"/>
        <v>-0.47500000000000003</v>
      </c>
      <c r="AN189" s="2">
        <f t="shared" si="147"/>
        <v>-1.03</v>
      </c>
      <c r="AO189" s="2">
        <v>-0.71809999999999996</v>
      </c>
      <c r="AP189" s="2">
        <f t="shared" si="148"/>
        <v>-0.43224577158644351</v>
      </c>
      <c r="AQ189" s="2">
        <f t="shared" si="149"/>
        <v>-0.71809999999999996</v>
      </c>
      <c r="AR189" s="2">
        <v>78</v>
      </c>
      <c r="AS189" s="2">
        <v>-0.93</v>
      </c>
      <c r="AT189" s="2">
        <f t="shared" si="150"/>
        <v>8.9856235582461419E-2</v>
      </c>
      <c r="AU189" s="2">
        <f t="shared" si="151"/>
        <v>-0.93</v>
      </c>
      <c r="AV189" s="2">
        <v>9000</v>
      </c>
      <c r="AW189" s="2">
        <v>-1.06</v>
      </c>
      <c r="AX189" s="2">
        <f t="shared" si="152"/>
        <v>-0.45148431136150402</v>
      </c>
      <c r="AY189" s="2">
        <f t="shared" si="153"/>
        <v>-1.06</v>
      </c>
      <c r="AZ189" s="2">
        <v>-1.842091543172887</v>
      </c>
      <c r="BA189" s="78">
        <f t="shared" si="185"/>
        <v>-0.86449154317288701</v>
      </c>
      <c r="BB189" s="78">
        <f t="shared" si="186"/>
        <v>-2</v>
      </c>
      <c r="BC189" s="2">
        <f t="shared" si="154"/>
        <v>-0.24260968773422334</v>
      </c>
      <c r="BD189" s="2">
        <f t="shared" si="155"/>
        <v>-1.842091543172887</v>
      </c>
      <c r="BE189" s="67">
        <f t="shared" si="187"/>
        <v>7</v>
      </c>
      <c r="BF189" s="2">
        <v>84</v>
      </c>
      <c r="BG189" s="2">
        <v>-0.40028752883507712</v>
      </c>
      <c r="BH189" s="2">
        <f t="shared" si="156"/>
        <v>0.12261075081893862</v>
      </c>
      <c r="BI189" s="2">
        <f t="shared" si="157"/>
        <v>-0.40028752883507712</v>
      </c>
      <c r="BJ189" s="67">
        <f t="shared" si="158"/>
        <v>7</v>
      </c>
      <c r="BK189" s="2">
        <v>10000</v>
      </c>
      <c r="BL189" s="2">
        <v>-1.9329686227230081</v>
      </c>
      <c r="BM189" s="77">
        <f t="shared" si="188"/>
        <v>-0.90296862272300804</v>
      </c>
      <c r="BN189" s="77">
        <f t="shared" si="189"/>
        <v>-2</v>
      </c>
      <c r="BO189" s="2">
        <f t="shared" si="159"/>
        <v>-9.8752524820141963E-2</v>
      </c>
      <c r="BP189" s="2">
        <f t="shared" si="160"/>
        <v>-1.9329686227230081</v>
      </c>
      <c r="BQ189" s="67">
        <f t="shared" si="190"/>
        <v>7</v>
      </c>
      <c r="BR189" s="5">
        <v>-1.44592906320267</v>
      </c>
      <c r="BS189" s="75">
        <f t="shared" si="191"/>
        <v>0.39616247997021703</v>
      </c>
      <c r="BT189" s="75">
        <f t="shared" si="192"/>
        <v>1</v>
      </c>
      <c r="BU189" s="5" t="e">
        <f>IF(#REF!&gt;=36, IF(AND(NOT(ISBLANK(CM:CM)), NOT(ISBLANK(BD:BD))), (CM:CM-BD:BD)/2, ""), "UF")</f>
        <v>#REF!</v>
      </c>
      <c r="BV189" s="5">
        <f t="shared" si="161"/>
        <v>-1.44592906320267</v>
      </c>
      <c r="BW189" s="69">
        <f t="shared" si="162"/>
        <v>7</v>
      </c>
      <c r="BX189" s="2">
        <v>92</v>
      </c>
      <c r="BY189" s="5">
        <v>-0.56216774754318422</v>
      </c>
      <c r="BZ189" s="74">
        <f t="shared" si="193"/>
        <v>1.3708008751798237</v>
      </c>
      <c r="CA189" s="74">
        <f t="shared" si="194"/>
        <v>2</v>
      </c>
      <c r="CB189" s="5" t="str">
        <f t="shared" si="163"/>
        <v/>
      </c>
      <c r="CC189" s="5">
        <f t="shared" si="164"/>
        <v>-0.56216774754318422</v>
      </c>
      <c r="CD189" s="2">
        <f t="shared" si="165"/>
        <v>-0.16188021870810709</v>
      </c>
      <c r="CE189" s="69">
        <f t="shared" si="166"/>
        <v>7</v>
      </c>
      <c r="CF189" s="5">
        <v>12000</v>
      </c>
      <c r="CG189" s="5">
        <v>-1.3562575744604259</v>
      </c>
      <c r="CH189" s="72">
        <f t="shared" si="195"/>
        <v>0.57671104826258213</v>
      </c>
      <c r="CI189" s="72">
        <f t="shared" si="196"/>
        <v>1</v>
      </c>
      <c r="CJ189" s="5" t="str">
        <f t="shared" si="167"/>
        <v/>
      </c>
      <c r="CK189" s="5">
        <f t="shared" si="168"/>
        <v>-1.3562575744604259</v>
      </c>
      <c r="CL189" s="69">
        <f t="shared" si="169"/>
        <v>7</v>
      </c>
      <c r="CN189" s="70" t="str">
        <f t="shared" si="170"/>
        <v/>
      </c>
      <c r="CO189" s="5" t="str">
        <f t="shared" si="171"/>
        <v>UF</v>
      </c>
      <c r="CP189" s="5" t="str">
        <f>IF(G189&lt;48,"UF", IF(NOT(ISBLANK(CM:CM)), CM:CM, IF(BW:BW=1, BV:BV+Sheet2!B451, IF(Sheet1!BW:BW=2, Sheet1!BV:BV+Sheet2!B452, IF(Sheet1!BW:BW=7, Sheet1!BV:BV+Sheet2!B453,"")))))</f>
        <v>UF</v>
      </c>
      <c r="CQ189" s="69" t="str">
        <f t="shared" si="197"/>
        <v/>
      </c>
      <c r="CR189" s="5" t="s">
        <v>12</v>
      </c>
      <c r="CT189" s="5" t="str">
        <f t="shared" si="172"/>
        <v/>
      </c>
      <c r="CU189" s="80" t="str">
        <f t="shared" si="173"/>
        <v>UF</v>
      </c>
      <c r="CV189" s="80" t="str">
        <f t="shared" si="174"/>
        <v>UF</v>
      </c>
      <c r="CW189" s="20" t="str">
        <f>IF(G189&lt;48,"UF", IF(NOT(ISBLANK(CS189)), CS189, IF(CE189=5, CC189+Sheet2!B440, IF(CE189=6, CC189+Sheet2!B441, IF(CE189=7, CC189+Sheet2!B442,"")))))</f>
        <v>UF</v>
      </c>
      <c r="CX189" s="68" t="str">
        <f t="shared" si="198"/>
        <v/>
      </c>
      <c r="CY189" s="5" t="s">
        <v>12</v>
      </c>
      <c r="DA189" s="5" t="str">
        <f t="shared" si="175"/>
        <v>UF</v>
      </c>
      <c r="DB189" s="73" t="str">
        <f t="shared" si="176"/>
        <v>UF</v>
      </c>
      <c r="DC189" s="73" t="str">
        <f t="shared" si="177"/>
        <v>UF</v>
      </c>
      <c r="DD189" s="5" t="str">
        <f>IF(G189&lt;48,"UF", IF(NOT(ISBLANK(CZ:CZ)), CZ:CZ, IF(CL:CL=3, CK:CK+Sheet2!B445, IF(CL:CL=4, CK:CK+Sheet2!B446, IF(CL:CL=7, CK:CK+Sheet2!B447,"")))))</f>
        <v>UF</v>
      </c>
      <c r="DE189" s="69" t="str">
        <f t="shared" si="202"/>
        <v/>
      </c>
      <c r="DF189" s="2">
        <v>1</v>
      </c>
      <c r="DG189" s="2">
        <v>27</v>
      </c>
      <c r="DH189" s="2">
        <v>2</v>
      </c>
      <c r="DI189" s="2">
        <v>2</v>
      </c>
      <c r="DJ189" s="2">
        <v>2</v>
      </c>
      <c r="DK189" s="2">
        <v>110</v>
      </c>
      <c r="DL189" s="2">
        <v>60</v>
      </c>
      <c r="DM189" s="2">
        <v>120</v>
      </c>
      <c r="DN189" s="2">
        <v>80</v>
      </c>
      <c r="DO189" s="2">
        <v>120</v>
      </c>
      <c r="DP189" s="2">
        <v>85</v>
      </c>
      <c r="DQ189" s="2">
        <v>1</v>
      </c>
      <c r="DR189" s="2">
        <v>38</v>
      </c>
      <c r="DS189" s="2">
        <v>3</v>
      </c>
      <c r="DT189" s="2" t="s">
        <v>12</v>
      </c>
      <c r="DU189" s="2" t="s">
        <v>12</v>
      </c>
      <c r="DV189" s="2">
        <v>2</v>
      </c>
      <c r="DW189" s="2">
        <v>3</v>
      </c>
      <c r="DX189" s="2">
        <v>2</v>
      </c>
      <c r="DY189" s="2">
        <v>3</v>
      </c>
      <c r="DZ189" s="2">
        <v>34</v>
      </c>
      <c r="EA189" s="2">
        <v>35.5</v>
      </c>
      <c r="EB189" s="2">
        <v>43</v>
      </c>
      <c r="EC189" s="2">
        <v>1</v>
      </c>
      <c r="ED189" s="2">
        <v>1</v>
      </c>
    </row>
    <row r="190" spans="2:134" ht="15.75" thickBot="1" x14ac:dyDescent="0.3">
      <c r="C190" s="5" t="s">
        <v>137</v>
      </c>
      <c r="D190" s="2">
        <v>2501021185</v>
      </c>
      <c r="E190" s="2" t="s">
        <v>527</v>
      </c>
      <c r="F190" s="2">
        <v>2</v>
      </c>
      <c r="G190" s="2">
        <v>48</v>
      </c>
      <c r="H190" s="2">
        <v>-2.338073603266857</v>
      </c>
      <c r="I190" s="2">
        <v>50</v>
      </c>
      <c r="J190" s="2">
        <v>6.1168777667580831E-2</v>
      </c>
      <c r="K190" s="5">
        <v>2700</v>
      </c>
      <c r="L190" s="2">
        <v>-1.4162320057858351</v>
      </c>
      <c r="M190" s="2">
        <v>-0.38369999999999999</v>
      </c>
      <c r="N190" s="2">
        <f t="shared" si="137"/>
        <v>0.78858680163342854</v>
      </c>
      <c r="O190" s="2">
        <f t="shared" si="138"/>
        <v>-0.38369999999999999</v>
      </c>
      <c r="P190" s="2">
        <v>65</v>
      </c>
      <c r="Q190" s="2">
        <v>-1.23</v>
      </c>
      <c r="R190" s="5">
        <f t="shared" si="139"/>
        <v>-0.81558438883379047</v>
      </c>
      <c r="S190" s="5">
        <f t="shared" si="140"/>
        <v>-1.23</v>
      </c>
      <c r="T190" s="1">
        <v>7100</v>
      </c>
      <c r="U190" s="2">
        <v>-1.01</v>
      </c>
      <c r="V190" s="2">
        <f t="shared" si="141"/>
        <v>-3.1883997107082451E-2</v>
      </c>
      <c r="W190" s="2">
        <f t="shared" si="142"/>
        <v>-1.01</v>
      </c>
      <c r="X190" s="2">
        <v>-0.76090000000000002</v>
      </c>
      <c r="Y190" s="76">
        <f t="shared" si="179"/>
        <v>1.5771736032668571</v>
      </c>
      <c r="Z190" s="76">
        <f t="shared" si="180"/>
        <v>2</v>
      </c>
      <c r="AA190" s="2">
        <f t="shared" si="143"/>
        <v>0.46104999999999996</v>
      </c>
      <c r="AB190" s="2">
        <f t="shared" si="144"/>
        <v>-0.76090000000000002</v>
      </c>
      <c r="AC190" s="2">
        <v>72</v>
      </c>
      <c r="AD190" s="2">
        <v>-1.57</v>
      </c>
      <c r="AE190" s="79">
        <f t="shared" si="181"/>
        <v>-1.6311687776675809</v>
      </c>
      <c r="AF190" s="79">
        <f t="shared" si="182"/>
        <v>-2</v>
      </c>
      <c r="AG190" s="2">
        <f t="shared" si="200"/>
        <v>-0.54499999999999993</v>
      </c>
      <c r="AH190" s="2">
        <f t="shared" si="145"/>
        <v>-1.57</v>
      </c>
      <c r="AI190" s="2">
        <v>8200</v>
      </c>
      <c r="AJ190" s="2">
        <v>-1.48</v>
      </c>
      <c r="AK190" s="76">
        <f t="shared" si="183"/>
        <v>-6.3767994214164903E-2</v>
      </c>
      <c r="AL190" s="76">
        <f t="shared" si="184"/>
        <v>-1</v>
      </c>
      <c r="AM190" s="2">
        <f t="shared" si="146"/>
        <v>-0.31999999999999995</v>
      </c>
      <c r="AN190" s="2">
        <f t="shared" si="147"/>
        <v>-1.48</v>
      </c>
      <c r="AO190" s="2">
        <v>-0.30790000000000001</v>
      </c>
      <c r="AP190" s="2">
        <f t="shared" si="148"/>
        <v>-0.41731862827406146</v>
      </c>
      <c r="AQ190" s="2">
        <f t="shared" si="149"/>
        <v>-0.30790000000000001</v>
      </c>
      <c r="AR190" s="2">
        <v>76</v>
      </c>
      <c r="AS190" s="2">
        <v>-2.3199999999999998</v>
      </c>
      <c r="AT190" s="2">
        <f t="shared" si="150"/>
        <v>-0.19247745727585097</v>
      </c>
      <c r="AU190" s="2">
        <f t="shared" si="151"/>
        <v>-2.3199999999999998</v>
      </c>
      <c r="AV190" s="2">
        <v>9100</v>
      </c>
      <c r="AW190" s="2">
        <v>-1.65</v>
      </c>
      <c r="AX190" s="2">
        <f t="shared" si="152"/>
        <v>-0.68712688617414752</v>
      </c>
      <c r="AY190" s="2">
        <f t="shared" si="153"/>
        <v>-1.65</v>
      </c>
      <c r="AZ190" s="2">
        <v>-1.595537256548123</v>
      </c>
      <c r="BA190" s="78">
        <f t="shared" si="185"/>
        <v>-0.83463725654812293</v>
      </c>
      <c r="BB190" s="78">
        <f t="shared" si="186"/>
        <v>-2</v>
      </c>
      <c r="BC190" s="2">
        <f t="shared" si="154"/>
        <v>0.16599883315981448</v>
      </c>
      <c r="BD190" s="2">
        <f t="shared" si="155"/>
        <v>-1.595537256548123</v>
      </c>
      <c r="BE190" s="67">
        <f t="shared" si="187"/>
        <v>7</v>
      </c>
      <c r="BF190" s="2">
        <v>80</v>
      </c>
      <c r="BG190" s="2">
        <v>-1.954954914551702</v>
      </c>
      <c r="BH190" s="2">
        <f t="shared" si="156"/>
        <v>-8.5883074584505767E-2</v>
      </c>
      <c r="BI190" s="2">
        <f t="shared" si="157"/>
        <v>-1.954954914551702</v>
      </c>
      <c r="BJ190" s="67">
        <f t="shared" si="158"/>
        <v>7</v>
      </c>
      <c r="BK190" s="2">
        <v>9450</v>
      </c>
      <c r="BL190" s="2">
        <v>-2.854253772348295</v>
      </c>
      <c r="BM190" s="77">
        <f t="shared" si="188"/>
        <v>-1.374253772348295</v>
      </c>
      <c r="BN190" s="77">
        <f t="shared" si="189"/>
        <v>-2</v>
      </c>
      <c r="BO190" s="2">
        <f t="shared" si="159"/>
        <v>-2.580533191404033E-2</v>
      </c>
      <c r="BP190" s="2">
        <f t="shared" si="160"/>
        <v>-2.854253772348295</v>
      </c>
      <c r="BQ190" s="67">
        <f t="shared" si="190"/>
        <v>4</v>
      </c>
      <c r="BR190" s="5">
        <v>0.19009649947944349</v>
      </c>
      <c r="BS190" s="75">
        <f t="shared" si="191"/>
        <v>1.7856337560275664</v>
      </c>
      <c r="BT190" s="75">
        <f t="shared" si="192"/>
        <v>2</v>
      </c>
      <c r="BU190" s="5" t="str">
        <f>IF(G196&gt;=36, IF(AND(NOT(ISBLANK(CM:CM)), NOT(ISBLANK(BD:BD))), (CM:CM-BD:BD)/2, ""), "UF")</f>
        <v/>
      </c>
      <c r="BV190" s="5">
        <f t="shared" si="161"/>
        <v>0.19009649947944349</v>
      </c>
      <c r="BW190" s="69">
        <f t="shared" si="162"/>
        <v>7</v>
      </c>
      <c r="BX190" s="2">
        <v>86</v>
      </c>
      <c r="BY190" s="5">
        <v>-2.5776492237535171</v>
      </c>
      <c r="BZ190" s="74">
        <f t="shared" si="193"/>
        <v>0.2766045485947779</v>
      </c>
      <c r="CA190" s="74">
        <f t="shared" si="194"/>
        <v>1</v>
      </c>
      <c r="CB190" s="5" t="str">
        <f t="shared" si="163"/>
        <v/>
      </c>
      <c r="CC190" s="5">
        <f t="shared" si="164"/>
        <v>-2.5776492237535171</v>
      </c>
      <c r="CD190" s="2">
        <f t="shared" si="165"/>
        <v>-0.62269430920181512</v>
      </c>
      <c r="CE190" s="69">
        <f t="shared" si="166"/>
        <v>6</v>
      </c>
      <c r="CF190" s="5">
        <v>12000</v>
      </c>
      <c r="CG190" s="5">
        <v>-1.7274159957421209</v>
      </c>
      <c r="CH190" s="72">
        <f t="shared" si="195"/>
        <v>1.1268377766061741</v>
      </c>
      <c r="CI190" s="72">
        <f t="shared" si="196"/>
        <v>2</v>
      </c>
      <c r="CJ190" s="5" t="str">
        <f t="shared" si="167"/>
        <v/>
      </c>
      <c r="CK190" s="5">
        <f t="shared" si="168"/>
        <v>-1.7274159957421209</v>
      </c>
      <c r="CL190" s="69">
        <f t="shared" si="169"/>
        <v>7</v>
      </c>
      <c r="CN190" s="70" t="str">
        <f t="shared" si="170"/>
        <v/>
      </c>
      <c r="CO190" s="5">
        <f t="shared" si="171"/>
        <v>0</v>
      </c>
      <c r="CP190" s="5">
        <f>IF(G190&lt;48,"UF", IF(NOT(ISBLANK(CM:CM)), CM:CM, IF(BW:BW=1, BV:BV+Sheet2!B201, IF(Sheet1!BW:BW=2, Sheet1!BV:BV+Sheet2!B202, IF(Sheet1!BW:BW=7, Sheet1!BV:BV+Sheet2!B203,"")))))</f>
        <v>0.19009649947944349</v>
      </c>
      <c r="CQ190" s="69">
        <f t="shared" si="197"/>
        <v>7</v>
      </c>
      <c r="CR190" s="5" t="s">
        <v>12</v>
      </c>
      <c r="CT190" s="5" t="str">
        <f t="shared" si="172"/>
        <v/>
      </c>
      <c r="CU190" s="80">
        <f t="shared" si="173"/>
        <v>0</v>
      </c>
      <c r="CV190" s="80">
        <f t="shared" si="174"/>
        <v>-1</v>
      </c>
      <c r="CW190" s="20">
        <f>IF(G190&lt;48,"UF", IF(NOT(ISBLANK(CS190)), CS190, IF(CE190=5, CC190+Sheet2!B190, IF(CE190=6, CC190+Sheet2!B191, IF(CE190=7, CC190+Sheet2!B192,"")))))</f>
        <v>-2.5776492237535171</v>
      </c>
      <c r="CX190" s="68">
        <f t="shared" si="198"/>
        <v>6</v>
      </c>
      <c r="CY190" s="5" t="s">
        <v>12</v>
      </c>
      <c r="DA190" s="5" t="str">
        <f t="shared" si="175"/>
        <v/>
      </c>
      <c r="DB190" s="73">
        <f t="shared" si="176"/>
        <v>0</v>
      </c>
      <c r="DC190" s="73">
        <f t="shared" si="177"/>
        <v>-1</v>
      </c>
      <c r="DD190" s="5">
        <f>IF(G190&lt;48,"UF", IF(NOT(ISBLANK(CZ:CZ)), CZ:CZ, IF(CL:CL=3, CK:CK+Sheet2!B195, IF(CL:CL=4, CK:CK+Sheet2!B196, IF(CL:CL=7, CK:CK+Sheet2!B197,"")))))</f>
        <v>-1.7274159957421209</v>
      </c>
      <c r="DE190" s="69">
        <f t="shared" si="202"/>
        <v>7</v>
      </c>
      <c r="DF190" s="2">
        <v>2</v>
      </c>
      <c r="DG190" s="2">
        <v>32</v>
      </c>
      <c r="DH190" s="2">
        <v>2</v>
      </c>
      <c r="DI190" s="2">
        <v>2</v>
      </c>
      <c r="DJ190" s="2">
        <v>2</v>
      </c>
      <c r="DK190" s="2">
        <v>110</v>
      </c>
      <c r="DL190" s="2">
        <v>70</v>
      </c>
      <c r="DM190" s="2">
        <v>115</v>
      </c>
      <c r="DN190" s="2">
        <v>70</v>
      </c>
      <c r="DO190" s="2" t="s">
        <v>12</v>
      </c>
      <c r="DP190" s="2" t="s">
        <v>12</v>
      </c>
      <c r="DQ190" s="2">
        <v>2</v>
      </c>
      <c r="DR190" s="2">
        <v>39</v>
      </c>
      <c r="DS190" s="2">
        <v>2</v>
      </c>
      <c r="DT190" s="2" t="s">
        <v>12</v>
      </c>
      <c r="DU190" s="2">
        <v>79</v>
      </c>
      <c r="DV190" s="2">
        <v>2</v>
      </c>
      <c r="DW190" s="2">
        <v>2</v>
      </c>
      <c r="DX190" s="2">
        <v>2</v>
      </c>
      <c r="DY190" s="2">
        <v>2</v>
      </c>
      <c r="DZ190" s="2">
        <v>31</v>
      </c>
      <c r="EA190" s="2" t="s">
        <v>12</v>
      </c>
      <c r="EB190" s="2">
        <v>43</v>
      </c>
      <c r="EC190" s="2" t="s">
        <v>12</v>
      </c>
      <c r="ED190" s="2">
        <v>1</v>
      </c>
    </row>
    <row r="191" spans="2:134" ht="15.75" thickBot="1" x14ac:dyDescent="0.3">
      <c r="C191" s="5">
        <v>14000303</v>
      </c>
      <c r="D191" s="56">
        <v>2501021304</v>
      </c>
      <c r="E191" s="5" t="s">
        <v>536</v>
      </c>
      <c r="F191" s="2">
        <v>2</v>
      </c>
      <c r="G191" s="2">
        <v>48</v>
      </c>
      <c r="H191" s="2">
        <v>-0.74498661982257453</v>
      </c>
      <c r="I191" s="2">
        <v>49</v>
      </c>
      <c r="J191" s="2">
        <v>-0.46706379753639199</v>
      </c>
      <c r="K191" s="5">
        <v>3000</v>
      </c>
      <c r="L191" s="2">
        <v>-0.73426392472567259</v>
      </c>
      <c r="M191" s="2">
        <v>-2.4344000000000001</v>
      </c>
      <c r="N191" s="2">
        <f t="shared" si="137"/>
        <v>-0.77160669008871263</v>
      </c>
      <c r="O191" s="2">
        <f t="shared" si="138"/>
        <v>-2.4344000000000001</v>
      </c>
      <c r="P191" s="2">
        <v>66.5</v>
      </c>
      <c r="Q191" s="2">
        <v>-0.53</v>
      </c>
      <c r="R191" s="5">
        <f t="shared" si="139"/>
        <v>-0.44646810123180403</v>
      </c>
      <c r="S191" s="5">
        <f t="shared" si="140"/>
        <v>-0.53</v>
      </c>
      <c r="T191" s="1">
        <v>6300</v>
      </c>
      <c r="U191" s="2">
        <v>-2.08</v>
      </c>
      <c r="V191" s="2">
        <f t="shared" si="141"/>
        <v>-0.83786803763716378</v>
      </c>
      <c r="W191" s="2">
        <f t="shared" si="142"/>
        <v>-2.08</v>
      </c>
      <c r="X191" s="2">
        <v>-2.2881999999999998</v>
      </c>
      <c r="Y191" s="76">
        <f t="shared" si="179"/>
        <v>-1.5432133801774253</v>
      </c>
      <c r="Z191" s="76">
        <f t="shared" si="180"/>
        <v>-2</v>
      </c>
      <c r="AA191" s="2">
        <f t="shared" si="143"/>
        <v>-1.0066000000000002</v>
      </c>
      <c r="AB191" s="2">
        <f t="shared" si="144"/>
        <v>-2.2881999999999998</v>
      </c>
      <c r="AC191" s="2">
        <v>72.5</v>
      </c>
      <c r="AD191" s="2">
        <v>-1.36</v>
      </c>
      <c r="AE191" s="79">
        <f t="shared" si="181"/>
        <v>-0.89293620246360805</v>
      </c>
      <c r="AF191" s="79">
        <f t="shared" si="182"/>
        <v>-2</v>
      </c>
      <c r="AG191" s="2">
        <f t="shared" si="200"/>
        <v>-0.52500000000000002</v>
      </c>
      <c r="AH191" s="2">
        <f t="shared" si="145"/>
        <v>-1.36</v>
      </c>
      <c r="AI191" s="2">
        <v>7400</v>
      </c>
      <c r="AJ191" s="2">
        <v>-2.41</v>
      </c>
      <c r="AK191" s="76">
        <f t="shared" si="183"/>
        <v>-1.6757360752743276</v>
      </c>
      <c r="AL191" s="76">
        <f t="shared" si="184"/>
        <v>-2</v>
      </c>
      <c r="AM191" s="2">
        <f t="shared" si="146"/>
        <v>-0.29499999999999993</v>
      </c>
      <c r="AN191" s="2">
        <f t="shared" si="147"/>
        <v>-2.41</v>
      </c>
      <c r="AO191" s="2">
        <v>-2.5432000000000001</v>
      </c>
      <c r="AP191" s="2" t="str">
        <f t="shared" si="148"/>
        <v/>
      </c>
      <c r="AQ191" s="2">
        <f t="shared" si="149"/>
        <v>-2.5432000000000001</v>
      </c>
      <c r="AR191" s="2">
        <v>78</v>
      </c>
      <c r="AS191" s="2">
        <v>-1.58</v>
      </c>
      <c r="AT191" s="2" t="str">
        <f t="shared" si="150"/>
        <v/>
      </c>
      <c r="AU191" s="2">
        <f t="shared" si="151"/>
        <v>-1.58</v>
      </c>
      <c r="AV191" s="2">
        <v>8120</v>
      </c>
      <c r="AW191" s="2">
        <v>-2.67</v>
      </c>
      <c r="AX191" s="2" t="str">
        <f t="shared" si="152"/>
        <v/>
      </c>
      <c r="AY191" s="2">
        <f t="shared" si="153"/>
        <v>-2.67</v>
      </c>
      <c r="BA191" s="78">
        <f t="shared" si="185"/>
        <v>-0.78036242840934023</v>
      </c>
      <c r="BB191" s="78">
        <f t="shared" si="186"/>
        <v>-2</v>
      </c>
      <c r="BC191" s="2">
        <f t="shared" si="154"/>
        <v>-0.52536242840933989</v>
      </c>
      <c r="BD191" s="2">
        <f t="shared" si="155"/>
        <v>-3.06856242840934</v>
      </c>
      <c r="BE191" s="67">
        <f t="shared" si="187"/>
        <v>1</v>
      </c>
      <c r="BF191" s="2" t="s">
        <v>12</v>
      </c>
      <c r="BH191" s="2">
        <f t="shared" si="156"/>
        <v>5.3143831453527378E-2</v>
      </c>
      <c r="BI191" s="2">
        <f t="shared" si="157"/>
        <v>-1.5268561685464728</v>
      </c>
      <c r="BJ191" s="67">
        <f t="shared" si="158"/>
        <v>7</v>
      </c>
      <c r="BK191" s="2" t="s">
        <v>12</v>
      </c>
      <c r="BM191" s="77">
        <f t="shared" si="188"/>
        <v>-0.55299160927415025</v>
      </c>
      <c r="BN191" s="77">
        <f t="shared" si="189"/>
        <v>-1</v>
      </c>
      <c r="BO191" s="2">
        <f t="shared" si="159"/>
        <v>-0.2929916092741503</v>
      </c>
      <c r="BP191" s="2">
        <f t="shared" si="160"/>
        <v>-2.9629916092741504</v>
      </c>
      <c r="BQ191" s="67">
        <f t="shared" si="190"/>
        <v>4</v>
      </c>
      <c r="BR191" s="5">
        <v>-4.1192872852280198</v>
      </c>
      <c r="BS191" s="75">
        <f t="shared" si="191"/>
        <v>-1.0507248568186798</v>
      </c>
      <c r="BT191" s="75">
        <f t="shared" si="192"/>
        <v>-2</v>
      </c>
      <c r="BU191" s="5" t="str">
        <f>IF(G197&gt;=36, IF(AND(NOT(ISBLANK(CM:CM)), NOT(ISBLANK(BD:BD))), (CM:CM-BD:BD)/2, ""), "UF")</f>
        <v/>
      </c>
      <c r="BV191" s="5">
        <f t="shared" si="161"/>
        <v>-4.1192872852280198</v>
      </c>
      <c r="BW191" s="69">
        <f t="shared" si="162"/>
        <v>1</v>
      </c>
      <c r="BX191" s="2">
        <v>90</v>
      </c>
      <c r="BY191" s="5">
        <v>-1.4205685056394179</v>
      </c>
      <c r="BZ191" s="74">
        <f t="shared" si="193"/>
        <v>1.5424231036347325</v>
      </c>
      <c r="CA191" s="74">
        <f t="shared" si="194"/>
        <v>2</v>
      </c>
      <c r="CB191" s="5" t="str">
        <f t="shared" si="163"/>
        <v/>
      </c>
      <c r="CC191" s="5">
        <f t="shared" si="164"/>
        <v>-1.4205685056394179</v>
      </c>
      <c r="CD191" s="2">
        <f t="shared" si="165"/>
        <v>0.10628766290705483</v>
      </c>
      <c r="CE191" s="69">
        <f t="shared" si="166"/>
        <v>7</v>
      </c>
      <c r="CF191" s="5">
        <v>10100</v>
      </c>
      <c r="CG191" s="5">
        <v>-3.5489748278224509</v>
      </c>
      <c r="CH191" s="72">
        <f t="shared" si="195"/>
        <v>-0.58598321854830049</v>
      </c>
      <c r="CI191" s="72">
        <f t="shared" si="196"/>
        <v>-1</v>
      </c>
      <c r="CJ191" s="5" t="str">
        <f t="shared" si="167"/>
        <v/>
      </c>
      <c r="CK191" s="5">
        <f t="shared" si="168"/>
        <v>-3.5489748278224509</v>
      </c>
      <c r="CL191" s="69">
        <f t="shared" si="169"/>
        <v>3</v>
      </c>
      <c r="CN191" s="70" t="str">
        <f t="shared" si="170"/>
        <v/>
      </c>
      <c r="CO191" s="5">
        <f t="shared" si="171"/>
        <v>0</v>
      </c>
      <c r="CP191" s="5">
        <f>IF(G191&lt;48,"UF", IF(NOT(ISBLANK(CM:CM)), CM:CM, IF(BW:BW=1, BV:BV+Sheet2!B96, IF(Sheet1!BW:BW=2, Sheet1!BV:BV+Sheet2!B97, IF(Sheet1!BW:BW=7, Sheet1!BV:BV+Sheet2!B98,"")))))</f>
        <v>-4.1192872852280198</v>
      </c>
      <c r="CQ191" s="69">
        <f t="shared" si="197"/>
        <v>1</v>
      </c>
      <c r="CR191" s="5" t="s">
        <v>12</v>
      </c>
      <c r="CT191" s="5" t="str">
        <f t="shared" si="172"/>
        <v/>
      </c>
      <c r="CU191" s="80">
        <f t="shared" si="173"/>
        <v>0</v>
      </c>
      <c r="CV191" s="80">
        <f t="shared" si="174"/>
        <v>-1</v>
      </c>
      <c r="CW191" s="20">
        <f>IF(G191&lt;48,"UF", IF(NOT(ISBLANK(CS191)), CS191, IF(CE191=5, CC191+Sheet2!B85, IF(CE191=6, CC191+Sheet2!B86, IF(CE191=7, CC191+Sheet2!B87,"")))))</f>
        <v>-1.4205685056394179</v>
      </c>
      <c r="CX191" s="68">
        <f t="shared" si="198"/>
        <v>7</v>
      </c>
      <c r="CY191" s="5" t="s">
        <v>12</v>
      </c>
      <c r="DA191" s="5" t="str">
        <f t="shared" si="175"/>
        <v/>
      </c>
      <c r="DB191" s="73">
        <f t="shared" si="176"/>
        <v>0</v>
      </c>
      <c r="DC191" s="73">
        <f t="shared" si="177"/>
        <v>-1</v>
      </c>
      <c r="DD191" s="5">
        <f>IF(G191&lt;48,"UF", IF(NOT(ISBLANK(CZ:CZ)), CZ:CZ, IF(CL:CL=3, CK:CK+Sheet2!B90, IF(CL:CL=4, CK:CK+Sheet2!B91, IF(CL:CL=7, CK:CK+Sheet2!B92,"")))))</f>
        <v>-3.5489748278224509</v>
      </c>
      <c r="DE191" s="69">
        <f t="shared" si="202"/>
        <v>3</v>
      </c>
      <c r="DF191" s="2">
        <v>2</v>
      </c>
      <c r="DG191" s="2">
        <v>36</v>
      </c>
      <c r="DH191" s="2">
        <v>1</v>
      </c>
      <c r="DI191" s="2">
        <v>2</v>
      </c>
      <c r="DJ191" s="2">
        <v>3</v>
      </c>
      <c r="DK191" s="2" t="s">
        <v>12</v>
      </c>
      <c r="DL191" s="2" t="s">
        <v>12</v>
      </c>
      <c r="DM191" s="2" t="s">
        <v>12</v>
      </c>
      <c r="DN191" s="2" t="s">
        <v>12</v>
      </c>
      <c r="DO191" s="2" t="s">
        <v>12</v>
      </c>
      <c r="DP191" s="2" t="s">
        <v>12</v>
      </c>
      <c r="DQ191" s="2">
        <v>2</v>
      </c>
      <c r="DR191" s="2">
        <v>39</v>
      </c>
      <c r="DS191" s="2">
        <v>2</v>
      </c>
      <c r="DT191" s="2">
        <v>85</v>
      </c>
      <c r="DU191" s="2">
        <v>85</v>
      </c>
      <c r="DV191" s="2">
        <v>3</v>
      </c>
      <c r="DW191" s="2">
        <v>2</v>
      </c>
      <c r="DX191" s="2">
        <v>2</v>
      </c>
      <c r="DY191" s="2">
        <v>3</v>
      </c>
      <c r="DZ191" s="2">
        <v>33</v>
      </c>
      <c r="EA191" s="2">
        <v>34</v>
      </c>
      <c r="EB191" s="2">
        <v>45</v>
      </c>
      <c r="EC191" s="2">
        <v>4</v>
      </c>
      <c r="ED191" s="2">
        <v>1</v>
      </c>
    </row>
    <row r="192" spans="2:134" x14ac:dyDescent="0.25">
      <c r="C192" s="8" t="s">
        <v>148</v>
      </c>
      <c r="D192" s="4">
        <v>2501022130</v>
      </c>
      <c r="E192" s="2">
        <v>6</v>
      </c>
      <c r="F192" s="2">
        <v>1</v>
      </c>
      <c r="G192" s="2">
        <v>45</v>
      </c>
      <c r="H192" s="2">
        <v>-1.0719314123951951</v>
      </c>
      <c r="I192" s="2">
        <v>49</v>
      </c>
      <c r="J192" s="2">
        <v>-7.9294265603816944E-2</v>
      </c>
      <c r="K192" s="5">
        <v>2900</v>
      </c>
      <c r="L192" s="2">
        <v>-0.74971937445688897</v>
      </c>
      <c r="M192" s="2">
        <v>0.33529999999999999</v>
      </c>
      <c r="N192" s="2" t="str">
        <f t="shared" si="137"/>
        <v/>
      </c>
      <c r="O192" s="2">
        <f t="shared" si="138"/>
        <v>0.33529999999999999</v>
      </c>
      <c r="P192" s="2">
        <v>62</v>
      </c>
      <c r="Q192" s="2">
        <v>-1.65</v>
      </c>
      <c r="R192" s="5" t="str">
        <f t="shared" si="139"/>
        <v/>
      </c>
      <c r="S192" s="5">
        <f t="shared" si="140"/>
        <v>-1.65</v>
      </c>
      <c r="T192" s="1">
        <v>6700</v>
      </c>
      <c r="U192" s="2">
        <v>-0.71</v>
      </c>
      <c r="V192" s="2" t="str">
        <f t="shared" si="141"/>
        <v/>
      </c>
      <c r="W192" s="2">
        <f t="shared" si="142"/>
        <v>-0.71</v>
      </c>
      <c r="Y192" s="76" t="e">
        <f t="shared" si="179"/>
        <v>#VALUE!</v>
      </c>
      <c r="Z192" s="76" t="e">
        <f t="shared" si="180"/>
        <v>#VALUE!</v>
      </c>
      <c r="AA192" s="2" t="str">
        <f t="shared" si="143"/>
        <v/>
      </c>
      <c r="AB192" s="2" t="e">
        <f t="shared" si="144"/>
        <v>#VALUE!</v>
      </c>
      <c r="AC192" s="2" t="s">
        <v>12</v>
      </c>
      <c r="AE192" s="79" t="e">
        <f t="shared" si="181"/>
        <v>#VALUE!</v>
      </c>
      <c r="AF192" s="79" t="e">
        <f t="shared" si="182"/>
        <v>#VALUE!</v>
      </c>
      <c r="AG192" s="2" t="str">
        <f t="shared" si="200"/>
        <v/>
      </c>
      <c r="AH192" s="2" t="e">
        <f t="shared" si="145"/>
        <v>#VALUE!</v>
      </c>
      <c r="AI192" s="2" t="s">
        <v>12</v>
      </c>
      <c r="AK192" s="76" t="e">
        <f t="shared" si="183"/>
        <v>#VALUE!</v>
      </c>
      <c r="AL192" s="76" t="e">
        <f t="shared" si="184"/>
        <v>#VALUE!</v>
      </c>
      <c r="AM192" s="2" t="str">
        <f t="shared" si="146"/>
        <v/>
      </c>
      <c r="AN192" s="2" t="e">
        <f t="shared" si="147"/>
        <v>#VALUE!</v>
      </c>
      <c r="AP192" s="2" t="str">
        <f t="shared" si="148"/>
        <v/>
      </c>
      <c r="AQ192" s="2" t="e">
        <f t="shared" si="149"/>
        <v>#VALUE!</v>
      </c>
      <c r="AR192" s="2" t="s">
        <v>12</v>
      </c>
      <c r="AT192" s="2" t="str">
        <f t="shared" si="150"/>
        <v/>
      </c>
      <c r="AU192" s="2" t="e">
        <f t="shared" si="151"/>
        <v>#VALUE!</v>
      </c>
      <c r="AV192" s="2" t="s">
        <v>12</v>
      </c>
      <c r="AX192" s="2" t="str">
        <f t="shared" si="152"/>
        <v/>
      </c>
      <c r="AY192" s="2" t="e">
        <f t="shared" si="153"/>
        <v>#VALUE!</v>
      </c>
      <c r="BA192" s="78" t="e">
        <f t="shared" si="185"/>
        <v>#VALUE!</v>
      </c>
      <c r="BB192" s="78" t="e">
        <f t="shared" si="186"/>
        <v>#VALUE!</v>
      </c>
      <c r="BC192" s="2" t="str">
        <f t="shared" si="154"/>
        <v/>
      </c>
      <c r="BD192" s="2" t="e">
        <f t="shared" si="155"/>
        <v>#VALUE!</v>
      </c>
      <c r="BE192" s="67" t="e">
        <f t="shared" si="187"/>
        <v>#VALUE!</v>
      </c>
      <c r="BF192" s="2" t="s">
        <v>12</v>
      </c>
      <c r="BH192" s="2" t="str">
        <f t="shared" si="156"/>
        <v/>
      </c>
      <c r="BI192" s="2" t="e">
        <f t="shared" si="157"/>
        <v>#VALUE!</v>
      </c>
      <c r="BJ192" s="67" t="e">
        <f t="shared" si="158"/>
        <v>#VALUE!</v>
      </c>
      <c r="BK192" s="2" t="s">
        <v>12</v>
      </c>
      <c r="BM192" s="77" t="e">
        <f t="shared" si="188"/>
        <v>#VALUE!</v>
      </c>
      <c r="BN192" s="77" t="e">
        <f t="shared" si="189"/>
        <v>#VALUE!</v>
      </c>
      <c r="BO192" s="2" t="str">
        <f t="shared" si="159"/>
        <v/>
      </c>
      <c r="BP192" s="2" t="e">
        <f t="shared" si="160"/>
        <v>#VALUE!</v>
      </c>
      <c r="BQ192" s="67" t="e">
        <f t="shared" si="190"/>
        <v>#VALUE!</v>
      </c>
      <c r="BS192" s="75" t="e">
        <f t="shared" si="191"/>
        <v>#VALUE!</v>
      </c>
      <c r="BT192" s="75" t="e">
        <f t="shared" si="192"/>
        <v>#VALUE!</v>
      </c>
      <c r="BU192" s="5" t="e">
        <f>IF(#REF!&gt;=36, IF(AND(NOT(ISBLANK(CM:CM)), NOT(ISBLANK(BD:BD))), (CM:CM-BD:BD)/2, ""), "UF")</f>
        <v>#REF!</v>
      </c>
      <c r="BV192" s="5" t="e">
        <f t="shared" si="161"/>
        <v>#VALUE!</v>
      </c>
      <c r="BW192" s="69" t="e">
        <f t="shared" si="162"/>
        <v>#VALUE!</v>
      </c>
      <c r="BX192" s="2" t="s">
        <v>12</v>
      </c>
      <c r="BZ192" s="74" t="e">
        <f t="shared" si="193"/>
        <v>#VALUE!</v>
      </c>
      <c r="CA192" s="74" t="e">
        <f t="shared" si="194"/>
        <v>#VALUE!</v>
      </c>
      <c r="CB192" s="5" t="str">
        <f t="shared" si="163"/>
        <v/>
      </c>
      <c r="CC192" s="5" t="e">
        <f t="shared" si="164"/>
        <v>#VALUE!</v>
      </c>
      <c r="CD192" s="2" t="e">
        <f t="shared" si="165"/>
        <v>#VALUE!</v>
      </c>
      <c r="CE192" s="69" t="e">
        <f t="shared" si="166"/>
        <v>#VALUE!</v>
      </c>
      <c r="CF192" s="5" t="s">
        <v>12</v>
      </c>
      <c r="CH192" s="72" t="e">
        <f t="shared" si="195"/>
        <v>#VALUE!</v>
      </c>
      <c r="CI192" s="72" t="e">
        <f t="shared" si="196"/>
        <v>#VALUE!</v>
      </c>
      <c r="CJ192" s="5" t="str">
        <f t="shared" si="167"/>
        <v/>
      </c>
      <c r="CK192" s="5" t="e">
        <f t="shared" si="168"/>
        <v>#VALUE!</v>
      </c>
      <c r="CL192" s="69" t="e">
        <f t="shared" si="169"/>
        <v>#VALUE!</v>
      </c>
      <c r="CN192" s="70" t="str">
        <f t="shared" si="170"/>
        <v/>
      </c>
      <c r="CO192" s="5" t="str">
        <f t="shared" si="171"/>
        <v>UF</v>
      </c>
      <c r="CP192" s="5" t="str">
        <f>IF(G192&lt;48,"UF", IF(NOT(ISBLANK(CM:CM)), CM:CM, IF(BW:BW=1, BV:BV+Sheet2!B252, IF(Sheet1!BW:BW=2, Sheet1!BV:BV+Sheet2!B253, IF(Sheet1!BW:BW=7, Sheet1!BV:BV+Sheet2!B254,"")))))</f>
        <v>UF</v>
      </c>
      <c r="CQ192" s="69" t="str">
        <f t="shared" si="197"/>
        <v/>
      </c>
      <c r="CR192" s="5" t="s">
        <v>12</v>
      </c>
      <c r="CT192" s="5" t="str">
        <f t="shared" si="172"/>
        <v/>
      </c>
      <c r="CU192" s="80" t="str">
        <f t="shared" si="173"/>
        <v>UF</v>
      </c>
      <c r="CV192" s="80" t="str">
        <f t="shared" si="174"/>
        <v>UF</v>
      </c>
      <c r="CW192" s="20" t="str">
        <f>IF(G192&lt;48,"UF", IF(NOT(ISBLANK(CS192)), CS192, IF(CE192=5, CC192+Sheet2!B241, IF(CE192=6, CC192+Sheet2!B242, IF(CE192=7, CC192+Sheet2!B243,"")))))</f>
        <v>UF</v>
      </c>
      <c r="CX192" s="68" t="str">
        <f t="shared" si="198"/>
        <v/>
      </c>
      <c r="CY192" s="5" t="s">
        <v>12</v>
      </c>
      <c r="DA192" s="5" t="str">
        <f t="shared" si="175"/>
        <v>UF</v>
      </c>
      <c r="DB192" s="73" t="str">
        <f t="shared" si="176"/>
        <v>UF</v>
      </c>
      <c r="DC192" s="73" t="str">
        <f t="shared" si="177"/>
        <v>UF</v>
      </c>
      <c r="DD192" s="5" t="str">
        <f>IF(G192&lt;48,"UF", IF(NOT(ISBLANK(CZ:CZ)), CZ:CZ, IF(CL:CL=3, CK:CK+Sheet2!B246, IF(CL:CL=4, CK:CK+Sheet2!B247, IF(CL:CL=7, CK:CK+Sheet2!B248,"")))))</f>
        <v>UF</v>
      </c>
      <c r="DE192" s="69" t="str">
        <f t="shared" si="202"/>
        <v/>
      </c>
      <c r="DF192" s="2">
        <v>1</v>
      </c>
      <c r="DG192" s="2">
        <v>24</v>
      </c>
      <c r="DH192" s="2">
        <v>1</v>
      </c>
      <c r="DI192" s="2">
        <v>2</v>
      </c>
      <c r="DJ192" s="2">
        <v>3</v>
      </c>
      <c r="DK192" s="2" t="s">
        <v>12</v>
      </c>
      <c r="DL192" s="2" t="s">
        <v>12</v>
      </c>
      <c r="DM192" s="2" t="s">
        <v>12</v>
      </c>
      <c r="DN192" s="2" t="s">
        <v>12</v>
      </c>
      <c r="DO192" s="2">
        <v>90</v>
      </c>
      <c r="DP192" s="2">
        <v>70</v>
      </c>
      <c r="DQ192" s="2">
        <v>2</v>
      </c>
      <c r="DR192" s="2">
        <v>40</v>
      </c>
      <c r="DS192" s="2">
        <v>3</v>
      </c>
      <c r="DT192" s="2" t="s">
        <v>12</v>
      </c>
      <c r="DU192" s="2">
        <v>75</v>
      </c>
      <c r="DV192" s="2">
        <v>2</v>
      </c>
      <c r="DW192" s="2">
        <v>3</v>
      </c>
      <c r="DX192" s="2">
        <v>2</v>
      </c>
      <c r="DY192" s="2">
        <v>2</v>
      </c>
      <c r="DZ192" s="2">
        <v>33</v>
      </c>
      <c r="EA192" s="2">
        <v>35</v>
      </c>
      <c r="EB192" s="2" t="s">
        <v>12</v>
      </c>
      <c r="EC192" s="2">
        <v>1</v>
      </c>
      <c r="ED192" s="2" t="s">
        <v>12</v>
      </c>
    </row>
    <row r="193" spans="3:134" x14ac:dyDescent="0.25">
      <c r="C193" s="8" t="s">
        <v>146</v>
      </c>
      <c r="D193" s="2">
        <v>2501022300</v>
      </c>
      <c r="E193" s="2">
        <v>5</v>
      </c>
      <c r="F193" s="2">
        <v>2</v>
      </c>
      <c r="G193" s="2">
        <v>45</v>
      </c>
      <c r="H193" s="2">
        <v>0.44982232315557102</v>
      </c>
      <c r="I193" s="2">
        <v>50</v>
      </c>
      <c r="J193" s="2">
        <v>6.1168777667580831E-2</v>
      </c>
      <c r="K193" s="5">
        <v>3500</v>
      </c>
      <c r="L193" s="2">
        <v>0.30975760258732121</v>
      </c>
      <c r="M193" s="2">
        <v>-0.182</v>
      </c>
      <c r="N193" s="2">
        <f t="shared" si="137"/>
        <v>-0.85471116157778559</v>
      </c>
      <c r="O193" s="2">
        <f t="shared" si="138"/>
        <v>-0.182</v>
      </c>
      <c r="P193" s="2">
        <v>68</v>
      </c>
      <c r="Q193" s="2">
        <v>0.17</v>
      </c>
      <c r="R193" s="5">
        <f t="shared" si="139"/>
        <v>2.4415611166209585E-2</v>
      </c>
      <c r="S193" s="5">
        <f t="shared" si="140"/>
        <v>0.17</v>
      </c>
      <c r="T193" s="1">
        <v>7900</v>
      </c>
      <c r="U193" s="2">
        <v>-0.04</v>
      </c>
      <c r="V193" s="2">
        <f t="shared" si="141"/>
        <v>-0.57987880129366065</v>
      </c>
      <c r="W193" s="2">
        <f t="shared" si="142"/>
        <v>-0.04</v>
      </c>
      <c r="X193" s="2">
        <v>-1.2596000000000001</v>
      </c>
      <c r="Y193" s="76">
        <f t="shared" si="179"/>
        <v>-1.7094223231555712</v>
      </c>
      <c r="Z193" s="76">
        <f t="shared" si="180"/>
        <v>-2</v>
      </c>
      <c r="AA193" s="2">
        <f t="shared" si="143"/>
        <v>-1.22055</v>
      </c>
      <c r="AB193" s="2">
        <f t="shared" si="144"/>
        <v>-1.2596000000000001</v>
      </c>
      <c r="AC193" s="2">
        <v>76</v>
      </c>
      <c r="AD193" s="2">
        <v>0.11</v>
      </c>
      <c r="AE193" s="79">
        <f t="shared" si="181"/>
        <v>4.8831222332419169E-2</v>
      </c>
      <c r="AF193" s="79">
        <f t="shared" si="182"/>
        <v>1</v>
      </c>
      <c r="AG193" s="2">
        <f t="shared" si="200"/>
        <v>-0.13500000000000001</v>
      </c>
      <c r="AH193" s="2">
        <f t="shared" si="145"/>
        <v>0.11</v>
      </c>
      <c r="AI193" s="2">
        <v>8790</v>
      </c>
      <c r="AJ193" s="2">
        <v>-0.85</v>
      </c>
      <c r="AK193" s="76">
        <f t="shared" si="183"/>
        <v>-1.1597576025873213</v>
      </c>
      <c r="AL193" s="76">
        <f t="shared" si="184"/>
        <v>-2</v>
      </c>
      <c r="AM193" s="2">
        <f t="shared" si="146"/>
        <v>-0.78</v>
      </c>
      <c r="AN193" s="2">
        <f t="shared" si="147"/>
        <v>-0.85</v>
      </c>
      <c r="AO193" s="2">
        <v>-2.2711000000000001</v>
      </c>
      <c r="AP193" s="2" t="str">
        <f t="shared" si="148"/>
        <v/>
      </c>
      <c r="AQ193" s="2">
        <f t="shared" si="149"/>
        <v>-2.2711000000000001</v>
      </c>
      <c r="AR193" s="2">
        <v>82</v>
      </c>
      <c r="AS193" s="2">
        <v>-0.1</v>
      </c>
      <c r="AT193" s="2" t="str">
        <f t="shared" si="150"/>
        <v/>
      </c>
      <c r="AU193" s="2">
        <f t="shared" si="151"/>
        <v>-0.1</v>
      </c>
      <c r="AV193" s="2">
        <v>9150</v>
      </c>
      <c r="AW193" s="2">
        <v>-1.6</v>
      </c>
      <c r="AX193" s="2" t="str">
        <f t="shared" si="152"/>
        <v/>
      </c>
      <c r="AY193" s="2">
        <f t="shared" si="153"/>
        <v>-1.6</v>
      </c>
      <c r="BA193" s="78" t="e">
        <f t="shared" si="185"/>
        <v>#VALUE!</v>
      </c>
      <c r="BB193" s="78" t="e">
        <f t="shared" si="186"/>
        <v>#VALUE!</v>
      </c>
      <c r="BC193" s="2" t="str">
        <f t="shared" si="154"/>
        <v/>
      </c>
      <c r="BD193" s="2" t="e">
        <f t="shared" si="155"/>
        <v>#VALUE!</v>
      </c>
      <c r="BE193" s="67" t="e">
        <f t="shared" si="187"/>
        <v>#VALUE!</v>
      </c>
      <c r="BF193" s="2" t="s">
        <v>12</v>
      </c>
      <c r="BH193" s="2" t="str">
        <f t="shared" si="156"/>
        <v/>
      </c>
      <c r="BI193" s="2" t="e">
        <f t="shared" si="157"/>
        <v>#VALUE!</v>
      </c>
      <c r="BJ193" s="67" t="e">
        <f t="shared" si="158"/>
        <v>#VALUE!</v>
      </c>
      <c r="BK193" s="2" t="s">
        <v>12</v>
      </c>
      <c r="BM193" s="77" t="e">
        <f t="shared" si="188"/>
        <v>#VALUE!</v>
      </c>
      <c r="BN193" s="77" t="e">
        <f t="shared" si="189"/>
        <v>#VALUE!</v>
      </c>
      <c r="BO193" s="2" t="str">
        <f t="shared" si="159"/>
        <v/>
      </c>
      <c r="BP193" s="2" t="e">
        <f t="shared" si="160"/>
        <v>#VALUE!</v>
      </c>
      <c r="BQ193" s="67" t="e">
        <f t="shared" si="190"/>
        <v>#VALUE!</v>
      </c>
      <c r="BS193" s="75" t="e">
        <f t="shared" si="191"/>
        <v>#VALUE!</v>
      </c>
      <c r="BT193" s="75" t="e">
        <f t="shared" si="192"/>
        <v>#VALUE!</v>
      </c>
      <c r="BU193" s="5" t="str">
        <f>IF(G199&gt;=36, IF(AND(NOT(ISBLANK(CM:CM)), NOT(ISBLANK(BD:BD))), (CM:CM-BD:BD)/2, ""), "UF")</f>
        <v/>
      </c>
      <c r="BV193" s="5" t="e">
        <f t="shared" si="161"/>
        <v>#VALUE!</v>
      </c>
      <c r="BW193" s="69" t="e">
        <f t="shared" si="162"/>
        <v>#VALUE!</v>
      </c>
      <c r="BX193" s="2" t="s">
        <v>12</v>
      </c>
      <c r="BZ193" s="74" t="e">
        <f t="shared" si="193"/>
        <v>#VALUE!</v>
      </c>
      <c r="CA193" s="74" t="e">
        <f t="shared" si="194"/>
        <v>#VALUE!</v>
      </c>
      <c r="CB193" s="5" t="str">
        <f t="shared" si="163"/>
        <v/>
      </c>
      <c r="CC193" s="5" t="e">
        <f t="shared" si="164"/>
        <v>#VALUE!</v>
      </c>
      <c r="CD193" s="2" t="e">
        <f t="shared" si="165"/>
        <v>#VALUE!</v>
      </c>
      <c r="CE193" s="69" t="e">
        <f t="shared" si="166"/>
        <v>#VALUE!</v>
      </c>
      <c r="CF193" s="5" t="s">
        <v>12</v>
      </c>
      <c r="CH193" s="72" t="e">
        <f t="shared" si="195"/>
        <v>#VALUE!</v>
      </c>
      <c r="CI193" s="72" t="e">
        <f t="shared" si="196"/>
        <v>#VALUE!</v>
      </c>
      <c r="CJ193" s="5" t="str">
        <f t="shared" si="167"/>
        <v/>
      </c>
      <c r="CK193" s="5" t="e">
        <f t="shared" si="168"/>
        <v>#VALUE!</v>
      </c>
      <c r="CL193" s="69" t="e">
        <f t="shared" si="169"/>
        <v>#VALUE!</v>
      </c>
      <c r="CN193" s="70" t="str">
        <f t="shared" si="170"/>
        <v/>
      </c>
      <c r="CO193" s="5" t="str">
        <f t="shared" si="171"/>
        <v>UF</v>
      </c>
      <c r="CP193" s="5" t="str">
        <f>IF(G193&lt;48,"UF", IF(NOT(ISBLANK(CM:CM)), CM:CM, IF(BW:BW=1, BV:BV+Sheet2!B242, IF(Sheet1!BW:BW=2, Sheet1!BV:BV+Sheet2!B243, IF(Sheet1!BW:BW=7, Sheet1!BV:BV+Sheet2!B244,"")))))</f>
        <v>UF</v>
      </c>
      <c r="CQ193" s="69" t="str">
        <f t="shared" si="197"/>
        <v/>
      </c>
      <c r="CR193" s="5" t="s">
        <v>12</v>
      </c>
      <c r="CT193" s="5" t="str">
        <f t="shared" si="172"/>
        <v/>
      </c>
      <c r="CU193" s="80" t="str">
        <f t="shared" si="173"/>
        <v>UF</v>
      </c>
      <c r="CV193" s="80" t="str">
        <f t="shared" si="174"/>
        <v>UF</v>
      </c>
      <c r="CW193" s="20" t="str">
        <f>IF(G193&lt;48,"UF", IF(NOT(ISBLANK(CS193)), CS193, IF(CE193=5, CC193+Sheet2!B231, IF(CE193=6, CC193+Sheet2!B232, IF(CE193=7, CC193+Sheet2!B233,"")))))</f>
        <v>UF</v>
      </c>
      <c r="CX193" s="68" t="str">
        <f t="shared" si="198"/>
        <v/>
      </c>
      <c r="CY193" s="5" t="s">
        <v>12</v>
      </c>
      <c r="DA193" s="5" t="str">
        <f t="shared" si="175"/>
        <v>UF</v>
      </c>
      <c r="DB193" s="73" t="str">
        <f t="shared" si="176"/>
        <v>UF</v>
      </c>
      <c r="DC193" s="73" t="str">
        <f t="shared" si="177"/>
        <v>UF</v>
      </c>
      <c r="DD193" s="5" t="str">
        <f>IF(G193&lt;48,"UF", IF(NOT(ISBLANK(CZ:CZ)), CZ:CZ, IF(CL:CL=3, CK:CK+Sheet2!B236, IF(CL:CL=4, CK:CK+Sheet2!B237, IF(CL:CL=7, CK:CK+Sheet2!B238,"")))))</f>
        <v>UF</v>
      </c>
      <c r="DE193" s="69" t="str">
        <f t="shared" si="202"/>
        <v/>
      </c>
      <c r="DF193" s="2">
        <v>2</v>
      </c>
      <c r="DG193" s="2">
        <v>25</v>
      </c>
      <c r="DH193" s="2">
        <v>2</v>
      </c>
      <c r="DI193" s="2">
        <v>2</v>
      </c>
      <c r="DJ193" s="2">
        <v>3</v>
      </c>
      <c r="DK193" s="2" t="s">
        <v>12</v>
      </c>
      <c r="DL193" s="2" t="s">
        <v>12</v>
      </c>
      <c r="DM193" s="2" t="s">
        <v>12</v>
      </c>
      <c r="DN193" s="2" t="s">
        <v>12</v>
      </c>
      <c r="DO193" s="2" t="s">
        <v>12</v>
      </c>
      <c r="DP193" s="2" t="s">
        <v>12</v>
      </c>
      <c r="DQ193" s="2">
        <v>2</v>
      </c>
      <c r="DR193" s="2">
        <v>40</v>
      </c>
      <c r="DS193" s="2">
        <v>3</v>
      </c>
      <c r="DT193" s="2" t="s">
        <v>12</v>
      </c>
      <c r="DU193" s="2" t="s">
        <v>12</v>
      </c>
      <c r="DV193" s="2">
        <v>3</v>
      </c>
      <c r="DW193" s="2">
        <v>2</v>
      </c>
      <c r="DX193" s="2">
        <v>2</v>
      </c>
      <c r="DY193" s="2">
        <v>3</v>
      </c>
      <c r="DZ193" s="2">
        <v>34</v>
      </c>
      <c r="EA193" s="2">
        <v>35</v>
      </c>
      <c r="EB193" s="2">
        <v>44.5</v>
      </c>
      <c r="EC193" s="2">
        <v>1</v>
      </c>
      <c r="ED193" s="2">
        <v>1</v>
      </c>
    </row>
    <row r="194" spans="3:134" x14ac:dyDescent="0.25">
      <c r="C194" s="8" t="s">
        <v>125</v>
      </c>
      <c r="D194" s="8">
        <v>2501022394</v>
      </c>
      <c r="E194" s="5">
        <v>7</v>
      </c>
      <c r="F194" s="2">
        <v>1</v>
      </c>
      <c r="G194" s="2">
        <v>46</v>
      </c>
      <c r="H194" s="2">
        <v>-3.500856800989677</v>
      </c>
      <c r="I194" s="2">
        <v>42</v>
      </c>
      <c r="J194" s="2">
        <v>-3.837284186241364</v>
      </c>
      <c r="K194" s="2">
        <v>1700</v>
      </c>
      <c r="L194" s="2">
        <v>-3.919263417670658</v>
      </c>
      <c r="M194" s="2">
        <v>-1.6378999999999999</v>
      </c>
      <c r="N194" s="2">
        <f t="shared" ref="N194:N257" si="203">IF(AND(NOT(ISBLANK(H:H)), NOT(ISBLANK(X:X))), (X:X - H:H)/2, "")</f>
        <v>2.1391784004948384</v>
      </c>
      <c r="O194" s="2">
        <f t="shared" ref="O194:O257" si="204">IF(NOT(ISBLANK(M:M)),M:M,IF(AND(NOT(ISBLANK(N:N)),NOT(ISBLANK(H:H))),H:H+N:N,""))</f>
        <v>-1.6378999999999999</v>
      </c>
      <c r="P194" s="2">
        <v>69</v>
      </c>
      <c r="Q194" s="2">
        <v>1.43</v>
      </c>
      <c r="R194" s="5">
        <f t="shared" ref="R194:R257" si="205">IF(AND(NOT(ISBLANK(J194)), NOT(ISBLANK(AD194))), (AD194 - J194)/2, "")</f>
        <v>1.918642093120682</v>
      </c>
      <c r="S194" s="5">
        <f t="shared" ref="S194:S257" si="206">IF(NOT(ISBLANK(Q194)),Q194,IF(AND(NOT(ISBLANK(J194)),NOT(ISBLANK(R194))),J194+R194,""))</f>
        <v>1.43</v>
      </c>
      <c r="T194" s="2">
        <v>8500</v>
      </c>
      <c r="U194" s="2">
        <v>-0.4</v>
      </c>
      <c r="V194" s="2">
        <f t="shared" ref="V194:V257" si="207">IF(AND(NOT(ISBLANK(L194)), NOT(ISBLANK(AJ194))), (AJ194 - L194)/2, "")</f>
        <v>2.2446317088353291</v>
      </c>
      <c r="W194" s="2">
        <f t="shared" ref="W194:W257" si="208">IF(NOT(ISBLANK(U194)), U194, IF(AND(NOT(ISBLANK(L194)), NOT(ISBLANK(V194))), L194 + V194, ""))</f>
        <v>-0.4</v>
      </c>
      <c r="X194" s="2">
        <v>0.77749999999999997</v>
      </c>
      <c r="Y194" s="76">
        <f t="shared" si="179"/>
        <v>4.2783568009896769</v>
      </c>
      <c r="Z194" s="76">
        <f t="shared" si="180"/>
        <v>2</v>
      </c>
      <c r="AA194" s="2">
        <f t="shared" ref="AA194:AA257" si="209">IF(AND(NOT(ISBLANK(S:S)), NOT(ISBLANK(AO:AO))), (AO:AO- S:S)/2, "")</f>
        <v>-0.54089999999999994</v>
      </c>
      <c r="AB194" s="2">
        <f t="shared" ref="AB194:AB257" si="210">IF(NOT(ISBLANK(X:X)),X:X,IF(AND(NOT(ISBLANK(O:O)),NOT(ISBLANK(AA:AA))),O:O+AA:AA,""))</f>
        <v>0.77749999999999997</v>
      </c>
      <c r="AC194" s="2">
        <v>74</v>
      </c>
      <c r="AD194" s="2">
        <v>0</v>
      </c>
      <c r="AE194" s="79">
        <f t="shared" si="181"/>
        <v>3.837284186241364</v>
      </c>
      <c r="AF194" s="79">
        <f t="shared" si="182"/>
        <v>2</v>
      </c>
      <c r="AG194" s="2">
        <f t="shared" si="200"/>
        <v>-0.495</v>
      </c>
      <c r="AH194" s="2">
        <f t="shared" ref="AH194:AH257" si="211">IF(NOT(ISBLANK(AD194)), AD194, IF(AND(NOT(ISBLANK(S194)), NOT(ISBLANK(AG194))), S194 + AG194, ""))</f>
        <v>0</v>
      </c>
      <c r="AI194" s="2">
        <v>9600</v>
      </c>
      <c r="AJ194" s="2">
        <v>0.56999999999999995</v>
      </c>
      <c r="AK194" s="76">
        <f t="shared" si="183"/>
        <v>4.4892634176706583</v>
      </c>
      <c r="AL194" s="76">
        <f t="shared" si="184"/>
        <v>2</v>
      </c>
      <c r="AM194" s="2">
        <f t="shared" ref="AM194:AM257" si="212">IF(AND(NOT(ISBLANK(W194)), NOT(ISBLANK(AW194))), (AW194 - W194)/2, "")</f>
        <v>0.45500000000000002</v>
      </c>
      <c r="AN194" s="2">
        <f t="shared" ref="AN194:AN257" si="213">IF(NOT(ISBLANK(AJ194)), AJ194, IF(AND(NOT(ISBLANK(W194)), NOT(ISBLANK(AM194))), W194 + AM194, ""))</f>
        <v>0.56999999999999995</v>
      </c>
      <c r="AO194" s="2">
        <v>0.34820000000000001</v>
      </c>
      <c r="AP194" s="2">
        <f t="shared" ref="AP194:AP257" si="214">IF(AND(NOT(ISBLANK(AB:AB)), NOT(ISBLANK(AZ:AZ))), (AZ:AZ - AB:AB)/2, "")</f>
        <v>0.26018401841052846</v>
      </c>
      <c r="AQ194" s="2">
        <f t="shared" ref="AQ194:AQ257" si="215">IF(NOT(ISBLANK(AO:AO)),AO:AO,IF(AND(NOT(ISBLANK(AB:AB)),NOT(ISBLANK(AP:AP))),AP:AP+AB:AB,""))</f>
        <v>0.34820000000000001</v>
      </c>
      <c r="AR194" s="2">
        <v>82</v>
      </c>
      <c r="AS194" s="2">
        <v>0.44</v>
      </c>
      <c r="AT194" s="2">
        <f t="shared" ref="AT194:AT257" si="216">IF(AND(NOT(ISBLANK(AH194)), NOT(ISBLANK(BG194))), (BG194 - AH194)/2, "")</f>
        <v>-0.20014376441753856</v>
      </c>
      <c r="AU194" s="2">
        <f t="shared" ref="AU194:AU257" si="217">IF(NOT(ISBLANK(AS194)), AS194, IF(AND(NOT(ISBLANK(AH194)), NOT(ISBLANK(AT194))), AH194 + AT194, ""))</f>
        <v>0.44</v>
      </c>
      <c r="AV194" s="2">
        <v>10900</v>
      </c>
      <c r="AW194" s="2">
        <v>0.51</v>
      </c>
      <c r="AX194" s="2">
        <f t="shared" ref="AX194:AX257" si="218">IF(AND(NOT(ISBLANK(AN194)), NOT(ISBLANK(BL194))), (BL194 - AN194)/2, "")</f>
        <v>2.6571185740214887E-2</v>
      </c>
      <c r="AY194" s="2">
        <f t="shared" ref="AY194:AY257" si="219">IF(NOT(ISBLANK(AW194)), AW194, IF(AND(NOT(ISBLANK(AN194)), NOT(ISBLANK(AX194))),AN194 + AX194, ""))</f>
        <v>0.51</v>
      </c>
      <c r="AZ194" s="2">
        <v>1.2978680368210569</v>
      </c>
      <c r="BA194" s="78">
        <f t="shared" si="185"/>
        <v>0.52036803682105692</v>
      </c>
      <c r="BB194" s="78">
        <f t="shared" si="186"/>
        <v>1</v>
      </c>
      <c r="BC194" s="2">
        <f t="shared" ref="BC194:BC257" si="220">IF(AND(NOT(ISBLANK(AQ:AQ)), NOT(ISBLANK(BR:BR))), (BR:BR - AQ:AQ)/3, "")</f>
        <v>-0.73726776419856066</v>
      </c>
      <c r="BD194" s="2">
        <f t="shared" ref="BD194:BD257" si="221">IF(NOT(ISBLANK(AZ:AZ)),AZ:AZ,IF(AND(NOT(ISBLANK(BC:BC)),NOT(ISBLANK(AQ:AQ))),AQ:AQ+BC:BC,""))</f>
        <v>1.2978680368210569</v>
      </c>
      <c r="BE194" s="67">
        <f t="shared" si="187"/>
        <v>7</v>
      </c>
      <c r="BF194" s="2">
        <v>84</v>
      </c>
      <c r="BG194" s="2">
        <v>-0.40028752883507712</v>
      </c>
      <c r="BH194" s="2">
        <f t="shared" ref="BH194:BH257" si="222">IF(AND(NOT(ISBLANK(AU194)), NOT(ISBLANK(BY194))), (BY194 - AU194)/3, "")</f>
        <v>8.6414581874408258E-2</v>
      </c>
      <c r="BI194" s="2">
        <f t="shared" ref="BI194:BI257" si="223">IF(NOT(ISBLANK(BG194)), BG194, IF(AND(NOT(ISBLANK(AU194)), NOT(ISBLANK(BH194))),AU194 + BH194, ""))</f>
        <v>-0.40028752883507712</v>
      </c>
      <c r="BJ194" s="67">
        <f t="shared" ref="BJ194:BJ257" si="224">IF(BI:BI&lt;-3,5,IF(AND(BI:BI&gt;=-3,BI:BI&lt;-2),6,IF(AND(BI:BI&gt;=-2,BI:BI&lt;=2),7,"")))</f>
        <v>7</v>
      </c>
      <c r="BK194" s="2">
        <v>13000</v>
      </c>
      <c r="BL194" s="2">
        <v>0.62314237148042972</v>
      </c>
      <c r="BM194" s="77">
        <f t="shared" si="188"/>
        <v>5.3142371480429773E-2</v>
      </c>
      <c r="BN194" s="77">
        <f t="shared" si="189"/>
        <v>1</v>
      </c>
      <c r="BO194" s="2">
        <f t="shared" ref="BO194:BO257" si="225">IF(AND(NOT(ISBLANK(AY194)), NOT(ISBLANK(CG194))), (CG194 - AY194)/3, "")</f>
        <v>-0.37211642637521553</v>
      </c>
      <c r="BP194" s="2">
        <f t="shared" ref="BP194:BP257" si="226">IF(NOT(ISBLANK(BL194)), BL194, IF(AND(NOT(ISBLANK(AY194)), NOT(ISBLANK(BO194))),AY194 + BO194, ""))</f>
        <v>0.62314237148042972</v>
      </c>
      <c r="BQ194" s="67">
        <f t="shared" si="190"/>
        <v>7</v>
      </c>
      <c r="BR194" s="5">
        <v>-1.863603292595682</v>
      </c>
      <c r="BS194" s="75">
        <f t="shared" si="191"/>
        <v>-3.1614713294167389</v>
      </c>
      <c r="BT194" s="75">
        <f t="shared" si="192"/>
        <v>-2</v>
      </c>
      <c r="BU194" s="5" t="str">
        <f>IF(G200&gt;=36, IF(AND(NOT(ISBLANK(CM:CM)), NOT(ISBLANK(BD:BD))), (CM:CM-BD:BD)/2, ""), "UF")</f>
        <v/>
      </c>
      <c r="BV194" s="5">
        <f t="shared" ref="BV194:BV257" si="227">IF(G194&gt;=36, IF(NOT(ISBLANK(BR:BR)), BR:BR, IF(AND(NOT(ISBLANK(BD:BD)), NOT(ISBLANK(BU:BU))),BD:BD + BU:BU, "")), "UF")</f>
        <v>-1.863603292595682</v>
      </c>
      <c r="BW194" s="69">
        <f t="shared" ref="BW194:BW257" si="228">IF(BV:BV&lt;-3,1,IF(AND(BV:BV&gt;=-3,BV:BV&lt;-2),2,IF(AND(BV:BV&gt;=-2,BV:BV&lt;=2),7,"")))</f>
        <v>7</v>
      </c>
      <c r="BX194" s="2">
        <v>97</v>
      </c>
      <c r="BY194" s="5">
        <v>0.69924374562322478</v>
      </c>
      <c r="BZ194" s="74">
        <f t="shared" si="193"/>
        <v>7.6101374142795053E-2</v>
      </c>
      <c r="CA194" s="74">
        <f t="shared" si="194"/>
        <v>1</v>
      </c>
      <c r="CB194" s="5" t="str">
        <f t="shared" ref="CB194:CB257" si="229">IF(G194&gt;=36, IF(AND(NOT(ISBLANK(BI194)), NOT(ISBLANK(CS194))), (CS194-BI194)/2, ""), "UF")</f>
        <v/>
      </c>
      <c r="CC194" s="5">
        <f t="shared" ref="CC194:CC257" si="230">IF(G194&gt;=36, IF(NOT(ISBLANK(BY194)), BY194, IF(AND(NOT(ISBLANK(CB194)), NOT(ISBLANK(BI194))),CB194 + BI194, "")), "UF")</f>
        <v>0.69924374562322478</v>
      </c>
      <c r="CD194" s="2">
        <f t="shared" ref="CD194:CD257" si="231">IF(AND(NOT(ISBLANK(BI:BI)), NOT(ISBLANK(CC:CC))), CC:CC-BI:BI, "")</f>
        <v>1.0995312744583019</v>
      </c>
      <c r="CE194" s="69">
        <f t="shared" ref="CE194:CE257" si="232">IF(CC194&lt;-3,5,IF(AND(CC194&gt;=-3,CC194&lt;-2),6,IF(AND(CC194&gt;=-2,CC194&lt;=2),7,"")))</f>
        <v>7</v>
      </c>
      <c r="CF194" s="5">
        <v>13000</v>
      </c>
      <c r="CG194" s="5">
        <v>-0.60634927912564673</v>
      </c>
      <c r="CH194" s="72">
        <f t="shared" si="195"/>
        <v>-1.2294916506060765</v>
      </c>
      <c r="CI194" s="72">
        <f t="shared" si="196"/>
        <v>-2</v>
      </c>
      <c r="CJ194" s="5" t="str">
        <f t="shared" ref="CJ194:CJ257" si="233">IF(G194&gt;=36, IF(AND(NOT(ISBLANK(BP194)), NOT(ISBLANK(CZ194))), (CZ194-BP194)/2, ""), "UF")</f>
        <v/>
      </c>
      <c r="CK194" s="5">
        <f t="shared" ref="CK194:CK257" si="234">IF(G194&gt;=36, IF(NOT(ISBLANK(CG194)), CG194, IF(AND(NOT(ISBLANK(BP194)), NOT(ISBLANK(CJ194))),BP194 + CJ194, "")), "UF")</f>
        <v>-0.60634927912564673</v>
      </c>
      <c r="CL194" s="69">
        <f t="shared" ref="CL194:CL257" si="235">IF(CK:CK&lt;-3,3,IF(AND(CK:CK&gt;=-3,CK:CK&lt;-2),4,IF(AND(CK:CK&gt;=-2,CK:CK&lt;=2),7,"")))</f>
        <v>7</v>
      </c>
      <c r="CN194" s="70" t="str">
        <f t="shared" ref="CN194:CN257" si="236">IF(AND(NOT(ISBLANK(BV:BV)), NOT(ISBLANK(CM:CM))), CM:CM-BV:BV, "")</f>
        <v/>
      </c>
      <c r="CO194" s="5" t="str">
        <f t="shared" ref="CO194:CO257" si="237">IF(G194&lt;48,"UF",IF(AND(NOT(ISBLANK(BV:BV)),NOT(ISBLANK(CP:CP))),CP:CP-BV:BV,""))</f>
        <v>UF</v>
      </c>
      <c r="CP194" s="5" t="str">
        <f>IF(G194&lt;48,"UF", IF(NOT(ISBLANK(CM:CM)), CM:CM, IF(BW:BW=1, BV:BV+Sheet2!B538, IF(Sheet1!BW:BW=2, Sheet1!BV:BV+Sheet2!B539, IF(Sheet1!BW:BW=7, Sheet1!BV:BV+Sheet2!B540,"")))))</f>
        <v>UF</v>
      </c>
      <c r="CQ194" s="69" t="str">
        <f t="shared" si="197"/>
        <v/>
      </c>
      <c r="CR194" s="5" t="s">
        <v>12</v>
      </c>
      <c r="CT194" s="5" t="str">
        <f t="shared" ref="CT194:CT257" si="238">IF(AND(NOT(ISBLANK(CC194)), NOT(ISBLANK(CS194))), CS194-CC194, "")</f>
        <v/>
      </c>
      <c r="CU194" s="80" t="str">
        <f t="shared" ref="CU194:CU257" si="239">IF(G194&lt;48,"UF",IF(AND(NOT(ISBLANK(CW:CW)), NOT(ISBLANK(CC:CC))), CW:CW-CC:CC, ""))</f>
        <v>UF</v>
      </c>
      <c r="CV194" s="80" t="str">
        <f t="shared" ref="CV194:CV257" si="240">IF(CU:CU=""," ",IF(G194&lt;48,"UF",IF(CU:CU&gt;0.67,2,IF(AND(CU:CU&gt;0,CU:CU&lt;=0.67),1,IF(AND(CU:CU&gt;=-0.67,CU:CU&lt;=0),-1,IF(CU:CU&lt;-0.67,-2))))))</f>
        <v>UF</v>
      </c>
      <c r="CW194" s="20" t="str">
        <f>IF(G194&lt;48,"UF", IF(NOT(ISBLANK(CS194)), CS194, IF(CE194=5, CC194+Sheet2!B527, IF(CE194=6, CC194+Sheet2!B528, IF(CE194=7, CC194+Sheet2!B529,"")))))</f>
        <v>UF</v>
      </c>
      <c r="CX194" s="68" t="str">
        <f t="shared" si="198"/>
        <v/>
      </c>
      <c r="CY194" s="5" t="s">
        <v>12</v>
      </c>
      <c r="DA194" s="5" t="str">
        <f t="shared" ref="DA194:DA257" si="241">IF(G194&lt;48,"UF",IF(AND(NOT(ISBLANK(CZ:CZ)), NOT(ISBLANK(CK:CK))), CZ:CZ-CK:CK, ""))</f>
        <v>UF</v>
      </c>
      <c r="DB194" s="73" t="str">
        <f t="shared" ref="DB194:DB257" si="242">IF(G194&lt;48,"UF",IF(AND(NOT(ISBLANK(DD:DD)), NOT(ISBLANK(CK:CK))), DD:DD-CK:CK, ""))</f>
        <v>UF</v>
      </c>
      <c r="DC194" s="73" t="str">
        <f t="shared" ref="DC194:DC257" si="243">IF(DB:DB=""," ",IF(G194&lt;48,"UF",IF(DB:DB&gt;0.67,2,IF(AND(DB:DB&gt;0,DB:DB&lt;=0.67),1,IF(AND(DB:DB&gt;=-0.67,DB:DB&lt;=0),-1,IF(DB:DB&lt;-0.67,-2))))))</f>
        <v>UF</v>
      </c>
      <c r="DD194" s="5" t="str">
        <f>IF(G194&lt;48,"UF", IF(NOT(ISBLANK(CZ:CZ)), CZ:CZ, IF(CL:CL=3, CK:CK+Sheet2!B532, IF(CL:CL=4, CK:CK+Sheet2!B533, IF(CL:CL=7, CK:CK+Sheet2!B534,"")))))</f>
        <v>UF</v>
      </c>
      <c r="DE194" s="69" t="str">
        <f t="shared" si="202"/>
        <v/>
      </c>
      <c r="DF194" s="2">
        <v>2</v>
      </c>
      <c r="DG194" s="2">
        <v>29</v>
      </c>
      <c r="DH194" s="2">
        <v>1</v>
      </c>
      <c r="DI194" s="2">
        <v>2</v>
      </c>
      <c r="DJ194" s="2">
        <v>2</v>
      </c>
      <c r="DK194" s="2">
        <v>111</v>
      </c>
      <c r="DL194" s="2">
        <v>70</v>
      </c>
      <c r="DM194" s="2">
        <v>100</v>
      </c>
      <c r="DN194" s="2">
        <v>60</v>
      </c>
      <c r="DO194" s="2" t="s">
        <v>12</v>
      </c>
      <c r="DP194" s="2" t="s">
        <v>12</v>
      </c>
      <c r="DQ194" s="2">
        <v>2</v>
      </c>
      <c r="DR194" s="2">
        <v>34</v>
      </c>
      <c r="DS194" s="2">
        <v>2</v>
      </c>
      <c r="DT194" s="2">
        <v>80</v>
      </c>
      <c r="DU194" s="2">
        <v>80</v>
      </c>
      <c r="DV194" s="2">
        <v>2</v>
      </c>
      <c r="DW194" s="2">
        <v>3</v>
      </c>
      <c r="DX194" s="2">
        <v>2</v>
      </c>
      <c r="DY194" s="2">
        <v>1</v>
      </c>
      <c r="DZ194" s="2">
        <v>30.5</v>
      </c>
      <c r="EA194" s="2">
        <v>35</v>
      </c>
      <c r="EB194" s="2">
        <v>45</v>
      </c>
      <c r="EC194" s="2">
        <v>1</v>
      </c>
      <c r="ED194" s="2">
        <v>1</v>
      </c>
    </row>
    <row r="195" spans="3:134" x14ac:dyDescent="0.25">
      <c r="D195" s="2">
        <v>2501022475</v>
      </c>
      <c r="E195" s="5" t="s">
        <v>527</v>
      </c>
      <c r="F195" s="2">
        <v>2</v>
      </c>
      <c r="G195" s="2">
        <v>48</v>
      </c>
      <c r="H195" s="2">
        <v>-4.7505554178542662</v>
      </c>
      <c r="I195" s="2">
        <v>44</v>
      </c>
      <c r="J195" s="2">
        <v>-3.1082266735562389</v>
      </c>
      <c r="K195" s="5">
        <v>1650</v>
      </c>
      <c r="L195" s="2">
        <v>-4.1353631211418067</v>
      </c>
      <c r="M195" s="2">
        <v>-1.6617999999999999</v>
      </c>
      <c r="N195" s="2">
        <f t="shared" si="203"/>
        <v>0.37252770892713327</v>
      </c>
      <c r="O195" s="2">
        <f t="shared" si="204"/>
        <v>-1.6617999999999999</v>
      </c>
      <c r="P195" s="2">
        <v>66</v>
      </c>
      <c r="Q195" s="2">
        <v>-0.77</v>
      </c>
      <c r="R195" s="5">
        <f t="shared" si="205"/>
        <v>2.0291133367781193</v>
      </c>
      <c r="S195" s="5">
        <f t="shared" si="206"/>
        <v>-0.77</v>
      </c>
      <c r="T195" s="1">
        <v>6600</v>
      </c>
      <c r="U195" s="2">
        <v>-1.67</v>
      </c>
      <c r="V195" s="2">
        <f t="shared" si="207"/>
        <v>0.92768156057090345</v>
      </c>
      <c r="W195" s="2">
        <f t="shared" si="208"/>
        <v>-1.67</v>
      </c>
      <c r="X195" s="2">
        <v>-4.0054999999999996</v>
      </c>
      <c r="Y195" s="76">
        <f t="shared" ref="Y195:Y258" si="244" xml:space="preserve"> IF(AND(NOT(ISBLANK(AB:AB)), NOT(ISBLANK(H:H))), (AB:AB-H:H), "")</f>
        <v>0.74505541785426654</v>
      </c>
      <c r="Z195" s="76">
        <f t="shared" ref="Z195:Z258" si="245">IF(Y:Y&gt;0.67,2,IF(AND(Y:Y&gt;0,Y:Y&lt;=0.67),1,IF(AND(Y:Y&gt;=-0.67,Y:Y&lt;=0),-1,IF(Y:Y&lt;-0.67,-2))))</f>
        <v>2</v>
      </c>
      <c r="AA195" s="2">
        <f t="shared" si="209"/>
        <v>-0.49144999999999994</v>
      </c>
      <c r="AB195" s="2">
        <f t="shared" si="210"/>
        <v>-4.0054999999999996</v>
      </c>
      <c r="AC195" s="2">
        <v>78</v>
      </c>
      <c r="AD195" s="2">
        <v>0.95</v>
      </c>
      <c r="AE195" s="79">
        <f t="shared" ref="AE195:AE258" si="246" xml:space="preserve"> IF(AND(NOT(ISBLANK(AH:AH)), NOT(ISBLANK(J:J))), (AH:AH-J:J), "")</f>
        <v>4.0582266735562387</v>
      </c>
      <c r="AF195" s="79">
        <f t="shared" ref="AF195:AF258" si="247">IF(AE:AE&gt;0.67,2,IF(AND(AE:AE&gt;0,AE:AE&lt;=0.67),1,IF(AND(AE:AE&gt;=-0.67,AE:AE&lt;=0),-1,IF(AE:AE&lt;-0.67,-2))))</f>
        <v>2</v>
      </c>
      <c r="AG195" s="2">
        <f t="shared" si="200"/>
        <v>0.33500000000000002</v>
      </c>
      <c r="AH195" s="2">
        <f t="shared" si="211"/>
        <v>0.95</v>
      </c>
      <c r="AI195" s="2">
        <v>7500</v>
      </c>
      <c r="AJ195" s="2">
        <v>-2.2799999999999998</v>
      </c>
      <c r="AK195" s="76">
        <f t="shared" ref="AK195:AK258" si="248" xml:space="preserve"> IF(AND(NOT(ISBLANK(AN:AN)), NOT(ISBLANK(L:L))), (AN:AN-L:L), "")</f>
        <v>1.8553631211418069</v>
      </c>
      <c r="AL195" s="76">
        <f t="shared" ref="AL195:AL258" si="249">IF(AK:AK&gt;0.67,2,IF(AND(AK:AK&gt;0,AK:AK&lt;=0.67),1,IF(AND(AK:AK&gt;=-0.67,AK:AK&lt;=0),-1,IF(AK:AK&lt;-0.67,-2))))</f>
        <v>2</v>
      </c>
      <c r="AM195" s="2">
        <f t="shared" si="212"/>
        <v>0.19999999999999996</v>
      </c>
      <c r="AN195" s="2">
        <f t="shared" si="213"/>
        <v>-2.2799999999999998</v>
      </c>
      <c r="AO195" s="2">
        <v>-1.7528999999999999</v>
      </c>
      <c r="AP195" s="2">
        <f t="shared" si="214"/>
        <v>0.87082126684701477</v>
      </c>
      <c r="AQ195" s="2">
        <f t="shared" si="215"/>
        <v>-1.7528999999999999</v>
      </c>
      <c r="AR195" s="2">
        <v>82</v>
      </c>
      <c r="AS195" s="2">
        <v>-0.1</v>
      </c>
      <c r="AT195" s="2">
        <f t="shared" si="216"/>
        <v>-0.88272373592422315</v>
      </c>
      <c r="AU195" s="2">
        <f t="shared" si="217"/>
        <v>-0.1</v>
      </c>
      <c r="AV195" s="2">
        <v>9500</v>
      </c>
      <c r="AW195" s="2">
        <v>-1.27</v>
      </c>
      <c r="AX195" s="2">
        <f t="shared" si="218"/>
        <v>-9.8516865348536875E-3</v>
      </c>
      <c r="AY195" s="2">
        <f t="shared" si="219"/>
        <v>-1.27</v>
      </c>
      <c r="AZ195" s="2">
        <v>-2.2638574663059701</v>
      </c>
      <c r="BA195" s="78">
        <f t="shared" ref="BA195:BA258" si="250" xml:space="preserve"> IF(AND(NOT(ISBLANK(BD:BD)), NOT(ISBLANK(AB:AB))), (BD:BD-AB:AB), "")</f>
        <v>1.7416425336940295</v>
      </c>
      <c r="BB195" s="78">
        <f t="shared" ref="BB195:BB258" si="251">IF(BA:BA&gt;0.67,2,IF(AND(BA:BA&gt;0,BA:BA&lt;=0.67),1,IF(AND(BA:BA&gt;=-0.67,BA:BA&lt;=0),-1,IF(BA:BA&lt;-0.67,-2))))</f>
        <v>2</v>
      </c>
      <c r="BC195" s="2" t="str">
        <f t="shared" si="220"/>
        <v/>
      </c>
      <c r="BD195" s="2">
        <f t="shared" si="221"/>
        <v>-2.2638574663059701</v>
      </c>
      <c r="BE195" s="67">
        <f t="shared" ref="BE195:BE258" si="252">IF(BD:BD&lt;-3,1,IF(AND(BD:BD&gt;=-3,BD:BD&lt;-2),2,IF(AND(BD:BD&gt;=-2,BD:BD&lt;=2),7,"")))</f>
        <v>2</v>
      </c>
      <c r="BF195" s="2">
        <v>84</v>
      </c>
      <c r="BG195" s="2">
        <v>-0.81544747184844635</v>
      </c>
      <c r="BH195" s="2" t="str">
        <f t="shared" si="222"/>
        <v/>
      </c>
      <c r="BI195" s="2">
        <f t="shared" si="223"/>
        <v>-0.81544747184844635</v>
      </c>
      <c r="BJ195" s="67">
        <f t="shared" si="224"/>
        <v>7</v>
      </c>
      <c r="BK195" s="2">
        <v>10000</v>
      </c>
      <c r="BL195" s="2">
        <v>-2.2997033730697072</v>
      </c>
      <c r="BM195" s="77">
        <f t="shared" ref="BM195:BM258" si="253" xml:space="preserve"> IF(AND(NOT(ISBLANK(BP:BP)), NOT(ISBLANK(AN:AN))), (BP:BP-AN:AN), "")</f>
        <v>-1.9703373069707375E-2</v>
      </c>
      <c r="BN195" s="77">
        <f t="shared" ref="BN195:BN258" si="254">IF(BM:BM&gt;0.67,2,IF(AND(BM:BM&gt;0,BM:BM&lt;=0.67),1,IF(AND(BM:BM&gt;=-0.67,BM:BM&lt;=0),-1,IF(BM:BM&lt;-0.67,-2))))</f>
        <v>-1</v>
      </c>
      <c r="BO195" s="2" t="str">
        <f t="shared" si="225"/>
        <v/>
      </c>
      <c r="BP195" s="2">
        <f t="shared" si="226"/>
        <v>-2.2997033730697072</v>
      </c>
      <c r="BQ195" s="67">
        <f t="shared" ref="BQ195:BQ258" si="255">IF(BP:BP&lt;-3,3,IF(AND(BP:BP&gt;=-3,BP:BP&lt;-2),4,IF(AND(BP:BP&gt;=-2,BP:BP&lt;=2),7,"")))</f>
        <v>4</v>
      </c>
      <c r="BS195" s="75" t="e">
        <f t="shared" ref="BS195:BS258" si="256">IF(G195&gt;=36, IF(AND(NOT(ISBLANK(BV:BV)), NOT(ISBLANK(BD:BD))), (BV:BV-BD:BD), ""), "UF")</f>
        <v>#VALUE!</v>
      </c>
      <c r="BT195" s="75" t="e">
        <f t="shared" ref="BT195:BT258" si="257">IF(G195&lt;36,"UF",IF(BS:BS&gt;0.67,2,IF(AND(BS:BS&gt;0,BS:BS&lt;=0.67),1,IF(AND(BS:BS&gt;=-0.67,BS:BS&lt;=0),-1,IF(BS:BS&lt;-0.67,-2)))))</f>
        <v>#VALUE!</v>
      </c>
      <c r="BU195" s="5" t="str">
        <f>IF(G201&gt;=36, IF(AND(NOT(ISBLANK(CM:CM)), NOT(ISBLANK(BD:BD))), (CM:CM-BD:BD)/2, ""), "UF")</f>
        <v/>
      </c>
      <c r="BV195" s="5" t="e">
        <f t="shared" si="227"/>
        <v>#VALUE!</v>
      </c>
      <c r="BW195" s="69" t="e">
        <f t="shared" si="228"/>
        <v>#VALUE!</v>
      </c>
      <c r="BX195" s="2" t="s">
        <v>12</v>
      </c>
      <c r="BZ195" s="74" t="e">
        <f t="shared" ref="BZ195:BZ258" si="258">IF(G195&gt;=36, IF(AND(NOT(ISBLANK(CC:CC)), NOT(ISBLANK(BP:BP))), (CC:CC-BP:BP), ""), "UF")</f>
        <v>#VALUE!</v>
      </c>
      <c r="CA195" s="74" t="e">
        <f t="shared" ref="CA195:CA258" si="259">IF(G195&lt;36,"UF",IF(BZ:BZ&gt;0.67,2,IF(AND(BZ:BZ&gt;0,BZ:BZ&lt;=0.67),1,IF(AND(BZ:BZ&gt;=-0.67,BZ:BZ&lt;=0),-1,IF(BZ:BZ&lt;-0.67,-2)))))</f>
        <v>#VALUE!</v>
      </c>
      <c r="CB195" s="5" t="str">
        <f t="shared" si="229"/>
        <v/>
      </c>
      <c r="CC195" s="5" t="e">
        <f t="shared" si="230"/>
        <v>#VALUE!</v>
      </c>
      <c r="CD195" s="2" t="e">
        <f t="shared" si="231"/>
        <v>#VALUE!</v>
      </c>
      <c r="CE195" s="69" t="e">
        <f t="shared" si="232"/>
        <v>#VALUE!</v>
      </c>
      <c r="CF195" s="5" t="s">
        <v>12</v>
      </c>
      <c r="CH195" s="72" t="e">
        <f t="shared" ref="CH195:CH258" si="260">IF(G195&gt;=36, IF(AND(NOT(ISBLANK(CK:CK)), NOT(ISBLANK(BP:BP))), (CK:CK-BP:BP), ""), "UF")</f>
        <v>#VALUE!</v>
      </c>
      <c r="CI195" s="72" t="e">
        <f t="shared" ref="CI195:CI258" si="261">IF(G195&lt;36,"UF",IF(CH:CH&gt;0.67,2,IF(AND(CH:CH&gt;0,CH:CH&lt;=0.67),1,IF(AND(CH:CH&gt;=-0.67,CH:CH&lt;=0),-1,IF(CH:CH&lt;-0.67,-2)))))</f>
        <v>#VALUE!</v>
      </c>
      <c r="CJ195" s="5" t="str">
        <f t="shared" si="233"/>
        <v/>
      </c>
      <c r="CK195" s="5" t="e">
        <f t="shared" si="234"/>
        <v>#VALUE!</v>
      </c>
      <c r="CL195" s="69" t="e">
        <f t="shared" si="235"/>
        <v>#VALUE!</v>
      </c>
      <c r="CN195" s="70" t="str">
        <f t="shared" si="236"/>
        <v/>
      </c>
      <c r="CO195" s="5" t="e">
        <f t="shared" si="237"/>
        <v>#VALUE!</v>
      </c>
      <c r="CP195" s="5" t="e">
        <f>IF(G195&lt;48,"UF", IF(NOT(ISBLANK(CM:CM)), CM:CM, IF(BW:BW=1, BV:BV+Sheet2!B220, IF(Sheet1!BW:BW=2, Sheet1!BV:BV+Sheet2!B221, IF(Sheet1!BW:BW=7, Sheet1!BV:BV+Sheet2!B222,"")))))</f>
        <v>#VALUE!</v>
      </c>
      <c r="CQ195" s="69" t="e">
        <f t="shared" ref="CQ195:CQ258" si="262">IF(CP:CP&lt;-3,1,IF(AND(CP:CP&gt;=-3,CP:CP&lt;-2),2,IF(AND(CP:CP&gt;=-2,CP:CP&lt;=2),7,"")))</f>
        <v>#VALUE!</v>
      </c>
      <c r="CR195" s="5" t="s">
        <v>12</v>
      </c>
      <c r="CT195" s="5" t="str">
        <f t="shared" si="238"/>
        <v/>
      </c>
      <c r="CU195" s="80" t="e">
        <f t="shared" si="239"/>
        <v>#VALUE!</v>
      </c>
      <c r="CV195" s="80" t="e">
        <f t="shared" si="240"/>
        <v>#VALUE!</v>
      </c>
      <c r="CW195" s="20" t="e">
        <f>IF(G195&lt;48,"UF", IF(NOT(ISBLANK(CS195)), CS195, IF(CE195=5, CC195+Sheet2!B209, IF(CE195=6, CC195+Sheet2!B210, IF(CE195=7, CC195+Sheet2!B211,"")))))</f>
        <v>#VALUE!</v>
      </c>
      <c r="CX195" s="68" t="e">
        <f t="shared" ref="CX195:CX258" si="263">IF(CW:CW&lt;-3,5,IF(AND(CW:CW&gt;=-3,CW:CW&lt;-2),6,IF(AND(CW:CW&gt;=-2,CW:CW&lt;=2),7,"")))</f>
        <v>#VALUE!</v>
      </c>
      <c r="CY195" s="5" t="s">
        <v>12</v>
      </c>
      <c r="DA195" s="5" t="str">
        <f t="shared" si="241"/>
        <v/>
      </c>
      <c r="DB195" s="73" t="e">
        <f t="shared" si="242"/>
        <v>#VALUE!</v>
      </c>
      <c r="DC195" s="73" t="e">
        <f t="shared" si="243"/>
        <v>#VALUE!</v>
      </c>
      <c r="DD195" s="5" t="e">
        <f>IF(G195&lt;48,"UF", IF(NOT(ISBLANK(CZ:CZ)), CZ:CZ, IF(CL:CL=3, CK:CK+Sheet2!B214, IF(CL:CL=4, CK:CK+Sheet2!B215, IF(CL:CL=7, CK:CK+Sheet2!B216,"")))))</f>
        <v>#VALUE!</v>
      </c>
      <c r="DE195" s="69" t="e">
        <f t="shared" si="202"/>
        <v>#VALUE!</v>
      </c>
      <c r="DF195" s="2" t="s">
        <v>463</v>
      </c>
      <c r="DG195" s="2">
        <v>34</v>
      </c>
      <c r="DH195" s="2">
        <v>1</v>
      </c>
      <c r="DI195" s="2">
        <v>2</v>
      </c>
      <c r="DJ195" s="2">
        <v>1</v>
      </c>
      <c r="DK195" s="2">
        <v>135</v>
      </c>
      <c r="DL195" s="2">
        <v>90</v>
      </c>
      <c r="DM195" s="2" t="s">
        <v>12</v>
      </c>
      <c r="DN195" s="2" t="s">
        <v>12</v>
      </c>
      <c r="DO195" s="2" t="s">
        <v>12</v>
      </c>
      <c r="DP195" s="2" t="s">
        <v>12</v>
      </c>
      <c r="DQ195" s="2">
        <v>2</v>
      </c>
      <c r="DR195" s="2">
        <v>35</v>
      </c>
      <c r="DS195" s="2">
        <v>1</v>
      </c>
      <c r="DT195" s="2">
        <v>98</v>
      </c>
      <c r="DU195" s="2">
        <v>76</v>
      </c>
      <c r="DV195" s="2">
        <v>2</v>
      </c>
      <c r="DW195" s="2">
        <v>2</v>
      </c>
      <c r="DX195" s="2">
        <v>2</v>
      </c>
      <c r="DY195" s="2">
        <v>3</v>
      </c>
      <c r="DZ195" s="2">
        <v>31</v>
      </c>
      <c r="EA195" s="2" t="s">
        <v>12</v>
      </c>
      <c r="EB195" s="2">
        <v>46</v>
      </c>
      <c r="EC195" s="2" t="s">
        <v>12</v>
      </c>
      <c r="ED195" s="2">
        <v>1</v>
      </c>
    </row>
    <row r="196" spans="3:134" x14ac:dyDescent="0.25">
      <c r="D196" s="2">
        <v>2501022483</v>
      </c>
      <c r="E196" s="5" t="s">
        <v>527</v>
      </c>
      <c r="F196" s="2">
        <v>2</v>
      </c>
      <c r="G196" s="2">
        <v>48</v>
      </c>
      <c r="H196" s="2">
        <v>-4.1046098755525646</v>
      </c>
      <c r="I196" s="2">
        <v>45</v>
      </c>
      <c r="J196" s="2">
        <v>-2.5799940983522691</v>
      </c>
      <c r="K196" s="5">
        <v>1850</v>
      </c>
      <c r="L196" s="2">
        <v>-3.60766506506245</v>
      </c>
      <c r="N196" s="2">
        <f t="shared" si="203"/>
        <v>0.72355493777628221</v>
      </c>
      <c r="O196" s="2">
        <f t="shared" si="204"/>
        <v>-3.3810549377762822</v>
      </c>
      <c r="P196" s="2" t="s">
        <v>12</v>
      </c>
      <c r="R196" s="5">
        <f t="shared" si="205"/>
        <v>0.7149970491761346</v>
      </c>
      <c r="S196" s="5">
        <f t="shared" si="206"/>
        <v>-1.8649970491761345</v>
      </c>
      <c r="T196" s="1" t="s">
        <v>12</v>
      </c>
      <c r="V196" s="2">
        <f t="shared" si="207"/>
        <v>0.53883253253122509</v>
      </c>
      <c r="W196" s="2">
        <f t="shared" si="208"/>
        <v>-3.0688325325312249</v>
      </c>
      <c r="X196" s="2">
        <v>-2.6575000000000002</v>
      </c>
      <c r="Y196" s="76">
        <f t="shared" si="244"/>
        <v>1.4471098755525644</v>
      </c>
      <c r="Z196" s="76">
        <f t="shared" si="245"/>
        <v>2</v>
      </c>
      <c r="AA196" s="2">
        <f t="shared" si="209"/>
        <v>0.46314852458806727</v>
      </c>
      <c r="AB196" s="2">
        <f t="shared" si="210"/>
        <v>-2.6575000000000002</v>
      </c>
      <c r="AC196" s="2">
        <v>73</v>
      </c>
      <c r="AD196" s="2">
        <v>-1.1499999999999999</v>
      </c>
      <c r="AE196" s="79">
        <f t="shared" si="246"/>
        <v>1.4299940983522692</v>
      </c>
      <c r="AF196" s="79">
        <f t="shared" si="247"/>
        <v>2</v>
      </c>
      <c r="AG196" s="2">
        <f t="shared" si="200"/>
        <v>-4.2501475411932721E-2</v>
      </c>
      <c r="AH196" s="2">
        <f t="shared" si="211"/>
        <v>-1.1499999999999999</v>
      </c>
      <c r="AI196" s="2">
        <v>7300</v>
      </c>
      <c r="AJ196" s="2">
        <v>-2.5299999999999998</v>
      </c>
      <c r="AK196" s="76">
        <f t="shared" si="248"/>
        <v>1.0776650650624502</v>
      </c>
      <c r="AL196" s="76">
        <f t="shared" si="249"/>
        <v>2</v>
      </c>
      <c r="AM196" s="2">
        <f t="shared" si="212"/>
        <v>0.60941626626561241</v>
      </c>
      <c r="AN196" s="2">
        <f t="shared" si="213"/>
        <v>-2.5299999999999998</v>
      </c>
      <c r="AO196" s="2">
        <v>-0.93869999999999998</v>
      </c>
      <c r="AP196" s="2">
        <f t="shared" si="214"/>
        <v>0.19682126684701506</v>
      </c>
      <c r="AQ196" s="2">
        <f t="shared" si="215"/>
        <v>-0.93869999999999998</v>
      </c>
      <c r="AR196" s="2">
        <v>77</v>
      </c>
      <c r="AS196" s="2">
        <v>-1.95</v>
      </c>
      <c r="AT196" s="2">
        <f t="shared" si="216"/>
        <v>0.16727626407577678</v>
      </c>
      <c r="AU196" s="2">
        <f t="shared" si="217"/>
        <v>-1.95</v>
      </c>
      <c r="AV196" s="2">
        <v>8900</v>
      </c>
      <c r="AW196" s="2">
        <v>-1.85</v>
      </c>
      <c r="AX196" s="2">
        <f t="shared" si="218"/>
        <v>0.11514831346514631</v>
      </c>
      <c r="AY196" s="2">
        <f t="shared" si="219"/>
        <v>-1.85</v>
      </c>
      <c r="AZ196" s="2">
        <v>-2.2638574663059701</v>
      </c>
      <c r="BA196" s="78">
        <f t="shared" si="250"/>
        <v>0.39364253369403013</v>
      </c>
      <c r="BB196" s="78">
        <f t="shared" si="251"/>
        <v>1</v>
      </c>
      <c r="BC196" s="2" t="str">
        <f t="shared" si="220"/>
        <v/>
      </c>
      <c r="BD196" s="2">
        <f t="shared" si="221"/>
        <v>-2.2638574663059701</v>
      </c>
      <c r="BE196" s="67">
        <f t="shared" si="252"/>
        <v>2</v>
      </c>
      <c r="BF196" s="2">
        <v>84</v>
      </c>
      <c r="BG196" s="2">
        <v>-0.81544747184844635</v>
      </c>
      <c r="BH196" s="2" t="str">
        <f t="shared" si="222"/>
        <v/>
      </c>
      <c r="BI196" s="2">
        <f t="shared" si="223"/>
        <v>-0.81544747184844635</v>
      </c>
      <c r="BJ196" s="67">
        <f t="shared" si="224"/>
        <v>7</v>
      </c>
      <c r="BK196" s="2">
        <v>10000</v>
      </c>
      <c r="BL196" s="2">
        <v>-2.2997033730697072</v>
      </c>
      <c r="BM196" s="77">
        <f t="shared" si="253"/>
        <v>0.23029662693029262</v>
      </c>
      <c r="BN196" s="77">
        <f t="shared" si="254"/>
        <v>1</v>
      </c>
      <c r="BO196" s="2" t="str">
        <f t="shared" si="225"/>
        <v/>
      </c>
      <c r="BP196" s="2">
        <f t="shared" si="226"/>
        <v>-2.2997033730697072</v>
      </c>
      <c r="BQ196" s="67">
        <f t="shared" si="255"/>
        <v>4</v>
      </c>
      <c r="BS196" s="75" t="e">
        <f t="shared" si="256"/>
        <v>#REF!</v>
      </c>
      <c r="BT196" s="75" t="e">
        <f t="shared" si="257"/>
        <v>#REF!</v>
      </c>
      <c r="BU196" s="5" t="e">
        <f>IF(#REF!&gt;=36, IF(AND(NOT(ISBLANK(CM:CM)), NOT(ISBLANK(BD:BD))), (CM:CM-BD:BD)/2, ""), "UF")</f>
        <v>#REF!</v>
      </c>
      <c r="BV196" s="5" t="e">
        <f t="shared" si="227"/>
        <v>#REF!</v>
      </c>
      <c r="BW196" s="69" t="e">
        <f t="shared" si="228"/>
        <v>#REF!</v>
      </c>
      <c r="BX196" s="2" t="s">
        <v>12</v>
      </c>
      <c r="BZ196" s="74" t="e">
        <f t="shared" si="258"/>
        <v>#VALUE!</v>
      </c>
      <c r="CA196" s="74" t="e">
        <f t="shared" si="259"/>
        <v>#VALUE!</v>
      </c>
      <c r="CB196" s="5" t="str">
        <f t="shared" si="229"/>
        <v/>
      </c>
      <c r="CC196" s="5" t="e">
        <f t="shared" si="230"/>
        <v>#VALUE!</v>
      </c>
      <c r="CD196" s="2" t="e">
        <f t="shared" si="231"/>
        <v>#VALUE!</v>
      </c>
      <c r="CE196" s="69" t="e">
        <f t="shared" si="232"/>
        <v>#VALUE!</v>
      </c>
      <c r="CF196" s="5" t="s">
        <v>12</v>
      </c>
      <c r="CH196" s="72" t="e">
        <f t="shared" si="260"/>
        <v>#VALUE!</v>
      </c>
      <c r="CI196" s="72" t="e">
        <f t="shared" si="261"/>
        <v>#VALUE!</v>
      </c>
      <c r="CJ196" s="5" t="str">
        <f t="shared" si="233"/>
        <v/>
      </c>
      <c r="CK196" s="5" t="e">
        <f t="shared" si="234"/>
        <v>#VALUE!</v>
      </c>
      <c r="CL196" s="69" t="e">
        <f t="shared" si="235"/>
        <v>#VALUE!</v>
      </c>
      <c r="CN196" s="70" t="str">
        <f t="shared" si="236"/>
        <v/>
      </c>
      <c r="CO196" s="5" t="e">
        <f t="shared" si="237"/>
        <v>#REF!</v>
      </c>
      <c r="CP196" s="5" t="e">
        <f>IF(G196&lt;48,"UF", IF(NOT(ISBLANK(CM:CM)), CM:CM, IF(BW:BW=1, BV:BV+Sheet2!B229, IF(Sheet1!BW:BW=2, Sheet1!BV:BV+Sheet2!B230, IF(Sheet1!BW:BW=7, Sheet1!BV:BV+Sheet2!B231,"")))))</f>
        <v>#REF!</v>
      </c>
      <c r="CQ196" s="69" t="e">
        <f t="shared" si="262"/>
        <v>#REF!</v>
      </c>
      <c r="CR196" s="5" t="s">
        <v>12</v>
      </c>
      <c r="CT196" s="5" t="str">
        <f t="shared" si="238"/>
        <v/>
      </c>
      <c r="CU196" s="80" t="e">
        <f t="shared" si="239"/>
        <v>#VALUE!</v>
      </c>
      <c r="CV196" s="80" t="e">
        <f t="shared" si="240"/>
        <v>#VALUE!</v>
      </c>
      <c r="CW196" s="20" t="e">
        <f>IF(G196&lt;48,"UF", IF(NOT(ISBLANK(CS196)), CS196, IF(CE196=5, CC196+Sheet2!B218, IF(CE196=6, CC196+Sheet2!B219, IF(CE196=7, CC196+Sheet2!B220,"")))))</f>
        <v>#VALUE!</v>
      </c>
      <c r="CX196" s="68" t="e">
        <f t="shared" si="263"/>
        <v>#VALUE!</v>
      </c>
      <c r="CY196" s="5" t="s">
        <v>12</v>
      </c>
      <c r="DA196" s="5" t="str">
        <f t="shared" si="241"/>
        <v/>
      </c>
      <c r="DB196" s="73" t="e">
        <f t="shared" si="242"/>
        <v>#VALUE!</v>
      </c>
      <c r="DC196" s="73" t="e">
        <f t="shared" si="243"/>
        <v>#VALUE!</v>
      </c>
      <c r="DD196" s="5" t="e">
        <f>IF(G196&lt;48,"UF", IF(NOT(ISBLANK(CZ:CZ)), CZ:CZ, IF(CL:CL=3, CK:CK+Sheet2!B223, IF(CL:CL=4, CK:CK+Sheet2!B224, IF(CL:CL=7, CK:CK+Sheet2!B225,"")))))</f>
        <v>#VALUE!</v>
      </c>
      <c r="DE196" s="69" t="e">
        <f t="shared" si="202"/>
        <v>#VALUE!</v>
      </c>
      <c r="DF196" s="2" t="s">
        <v>463</v>
      </c>
      <c r="DG196" s="2">
        <v>34</v>
      </c>
      <c r="DH196" s="2">
        <v>1</v>
      </c>
      <c r="DI196" s="2">
        <v>2</v>
      </c>
      <c r="DJ196" s="2">
        <v>1</v>
      </c>
      <c r="DK196" s="2">
        <v>135</v>
      </c>
      <c r="DL196" s="2">
        <v>90</v>
      </c>
      <c r="DM196" s="2" t="s">
        <v>12</v>
      </c>
      <c r="DN196" s="2" t="s">
        <v>12</v>
      </c>
      <c r="DO196" s="2" t="s">
        <v>12</v>
      </c>
      <c r="DP196" s="2" t="s">
        <v>12</v>
      </c>
      <c r="DQ196" s="2">
        <v>2</v>
      </c>
      <c r="DR196" s="2">
        <v>35</v>
      </c>
      <c r="DS196" s="2">
        <v>1</v>
      </c>
      <c r="DT196" s="2">
        <v>95</v>
      </c>
      <c r="DU196" s="2">
        <v>76</v>
      </c>
      <c r="DV196" s="2">
        <v>2</v>
      </c>
      <c r="DW196" s="2">
        <v>2</v>
      </c>
      <c r="DX196" s="2">
        <v>2</v>
      </c>
      <c r="DY196" s="2">
        <v>3</v>
      </c>
      <c r="DZ196" s="2">
        <v>32</v>
      </c>
      <c r="EA196" s="2" t="s">
        <v>12</v>
      </c>
      <c r="EB196" s="2">
        <v>44</v>
      </c>
      <c r="EC196" s="2" t="s">
        <v>12</v>
      </c>
      <c r="ED196" s="2">
        <v>1</v>
      </c>
    </row>
    <row r="197" spans="3:134" x14ac:dyDescent="0.25">
      <c r="C197" s="5" t="s">
        <v>40</v>
      </c>
      <c r="D197" s="2">
        <v>2501022513</v>
      </c>
      <c r="E197" s="5">
        <v>4</v>
      </c>
      <c r="F197" s="2">
        <v>2</v>
      </c>
      <c r="G197" s="2">
        <v>45</v>
      </c>
      <c r="H197" s="2">
        <v>-3.2370047873767218</v>
      </c>
      <c r="I197" s="2">
        <v>47</v>
      </c>
      <c r="J197" s="2">
        <v>-1.5235289479443319</v>
      </c>
      <c r="K197" s="5">
        <v>2200</v>
      </c>
      <c r="L197" s="2">
        <v>-2.672225592197639</v>
      </c>
      <c r="M197" s="2">
        <v>-2.7658999999999998</v>
      </c>
      <c r="N197" s="2">
        <f t="shared" si="203"/>
        <v>-6.2847606311638993E-2</v>
      </c>
      <c r="O197" s="2">
        <f t="shared" si="204"/>
        <v>-2.7658999999999998</v>
      </c>
      <c r="P197" s="2">
        <v>70</v>
      </c>
      <c r="Q197" s="2">
        <v>1.1000000000000001</v>
      </c>
      <c r="R197" s="5">
        <f t="shared" si="205"/>
        <v>1.026764473972166</v>
      </c>
      <c r="S197" s="5">
        <f t="shared" si="206"/>
        <v>1.1000000000000001</v>
      </c>
      <c r="T197" s="1">
        <v>6800</v>
      </c>
      <c r="U197" s="2">
        <v>-1.4</v>
      </c>
      <c r="V197" s="2">
        <f t="shared" si="207"/>
        <v>0.31111279609881959</v>
      </c>
      <c r="W197" s="2">
        <f t="shared" si="208"/>
        <v>-1.4</v>
      </c>
      <c r="X197" s="2">
        <v>-3.3626999999999998</v>
      </c>
      <c r="Y197" s="76">
        <f t="shared" si="244"/>
        <v>-0.12569521262327799</v>
      </c>
      <c r="Z197" s="76">
        <f t="shared" si="245"/>
        <v>-1</v>
      </c>
      <c r="AA197" s="2">
        <f t="shared" si="209"/>
        <v>-2.0421500000000004</v>
      </c>
      <c r="AB197" s="2">
        <f t="shared" si="210"/>
        <v>-3.3626999999999998</v>
      </c>
      <c r="AC197" s="2">
        <v>77</v>
      </c>
      <c r="AD197" s="2">
        <v>0.53</v>
      </c>
      <c r="AE197" s="79">
        <f t="shared" si="246"/>
        <v>2.0535289479443319</v>
      </c>
      <c r="AF197" s="79">
        <f t="shared" si="247"/>
        <v>2</v>
      </c>
      <c r="AG197" s="2">
        <f t="shared" si="200"/>
        <v>-0.60000000000000009</v>
      </c>
      <c r="AH197" s="2">
        <f t="shared" si="211"/>
        <v>0.53</v>
      </c>
      <c r="AI197" s="2">
        <v>7700</v>
      </c>
      <c r="AJ197" s="2">
        <v>-2.0499999999999998</v>
      </c>
      <c r="AK197" s="76">
        <f t="shared" si="248"/>
        <v>0.62222559219763918</v>
      </c>
      <c r="AL197" s="76">
        <f t="shared" si="249"/>
        <v>1</v>
      </c>
      <c r="AM197" s="2">
        <f t="shared" si="212"/>
        <v>-0.32499999999999996</v>
      </c>
      <c r="AN197" s="2">
        <f t="shared" si="213"/>
        <v>-2.0499999999999998</v>
      </c>
      <c r="AO197" s="2">
        <v>-2.9843000000000002</v>
      </c>
      <c r="AP197" s="2">
        <f t="shared" si="214"/>
        <v>0.2830452147336473</v>
      </c>
      <c r="AQ197" s="2">
        <f t="shared" si="215"/>
        <v>-2.9843000000000002</v>
      </c>
      <c r="AR197" s="2">
        <v>82</v>
      </c>
      <c r="AS197" s="2">
        <v>-0.1</v>
      </c>
      <c r="AT197" s="2">
        <f t="shared" si="216"/>
        <v>-0.67272373592422319</v>
      </c>
      <c r="AU197" s="2">
        <f t="shared" si="217"/>
        <v>-0.1</v>
      </c>
      <c r="AV197" s="2">
        <v>8700</v>
      </c>
      <c r="AW197" s="2">
        <v>-2.0499999999999998</v>
      </c>
      <c r="AX197" s="2">
        <f t="shared" si="218"/>
        <v>-0.27372308480501761</v>
      </c>
      <c r="AY197" s="2">
        <f t="shared" si="219"/>
        <v>-2.0499999999999998</v>
      </c>
      <c r="AZ197" s="2">
        <v>-2.7966095705327052</v>
      </c>
      <c r="BA197" s="78">
        <f t="shared" si="250"/>
        <v>0.5660904294672946</v>
      </c>
      <c r="BB197" s="78">
        <f t="shared" si="251"/>
        <v>1</v>
      </c>
      <c r="BC197" s="2" t="str">
        <f t="shared" si="220"/>
        <v/>
      </c>
      <c r="BD197" s="2">
        <f t="shared" si="221"/>
        <v>-2.7966095705327052</v>
      </c>
      <c r="BE197" s="67">
        <f t="shared" si="252"/>
        <v>2</v>
      </c>
      <c r="BF197" s="2">
        <v>84</v>
      </c>
      <c r="BG197" s="2">
        <v>-0.81544747184844635</v>
      </c>
      <c r="BH197" s="2" t="str">
        <f t="shared" si="222"/>
        <v/>
      </c>
      <c r="BI197" s="2">
        <f t="shared" si="223"/>
        <v>-0.81544747184844635</v>
      </c>
      <c r="BJ197" s="67">
        <f t="shared" si="224"/>
        <v>7</v>
      </c>
      <c r="BK197" s="2">
        <v>9700</v>
      </c>
      <c r="BL197" s="2">
        <v>-2.597446169610035</v>
      </c>
      <c r="BM197" s="77">
        <f t="shared" si="253"/>
        <v>-0.54744616961003523</v>
      </c>
      <c r="BN197" s="77">
        <f t="shared" si="254"/>
        <v>-1</v>
      </c>
      <c r="BO197" s="2" t="str">
        <f t="shared" si="225"/>
        <v/>
      </c>
      <c r="BP197" s="2">
        <f t="shared" si="226"/>
        <v>-2.597446169610035</v>
      </c>
      <c r="BQ197" s="67">
        <f t="shared" si="255"/>
        <v>4</v>
      </c>
      <c r="BS197" s="75" t="e">
        <f t="shared" si="256"/>
        <v>#VALUE!</v>
      </c>
      <c r="BT197" s="75" t="e">
        <f t="shared" si="257"/>
        <v>#VALUE!</v>
      </c>
      <c r="BU197" s="5" t="str">
        <f>IF(G203&gt;=36, IF(AND(NOT(ISBLANK(CM:CM)), NOT(ISBLANK(BD:BD))), (CM:CM-BD:BD)/2, ""), "UF")</f>
        <v/>
      </c>
      <c r="BV197" s="5" t="e">
        <f t="shared" si="227"/>
        <v>#VALUE!</v>
      </c>
      <c r="BW197" s="69" t="e">
        <f t="shared" si="228"/>
        <v>#VALUE!</v>
      </c>
      <c r="BX197" s="2" t="s">
        <v>12</v>
      </c>
      <c r="BZ197" s="74" t="e">
        <f t="shared" si="258"/>
        <v>#VALUE!</v>
      </c>
      <c r="CA197" s="74" t="e">
        <f t="shared" si="259"/>
        <v>#VALUE!</v>
      </c>
      <c r="CB197" s="5" t="str">
        <f t="shared" si="229"/>
        <v/>
      </c>
      <c r="CC197" s="5" t="e">
        <f t="shared" si="230"/>
        <v>#VALUE!</v>
      </c>
      <c r="CD197" s="2" t="e">
        <f t="shared" si="231"/>
        <v>#VALUE!</v>
      </c>
      <c r="CE197" s="69" t="e">
        <f t="shared" si="232"/>
        <v>#VALUE!</v>
      </c>
      <c r="CF197" s="5" t="s">
        <v>12</v>
      </c>
      <c r="CH197" s="72" t="e">
        <f t="shared" si="260"/>
        <v>#VALUE!</v>
      </c>
      <c r="CI197" s="72" t="e">
        <f t="shared" si="261"/>
        <v>#VALUE!</v>
      </c>
      <c r="CJ197" s="5" t="str">
        <f t="shared" si="233"/>
        <v/>
      </c>
      <c r="CK197" s="5" t="e">
        <f t="shared" si="234"/>
        <v>#VALUE!</v>
      </c>
      <c r="CL197" s="69" t="e">
        <f t="shared" si="235"/>
        <v>#VALUE!</v>
      </c>
      <c r="CN197" s="70" t="str">
        <f t="shared" si="236"/>
        <v/>
      </c>
      <c r="CO197" s="5" t="str">
        <f t="shared" si="237"/>
        <v>UF</v>
      </c>
      <c r="CP197" s="5" t="str">
        <f>IF(G197&lt;48,"UF", IF(NOT(ISBLANK(CM:CM)), CM:CM, IF(BW:BW=1, BV:BV+Sheet2!B159, IF(Sheet1!BW:BW=2, Sheet1!BV:BV+Sheet2!B160, IF(Sheet1!BW:BW=7, Sheet1!BV:BV+Sheet2!B161,"")))))</f>
        <v>UF</v>
      </c>
      <c r="CQ197" s="69" t="str">
        <f t="shared" si="262"/>
        <v/>
      </c>
      <c r="CR197" s="5" t="s">
        <v>12</v>
      </c>
      <c r="CT197" s="5" t="str">
        <f t="shared" si="238"/>
        <v/>
      </c>
      <c r="CU197" s="80" t="str">
        <f t="shared" si="239"/>
        <v>UF</v>
      </c>
      <c r="CV197" s="80" t="str">
        <f t="shared" si="240"/>
        <v>UF</v>
      </c>
      <c r="CW197" s="20" t="str">
        <f>IF(G197&lt;48,"UF", IF(NOT(ISBLANK(CS197)), CS197, IF(CE197=5, CC197+Sheet2!B148, IF(CE197=6, CC197+Sheet2!B149, IF(CE197=7, CC197+Sheet2!B150,"")))))</f>
        <v>UF</v>
      </c>
      <c r="CX197" s="68" t="str">
        <f t="shared" si="263"/>
        <v/>
      </c>
      <c r="CY197" s="5" t="s">
        <v>12</v>
      </c>
      <c r="DA197" s="5" t="str">
        <f t="shared" si="241"/>
        <v>UF</v>
      </c>
      <c r="DB197" s="73" t="str">
        <f t="shared" si="242"/>
        <v>UF</v>
      </c>
      <c r="DC197" s="73" t="str">
        <f t="shared" si="243"/>
        <v>UF</v>
      </c>
      <c r="DD197" s="5" t="str">
        <f>IF(G197&lt;48,"UF", IF(NOT(ISBLANK(CZ:CZ)), CZ:CZ, IF(CL:CL=3, CK:CK+Sheet2!B153, IF(CL:CL=4, CK:CK+Sheet2!B154, IF(CL:CL=7, CK:CK+Sheet2!B155,"")))))</f>
        <v>UF</v>
      </c>
      <c r="DE197" s="69" t="str">
        <f t="shared" si="202"/>
        <v/>
      </c>
      <c r="DF197" s="2" t="s">
        <v>464</v>
      </c>
      <c r="DG197" s="2">
        <v>30</v>
      </c>
      <c r="DH197" s="2">
        <v>1</v>
      </c>
      <c r="DI197" s="2">
        <v>2</v>
      </c>
      <c r="DJ197" s="2">
        <v>3</v>
      </c>
      <c r="DK197" s="2" t="s">
        <v>12</v>
      </c>
      <c r="DL197" s="2" t="s">
        <v>12</v>
      </c>
      <c r="DM197" s="2" t="s">
        <v>12</v>
      </c>
      <c r="DN197" s="2" t="s">
        <v>12</v>
      </c>
      <c r="DO197" s="2" t="s">
        <v>12</v>
      </c>
      <c r="DP197" s="2" t="s">
        <v>12</v>
      </c>
      <c r="DQ197" s="2">
        <v>1</v>
      </c>
      <c r="DR197" s="2">
        <v>36</v>
      </c>
      <c r="DS197" s="2">
        <v>2</v>
      </c>
      <c r="DT197" s="2">
        <v>88</v>
      </c>
      <c r="DU197" s="2" t="s">
        <v>12</v>
      </c>
      <c r="DV197" s="2">
        <v>4</v>
      </c>
      <c r="DW197" s="2">
        <v>3</v>
      </c>
      <c r="DX197" s="2">
        <v>4</v>
      </c>
      <c r="DY197" s="2">
        <v>1</v>
      </c>
      <c r="DZ197" s="2">
        <v>33</v>
      </c>
      <c r="EA197" s="2" t="s">
        <v>12</v>
      </c>
      <c r="EB197" s="2">
        <v>44</v>
      </c>
      <c r="EC197" s="2" t="s">
        <v>12</v>
      </c>
      <c r="ED197" s="2">
        <v>1</v>
      </c>
    </row>
    <row r="198" spans="3:134" x14ac:dyDescent="0.25">
      <c r="C198" s="5" t="s">
        <v>125</v>
      </c>
      <c r="D198" s="2">
        <v>2501022531</v>
      </c>
      <c r="E198" s="2" t="s">
        <v>527</v>
      </c>
      <c r="F198" s="2">
        <v>1</v>
      </c>
      <c r="G198" s="2">
        <v>45</v>
      </c>
      <c r="H198" s="2">
        <v>-3.500856800989677</v>
      </c>
      <c r="I198" s="2">
        <v>42</v>
      </c>
      <c r="J198" s="2">
        <v>-3.837284186241364</v>
      </c>
      <c r="K198" s="5">
        <v>1700</v>
      </c>
      <c r="L198" s="2">
        <v>-3.919263417670658</v>
      </c>
      <c r="N198" s="2">
        <f t="shared" si="203"/>
        <v>1.4572784004948385</v>
      </c>
      <c r="O198" s="2">
        <f t="shared" si="204"/>
        <v>-2.0435784004948383</v>
      </c>
      <c r="P198" s="2" t="s">
        <v>12</v>
      </c>
      <c r="R198" s="5">
        <f t="shared" si="205"/>
        <v>0.94864209312068204</v>
      </c>
      <c r="S198" s="5">
        <f t="shared" si="206"/>
        <v>-2.8886420931206818</v>
      </c>
      <c r="T198" s="1" t="s">
        <v>12</v>
      </c>
      <c r="V198" s="2">
        <f t="shared" si="207"/>
        <v>1.169631708835329</v>
      </c>
      <c r="W198" s="2">
        <f t="shared" si="208"/>
        <v>-2.749631708835329</v>
      </c>
      <c r="X198" s="2">
        <v>-0.58630000000000004</v>
      </c>
      <c r="Y198" s="76">
        <f t="shared" si="244"/>
        <v>2.914556800989677</v>
      </c>
      <c r="Z198" s="76">
        <f t="shared" si="245"/>
        <v>2</v>
      </c>
      <c r="AA198" s="2">
        <f t="shared" si="209"/>
        <v>1.2114710465603409</v>
      </c>
      <c r="AB198" s="2">
        <f t="shared" si="210"/>
        <v>-0.58630000000000004</v>
      </c>
      <c r="AC198" s="2">
        <v>69</v>
      </c>
      <c r="AD198" s="2">
        <v>-1.94</v>
      </c>
      <c r="AE198" s="79">
        <f t="shared" si="246"/>
        <v>1.8972841862413641</v>
      </c>
      <c r="AF198" s="79">
        <f t="shared" si="247"/>
        <v>2</v>
      </c>
      <c r="AG198" s="2">
        <f t="shared" si="200"/>
        <v>0.4593210465603409</v>
      </c>
      <c r="AH198" s="2">
        <f t="shared" si="211"/>
        <v>-1.94</v>
      </c>
      <c r="AI198" s="2">
        <v>7400</v>
      </c>
      <c r="AJ198" s="2">
        <v>-1.58</v>
      </c>
      <c r="AK198" s="76">
        <f t="shared" si="248"/>
        <v>2.3392634176706579</v>
      </c>
      <c r="AL198" s="76">
        <f t="shared" si="249"/>
        <v>2</v>
      </c>
      <c r="AM198" s="2">
        <f t="shared" si="212"/>
        <v>0.6048158544176645</v>
      </c>
      <c r="AN198" s="2">
        <f t="shared" si="213"/>
        <v>-1.58</v>
      </c>
      <c r="AO198" s="2">
        <v>-0.4657</v>
      </c>
      <c r="AP198" s="2" t="str">
        <f t="shared" si="214"/>
        <v/>
      </c>
      <c r="AQ198" s="2">
        <f t="shared" si="215"/>
        <v>-0.4657</v>
      </c>
      <c r="AR198" s="2">
        <v>75</v>
      </c>
      <c r="AS198" s="2">
        <v>-1.97</v>
      </c>
      <c r="AT198" s="2" t="str">
        <f t="shared" si="216"/>
        <v/>
      </c>
      <c r="AU198" s="2">
        <f t="shared" si="217"/>
        <v>-1.97</v>
      </c>
      <c r="AV198" s="2">
        <v>8500</v>
      </c>
      <c r="AW198" s="2">
        <v>-1.54</v>
      </c>
      <c r="AX198" s="2" t="str">
        <f t="shared" si="218"/>
        <v/>
      </c>
      <c r="AY198" s="2">
        <f t="shared" si="219"/>
        <v>-1.54</v>
      </c>
      <c r="BA198" s="78">
        <f t="shared" si="250"/>
        <v>-0.74804436367393201</v>
      </c>
      <c r="BB198" s="78">
        <f t="shared" si="251"/>
        <v>-2</v>
      </c>
      <c r="BC198" s="2">
        <f t="shared" si="220"/>
        <v>-0.86864436367393205</v>
      </c>
      <c r="BD198" s="2">
        <f t="shared" si="221"/>
        <v>-1.3343443636739321</v>
      </c>
      <c r="BE198" s="67">
        <f t="shared" si="252"/>
        <v>7</v>
      </c>
      <c r="BF198" s="2" t="s">
        <v>12</v>
      </c>
      <c r="BH198" s="2">
        <f t="shared" si="222"/>
        <v>0.12530734732313201</v>
      </c>
      <c r="BI198" s="2">
        <f t="shared" si="223"/>
        <v>-1.8446926526768679</v>
      </c>
      <c r="BJ198" s="67">
        <f t="shared" si="224"/>
        <v>7</v>
      </c>
      <c r="BK198" s="2" t="s">
        <v>12</v>
      </c>
      <c r="BM198" s="77">
        <f t="shared" si="253"/>
        <v>-0.55079886385351173</v>
      </c>
      <c r="BN198" s="77">
        <f t="shared" si="254"/>
        <v>-1</v>
      </c>
      <c r="BO198" s="2">
        <f t="shared" si="225"/>
        <v>-0.59079886385351188</v>
      </c>
      <c r="BP198" s="2">
        <f t="shared" si="226"/>
        <v>-2.1307988638535118</v>
      </c>
      <c r="BQ198" s="67">
        <f t="shared" si="255"/>
        <v>4</v>
      </c>
      <c r="BR198" s="5">
        <v>-3.0716330910217962</v>
      </c>
      <c r="BS198" s="75">
        <f t="shared" si="256"/>
        <v>-1.7372887273478641</v>
      </c>
      <c r="BT198" s="75">
        <f t="shared" si="257"/>
        <v>-2</v>
      </c>
      <c r="BU198" s="5" t="str">
        <f>IF(G204&gt;=36, IF(AND(NOT(ISBLANK(CM:CM)), NOT(ISBLANK(BD:BD))), (CM:CM-BD:BD)/2, ""), "UF")</f>
        <v/>
      </c>
      <c r="BV198" s="5">
        <f t="shared" si="227"/>
        <v>-3.0716330910217962</v>
      </c>
      <c r="BW198" s="69">
        <f t="shared" si="228"/>
        <v>1</v>
      </c>
      <c r="BX198" s="2">
        <v>88</v>
      </c>
      <c r="BY198" s="5">
        <v>-1.5940779580306039</v>
      </c>
      <c r="BZ198" s="74">
        <f t="shared" si="258"/>
        <v>0.53672090582290788</v>
      </c>
      <c r="CA198" s="74">
        <f t="shared" si="259"/>
        <v>1</v>
      </c>
      <c r="CB198" s="5" t="str">
        <f t="shared" si="229"/>
        <v/>
      </c>
      <c r="CC198" s="5">
        <f t="shared" si="230"/>
        <v>-1.5940779580306039</v>
      </c>
      <c r="CD198" s="2">
        <f t="shared" si="231"/>
        <v>0.25061469464626396</v>
      </c>
      <c r="CE198" s="69">
        <f t="shared" si="232"/>
        <v>7</v>
      </c>
      <c r="CF198" s="5">
        <v>10000</v>
      </c>
      <c r="CG198" s="5">
        <v>-3.3123965915605358</v>
      </c>
      <c r="CH198" s="72">
        <f t="shared" si="260"/>
        <v>-1.181597727707024</v>
      </c>
      <c r="CI198" s="72">
        <f t="shared" si="261"/>
        <v>-2</v>
      </c>
      <c r="CJ198" s="5" t="str">
        <f t="shared" si="233"/>
        <v/>
      </c>
      <c r="CK198" s="5">
        <f t="shared" si="234"/>
        <v>-3.3123965915605358</v>
      </c>
      <c r="CL198" s="69">
        <f t="shared" si="235"/>
        <v>3</v>
      </c>
      <c r="CN198" s="70" t="str">
        <f t="shared" si="236"/>
        <v/>
      </c>
      <c r="CO198" s="5" t="str">
        <f t="shared" si="237"/>
        <v>UF</v>
      </c>
      <c r="CP198" s="5" t="str">
        <f>IF(G198&lt;48,"UF", IF(NOT(ISBLANK(CM:CM)), CM:CM, IF(BW:BW=1, BV:BV+Sheet2!B173, IF(Sheet1!BW:BW=2, Sheet1!BV:BV+Sheet2!B174, IF(Sheet1!BW:BW=7, Sheet1!BV:BV+Sheet2!B175,"")))))</f>
        <v>UF</v>
      </c>
      <c r="CQ198" s="69" t="str">
        <f t="shared" si="262"/>
        <v/>
      </c>
      <c r="CR198" s="5" t="s">
        <v>12</v>
      </c>
      <c r="CT198" s="5" t="str">
        <f t="shared" si="238"/>
        <v/>
      </c>
      <c r="CU198" s="80" t="str">
        <f t="shared" si="239"/>
        <v>UF</v>
      </c>
      <c r="CV198" s="80" t="str">
        <f t="shared" si="240"/>
        <v>UF</v>
      </c>
      <c r="CW198" s="20" t="str">
        <f>IF(G198&lt;48,"UF", IF(NOT(ISBLANK(CS198)), CS198, IF(CE198=5, CC198+Sheet2!B162, IF(CE198=6, CC198+Sheet2!B163, IF(CE198=7, CC198+Sheet2!B164,"")))))</f>
        <v>UF</v>
      </c>
      <c r="CX198" s="68" t="str">
        <f t="shared" si="263"/>
        <v/>
      </c>
      <c r="CY198" s="5" t="s">
        <v>12</v>
      </c>
      <c r="DA198" s="5" t="str">
        <f t="shared" si="241"/>
        <v>UF</v>
      </c>
      <c r="DB198" s="73" t="str">
        <f t="shared" si="242"/>
        <v>UF</v>
      </c>
      <c r="DC198" s="73" t="str">
        <f t="shared" si="243"/>
        <v>UF</v>
      </c>
      <c r="DD198" s="5" t="str">
        <f>IF(G198&lt;48,"UF", IF(NOT(ISBLANK(CZ:CZ)), CZ:CZ, IF(CL:CL=3, CK:CK+Sheet2!B167, IF(CL:CL=4, CK:CK+Sheet2!B168, IF(CL:CL=7, CK:CK+Sheet2!B169,"")))))</f>
        <v>UF</v>
      </c>
      <c r="DE198" s="69" t="str">
        <f t="shared" si="202"/>
        <v/>
      </c>
      <c r="DF198" s="2">
        <v>3</v>
      </c>
      <c r="DG198" s="2">
        <v>25</v>
      </c>
      <c r="DH198" s="2">
        <v>1</v>
      </c>
      <c r="DI198" s="2">
        <v>2</v>
      </c>
      <c r="DJ198" s="2">
        <v>2</v>
      </c>
      <c r="DK198" s="2">
        <v>111</v>
      </c>
      <c r="DL198" s="2">
        <v>70</v>
      </c>
      <c r="DM198" s="2">
        <v>100</v>
      </c>
      <c r="DN198" s="2">
        <v>60</v>
      </c>
      <c r="DO198" s="2" t="s">
        <v>12</v>
      </c>
      <c r="DP198" s="2" t="s">
        <v>12</v>
      </c>
      <c r="DQ198" s="2">
        <v>2</v>
      </c>
      <c r="DR198" s="2">
        <v>34</v>
      </c>
      <c r="DS198" s="2">
        <v>2</v>
      </c>
      <c r="DT198" s="2">
        <v>80</v>
      </c>
      <c r="DU198" s="2">
        <v>80</v>
      </c>
      <c r="DV198" s="2">
        <v>2</v>
      </c>
      <c r="DW198" s="2">
        <v>3</v>
      </c>
      <c r="DX198" s="2">
        <v>2</v>
      </c>
      <c r="DY198" s="2">
        <v>2</v>
      </c>
      <c r="DZ198" s="2">
        <v>30.5</v>
      </c>
      <c r="EA198" s="2">
        <v>32</v>
      </c>
      <c r="EB198" s="2">
        <v>44</v>
      </c>
      <c r="EC198" s="2">
        <v>1</v>
      </c>
      <c r="ED198" s="2">
        <v>1</v>
      </c>
    </row>
    <row r="199" spans="3:134" x14ac:dyDescent="0.25">
      <c r="C199" s="8" t="s">
        <v>189</v>
      </c>
      <c r="D199" s="4">
        <v>2501022718</v>
      </c>
      <c r="E199" s="5">
        <v>7</v>
      </c>
      <c r="F199" s="2">
        <v>2</v>
      </c>
      <c r="G199" s="2">
        <v>44</v>
      </c>
      <c r="H199" s="2">
        <v>-2.2355845935573608</v>
      </c>
      <c r="I199" s="2">
        <v>51</v>
      </c>
      <c r="J199" s="2">
        <v>0.58940135287155082</v>
      </c>
      <c r="K199" s="1">
        <v>2835</v>
      </c>
      <c r="L199" s="2">
        <v>-1.103540712059619</v>
      </c>
      <c r="M199" s="2">
        <v>-0.74529999999999996</v>
      </c>
      <c r="N199" s="2">
        <f t="shared" si="203"/>
        <v>0.63804229677868041</v>
      </c>
      <c r="O199" s="2">
        <f t="shared" si="204"/>
        <v>-0.74529999999999996</v>
      </c>
      <c r="P199" s="2">
        <v>65.5</v>
      </c>
      <c r="Q199" s="2">
        <v>-1</v>
      </c>
      <c r="R199" s="5">
        <f t="shared" si="205"/>
        <v>-0.86970067643577531</v>
      </c>
      <c r="S199" s="5">
        <f t="shared" si="206"/>
        <v>-1</v>
      </c>
      <c r="T199" s="1">
        <v>7000</v>
      </c>
      <c r="U199" s="2">
        <v>-1.1399999999999999</v>
      </c>
      <c r="V199" s="2">
        <f t="shared" si="207"/>
        <v>-0.13322964397019055</v>
      </c>
      <c r="W199" s="2">
        <f t="shared" si="208"/>
        <v>-1.1399999999999999</v>
      </c>
      <c r="X199" s="2">
        <v>-0.95950000000000002</v>
      </c>
      <c r="Y199" s="76">
        <f t="shared" si="244"/>
        <v>1.2760845935573608</v>
      </c>
      <c r="Z199" s="76">
        <f t="shared" si="245"/>
        <v>2</v>
      </c>
      <c r="AA199" s="2">
        <f t="shared" si="209"/>
        <v>-0.245</v>
      </c>
      <c r="AB199" s="2">
        <f t="shared" si="210"/>
        <v>-0.95950000000000002</v>
      </c>
      <c r="AC199" s="2">
        <v>73</v>
      </c>
      <c r="AD199" s="2">
        <v>-1.1499999999999999</v>
      </c>
      <c r="AE199" s="79">
        <f t="shared" si="246"/>
        <v>-1.7394013528715506</v>
      </c>
      <c r="AF199" s="79">
        <f t="shared" si="247"/>
        <v>-2</v>
      </c>
      <c r="AG199" s="2">
        <f t="shared" si="200"/>
        <v>0.26500000000000001</v>
      </c>
      <c r="AH199" s="2">
        <f t="shared" si="211"/>
        <v>-1.1499999999999999</v>
      </c>
      <c r="AI199" s="2">
        <v>8300</v>
      </c>
      <c r="AJ199" s="2">
        <v>-1.37</v>
      </c>
      <c r="AK199" s="76">
        <f t="shared" si="248"/>
        <v>-0.2664592879403811</v>
      </c>
      <c r="AL199" s="76">
        <f t="shared" si="249"/>
        <v>-1</v>
      </c>
      <c r="AM199" s="2">
        <f t="shared" si="212"/>
        <v>-8.5000000000000075E-2</v>
      </c>
      <c r="AN199" s="2">
        <f t="shared" si="213"/>
        <v>-1.37</v>
      </c>
      <c r="AO199" s="2">
        <v>-1.49</v>
      </c>
      <c r="AP199" s="2" t="str">
        <f t="shared" si="214"/>
        <v/>
      </c>
      <c r="AQ199" s="2">
        <f t="shared" si="215"/>
        <v>-1.49</v>
      </c>
      <c r="AR199" s="2">
        <v>81</v>
      </c>
      <c r="AS199" s="2">
        <v>-0.47</v>
      </c>
      <c r="AT199" s="2" t="str">
        <f t="shared" si="216"/>
        <v/>
      </c>
      <c r="AU199" s="2">
        <f t="shared" si="217"/>
        <v>-0.47</v>
      </c>
      <c r="AV199" s="2">
        <v>9700</v>
      </c>
      <c r="AW199" s="2">
        <v>-1.31</v>
      </c>
      <c r="AX199" s="2" t="str">
        <f t="shared" si="218"/>
        <v/>
      </c>
      <c r="AY199" s="2">
        <f t="shared" si="219"/>
        <v>-1.31</v>
      </c>
      <c r="BA199" s="78">
        <f t="shared" si="250"/>
        <v>-0.53613684715967791</v>
      </c>
      <c r="BB199" s="78">
        <f t="shared" si="251"/>
        <v>-1</v>
      </c>
      <c r="BC199" s="2">
        <f t="shared" si="220"/>
        <v>-5.6368471596780116E-3</v>
      </c>
      <c r="BD199" s="2">
        <f t="shared" si="221"/>
        <v>-1.4956368471596779</v>
      </c>
      <c r="BE199" s="67">
        <f t="shared" si="252"/>
        <v>7</v>
      </c>
      <c r="BF199" s="2" t="s">
        <v>12</v>
      </c>
      <c r="BH199" s="2">
        <f t="shared" si="222"/>
        <v>-4.2898137508583956E-2</v>
      </c>
      <c r="BI199" s="2">
        <f t="shared" si="223"/>
        <v>-0.51289813750858393</v>
      </c>
      <c r="BJ199" s="67">
        <f t="shared" si="224"/>
        <v>7</v>
      </c>
      <c r="BK199" s="2" t="s">
        <v>12</v>
      </c>
      <c r="BM199" s="77">
        <f t="shared" si="253"/>
        <v>5.5382905398319027E-2</v>
      </c>
      <c r="BN199" s="77">
        <f t="shared" si="254"/>
        <v>1</v>
      </c>
      <c r="BO199" s="2">
        <f t="shared" si="225"/>
        <v>-4.6170946016809529E-3</v>
      </c>
      <c r="BP199" s="2">
        <f t="shared" si="226"/>
        <v>-1.3146170946016811</v>
      </c>
      <c r="BQ199" s="67">
        <f t="shared" si="255"/>
        <v>7</v>
      </c>
      <c r="BR199" s="5">
        <v>-1.506910541479034</v>
      </c>
      <c r="BS199" s="75">
        <f t="shared" si="256"/>
        <v>-1.1273694319356098E-2</v>
      </c>
      <c r="BT199" s="75">
        <f t="shared" si="257"/>
        <v>-1</v>
      </c>
      <c r="BU199" s="5" t="str">
        <f>IF(G206&gt;=36, IF(AND(NOT(ISBLANK(CM:CM)), NOT(ISBLANK(BD:BD))), (CM:CM-BD:BD)/2, ""), "UF")</f>
        <v/>
      </c>
      <c r="BV199" s="5">
        <f t="shared" si="227"/>
        <v>-1.506910541479034</v>
      </c>
      <c r="BW199" s="69">
        <f t="shared" si="228"/>
        <v>7</v>
      </c>
      <c r="BX199" s="2">
        <v>93</v>
      </c>
      <c r="BY199" s="5">
        <v>-0.59869441252575184</v>
      </c>
      <c r="BZ199" s="74">
        <f t="shared" si="258"/>
        <v>0.71592268207592924</v>
      </c>
      <c r="CA199" s="74">
        <f t="shared" si="259"/>
        <v>2</v>
      </c>
      <c r="CB199" s="5" t="str">
        <f t="shared" si="229"/>
        <v/>
      </c>
      <c r="CC199" s="5">
        <f t="shared" si="230"/>
        <v>-0.59869441252575184</v>
      </c>
      <c r="CD199" s="2">
        <f t="shared" si="231"/>
        <v>-8.5796275017167911E-2</v>
      </c>
      <c r="CE199" s="69">
        <f t="shared" si="232"/>
        <v>7</v>
      </c>
      <c r="CF199" s="5">
        <v>12500</v>
      </c>
      <c r="CG199" s="5">
        <v>-1.3238512838050429</v>
      </c>
      <c r="CH199" s="72">
        <f t="shared" si="260"/>
        <v>-9.2341892033618311E-3</v>
      </c>
      <c r="CI199" s="72">
        <f t="shared" si="261"/>
        <v>-1</v>
      </c>
      <c r="CJ199" s="5" t="str">
        <f t="shared" si="233"/>
        <v/>
      </c>
      <c r="CK199" s="5">
        <f t="shared" si="234"/>
        <v>-1.3238512838050429</v>
      </c>
      <c r="CL199" s="69">
        <f t="shared" si="235"/>
        <v>7</v>
      </c>
      <c r="CN199" s="70" t="str">
        <f t="shared" si="236"/>
        <v/>
      </c>
      <c r="CO199" s="5" t="str">
        <f t="shared" si="237"/>
        <v>UF</v>
      </c>
      <c r="CP199" s="5" t="str">
        <f>IF(G199&lt;48,"UF", IF(NOT(ISBLANK(CM:CM)), CM:CM, IF(BW:BW=1, BV:BV+Sheet2!B361, IF(Sheet1!BW:BW=2, Sheet1!BV:BV+Sheet2!B362, IF(Sheet1!BW:BW=7, Sheet1!BV:BV+Sheet2!B363,"")))))</f>
        <v>UF</v>
      </c>
      <c r="CQ199" s="69" t="str">
        <f t="shared" si="262"/>
        <v/>
      </c>
      <c r="CR199" s="5" t="s">
        <v>12</v>
      </c>
      <c r="CT199" s="5" t="str">
        <f t="shared" si="238"/>
        <v/>
      </c>
      <c r="CU199" s="80" t="str">
        <f t="shared" si="239"/>
        <v>UF</v>
      </c>
      <c r="CV199" s="80" t="str">
        <f t="shared" si="240"/>
        <v>UF</v>
      </c>
      <c r="CW199" s="20" t="str">
        <f>IF(G199&lt;48,"UF", IF(NOT(ISBLANK(CS199)), CS199, IF(CE199=5, CC199+Sheet2!B350, IF(CE199=6, CC199+Sheet2!B351, IF(CE199=7, CC199+Sheet2!B352,"")))))</f>
        <v>UF</v>
      </c>
      <c r="CX199" s="68" t="str">
        <f t="shared" si="263"/>
        <v/>
      </c>
      <c r="CY199" s="5" t="s">
        <v>12</v>
      </c>
      <c r="DA199" s="5" t="str">
        <f t="shared" si="241"/>
        <v>UF</v>
      </c>
      <c r="DB199" s="73" t="str">
        <f t="shared" si="242"/>
        <v>UF</v>
      </c>
      <c r="DC199" s="73" t="str">
        <f t="shared" si="243"/>
        <v>UF</v>
      </c>
      <c r="DD199" s="5" t="str">
        <f>IF(G199&lt;48,"UF", IF(NOT(ISBLANK(CZ:CZ)), CZ:CZ, IF(CL:CL=3, CK:CK+Sheet2!B355, IF(CL:CL=4, CK:CK+Sheet2!B356, IF(CL:CL=7, CK:CK+Sheet2!B357,"")))))</f>
        <v>UF</v>
      </c>
      <c r="DE199" s="69" t="str">
        <f t="shared" si="202"/>
        <v/>
      </c>
      <c r="DF199" s="2">
        <v>1</v>
      </c>
      <c r="DG199" s="2">
        <v>23</v>
      </c>
      <c r="DH199" s="2">
        <v>2</v>
      </c>
      <c r="DI199" s="2">
        <v>2</v>
      </c>
      <c r="DJ199" s="2">
        <v>2</v>
      </c>
      <c r="DK199" s="2">
        <v>95</v>
      </c>
      <c r="DL199" s="2">
        <v>60</v>
      </c>
      <c r="DM199" s="2" t="s">
        <v>12</v>
      </c>
      <c r="DN199" s="2" t="s">
        <v>12</v>
      </c>
      <c r="DO199" s="2">
        <v>100</v>
      </c>
      <c r="DP199" s="2">
        <v>60</v>
      </c>
      <c r="DQ199" s="2">
        <v>2</v>
      </c>
      <c r="DR199" s="2">
        <v>39</v>
      </c>
      <c r="DS199" s="2">
        <v>2</v>
      </c>
      <c r="DT199" s="2">
        <v>84</v>
      </c>
      <c r="DU199" s="2" t="s">
        <v>12</v>
      </c>
      <c r="DV199" s="2">
        <v>2</v>
      </c>
      <c r="DW199" s="2">
        <v>3</v>
      </c>
      <c r="DX199" s="2">
        <v>2</v>
      </c>
      <c r="DY199" s="2">
        <v>2</v>
      </c>
      <c r="DZ199" s="2">
        <v>34</v>
      </c>
      <c r="EA199" s="2" t="s">
        <v>12</v>
      </c>
      <c r="EB199" s="2">
        <v>45.5</v>
      </c>
      <c r="EC199" s="2" t="s">
        <v>12</v>
      </c>
      <c r="ED199" s="2" t="s">
        <v>12</v>
      </c>
    </row>
    <row r="200" spans="3:134" x14ac:dyDescent="0.25">
      <c r="C200" s="5" t="s">
        <v>40</v>
      </c>
      <c r="D200" s="4">
        <v>2501022734</v>
      </c>
      <c r="E200" s="2">
        <v>2</v>
      </c>
      <c r="F200" s="2">
        <v>2</v>
      </c>
      <c r="G200" s="2">
        <v>45</v>
      </c>
      <c r="H200" s="2">
        <v>-0.40554259541395432</v>
      </c>
      <c r="I200" s="2">
        <v>50</v>
      </c>
      <c r="J200" s="2">
        <v>6.1168777667580831E-2</v>
      </c>
      <c r="K200" s="5">
        <v>3225</v>
      </c>
      <c r="L200" s="2">
        <v>-0.25143918139928528</v>
      </c>
      <c r="N200" s="2">
        <f t="shared" si="203"/>
        <v>-2.0538787022930229</v>
      </c>
      <c r="O200" s="2">
        <f t="shared" si="204"/>
        <v>-2.4594212977069771</v>
      </c>
      <c r="P200" s="2" t="s">
        <v>12</v>
      </c>
      <c r="R200" s="5">
        <f t="shared" si="205"/>
        <v>0.2344156111662096</v>
      </c>
      <c r="S200" s="5">
        <f t="shared" si="206"/>
        <v>0.29558438883379046</v>
      </c>
      <c r="T200" s="1" t="s">
        <v>12</v>
      </c>
      <c r="V200" s="2">
        <f t="shared" si="207"/>
        <v>-1.3242804093003573</v>
      </c>
      <c r="W200" s="2">
        <f t="shared" si="208"/>
        <v>-1.5757195906996426</v>
      </c>
      <c r="X200" s="2">
        <v>-4.5133000000000001</v>
      </c>
      <c r="Y200" s="76">
        <f t="shared" si="244"/>
        <v>-4.1077574045860459</v>
      </c>
      <c r="Z200" s="76">
        <f t="shared" si="245"/>
        <v>-2</v>
      </c>
      <c r="AA200" s="2">
        <f t="shared" si="209"/>
        <v>-2.1871421944168956</v>
      </c>
      <c r="AB200" s="2">
        <f t="shared" si="210"/>
        <v>-4.5133000000000001</v>
      </c>
      <c r="AC200" s="2">
        <v>77</v>
      </c>
      <c r="AD200" s="2">
        <v>0.53</v>
      </c>
      <c r="AE200" s="79">
        <f t="shared" si="246"/>
        <v>0.4688312223324192</v>
      </c>
      <c r="AF200" s="79">
        <f t="shared" si="247"/>
        <v>1</v>
      </c>
      <c r="AG200" s="2">
        <f t="shared" si="200"/>
        <v>-0.19779219441689522</v>
      </c>
      <c r="AH200" s="2">
        <f t="shared" si="211"/>
        <v>0.53</v>
      </c>
      <c r="AI200" s="2">
        <v>7000</v>
      </c>
      <c r="AJ200" s="2">
        <v>-2.9</v>
      </c>
      <c r="AK200" s="76">
        <f t="shared" si="248"/>
        <v>-2.6485608186007146</v>
      </c>
      <c r="AL200" s="76">
        <f t="shared" si="249"/>
        <v>-2</v>
      </c>
      <c r="AM200" s="2">
        <f t="shared" si="212"/>
        <v>-0.6121402046501786</v>
      </c>
      <c r="AN200" s="2">
        <f t="shared" si="213"/>
        <v>-2.9</v>
      </c>
      <c r="AO200" s="2">
        <v>-4.0787000000000004</v>
      </c>
      <c r="AP200" s="2">
        <f t="shared" si="214"/>
        <v>-1.558362561512149</v>
      </c>
      <c r="AQ200" s="2">
        <f t="shared" si="215"/>
        <v>-4.0787000000000004</v>
      </c>
      <c r="AR200" s="2">
        <v>82</v>
      </c>
      <c r="AS200" s="2">
        <v>-0.1</v>
      </c>
      <c r="AT200" s="2">
        <f t="shared" si="216"/>
        <v>-0.38777292729072516</v>
      </c>
      <c r="AU200" s="2">
        <f t="shared" si="217"/>
        <v>-0.1</v>
      </c>
      <c r="AV200" s="2">
        <v>8000</v>
      </c>
      <c r="AW200" s="2">
        <v>-2.8</v>
      </c>
      <c r="AX200" s="2">
        <f t="shared" si="218"/>
        <v>-0.6876679620433086</v>
      </c>
      <c r="AY200" s="2">
        <f t="shared" si="219"/>
        <v>-2.8</v>
      </c>
      <c r="AZ200" s="2">
        <v>-7.6300251230242981</v>
      </c>
      <c r="BA200" s="78">
        <f t="shared" si="250"/>
        <v>-3.116725123024298</v>
      </c>
      <c r="BB200" s="78">
        <f t="shared" si="251"/>
        <v>-2</v>
      </c>
      <c r="BC200" s="2">
        <f t="shared" si="220"/>
        <v>1.6950030883129636</v>
      </c>
      <c r="BD200" s="2">
        <f t="shared" si="221"/>
        <v>-7.6300251230242981</v>
      </c>
      <c r="BE200" s="67">
        <f t="shared" si="252"/>
        <v>1</v>
      </c>
      <c r="BF200" s="2">
        <v>86</v>
      </c>
      <c r="BG200" s="2">
        <v>-0.24554585458145031</v>
      </c>
      <c r="BH200" s="2">
        <f t="shared" si="222"/>
        <v>-0.44018950187980593</v>
      </c>
      <c r="BI200" s="2">
        <f t="shared" si="223"/>
        <v>-0.24554585458145031</v>
      </c>
      <c r="BJ200" s="67">
        <f t="shared" si="224"/>
        <v>7</v>
      </c>
      <c r="BK200" s="2">
        <v>8200</v>
      </c>
      <c r="BL200" s="2">
        <v>-4.2753359240866171</v>
      </c>
      <c r="BM200" s="77">
        <f t="shared" si="253"/>
        <v>-1.3753359240866172</v>
      </c>
      <c r="BN200" s="77">
        <f t="shared" si="254"/>
        <v>-2</v>
      </c>
      <c r="BO200" s="2">
        <f t="shared" si="225"/>
        <v>0.84810528097981808</v>
      </c>
      <c r="BP200" s="2">
        <f t="shared" si="226"/>
        <v>-4.2753359240866171</v>
      </c>
      <c r="BQ200" s="67">
        <f t="shared" si="255"/>
        <v>3</v>
      </c>
      <c r="BR200" s="5">
        <v>1.0063092649388901</v>
      </c>
      <c r="BS200" s="75">
        <f t="shared" si="256"/>
        <v>8.6363343879631884</v>
      </c>
      <c r="BT200" s="75">
        <f t="shared" si="257"/>
        <v>2</v>
      </c>
      <c r="BU200" s="5" t="e">
        <f>IF(#REF!&gt;=36, IF(AND(NOT(ISBLANK(CM:CM)), NOT(ISBLANK(BD:BD))), (CM:CM-BD:BD)/2, ""), "UF")</f>
        <v>#REF!</v>
      </c>
      <c r="BV200" s="5">
        <f t="shared" si="227"/>
        <v>1.0063092649388901</v>
      </c>
      <c r="BW200" s="69">
        <f t="shared" si="228"/>
        <v>7</v>
      </c>
      <c r="BX200" s="2">
        <v>90</v>
      </c>
      <c r="BY200" s="5">
        <v>-1.4205685056394179</v>
      </c>
      <c r="BZ200" s="74">
        <f t="shared" si="258"/>
        <v>2.8547674184471994</v>
      </c>
      <c r="CA200" s="74">
        <f t="shared" si="259"/>
        <v>2</v>
      </c>
      <c r="CB200" s="5" t="str">
        <f t="shared" si="229"/>
        <v/>
      </c>
      <c r="CC200" s="5">
        <f t="shared" si="230"/>
        <v>-1.4205685056394179</v>
      </c>
      <c r="CD200" s="2">
        <f t="shared" si="231"/>
        <v>-1.1750226510579675</v>
      </c>
      <c r="CE200" s="69">
        <f t="shared" si="232"/>
        <v>7</v>
      </c>
      <c r="CF200" s="5">
        <v>14000</v>
      </c>
      <c r="CG200" s="5">
        <v>-0.25568415706054531</v>
      </c>
      <c r="CH200" s="72">
        <f t="shared" si="260"/>
        <v>4.0196517670260716</v>
      </c>
      <c r="CI200" s="72">
        <f t="shared" si="261"/>
        <v>2</v>
      </c>
      <c r="CJ200" s="5" t="str">
        <f t="shared" si="233"/>
        <v/>
      </c>
      <c r="CK200" s="5">
        <f t="shared" si="234"/>
        <v>-0.25568415706054531</v>
      </c>
      <c r="CL200" s="69">
        <f t="shared" si="235"/>
        <v>7</v>
      </c>
      <c r="CN200" s="70" t="str">
        <f t="shared" si="236"/>
        <v/>
      </c>
      <c r="CO200" s="5" t="str">
        <f t="shared" si="237"/>
        <v>UF</v>
      </c>
      <c r="CP200" s="5" t="str">
        <f>IF(G200&lt;48,"UF", IF(NOT(ISBLANK(CM:CM)), CM:CM, IF(BW:BW=1, BV:BV+Sheet2!B67, IF(Sheet1!BW:BW=2, Sheet1!BV:BV+Sheet2!B68, IF(Sheet1!BW:BW=7, Sheet1!BV:BV+Sheet2!B69,"")))))</f>
        <v>UF</v>
      </c>
      <c r="CQ200" s="69" t="str">
        <f t="shared" si="262"/>
        <v/>
      </c>
      <c r="CR200" s="5" t="s">
        <v>12</v>
      </c>
      <c r="CT200" s="5" t="str">
        <f t="shared" si="238"/>
        <v/>
      </c>
      <c r="CU200" s="80" t="str">
        <f t="shared" si="239"/>
        <v>UF</v>
      </c>
      <c r="CV200" s="80" t="str">
        <f t="shared" si="240"/>
        <v>UF</v>
      </c>
      <c r="CW200" s="20" t="str">
        <f>IF(G200&lt;48,"UF", IF(NOT(ISBLANK(CS200)), CS200, IF(CE200=5, CC200+Sheet2!B56, IF(CE200=6, CC200+Sheet2!B57, IF(CE200=7, CC200+Sheet2!B58,"")))))</f>
        <v>UF</v>
      </c>
      <c r="CX200" s="68" t="str">
        <f t="shared" si="263"/>
        <v/>
      </c>
      <c r="CY200" s="5" t="s">
        <v>12</v>
      </c>
      <c r="DA200" s="5" t="str">
        <f t="shared" si="241"/>
        <v>UF</v>
      </c>
      <c r="DB200" s="73" t="str">
        <f t="shared" si="242"/>
        <v>UF</v>
      </c>
      <c r="DC200" s="73" t="str">
        <f t="shared" si="243"/>
        <v>UF</v>
      </c>
      <c r="DD200" s="5" t="str">
        <f>IF(G200&lt;48,"UF", IF(NOT(ISBLANK(CZ:CZ)), CZ:CZ, IF(CL:CL=3, CK:CK+Sheet2!B61, IF(CL:CL=4, CK:CK+Sheet2!B62, IF(CL:CL=7, CK:CK+Sheet2!B63,"")))))</f>
        <v>UF</v>
      </c>
      <c r="DE200" s="69" t="str">
        <f t="shared" si="202"/>
        <v/>
      </c>
      <c r="DF200" s="2">
        <v>2</v>
      </c>
      <c r="DG200" s="2">
        <v>29</v>
      </c>
      <c r="DH200" s="2">
        <v>1</v>
      </c>
      <c r="DI200" s="2">
        <v>1</v>
      </c>
      <c r="DJ200" s="2">
        <v>2</v>
      </c>
      <c r="DK200" s="2">
        <v>80</v>
      </c>
      <c r="DL200" s="2">
        <v>50</v>
      </c>
      <c r="DM200" s="2">
        <v>90</v>
      </c>
      <c r="DN200" s="2">
        <v>60</v>
      </c>
      <c r="DO200" s="2">
        <v>90</v>
      </c>
      <c r="DP200" s="2">
        <v>60</v>
      </c>
      <c r="DQ200" s="2">
        <v>2</v>
      </c>
      <c r="DR200" s="2">
        <v>38</v>
      </c>
      <c r="DS200" s="2">
        <v>2</v>
      </c>
      <c r="DT200" s="2">
        <v>88</v>
      </c>
      <c r="DU200" s="2">
        <v>77</v>
      </c>
      <c r="DV200" s="2">
        <v>2</v>
      </c>
      <c r="DW200" s="2">
        <v>2</v>
      </c>
      <c r="DX200" s="2">
        <v>2</v>
      </c>
      <c r="DY200" s="2">
        <v>1</v>
      </c>
      <c r="DZ200" s="2">
        <v>35</v>
      </c>
      <c r="EA200" s="2" t="s">
        <v>12</v>
      </c>
      <c r="EB200" s="2">
        <v>47</v>
      </c>
      <c r="EC200" s="2" t="s">
        <v>12</v>
      </c>
      <c r="ED200" s="2">
        <v>1</v>
      </c>
    </row>
    <row r="201" spans="3:134" x14ac:dyDescent="0.25">
      <c r="C201" s="8" t="s">
        <v>316</v>
      </c>
      <c r="D201" s="8">
        <v>2501022882</v>
      </c>
      <c r="E201" s="5">
        <v>7</v>
      </c>
      <c r="F201" s="2">
        <v>1</v>
      </c>
      <c r="G201" s="2">
        <v>45</v>
      </c>
      <c r="H201" s="2">
        <v>-0.34966417634341068</v>
      </c>
      <c r="I201" s="2">
        <v>49</v>
      </c>
      <c r="J201" s="2">
        <v>-7.9294265603816944E-2</v>
      </c>
      <c r="K201" s="2">
        <v>3100</v>
      </c>
      <c r="L201" s="2">
        <v>-0.29236112544414727</v>
      </c>
      <c r="M201" s="2">
        <v>0.85489999999999999</v>
      </c>
      <c r="N201" s="2">
        <f t="shared" si="203"/>
        <v>0.52903208817170533</v>
      </c>
      <c r="O201" s="2">
        <f t="shared" si="204"/>
        <v>0.85489999999999999</v>
      </c>
      <c r="P201" s="2">
        <v>68</v>
      </c>
      <c r="Q201" s="2">
        <v>0.99</v>
      </c>
      <c r="R201" s="5">
        <f t="shared" si="205"/>
        <v>0.23464713280190846</v>
      </c>
      <c r="S201" s="5">
        <f t="shared" si="206"/>
        <v>0.99</v>
      </c>
      <c r="T201" s="2">
        <v>8450</v>
      </c>
      <c r="U201" s="2">
        <v>1.19</v>
      </c>
      <c r="V201" s="2">
        <f t="shared" si="207"/>
        <v>0.51618056272207369</v>
      </c>
      <c r="W201" s="2">
        <f t="shared" si="208"/>
        <v>1.19</v>
      </c>
      <c r="X201" s="2">
        <v>0.70840000000000003</v>
      </c>
      <c r="Y201" s="76">
        <f t="shared" si="244"/>
        <v>1.0580641763434107</v>
      </c>
      <c r="Z201" s="76">
        <f t="shared" si="245"/>
        <v>2</v>
      </c>
      <c r="AA201" s="2">
        <f t="shared" si="209"/>
        <v>5.7300000000000018E-2</v>
      </c>
      <c r="AB201" s="2">
        <f t="shared" si="210"/>
        <v>0.70840000000000003</v>
      </c>
      <c r="AC201" s="2">
        <v>75</v>
      </c>
      <c r="AD201" s="2">
        <v>0.39</v>
      </c>
      <c r="AE201" s="79">
        <f t="shared" si="246"/>
        <v>0.46929426560381693</v>
      </c>
      <c r="AF201" s="79">
        <f t="shared" si="247"/>
        <v>1</v>
      </c>
      <c r="AG201" s="2">
        <f t="shared" si="200"/>
        <v>-0.62</v>
      </c>
      <c r="AH201" s="2">
        <f t="shared" si="211"/>
        <v>0.39</v>
      </c>
      <c r="AI201" s="2">
        <v>9800</v>
      </c>
      <c r="AJ201" s="2">
        <v>0.74</v>
      </c>
      <c r="AK201" s="76">
        <f t="shared" si="248"/>
        <v>1.0323611254441474</v>
      </c>
      <c r="AL201" s="76">
        <f t="shared" si="249"/>
        <v>2</v>
      </c>
      <c r="AM201" s="2">
        <f t="shared" si="212"/>
        <v>-0.26999999999999996</v>
      </c>
      <c r="AN201" s="2">
        <f t="shared" si="213"/>
        <v>0.74</v>
      </c>
      <c r="AO201" s="2">
        <v>1.1046</v>
      </c>
      <c r="AP201" s="2">
        <f t="shared" si="214"/>
        <v>-1.0460494443154935</v>
      </c>
      <c r="AQ201" s="2">
        <f t="shared" si="215"/>
        <v>1.1046</v>
      </c>
      <c r="AR201" s="2">
        <v>80</v>
      </c>
      <c r="AS201" s="2">
        <v>-0.25</v>
      </c>
      <c r="AT201" s="2">
        <f t="shared" si="216"/>
        <v>3.4765938992431134E-2</v>
      </c>
      <c r="AU201" s="2">
        <f t="shared" si="217"/>
        <v>-0.25</v>
      </c>
      <c r="AV201" s="2">
        <v>11100</v>
      </c>
      <c r="AW201" s="2">
        <v>0.65</v>
      </c>
      <c r="AX201" s="2">
        <f t="shared" si="218"/>
        <v>-0.79772540616647181</v>
      </c>
      <c r="AY201" s="2">
        <f t="shared" si="219"/>
        <v>0.65</v>
      </c>
      <c r="AZ201" s="2">
        <v>-1.3836988886309869</v>
      </c>
      <c r="BA201" s="78">
        <f t="shared" si="250"/>
        <v>-2.092098888630987</v>
      </c>
      <c r="BB201" s="78">
        <f t="shared" si="251"/>
        <v>-2</v>
      </c>
      <c r="BC201" s="2">
        <f t="shared" si="220"/>
        <v>-1.1055885869737236</v>
      </c>
      <c r="BD201" s="2">
        <f t="shared" si="221"/>
        <v>-1.3836988886309869</v>
      </c>
      <c r="BE201" s="67">
        <f t="shared" si="252"/>
        <v>7</v>
      </c>
      <c r="BF201" s="2">
        <v>87</v>
      </c>
      <c r="BG201" s="2">
        <v>0.45953187798486228</v>
      </c>
      <c r="BH201" s="2">
        <f t="shared" si="222"/>
        <v>0.39930729472729443</v>
      </c>
      <c r="BI201" s="2">
        <f t="shared" si="223"/>
        <v>0.45953187798486228</v>
      </c>
      <c r="BJ201" s="67">
        <f t="shared" si="224"/>
        <v>7</v>
      </c>
      <c r="BK201" s="2">
        <v>11100</v>
      </c>
      <c r="BL201" s="2">
        <v>-0.85545081233294373</v>
      </c>
      <c r="BM201" s="77">
        <f t="shared" si="253"/>
        <v>-1.5954508123329436</v>
      </c>
      <c r="BN201" s="77">
        <f t="shared" si="254"/>
        <v>-2</v>
      </c>
      <c r="BO201" s="2">
        <f t="shared" si="225"/>
        <v>-0.41878309304188227</v>
      </c>
      <c r="BP201" s="2">
        <f t="shared" si="226"/>
        <v>-0.85545081233294373</v>
      </c>
      <c r="BQ201" s="67">
        <f t="shared" si="255"/>
        <v>7</v>
      </c>
      <c r="BR201" s="5">
        <v>-2.2121657609211711</v>
      </c>
      <c r="BS201" s="75">
        <f t="shared" si="256"/>
        <v>-0.82846687229018423</v>
      </c>
      <c r="BT201" s="75">
        <f t="shared" si="257"/>
        <v>-2</v>
      </c>
      <c r="BU201" s="5" t="e">
        <f>IF(#REF!&gt;=36, IF(AND(NOT(ISBLANK(CM:CM)), NOT(ISBLANK(BD:BD))), (CM:CM-BD:BD)/2, ""), "UF")</f>
        <v>#REF!</v>
      </c>
      <c r="BV201" s="5">
        <f t="shared" si="227"/>
        <v>-2.2121657609211711</v>
      </c>
      <c r="BW201" s="69">
        <f t="shared" si="228"/>
        <v>2</v>
      </c>
      <c r="BX201" s="2">
        <v>98</v>
      </c>
      <c r="BY201" s="5">
        <v>0.94792188418188328</v>
      </c>
      <c r="BZ201" s="74">
        <f t="shared" si="258"/>
        <v>1.8033726965148271</v>
      </c>
      <c r="CA201" s="74">
        <f t="shared" si="259"/>
        <v>2</v>
      </c>
      <c r="CB201" s="5" t="str">
        <f t="shared" si="229"/>
        <v/>
      </c>
      <c r="CC201" s="5">
        <f t="shared" si="230"/>
        <v>0.94792188418188328</v>
      </c>
      <c r="CD201" s="2">
        <f t="shared" si="231"/>
        <v>0.488390006197021</v>
      </c>
      <c r="CE201" s="69">
        <f t="shared" si="232"/>
        <v>7</v>
      </c>
      <c r="CF201" s="5">
        <v>13000</v>
      </c>
      <c r="CG201" s="5">
        <v>-0.60634927912564673</v>
      </c>
      <c r="CH201" s="72">
        <f t="shared" si="260"/>
        <v>0.249101533207297</v>
      </c>
      <c r="CI201" s="72">
        <f t="shared" si="261"/>
        <v>1</v>
      </c>
      <c r="CJ201" s="5" t="str">
        <f t="shared" si="233"/>
        <v/>
      </c>
      <c r="CK201" s="5">
        <f t="shared" si="234"/>
        <v>-0.60634927912564673</v>
      </c>
      <c r="CL201" s="69">
        <f t="shared" si="235"/>
        <v>7</v>
      </c>
      <c r="CN201" s="70" t="str">
        <f t="shared" si="236"/>
        <v/>
      </c>
      <c r="CO201" s="5" t="str">
        <f t="shared" si="237"/>
        <v>UF</v>
      </c>
      <c r="CP201" s="5" t="str">
        <f>IF(G201&lt;48,"UF", IF(NOT(ISBLANK(CM:CM)), CM:CM, IF(BW:BW=1, BV:BV+Sheet2!B539, IF(Sheet1!BW:BW=2, Sheet1!BV:BV+Sheet2!B540, IF(Sheet1!BW:BW=7, Sheet1!BV:BV+Sheet2!B541,"")))))</f>
        <v>UF</v>
      </c>
      <c r="CQ201" s="69" t="str">
        <f t="shared" si="262"/>
        <v/>
      </c>
      <c r="CR201" s="5" t="s">
        <v>12</v>
      </c>
      <c r="CT201" s="5" t="str">
        <f t="shared" si="238"/>
        <v/>
      </c>
      <c r="CU201" s="80" t="str">
        <f t="shared" si="239"/>
        <v>UF</v>
      </c>
      <c r="CV201" s="80" t="str">
        <f t="shared" si="240"/>
        <v>UF</v>
      </c>
      <c r="CW201" s="20" t="str">
        <f>IF(G201&lt;48,"UF", IF(NOT(ISBLANK(CS201)), CS201, IF(CE201=5, CC201+Sheet2!B528, IF(CE201=6, CC201+Sheet2!B529, IF(CE201=7, CC201+Sheet2!B530,"")))))</f>
        <v>UF</v>
      </c>
      <c r="CX201" s="68" t="str">
        <f t="shared" si="263"/>
        <v/>
      </c>
      <c r="CY201" s="5" t="s">
        <v>12</v>
      </c>
      <c r="DA201" s="5" t="str">
        <f t="shared" si="241"/>
        <v>UF</v>
      </c>
      <c r="DB201" s="73" t="str">
        <f t="shared" si="242"/>
        <v>UF</v>
      </c>
      <c r="DC201" s="73" t="str">
        <f t="shared" si="243"/>
        <v>UF</v>
      </c>
      <c r="DD201" s="5" t="str">
        <f>IF(G201&lt;48,"UF", IF(NOT(ISBLANK(CZ:CZ)), CZ:CZ, IF(CL:CL=3, CK:CK+Sheet2!B533, IF(CL:CL=4, CK:CK+Sheet2!B534, IF(CL:CL=7, CK:CK+Sheet2!B535,"")))))</f>
        <v>UF</v>
      </c>
      <c r="DE201" s="69" t="str">
        <f t="shared" si="202"/>
        <v/>
      </c>
      <c r="DF201" s="2">
        <v>3</v>
      </c>
      <c r="DG201" s="2">
        <v>35</v>
      </c>
      <c r="DH201" s="2">
        <v>1</v>
      </c>
      <c r="DI201" s="2">
        <v>2</v>
      </c>
      <c r="DJ201" s="2">
        <v>2</v>
      </c>
      <c r="DK201" s="2">
        <v>110</v>
      </c>
      <c r="DL201" s="2">
        <v>70</v>
      </c>
      <c r="DM201" s="2">
        <v>120</v>
      </c>
      <c r="DN201" s="2">
        <v>70</v>
      </c>
      <c r="DO201" s="2">
        <v>117</v>
      </c>
      <c r="DP201" s="2">
        <v>69</v>
      </c>
      <c r="DQ201" s="2">
        <v>2</v>
      </c>
      <c r="DR201" s="2">
        <v>39</v>
      </c>
      <c r="DS201" s="2">
        <v>1</v>
      </c>
      <c r="DT201" s="2">
        <v>80</v>
      </c>
      <c r="DU201" s="2">
        <v>70</v>
      </c>
      <c r="DV201" s="2">
        <v>4</v>
      </c>
      <c r="DW201" s="2">
        <v>2</v>
      </c>
      <c r="DX201" s="2">
        <v>2</v>
      </c>
      <c r="DY201" s="2">
        <v>2</v>
      </c>
      <c r="DZ201" s="2">
        <v>35.5</v>
      </c>
      <c r="EA201" s="2">
        <v>36</v>
      </c>
      <c r="EB201" s="2">
        <v>46</v>
      </c>
      <c r="EC201" s="2">
        <v>1</v>
      </c>
      <c r="ED201" s="2">
        <v>1</v>
      </c>
    </row>
    <row r="202" spans="3:134" x14ac:dyDescent="0.25">
      <c r="C202" s="5" t="s">
        <v>36</v>
      </c>
      <c r="D202" s="2">
        <v>2501023447</v>
      </c>
      <c r="E202" s="5" t="s">
        <v>529</v>
      </c>
      <c r="F202" s="2">
        <v>2</v>
      </c>
      <c r="G202" s="2">
        <v>45</v>
      </c>
      <c r="H202" s="2">
        <v>-4.612954443032474</v>
      </c>
      <c r="I202" s="2">
        <v>43</v>
      </c>
      <c r="J202" s="2">
        <v>-3.6364592487602092</v>
      </c>
      <c r="K202" s="5">
        <v>1600</v>
      </c>
      <c r="L202" s="2">
        <v>-4.2672876351616464</v>
      </c>
      <c r="M202" s="2">
        <v>-1.5008999999999999</v>
      </c>
      <c r="N202" s="2">
        <f t="shared" si="203"/>
        <v>1.1652272215162369</v>
      </c>
      <c r="O202" s="2">
        <f t="shared" si="204"/>
        <v>-1.5008999999999999</v>
      </c>
      <c r="P202" s="2">
        <v>62</v>
      </c>
      <c r="Q202" s="2">
        <v>-2.64</v>
      </c>
      <c r="R202" s="5">
        <f t="shared" si="205"/>
        <v>0.82322962438010461</v>
      </c>
      <c r="S202" s="5">
        <f t="shared" si="206"/>
        <v>-2.64</v>
      </c>
      <c r="T202" s="1">
        <v>5900</v>
      </c>
      <c r="U202" s="2">
        <v>-2.66</v>
      </c>
      <c r="V202" s="2">
        <f t="shared" si="207"/>
        <v>0.74364381758082332</v>
      </c>
      <c r="W202" s="2">
        <f t="shared" si="208"/>
        <v>-2.66</v>
      </c>
      <c r="X202" s="2">
        <v>-2.2825000000000002</v>
      </c>
      <c r="Y202" s="76">
        <f t="shared" si="244"/>
        <v>2.3304544430324738</v>
      </c>
      <c r="Z202" s="76">
        <f t="shared" si="245"/>
        <v>2</v>
      </c>
      <c r="AA202" s="2">
        <f t="shared" si="209"/>
        <v>0.38670000000000004</v>
      </c>
      <c r="AB202" s="2">
        <f t="shared" si="210"/>
        <v>-2.2825000000000002</v>
      </c>
      <c r="AC202" s="2">
        <v>71</v>
      </c>
      <c r="AD202" s="2">
        <v>-1.99</v>
      </c>
      <c r="AE202" s="79">
        <f t="shared" si="246"/>
        <v>1.6464592487602092</v>
      </c>
      <c r="AF202" s="79">
        <f t="shared" si="247"/>
        <v>2</v>
      </c>
      <c r="AG202" s="2">
        <f t="shared" si="200"/>
        <v>0.25</v>
      </c>
      <c r="AH202" s="2">
        <f t="shared" si="211"/>
        <v>-1.99</v>
      </c>
      <c r="AI202" s="2">
        <v>7100</v>
      </c>
      <c r="AJ202" s="2">
        <v>-2.78</v>
      </c>
      <c r="AK202" s="76">
        <f t="shared" si="248"/>
        <v>1.4872876351616466</v>
      </c>
      <c r="AL202" s="76">
        <f t="shared" si="249"/>
        <v>2</v>
      </c>
      <c r="AM202" s="2">
        <f t="shared" si="212"/>
        <v>4.0000000000000036E-2</v>
      </c>
      <c r="AN202" s="2">
        <f t="shared" si="213"/>
        <v>-2.78</v>
      </c>
      <c r="AO202" s="2">
        <v>-1.8666</v>
      </c>
      <c r="AP202" s="2">
        <f t="shared" si="214"/>
        <v>0.15423990222046957</v>
      </c>
      <c r="AQ202" s="2">
        <f t="shared" si="215"/>
        <v>-1.8666</v>
      </c>
      <c r="AR202" s="2">
        <v>76.5</v>
      </c>
      <c r="AS202" s="2">
        <v>-2.14</v>
      </c>
      <c r="AT202" s="2">
        <f t="shared" si="216"/>
        <v>-0.12488419639099646</v>
      </c>
      <c r="AU202" s="2">
        <f t="shared" si="217"/>
        <v>-2.14</v>
      </c>
      <c r="AV202" s="2">
        <v>8200</v>
      </c>
      <c r="AW202" s="2">
        <v>-2.58</v>
      </c>
      <c r="AX202" s="2">
        <f t="shared" si="218"/>
        <v>-0.27901081260396055</v>
      </c>
      <c r="AY202" s="2">
        <f t="shared" si="219"/>
        <v>-2.58</v>
      </c>
      <c r="AZ202" s="2">
        <v>-1.9740201955590611</v>
      </c>
      <c r="BA202" s="78">
        <f t="shared" si="250"/>
        <v>0.30847980444093914</v>
      </c>
      <c r="BB202" s="78">
        <f t="shared" si="251"/>
        <v>1</v>
      </c>
      <c r="BC202" s="2" t="str">
        <f t="shared" si="220"/>
        <v/>
      </c>
      <c r="BD202" s="2">
        <f t="shared" si="221"/>
        <v>-1.9740201955590611</v>
      </c>
      <c r="BE202" s="67">
        <f t="shared" si="252"/>
        <v>7</v>
      </c>
      <c r="BF202" s="2">
        <v>79</v>
      </c>
      <c r="BG202" s="2">
        <v>-2.2397683927819929</v>
      </c>
      <c r="BH202" s="2" t="str">
        <f t="shared" si="222"/>
        <v/>
      </c>
      <c r="BI202" s="2">
        <f t="shared" si="223"/>
        <v>-2.2397683927819929</v>
      </c>
      <c r="BJ202" s="67">
        <f t="shared" si="224"/>
        <v>6</v>
      </c>
      <c r="BK202" s="2">
        <v>9000</v>
      </c>
      <c r="BL202" s="2">
        <v>-3.3380216252079209</v>
      </c>
      <c r="BM202" s="77">
        <f t="shared" si="253"/>
        <v>-0.55802162520792109</v>
      </c>
      <c r="BN202" s="77">
        <f t="shared" si="254"/>
        <v>-1</v>
      </c>
      <c r="BO202" s="2" t="str">
        <f t="shared" si="225"/>
        <v/>
      </c>
      <c r="BP202" s="2">
        <f t="shared" si="226"/>
        <v>-3.3380216252079209</v>
      </c>
      <c r="BQ202" s="67">
        <f t="shared" si="255"/>
        <v>3</v>
      </c>
      <c r="BS202" s="75" t="e">
        <f t="shared" si="256"/>
        <v>#VALUE!</v>
      </c>
      <c r="BT202" s="75" t="e">
        <f t="shared" si="257"/>
        <v>#VALUE!</v>
      </c>
      <c r="BU202" s="5" t="str">
        <f>IF(G207&gt;=36, IF(AND(NOT(ISBLANK(CM:CM)), NOT(ISBLANK(BD:BD))), (CM:CM-BD:BD)/2, ""), "UF")</f>
        <v/>
      </c>
      <c r="BV202" s="5" t="e">
        <f t="shared" si="227"/>
        <v>#VALUE!</v>
      </c>
      <c r="BW202" s="69" t="e">
        <f t="shared" si="228"/>
        <v>#VALUE!</v>
      </c>
      <c r="BX202" s="2" t="s">
        <v>12</v>
      </c>
      <c r="BZ202" s="74" t="e">
        <f t="shared" si="258"/>
        <v>#VALUE!</v>
      </c>
      <c r="CA202" s="74" t="e">
        <f t="shared" si="259"/>
        <v>#VALUE!</v>
      </c>
      <c r="CB202" s="5" t="str">
        <f t="shared" si="229"/>
        <v/>
      </c>
      <c r="CC202" s="5" t="e">
        <f t="shared" si="230"/>
        <v>#VALUE!</v>
      </c>
      <c r="CD202" s="2" t="e">
        <f t="shared" si="231"/>
        <v>#VALUE!</v>
      </c>
      <c r="CE202" s="69" t="e">
        <f t="shared" si="232"/>
        <v>#VALUE!</v>
      </c>
      <c r="CF202" s="5" t="s">
        <v>12</v>
      </c>
      <c r="CH202" s="72" t="e">
        <f t="shared" si="260"/>
        <v>#VALUE!</v>
      </c>
      <c r="CI202" s="72" t="e">
        <f t="shared" si="261"/>
        <v>#VALUE!</v>
      </c>
      <c r="CJ202" s="5" t="str">
        <f t="shared" si="233"/>
        <v/>
      </c>
      <c r="CK202" s="5" t="e">
        <f t="shared" si="234"/>
        <v>#VALUE!</v>
      </c>
      <c r="CL202" s="69" t="e">
        <f t="shared" si="235"/>
        <v>#VALUE!</v>
      </c>
      <c r="CN202" s="70" t="str">
        <f t="shared" si="236"/>
        <v/>
      </c>
      <c r="CO202" s="5" t="str">
        <f t="shared" si="237"/>
        <v>UF</v>
      </c>
      <c r="CP202" s="5" t="str">
        <f>IF(G202&lt;48,"UF", IF(NOT(ISBLANK(CM:CM)), CM:CM, IF(BW:BW=1, BV:BV+Sheet2!B57, IF(Sheet1!BW:BW=2, Sheet1!BV:BV+Sheet2!B58, IF(Sheet1!BW:BW=7, Sheet1!BV:BV+Sheet2!B59,"")))))</f>
        <v>UF</v>
      </c>
      <c r="CQ202" s="69" t="str">
        <f t="shared" si="262"/>
        <v/>
      </c>
      <c r="CR202" s="5" t="s">
        <v>12</v>
      </c>
      <c r="CT202" s="5" t="str">
        <f t="shared" si="238"/>
        <v/>
      </c>
      <c r="CU202" s="80" t="str">
        <f t="shared" si="239"/>
        <v>UF</v>
      </c>
      <c r="CV202" s="80" t="str">
        <f t="shared" si="240"/>
        <v>UF</v>
      </c>
      <c r="CW202" s="20" t="str">
        <f>IF(G202&lt;48,"UF", IF(NOT(ISBLANK(CS202)), CS202, IF(CE202=5, CC202+Sheet2!B46, IF(CE202=6, CC202+Sheet2!B47, IF(CE202=7, CC202+Sheet2!B48,"")))))</f>
        <v>UF</v>
      </c>
      <c r="CX202" s="68" t="str">
        <f t="shared" si="263"/>
        <v/>
      </c>
      <c r="CY202" s="5" t="s">
        <v>12</v>
      </c>
      <c r="DA202" s="5" t="str">
        <f t="shared" si="241"/>
        <v>UF</v>
      </c>
      <c r="DB202" s="73" t="str">
        <f t="shared" si="242"/>
        <v>UF</v>
      </c>
      <c r="DC202" s="73" t="str">
        <f t="shared" si="243"/>
        <v>UF</v>
      </c>
      <c r="DD202" s="5" t="str">
        <f>IF(G202&lt;48,"UF", IF(NOT(ISBLANK(CZ:CZ)), CZ:CZ, IF(CL:CL=3, CK:CK+Sheet2!B51, IF(CL:CL=4, CK:CK+Sheet2!B52, IF(CL:CL=7, CK:CK+Sheet2!B53,"")))))</f>
        <v>UF</v>
      </c>
      <c r="DE202" s="69" t="str">
        <f t="shared" si="202"/>
        <v/>
      </c>
      <c r="DF202" s="2">
        <v>2</v>
      </c>
      <c r="DG202" s="2">
        <v>32</v>
      </c>
      <c r="DH202" s="2">
        <v>1</v>
      </c>
      <c r="DI202" s="2">
        <v>2</v>
      </c>
      <c r="DJ202" s="2">
        <v>2</v>
      </c>
      <c r="DK202" s="2">
        <v>120</v>
      </c>
      <c r="DL202" s="2">
        <v>70</v>
      </c>
      <c r="DM202" s="2">
        <v>130</v>
      </c>
      <c r="DN202" s="2">
        <v>80</v>
      </c>
      <c r="DO202" s="2" t="s">
        <v>12</v>
      </c>
      <c r="DP202" s="2" t="s">
        <v>12</v>
      </c>
      <c r="DQ202" s="2">
        <v>1</v>
      </c>
      <c r="DR202" s="2">
        <v>35</v>
      </c>
      <c r="DS202" s="2">
        <v>2</v>
      </c>
      <c r="DT202" s="2">
        <v>87</v>
      </c>
      <c r="DU202" s="2">
        <v>87</v>
      </c>
      <c r="DV202" s="2">
        <v>4</v>
      </c>
      <c r="DW202" s="2">
        <v>2</v>
      </c>
      <c r="DX202" s="2">
        <v>2</v>
      </c>
      <c r="DY202" s="2">
        <v>3</v>
      </c>
      <c r="DZ202" s="2">
        <v>31</v>
      </c>
      <c r="EA202" s="2">
        <v>31</v>
      </c>
      <c r="EB202" s="2">
        <v>44</v>
      </c>
      <c r="EC202" s="2">
        <v>3</v>
      </c>
      <c r="ED202" s="2">
        <v>1</v>
      </c>
    </row>
    <row r="203" spans="3:134" x14ac:dyDescent="0.25">
      <c r="C203" s="5">
        <v>14000415</v>
      </c>
      <c r="D203" s="2">
        <v>2501023595</v>
      </c>
      <c r="E203" s="5">
        <v>6</v>
      </c>
      <c r="F203" s="2">
        <v>1</v>
      </c>
      <c r="G203" s="2">
        <v>44</v>
      </c>
      <c r="H203" s="2">
        <v>-2.7345091438718949</v>
      </c>
      <c r="I203" s="2">
        <v>45</v>
      </c>
      <c r="J203" s="2">
        <v>-2.2267170773967009</v>
      </c>
      <c r="K203" s="5">
        <v>2100</v>
      </c>
      <c r="L203" s="2">
        <v>-2.8062406873741739</v>
      </c>
      <c r="M203" s="2">
        <v>-1.0846</v>
      </c>
      <c r="N203" s="2" t="str">
        <f t="shared" si="203"/>
        <v/>
      </c>
      <c r="O203" s="2">
        <f t="shared" si="204"/>
        <v>-1.0846</v>
      </c>
      <c r="P203" s="2">
        <v>58.5</v>
      </c>
      <c r="Q203" s="2">
        <v>-3.2</v>
      </c>
      <c r="R203" s="5" t="str">
        <f t="shared" si="205"/>
        <v/>
      </c>
      <c r="S203" s="5">
        <f t="shared" si="206"/>
        <v>-3.2</v>
      </c>
      <c r="T203" s="1">
        <v>5250</v>
      </c>
      <c r="U203" s="2">
        <v>-2.74</v>
      </c>
      <c r="V203" s="2" t="str">
        <f t="shared" si="207"/>
        <v/>
      </c>
      <c r="W203" s="2">
        <f t="shared" si="208"/>
        <v>-2.74</v>
      </c>
      <c r="Y203" s="76">
        <f t="shared" si="244"/>
        <v>2.729309143871895</v>
      </c>
      <c r="Z203" s="76">
        <f t="shared" si="245"/>
        <v>2</v>
      </c>
      <c r="AA203" s="2">
        <f t="shared" si="209"/>
        <v>1.0794000000000001</v>
      </c>
      <c r="AB203" s="2">
        <f t="shared" si="210"/>
        <v>-5.1999999999998714E-3</v>
      </c>
      <c r="AC203" s="2" t="s">
        <v>12</v>
      </c>
      <c r="AE203" s="79">
        <f t="shared" si="246"/>
        <v>-0.35828292260329908</v>
      </c>
      <c r="AF203" s="79">
        <f t="shared" si="247"/>
        <v>-1</v>
      </c>
      <c r="AG203" s="2">
        <f t="shared" si="200"/>
        <v>0.6150000000000001</v>
      </c>
      <c r="AH203" s="2">
        <f t="shared" si="211"/>
        <v>-2.585</v>
      </c>
      <c r="AI203" s="2" t="s">
        <v>12</v>
      </c>
      <c r="AK203" s="76">
        <f t="shared" si="248"/>
        <v>0.45624068737417378</v>
      </c>
      <c r="AL203" s="76">
        <f t="shared" si="249"/>
        <v>1</v>
      </c>
      <c r="AM203" s="2">
        <f t="shared" si="212"/>
        <v>0.39000000000000012</v>
      </c>
      <c r="AN203" s="2">
        <f t="shared" si="213"/>
        <v>-2.35</v>
      </c>
      <c r="AO203" s="2">
        <v>-1.0411999999999999</v>
      </c>
      <c r="AP203" s="2">
        <f t="shared" si="214"/>
        <v>-0.97175128345755857</v>
      </c>
      <c r="AQ203" s="2">
        <f t="shared" si="215"/>
        <v>-1.0411999999999999</v>
      </c>
      <c r="AR203" s="2">
        <v>75</v>
      </c>
      <c r="AS203" s="2">
        <v>-1.97</v>
      </c>
      <c r="AT203" s="2">
        <f t="shared" si="216"/>
        <v>0.52037174404575348</v>
      </c>
      <c r="AU203" s="2">
        <f t="shared" si="217"/>
        <v>-1.97</v>
      </c>
      <c r="AV203" s="2">
        <v>8100</v>
      </c>
      <c r="AW203" s="2">
        <v>-1.96</v>
      </c>
      <c r="AX203" s="2">
        <f t="shared" si="218"/>
        <v>-0.38005147210149892</v>
      </c>
      <c r="AY203" s="2">
        <f t="shared" si="219"/>
        <v>-1.96</v>
      </c>
      <c r="AZ203" s="2">
        <v>-1.948702566915117</v>
      </c>
      <c r="BA203" s="78">
        <f t="shared" si="250"/>
        <v>-1.9435025669151171</v>
      </c>
      <c r="BB203" s="78">
        <f t="shared" si="251"/>
        <v>-2</v>
      </c>
      <c r="BC203" s="2">
        <f t="shared" si="220"/>
        <v>-6.488943586274469E-2</v>
      </c>
      <c r="BD203" s="2">
        <f t="shared" si="221"/>
        <v>-1.948702566915117</v>
      </c>
      <c r="BE203" s="67">
        <f t="shared" si="252"/>
        <v>7</v>
      </c>
      <c r="BF203" s="2">
        <v>80</v>
      </c>
      <c r="BG203" s="2">
        <v>-1.544256511908493</v>
      </c>
      <c r="BH203" s="2">
        <f t="shared" si="222"/>
        <v>-0.31489377586435396</v>
      </c>
      <c r="BI203" s="2">
        <f t="shared" si="223"/>
        <v>-1.544256511908493</v>
      </c>
      <c r="BJ203" s="67">
        <f t="shared" si="224"/>
        <v>7</v>
      </c>
      <c r="BK203" s="2">
        <v>9000</v>
      </c>
      <c r="BL203" s="2">
        <v>-3.1101029442029979</v>
      </c>
      <c r="BM203" s="77">
        <f t="shared" si="253"/>
        <v>-0.76010294420299784</v>
      </c>
      <c r="BN203" s="77">
        <f t="shared" si="254"/>
        <v>-2</v>
      </c>
      <c r="BO203" s="2">
        <f t="shared" si="225"/>
        <v>-0.49040724234236893</v>
      </c>
      <c r="BP203" s="2">
        <f t="shared" si="226"/>
        <v>-3.1101029442029979</v>
      </c>
      <c r="BQ203" s="67">
        <f t="shared" si="255"/>
        <v>3</v>
      </c>
      <c r="BR203" s="5">
        <v>-1.235868307588234</v>
      </c>
      <c r="BS203" s="75">
        <f t="shared" si="256"/>
        <v>0.71283425932688305</v>
      </c>
      <c r="BT203" s="75">
        <f t="shared" si="257"/>
        <v>2</v>
      </c>
      <c r="BU203" s="5" t="e">
        <f>IF(#REF!&gt;=36, IF(AND(NOT(ISBLANK(CM:CM)), NOT(ISBLANK(BD:BD))), (CM:CM-BD:BD)/2, ""), "UF")</f>
        <v>#REF!</v>
      </c>
      <c r="BV203" s="5">
        <f t="shared" si="227"/>
        <v>-1.235868307588234</v>
      </c>
      <c r="BW203" s="69">
        <f t="shared" si="228"/>
        <v>7</v>
      </c>
      <c r="BX203" s="2">
        <v>83</v>
      </c>
      <c r="BY203" s="5">
        <v>-2.9146813275930619</v>
      </c>
      <c r="BZ203" s="74">
        <f t="shared" si="258"/>
        <v>0.19542161660993607</v>
      </c>
      <c r="CA203" s="74">
        <f t="shared" si="259"/>
        <v>1</v>
      </c>
      <c r="CB203" s="5" t="str">
        <f t="shared" si="229"/>
        <v/>
      </c>
      <c r="CC203" s="5">
        <f t="shared" si="230"/>
        <v>-2.9146813275930619</v>
      </c>
      <c r="CD203" s="2">
        <f t="shared" si="231"/>
        <v>-1.3704248156845689</v>
      </c>
      <c r="CE203" s="69">
        <f t="shared" si="232"/>
        <v>6</v>
      </c>
      <c r="CF203" s="5">
        <v>9900</v>
      </c>
      <c r="CG203" s="5">
        <v>-3.4312217270271068</v>
      </c>
      <c r="CH203" s="72">
        <f t="shared" si="260"/>
        <v>-0.32111878282410888</v>
      </c>
      <c r="CI203" s="72">
        <f t="shared" si="261"/>
        <v>-1</v>
      </c>
      <c r="CJ203" s="5" t="str">
        <f t="shared" si="233"/>
        <v/>
      </c>
      <c r="CK203" s="5">
        <f t="shared" si="234"/>
        <v>-3.4312217270271068</v>
      </c>
      <c r="CL203" s="69">
        <f t="shared" si="235"/>
        <v>3</v>
      </c>
      <c r="CN203" s="70" t="str">
        <f t="shared" si="236"/>
        <v/>
      </c>
      <c r="CO203" s="5" t="str">
        <f t="shared" si="237"/>
        <v>UF</v>
      </c>
      <c r="CP203" s="5" t="str">
        <f>IF(G203&lt;48,"UF", IF(NOT(ISBLANK(CM:CM)), CM:CM, IF(BW:BW=1, BV:BV+Sheet2!B260, IF(Sheet1!BW:BW=2, Sheet1!BV:BV+Sheet2!B261, IF(Sheet1!BW:BW=7, Sheet1!BV:BV+Sheet2!B262,"")))))</f>
        <v>UF</v>
      </c>
      <c r="CQ203" s="69" t="str">
        <f t="shared" si="262"/>
        <v/>
      </c>
      <c r="CR203" s="5" t="s">
        <v>12</v>
      </c>
      <c r="CT203" s="5" t="str">
        <f t="shared" si="238"/>
        <v/>
      </c>
      <c r="CU203" s="80" t="str">
        <f t="shared" si="239"/>
        <v>UF</v>
      </c>
      <c r="CV203" s="80" t="str">
        <f t="shared" si="240"/>
        <v>UF</v>
      </c>
      <c r="CW203" s="20" t="str">
        <f>IF(G203&lt;48,"UF", IF(NOT(ISBLANK(CS203)), CS203, IF(CE203=5, CC203+Sheet2!B249, IF(CE203=6, CC203+Sheet2!B250, IF(CE203=7, CC203+Sheet2!B251,"")))))</f>
        <v>UF</v>
      </c>
      <c r="CX203" s="68" t="str">
        <f t="shared" si="263"/>
        <v/>
      </c>
      <c r="CY203" s="5" t="s">
        <v>12</v>
      </c>
      <c r="DA203" s="5" t="str">
        <f t="shared" si="241"/>
        <v>UF</v>
      </c>
      <c r="DB203" s="73" t="str">
        <f t="shared" si="242"/>
        <v>UF</v>
      </c>
      <c r="DC203" s="73" t="str">
        <f t="shared" si="243"/>
        <v>UF</v>
      </c>
      <c r="DD203" s="5" t="str">
        <f>IF(G203&lt;48,"UF", IF(NOT(ISBLANK(CZ:CZ)), CZ:CZ, IF(CL:CL=3, CK:CK+Sheet2!B254, IF(CL:CL=4, CK:CK+Sheet2!B255, IF(CL:CL=7, CK:CK+Sheet2!B256,"")))))</f>
        <v>UF</v>
      </c>
      <c r="DE203" s="69" t="str">
        <f t="shared" si="202"/>
        <v/>
      </c>
      <c r="DF203" s="2">
        <v>3</v>
      </c>
      <c r="DG203" s="2">
        <v>36</v>
      </c>
      <c r="DH203" s="2">
        <v>2</v>
      </c>
      <c r="DI203" s="2">
        <v>2</v>
      </c>
      <c r="DJ203" s="2">
        <v>2</v>
      </c>
      <c r="DK203" s="2">
        <v>110</v>
      </c>
      <c r="DL203" s="2">
        <v>60</v>
      </c>
      <c r="DM203" s="2">
        <v>110</v>
      </c>
      <c r="DN203" s="2">
        <v>70</v>
      </c>
      <c r="DO203" s="2">
        <v>100</v>
      </c>
      <c r="DP203" s="2">
        <v>60</v>
      </c>
      <c r="DQ203" s="2">
        <v>2</v>
      </c>
      <c r="DR203" s="2">
        <v>38</v>
      </c>
      <c r="DS203" s="2">
        <v>2</v>
      </c>
      <c r="DT203" s="2">
        <v>84</v>
      </c>
      <c r="DU203" s="2">
        <v>110</v>
      </c>
      <c r="DV203" s="2">
        <v>2</v>
      </c>
      <c r="DW203" s="2">
        <v>2</v>
      </c>
      <c r="DX203" s="2">
        <v>2</v>
      </c>
      <c r="DY203" s="2">
        <v>2</v>
      </c>
      <c r="DZ203" s="2">
        <v>31</v>
      </c>
      <c r="EA203" s="2">
        <v>32</v>
      </c>
      <c r="EB203" s="2" t="s">
        <v>12</v>
      </c>
      <c r="EC203" s="2">
        <v>3</v>
      </c>
      <c r="ED203" s="2">
        <v>4</v>
      </c>
    </row>
    <row r="204" spans="3:134" x14ac:dyDescent="0.25">
      <c r="D204" s="8">
        <v>2501023722</v>
      </c>
      <c r="E204" s="5">
        <v>7</v>
      </c>
      <c r="F204" s="2">
        <v>2</v>
      </c>
      <c r="G204" s="2">
        <v>47</v>
      </c>
      <c r="H204" s="2">
        <v>-2.2783188254739968</v>
      </c>
      <c r="I204" s="2">
        <v>53</v>
      </c>
      <c r="J204" s="2">
        <v>1.645866503279491</v>
      </c>
      <c r="K204" s="2">
        <v>3050</v>
      </c>
      <c r="L204" s="2">
        <v>-0.6249825234879246</v>
      </c>
      <c r="M204" s="2">
        <v>-1.4335</v>
      </c>
      <c r="N204" s="2">
        <f t="shared" si="203"/>
        <v>0.67715941273699842</v>
      </c>
      <c r="O204" s="2">
        <f t="shared" si="204"/>
        <v>-1.4335</v>
      </c>
      <c r="P204" s="2">
        <v>72</v>
      </c>
      <c r="Q204" s="2">
        <v>2.0299999999999998</v>
      </c>
      <c r="R204" s="5">
        <f t="shared" si="205"/>
        <v>-0.5579332516397455</v>
      </c>
      <c r="S204" s="5">
        <f t="shared" si="206"/>
        <v>2.0299999999999998</v>
      </c>
      <c r="T204" s="2">
        <v>8000</v>
      </c>
      <c r="U204" s="2">
        <v>7.0000000000000007E-2</v>
      </c>
      <c r="V204" s="2">
        <f t="shared" si="207"/>
        <v>0.1274912617439623</v>
      </c>
      <c r="W204" s="2">
        <f t="shared" si="208"/>
        <v>7.0000000000000007E-2</v>
      </c>
      <c r="X204" s="2">
        <v>-0.92400000000000004</v>
      </c>
      <c r="Y204" s="76">
        <f t="shared" si="244"/>
        <v>1.3543188254739968</v>
      </c>
      <c r="Z204" s="76">
        <f t="shared" si="245"/>
        <v>2</v>
      </c>
      <c r="AA204" s="2">
        <f t="shared" si="209"/>
        <v>-0.77549999999999986</v>
      </c>
      <c r="AB204" s="2">
        <f t="shared" si="210"/>
        <v>-0.92400000000000004</v>
      </c>
      <c r="AC204" s="2">
        <v>77</v>
      </c>
      <c r="AD204" s="2">
        <v>0.53</v>
      </c>
      <c r="AE204" s="79">
        <f t="shared" si="246"/>
        <v>-1.115866503279491</v>
      </c>
      <c r="AF204" s="79">
        <f t="shared" si="247"/>
        <v>-2</v>
      </c>
      <c r="AG204" s="2">
        <f t="shared" si="200"/>
        <v>-1.25</v>
      </c>
      <c r="AH204" s="2">
        <f t="shared" si="211"/>
        <v>0.53</v>
      </c>
      <c r="AI204" s="2">
        <v>9260</v>
      </c>
      <c r="AJ204" s="2">
        <v>-0.37</v>
      </c>
      <c r="AK204" s="76">
        <f t="shared" si="248"/>
        <v>0.25498252348792461</v>
      </c>
      <c r="AL204" s="76">
        <f t="shared" si="249"/>
        <v>1</v>
      </c>
      <c r="AM204" s="2">
        <f t="shared" si="212"/>
        <v>-1.0000000000000002E-2</v>
      </c>
      <c r="AN204" s="2">
        <f t="shared" si="213"/>
        <v>-0.37</v>
      </c>
      <c r="AO204" s="2">
        <v>0.47899999999999998</v>
      </c>
      <c r="AP204" s="2">
        <f t="shared" si="214"/>
        <v>0.542605503603935</v>
      </c>
      <c r="AQ204" s="2">
        <f t="shared" si="215"/>
        <v>0.47899999999999998</v>
      </c>
      <c r="AR204" s="2">
        <v>81</v>
      </c>
      <c r="AS204" s="2">
        <v>-0.47</v>
      </c>
      <c r="AT204" s="2">
        <f t="shared" si="216"/>
        <v>-1.1000578862778621</v>
      </c>
      <c r="AU204" s="2">
        <f t="shared" si="217"/>
        <v>-0.47</v>
      </c>
      <c r="AV204" s="2">
        <v>11000</v>
      </c>
      <c r="AW204" s="2">
        <v>0.05</v>
      </c>
      <c r="AX204" s="2">
        <f t="shared" si="218"/>
        <v>-0.50530871938501098</v>
      </c>
      <c r="AY204" s="2">
        <f t="shared" si="219"/>
        <v>0.05</v>
      </c>
      <c r="AZ204" s="2">
        <v>0.16121100720786999</v>
      </c>
      <c r="BA204" s="78">
        <f t="shared" si="250"/>
        <v>1.08521100720787</v>
      </c>
      <c r="BB204" s="78">
        <f t="shared" si="251"/>
        <v>2</v>
      </c>
      <c r="BC204" s="2">
        <f t="shared" si="220"/>
        <v>-0.70067547839832933</v>
      </c>
      <c r="BD204" s="2">
        <f t="shared" si="221"/>
        <v>0.16121100720786999</v>
      </c>
      <c r="BE204" s="67">
        <f t="shared" si="252"/>
        <v>7</v>
      </c>
      <c r="BF204" s="2">
        <v>81</v>
      </c>
      <c r="BG204" s="2">
        <v>-1.6701157725557241</v>
      </c>
      <c r="BH204" s="2">
        <f t="shared" si="222"/>
        <v>0.30383018725972882</v>
      </c>
      <c r="BI204" s="2">
        <f t="shared" si="223"/>
        <v>-1.6701157725557241</v>
      </c>
      <c r="BJ204" s="67">
        <f t="shared" si="224"/>
        <v>7</v>
      </c>
      <c r="BK204" s="2">
        <v>11000</v>
      </c>
      <c r="BL204" s="2">
        <v>-1.3806174387700221</v>
      </c>
      <c r="BM204" s="77">
        <f t="shared" si="253"/>
        <v>-1.010617438770022</v>
      </c>
      <c r="BN204" s="77">
        <f t="shared" si="254"/>
        <v>-2</v>
      </c>
      <c r="BO204" s="2">
        <f t="shared" si="225"/>
        <v>-0.21343439457023503</v>
      </c>
      <c r="BP204" s="2">
        <f t="shared" si="226"/>
        <v>-1.3806174387700221</v>
      </c>
      <c r="BQ204" s="67">
        <f t="shared" si="255"/>
        <v>7</v>
      </c>
      <c r="BR204" s="5">
        <v>-1.6230264351949879</v>
      </c>
      <c r="BS204" s="75">
        <f t="shared" si="256"/>
        <v>-1.784237442402858</v>
      </c>
      <c r="BT204" s="75">
        <f t="shared" si="257"/>
        <v>-2</v>
      </c>
      <c r="BU204" s="5" t="str">
        <f>IF(G210&gt;=36, IF(AND(NOT(ISBLANK(CM:CM)), NOT(ISBLANK(BD:BD))), (CM:CM-BD:BD)/2, ""), "UF")</f>
        <v/>
      </c>
      <c r="BV204" s="5">
        <f t="shared" si="227"/>
        <v>-1.6230264351949879</v>
      </c>
      <c r="BW204" s="69">
        <f t="shared" si="228"/>
        <v>7</v>
      </c>
      <c r="BX204" s="2">
        <v>97</v>
      </c>
      <c r="BY204" s="5">
        <v>0.44149056177918639</v>
      </c>
      <c r="BZ204" s="74">
        <f t="shared" si="258"/>
        <v>1.8221080005492085</v>
      </c>
      <c r="CA204" s="74">
        <f t="shared" si="259"/>
        <v>2</v>
      </c>
      <c r="CB204" s="5" t="str">
        <f t="shared" si="229"/>
        <v/>
      </c>
      <c r="CC204" s="5">
        <f t="shared" si="230"/>
        <v>0.44149056177918639</v>
      </c>
      <c r="CD204" s="2">
        <f t="shared" si="231"/>
        <v>2.1116063343349105</v>
      </c>
      <c r="CE204" s="69">
        <f t="shared" si="232"/>
        <v>7</v>
      </c>
      <c r="CF204" s="5">
        <v>13500</v>
      </c>
      <c r="CG204" s="5">
        <v>-0.590303183710705</v>
      </c>
      <c r="CH204" s="72">
        <f t="shared" si="260"/>
        <v>0.79031425505931707</v>
      </c>
      <c r="CI204" s="72">
        <f t="shared" si="261"/>
        <v>2</v>
      </c>
      <c r="CJ204" s="5" t="str">
        <f t="shared" si="233"/>
        <v/>
      </c>
      <c r="CK204" s="5">
        <f t="shared" si="234"/>
        <v>-0.590303183710705</v>
      </c>
      <c r="CL204" s="69">
        <f t="shared" si="235"/>
        <v>7</v>
      </c>
      <c r="CN204" s="70" t="str">
        <f t="shared" si="236"/>
        <v/>
      </c>
      <c r="CO204" s="5" t="str">
        <f t="shared" si="237"/>
        <v>UF</v>
      </c>
      <c r="CP204" s="5" t="str">
        <f>IF(G204&lt;48,"UF", IF(NOT(ISBLANK(CM:CM)), CM:CM, IF(BW:BW=1, BV:BV+Sheet2!B598, IF(Sheet1!BW:BW=2, Sheet1!BV:BV+Sheet2!B599, IF(Sheet1!BW:BW=7, Sheet1!BV:BV+Sheet2!B600,"")))))</f>
        <v>UF</v>
      </c>
      <c r="CQ204" s="69" t="str">
        <f t="shared" si="262"/>
        <v/>
      </c>
      <c r="CR204" s="5" t="s">
        <v>12</v>
      </c>
      <c r="CT204" s="5" t="str">
        <f t="shared" si="238"/>
        <v/>
      </c>
      <c r="CU204" s="80" t="str">
        <f t="shared" si="239"/>
        <v>UF</v>
      </c>
      <c r="CV204" s="80" t="str">
        <f t="shared" si="240"/>
        <v>UF</v>
      </c>
      <c r="CW204" s="20" t="str">
        <f>IF(G204&lt;48,"UF", IF(NOT(ISBLANK(CS204)), CS204, IF(CE204=5, CC204+Sheet2!B587, IF(CE204=6, CC204+Sheet2!B588, IF(CE204=7, CC204+Sheet2!B589,"")))))</f>
        <v>UF</v>
      </c>
      <c r="CX204" s="68" t="str">
        <f t="shared" si="263"/>
        <v/>
      </c>
      <c r="CY204" s="5" t="s">
        <v>12</v>
      </c>
      <c r="DA204" s="5" t="str">
        <f t="shared" si="241"/>
        <v>UF</v>
      </c>
      <c r="DB204" s="73" t="str">
        <f t="shared" si="242"/>
        <v>UF</v>
      </c>
      <c r="DC204" s="73" t="str">
        <f t="shared" si="243"/>
        <v>UF</v>
      </c>
      <c r="DD204" s="5" t="str">
        <f>IF(G204&lt;48,"UF", IF(NOT(ISBLANK(CZ:CZ)), CZ:CZ, IF(CL:CL=3, CK:CK+Sheet2!B592, IF(CL:CL=4, CK:CK+Sheet2!B593, IF(CL:CL=7, CK:CK+Sheet2!B594,"")))))</f>
        <v>UF</v>
      </c>
      <c r="DE204" s="69" t="str">
        <f t="shared" si="202"/>
        <v/>
      </c>
      <c r="DF204" s="2">
        <v>3</v>
      </c>
      <c r="DG204" s="2">
        <v>35</v>
      </c>
      <c r="DH204" s="2">
        <v>1</v>
      </c>
      <c r="DI204" s="2">
        <v>2</v>
      </c>
      <c r="DJ204" s="2">
        <v>2</v>
      </c>
      <c r="DK204" s="2">
        <v>120</v>
      </c>
      <c r="DL204" s="2">
        <v>65</v>
      </c>
      <c r="DM204" s="2">
        <v>120</v>
      </c>
      <c r="DN204" s="2">
        <v>65</v>
      </c>
      <c r="DO204" s="2">
        <v>110</v>
      </c>
      <c r="DP204" s="2">
        <v>65</v>
      </c>
      <c r="DQ204" s="2">
        <v>2</v>
      </c>
      <c r="DR204" s="2">
        <v>38</v>
      </c>
      <c r="DS204" s="2">
        <v>1</v>
      </c>
      <c r="DT204" s="2">
        <v>85</v>
      </c>
      <c r="DU204" s="2">
        <v>91</v>
      </c>
      <c r="DV204" s="2">
        <v>2</v>
      </c>
      <c r="DW204" s="2">
        <v>2</v>
      </c>
      <c r="DX204" s="2">
        <v>2</v>
      </c>
      <c r="DY204" s="2">
        <v>1</v>
      </c>
      <c r="DZ204" s="2">
        <v>35</v>
      </c>
      <c r="EA204" s="2">
        <v>34</v>
      </c>
      <c r="EB204" s="2">
        <v>46</v>
      </c>
      <c r="EC204" s="2">
        <v>1</v>
      </c>
      <c r="ED204" s="2">
        <v>1</v>
      </c>
    </row>
    <row r="205" spans="3:134" x14ac:dyDescent="0.25">
      <c r="C205" s="8" t="s">
        <v>286</v>
      </c>
      <c r="D205" s="8">
        <v>2501023889</v>
      </c>
      <c r="E205" s="5">
        <v>7</v>
      </c>
      <c r="F205" s="2">
        <v>1</v>
      </c>
      <c r="G205" s="2">
        <v>45</v>
      </c>
      <c r="H205" s="2">
        <v>-1.3251069448677979</v>
      </c>
      <c r="I205" s="2">
        <v>50</v>
      </c>
      <c r="J205" s="2">
        <v>0.45756143734440202</v>
      </c>
      <c r="K205" s="2">
        <v>2950</v>
      </c>
      <c r="L205" s="2">
        <v>-0.63359365535275136</v>
      </c>
      <c r="M205" s="2">
        <v>0.20019999999999999</v>
      </c>
      <c r="N205" s="2">
        <f t="shared" si="203"/>
        <v>0.69965347243389897</v>
      </c>
      <c r="O205" s="2">
        <f t="shared" si="204"/>
        <v>0.20019999999999999</v>
      </c>
      <c r="P205" s="2">
        <v>66</v>
      </c>
      <c r="Q205" s="2">
        <v>0.11</v>
      </c>
      <c r="R205" s="5">
        <f t="shared" si="205"/>
        <v>-0.81378071867220103</v>
      </c>
      <c r="S205" s="5">
        <f t="shared" si="206"/>
        <v>0.11</v>
      </c>
      <c r="T205" s="2">
        <v>7500</v>
      </c>
      <c r="U205" s="2">
        <v>0.22</v>
      </c>
      <c r="V205" s="2">
        <f t="shared" si="207"/>
        <v>6.796827676375683E-3</v>
      </c>
      <c r="W205" s="2">
        <f t="shared" si="208"/>
        <v>0.22</v>
      </c>
      <c r="X205" s="2">
        <v>7.4200000000000002E-2</v>
      </c>
      <c r="Y205" s="76">
        <f t="shared" si="244"/>
        <v>1.3993069448677979</v>
      </c>
      <c r="Z205" s="76">
        <f t="shared" si="245"/>
        <v>2</v>
      </c>
      <c r="AA205" s="2">
        <f t="shared" si="209"/>
        <v>-0.35649999999999998</v>
      </c>
      <c r="AB205" s="2">
        <f t="shared" si="210"/>
        <v>7.4200000000000002E-2</v>
      </c>
      <c r="AC205" s="2">
        <v>71</v>
      </c>
      <c r="AD205" s="2">
        <v>-1.17</v>
      </c>
      <c r="AE205" s="79">
        <f t="shared" si="246"/>
        <v>-1.6275614373444021</v>
      </c>
      <c r="AF205" s="79">
        <f t="shared" si="247"/>
        <v>-2</v>
      </c>
      <c r="AG205" s="2">
        <f t="shared" si="200"/>
        <v>-4.9999999999999975E-3</v>
      </c>
      <c r="AH205" s="2">
        <f t="shared" si="211"/>
        <v>-1.17</v>
      </c>
      <c r="AI205" s="2">
        <v>8300</v>
      </c>
      <c r="AJ205" s="2">
        <v>-0.62</v>
      </c>
      <c r="AK205" s="76">
        <f t="shared" si="248"/>
        <v>1.3593655352751366E-2</v>
      </c>
      <c r="AL205" s="76">
        <f t="shared" si="249"/>
        <v>1</v>
      </c>
      <c r="AM205" s="2">
        <f t="shared" si="212"/>
        <v>-0.28499999999999998</v>
      </c>
      <c r="AN205" s="2">
        <f t="shared" si="213"/>
        <v>-0.62</v>
      </c>
      <c r="AO205" s="2">
        <v>-0.60299999999999998</v>
      </c>
      <c r="AP205" s="2">
        <f t="shared" si="214"/>
        <v>-0.40146965251936895</v>
      </c>
      <c r="AQ205" s="2">
        <f t="shared" si="215"/>
        <v>-0.60299999999999998</v>
      </c>
      <c r="AR205" s="2">
        <v>81</v>
      </c>
      <c r="AS205" s="2">
        <v>0.1</v>
      </c>
      <c r="AT205" s="2">
        <f t="shared" si="216"/>
        <v>0.52807336982547992</v>
      </c>
      <c r="AU205" s="2">
        <f t="shared" si="217"/>
        <v>0.1</v>
      </c>
      <c r="AV205" s="2">
        <v>9800</v>
      </c>
      <c r="AW205" s="2">
        <v>-0.35</v>
      </c>
      <c r="AX205" s="2">
        <f t="shared" si="218"/>
        <v>-9.5459544199275936E-2</v>
      </c>
      <c r="AY205" s="2">
        <f t="shared" si="219"/>
        <v>-0.35</v>
      </c>
      <c r="AZ205" s="2">
        <v>-0.72873930503873785</v>
      </c>
      <c r="BA205" s="78">
        <f t="shared" si="250"/>
        <v>-0.80293930503873789</v>
      </c>
      <c r="BB205" s="78">
        <f t="shared" si="251"/>
        <v>-2</v>
      </c>
      <c r="BC205" s="2" t="str">
        <f t="shared" si="220"/>
        <v/>
      </c>
      <c r="BD205" s="2">
        <f t="shared" si="221"/>
        <v>-0.72873930503873785</v>
      </c>
      <c r="BE205" s="67">
        <f t="shared" si="252"/>
        <v>7</v>
      </c>
      <c r="BF205" s="2">
        <v>85</v>
      </c>
      <c r="BG205" s="2">
        <v>-0.11385326034904</v>
      </c>
      <c r="BH205" s="2" t="str">
        <f t="shared" si="222"/>
        <v/>
      </c>
      <c r="BI205" s="2">
        <f t="shared" si="223"/>
        <v>-0.11385326034904</v>
      </c>
      <c r="BJ205" s="67">
        <f t="shared" si="224"/>
        <v>7</v>
      </c>
      <c r="BK205" s="2">
        <v>11150</v>
      </c>
      <c r="BL205" s="2">
        <v>-0.81091908839855187</v>
      </c>
      <c r="BM205" s="77">
        <f t="shared" si="253"/>
        <v>-0.19091908839855187</v>
      </c>
      <c r="BN205" s="77">
        <f t="shared" si="254"/>
        <v>-1</v>
      </c>
      <c r="BO205" s="2" t="str">
        <f t="shared" si="225"/>
        <v/>
      </c>
      <c r="BP205" s="2">
        <f t="shared" si="226"/>
        <v>-0.81091908839855187</v>
      </c>
      <c r="BQ205" s="67">
        <f t="shared" si="255"/>
        <v>7</v>
      </c>
      <c r="BS205" s="75" t="e">
        <f t="shared" si="256"/>
        <v>#VALUE!</v>
      </c>
      <c r="BT205" s="75" t="e">
        <f t="shared" si="257"/>
        <v>#VALUE!</v>
      </c>
      <c r="BU205" s="5" t="str">
        <f>IF(G211&gt;=36, IF(AND(NOT(ISBLANK(CM:CM)), NOT(ISBLANK(BD:BD))), (CM:CM-BD:BD)/2, ""), "UF")</f>
        <v/>
      </c>
      <c r="BV205" s="5" t="e">
        <f t="shared" si="227"/>
        <v>#VALUE!</v>
      </c>
      <c r="BW205" s="69" t="e">
        <f t="shared" si="228"/>
        <v>#VALUE!</v>
      </c>
      <c r="BX205" s="2" t="s">
        <v>12</v>
      </c>
      <c r="BZ205" s="74" t="e">
        <f t="shared" si="258"/>
        <v>#VALUE!</v>
      </c>
      <c r="CA205" s="74" t="e">
        <f t="shared" si="259"/>
        <v>#VALUE!</v>
      </c>
      <c r="CB205" s="5" t="str">
        <f t="shared" si="229"/>
        <v/>
      </c>
      <c r="CC205" s="5" t="e">
        <f t="shared" si="230"/>
        <v>#VALUE!</v>
      </c>
      <c r="CD205" s="2" t="e">
        <f t="shared" si="231"/>
        <v>#VALUE!</v>
      </c>
      <c r="CE205" s="69" t="e">
        <f t="shared" si="232"/>
        <v>#VALUE!</v>
      </c>
      <c r="CF205" s="5" t="s">
        <v>12</v>
      </c>
      <c r="CH205" s="72" t="e">
        <f t="shared" si="260"/>
        <v>#VALUE!</v>
      </c>
      <c r="CI205" s="72" t="e">
        <f t="shared" si="261"/>
        <v>#VALUE!</v>
      </c>
      <c r="CJ205" s="5" t="str">
        <f t="shared" si="233"/>
        <v/>
      </c>
      <c r="CK205" s="5" t="e">
        <f t="shared" si="234"/>
        <v>#VALUE!</v>
      </c>
      <c r="CL205" s="69" t="e">
        <f t="shared" si="235"/>
        <v>#VALUE!</v>
      </c>
      <c r="CN205" s="70" t="str">
        <f t="shared" si="236"/>
        <v/>
      </c>
      <c r="CO205" s="5" t="str">
        <f t="shared" si="237"/>
        <v>UF</v>
      </c>
      <c r="CP205" s="5" t="str">
        <f>IF(G205&lt;48,"UF", IF(NOT(ISBLANK(CM:CM)), CM:CM, IF(BW:BW=1, BV:BV+Sheet2!B513, IF(Sheet1!BW:BW=2, Sheet1!BV:BV+Sheet2!B514, IF(Sheet1!BW:BW=7, Sheet1!BV:BV+Sheet2!B515,"")))))</f>
        <v>UF</v>
      </c>
      <c r="CQ205" s="69" t="str">
        <f t="shared" si="262"/>
        <v/>
      </c>
      <c r="CR205" s="5" t="s">
        <v>12</v>
      </c>
      <c r="CT205" s="5" t="str">
        <f t="shared" si="238"/>
        <v/>
      </c>
      <c r="CU205" s="80" t="str">
        <f t="shared" si="239"/>
        <v>UF</v>
      </c>
      <c r="CV205" s="80" t="str">
        <f t="shared" si="240"/>
        <v>UF</v>
      </c>
      <c r="CW205" s="20" t="str">
        <f>IF(G205&lt;48,"UF", IF(NOT(ISBLANK(CS205)), CS205, IF(CE205=5, CC205+Sheet2!B502, IF(CE205=6, CC205+Sheet2!B503, IF(CE205=7, CC205+Sheet2!B504,"")))))</f>
        <v>UF</v>
      </c>
      <c r="CX205" s="68" t="str">
        <f t="shared" si="263"/>
        <v/>
      </c>
      <c r="CY205" s="5" t="s">
        <v>12</v>
      </c>
      <c r="DA205" s="5" t="str">
        <f t="shared" si="241"/>
        <v>UF</v>
      </c>
      <c r="DB205" s="73" t="str">
        <f t="shared" si="242"/>
        <v>UF</v>
      </c>
      <c r="DC205" s="73" t="str">
        <f t="shared" si="243"/>
        <v>UF</v>
      </c>
      <c r="DD205" s="5" t="str">
        <f>IF(G205&lt;48,"UF", IF(NOT(ISBLANK(CZ:CZ)), CZ:CZ, IF(CL:CL=3, CK:CK+Sheet2!B507, IF(CL:CL=4, CK:CK+Sheet2!B508, IF(CL:CL=7, CK:CK+Sheet2!B509,"")))))</f>
        <v>UF</v>
      </c>
      <c r="DE205" s="69" t="str">
        <f t="shared" si="202"/>
        <v/>
      </c>
      <c r="DF205" s="2">
        <v>3</v>
      </c>
      <c r="DG205" s="2">
        <v>43</v>
      </c>
      <c r="DH205" s="2">
        <v>1</v>
      </c>
      <c r="DI205" s="2">
        <v>2</v>
      </c>
      <c r="DJ205" s="2">
        <v>2</v>
      </c>
      <c r="DK205" s="2">
        <v>120</v>
      </c>
      <c r="DL205" s="2">
        <v>70</v>
      </c>
      <c r="DM205" s="2">
        <v>120</v>
      </c>
      <c r="DN205" s="2">
        <v>80</v>
      </c>
      <c r="DO205" s="2">
        <v>120</v>
      </c>
      <c r="DP205" s="2">
        <v>80</v>
      </c>
      <c r="DQ205" s="2">
        <v>2</v>
      </c>
      <c r="DR205" s="2">
        <v>39</v>
      </c>
      <c r="DS205" s="2">
        <v>2</v>
      </c>
      <c r="DT205" s="2">
        <v>88</v>
      </c>
      <c r="DU205" s="2">
        <v>85</v>
      </c>
      <c r="DV205" s="2">
        <v>4</v>
      </c>
      <c r="DW205" s="2">
        <v>2</v>
      </c>
      <c r="DX205" s="2">
        <v>2</v>
      </c>
      <c r="DY205" s="2">
        <v>3</v>
      </c>
      <c r="DZ205" s="2">
        <v>35</v>
      </c>
      <c r="EA205" s="2">
        <v>33</v>
      </c>
      <c r="EB205" s="2">
        <v>42.2</v>
      </c>
      <c r="EC205" s="2">
        <v>1</v>
      </c>
      <c r="ED205" s="2">
        <v>1</v>
      </c>
    </row>
    <row r="206" spans="3:134" x14ac:dyDescent="0.25">
      <c r="C206" s="2" t="s">
        <v>105</v>
      </c>
      <c r="D206" s="2">
        <v>2501024192</v>
      </c>
      <c r="E206" s="5" t="s">
        <v>529</v>
      </c>
      <c r="F206" s="2">
        <v>1</v>
      </c>
      <c r="G206" s="2">
        <v>47</v>
      </c>
      <c r="H206" s="2">
        <v>55.70819949670549</v>
      </c>
      <c r="I206" s="2">
        <v>45</v>
      </c>
      <c r="J206" s="2">
        <v>-2.2267170773967009</v>
      </c>
      <c r="K206" s="5">
        <v>20500</v>
      </c>
      <c r="L206" s="2">
        <v>30.91231530257485</v>
      </c>
      <c r="M206" s="2">
        <v>-2.54</v>
      </c>
      <c r="N206" s="2">
        <f t="shared" si="203"/>
        <v>-28.952649748352744</v>
      </c>
      <c r="O206" s="2">
        <f t="shared" si="204"/>
        <v>-2.54</v>
      </c>
      <c r="P206" s="2">
        <v>65</v>
      </c>
      <c r="Q206" s="2">
        <v>-0.33</v>
      </c>
      <c r="R206" s="5">
        <f t="shared" si="205"/>
        <v>0.33335853869835042</v>
      </c>
      <c r="S206" s="5">
        <f t="shared" si="206"/>
        <v>-0.33</v>
      </c>
      <c r="T206" s="1">
        <v>5700</v>
      </c>
      <c r="U206" s="2">
        <v>-2.0499999999999998</v>
      </c>
      <c r="V206" s="2">
        <f t="shared" si="207"/>
        <v>-16.701157651287424</v>
      </c>
      <c r="W206" s="2">
        <f t="shared" si="208"/>
        <v>-2.0499999999999998</v>
      </c>
      <c r="X206" s="2">
        <v>-2.1970999999999998</v>
      </c>
      <c r="Y206" s="76">
        <f t="shared" si="244"/>
        <v>-57.905299496705489</v>
      </c>
      <c r="Z206" s="76">
        <f t="shared" si="245"/>
        <v>-2</v>
      </c>
      <c r="AA206" s="2">
        <f t="shared" si="209"/>
        <v>-0.87169999999999992</v>
      </c>
      <c r="AB206" s="2">
        <f t="shared" si="210"/>
        <v>-2.1970999999999998</v>
      </c>
      <c r="AC206" s="2">
        <v>70</v>
      </c>
      <c r="AD206" s="2">
        <v>-1.56</v>
      </c>
      <c r="AE206" s="79">
        <f t="shared" si="246"/>
        <v>0.66671707739670083</v>
      </c>
      <c r="AF206" s="79">
        <f t="shared" si="247"/>
        <v>1</v>
      </c>
      <c r="AG206" s="2">
        <f t="shared" si="200"/>
        <v>-0.64500000000000002</v>
      </c>
      <c r="AH206" s="2">
        <f t="shared" si="211"/>
        <v>-1.56</v>
      </c>
      <c r="AI206" s="2">
        <v>6650</v>
      </c>
      <c r="AJ206" s="2">
        <v>-2.4900000000000002</v>
      </c>
      <c r="AK206" s="76">
        <f t="shared" si="248"/>
        <v>-33.402315302574848</v>
      </c>
      <c r="AL206" s="76">
        <f t="shared" si="249"/>
        <v>-2</v>
      </c>
      <c r="AM206" s="2">
        <f t="shared" si="212"/>
        <v>-0.20500000000000007</v>
      </c>
      <c r="AN206" s="2">
        <f t="shared" si="213"/>
        <v>-2.4900000000000002</v>
      </c>
      <c r="AO206" s="2">
        <v>-2.0733999999999999</v>
      </c>
      <c r="AP206" s="2">
        <f t="shared" si="214"/>
        <v>-0.43260977614172758</v>
      </c>
      <c r="AQ206" s="2">
        <f t="shared" si="215"/>
        <v>-2.0733999999999999</v>
      </c>
      <c r="AR206" s="2">
        <v>76</v>
      </c>
      <c r="AS206" s="2">
        <v>-1.62</v>
      </c>
      <c r="AT206" s="2">
        <f t="shared" si="216"/>
        <v>0.72307336982547998</v>
      </c>
      <c r="AU206" s="2">
        <f t="shared" si="217"/>
        <v>-1.62</v>
      </c>
      <c r="AV206" s="2">
        <v>7650</v>
      </c>
      <c r="AW206" s="2">
        <v>-2.46</v>
      </c>
      <c r="AX206" s="2">
        <f t="shared" si="218"/>
        <v>-6.1468633896313962E-2</v>
      </c>
      <c r="AY206" s="2">
        <f t="shared" si="219"/>
        <v>-2.46</v>
      </c>
      <c r="AZ206" s="2">
        <v>-3.062319552283455</v>
      </c>
      <c r="BA206" s="78">
        <f t="shared" si="250"/>
        <v>-0.86521955228345515</v>
      </c>
      <c r="BB206" s="78">
        <f t="shared" si="251"/>
        <v>-2</v>
      </c>
      <c r="BC206" s="2" t="str">
        <f t="shared" si="220"/>
        <v/>
      </c>
      <c r="BD206" s="2">
        <f t="shared" si="221"/>
        <v>-3.062319552283455</v>
      </c>
      <c r="BE206" s="67">
        <f t="shared" si="252"/>
        <v>1</v>
      </c>
      <c r="BF206" s="2">
        <v>85</v>
      </c>
      <c r="BG206" s="2">
        <v>-0.11385326034904</v>
      </c>
      <c r="BH206" s="2" t="str">
        <f t="shared" si="222"/>
        <v/>
      </c>
      <c r="BI206" s="2">
        <f t="shared" si="223"/>
        <v>-0.11385326034904</v>
      </c>
      <c r="BJ206" s="67">
        <f t="shared" si="224"/>
        <v>7</v>
      </c>
      <c r="BK206" s="2">
        <v>9400</v>
      </c>
      <c r="BL206" s="2">
        <v>-2.6129372677926281</v>
      </c>
      <c r="BM206" s="77">
        <f t="shared" si="253"/>
        <v>-0.12293726779262792</v>
      </c>
      <c r="BN206" s="77">
        <f t="shared" si="254"/>
        <v>-1</v>
      </c>
      <c r="BO206" s="2" t="str">
        <f t="shared" si="225"/>
        <v/>
      </c>
      <c r="BP206" s="2">
        <f t="shared" si="226"/>
        <v>-2.6129372677926281</v>
      </c>
      <c r="BQ206" s="67">
        <f t="shared" si="255"/>
        <v>4</v>
      </c>
      <c r="BS206" s="75" t="e">
        <f t="shared" si="256"/>
        <v>#REF!</v>
      </c>
      <c r="BT206" s="75" t="e">
        <f t="shared" si="257"/>
        <v>#REF!</v>
      </c>
      <c r="BU206" s="5" t="e">
        <f>IF(#REF!&gt;=36, IF(AND(NOT(ISBLANK(CM:CM)), NOT(ISBLANK(BD:BD))), (CM:CM-BD:BD)/2, ""), "UF")</f>
        <v>#REF!</v>
      </c>
      <c r="BV206" s="5" t="e">
        <f t="shared" si="227"/>
        <v>#REF!</v>
      </c>
      <c r="BW206" s="69" t="e">
        <f t="shared" si="228"/>
        <v>#REF!</v>
      </c>
      <c r="BX206" s="2" t="s">
        <v>12</v>
      </c>
      <c r="BZ206" s="74" t="e">
        <f t="shared" si="258"/>
        <v>#VALUE!</v>
      </c>
      <c r="CA206" s="74" t="e">
        <f t="shared" si="259"/>
        <v>#VALUE!</v>
      </c>
      <c r="CB206" s="5" t="str">
        <f t="shared" si="229"/>
        <v/>
      </c>
      <c r="CC206" s="5" t="e">
        <f t="shared" si="230"/>
        <v>#VALUE!</v>
      </c>
      <c r="CD206" s="2" t="e">
        <f t="shared" si="231"/>
        <v>#VALUE!</v>
      </c>
      <c r="CE206" s="69" t="e">
        <f t="shared" si="232"/>
        <v>#VALUE!</v>
      </c>
      <c r="CF206" s="5" t="s">
        <v>12</v>
      </c>
      <c r="CH206" s="72" t="e">
        <f t="shared" si="260"/>
        <v>#VALUE!</v>
      </c>
      <c r="CI206" s="72" t="e">
        <f t="shared" si="261"/>
        <v>#VALUE!</v>
      </c>
      <c r="CJ206" s="5" t="str">
        <f t="shared" si="233"/>
        <v/>
      </c>
      <c r="CK206" s="5" t="e">
        <f t="shared" si="234"/>
        <v>#VALUE!</v>
      </c>
      <c r="CL206" s="69" t="e">
        <f t="shared" si="235"/>
        <v>#VALUE!</v>
      </c>
      <c r="CN206" s="70" t="str">
        <f t="shared" si="236"/>
        <v/>
      </c>
      <c r="CO206" s="5" t="str">
        <f t="shared" si="237"/>
        <v>UF</v>
      </c>
      <c r="CP206" s="5" t="str">
        <f>IF(G206&lt;48,"UF", IF(NOT(ISBLANK(CM:CM)), CM:CM, IF(BW:BW=1, BV:BV+Sheet2!B78, IF(Sheet1!BW:BW=2, Sheet1!BV:BV+Sheet2!B79, IF(Sheet1!BW:BW=7, Sheet1!BV:BV+Sheet2!B80,"")))))</f>
        <v>UF</v>
      </c>
      <c r="CQ206" s="69" t="str">
        <f t="shared" si="262"/>
        <v/>
      </c>
      <c r="CR206" s="5" t="s">
        <v>12</v>
      </c>
      <c r="CT206" s="5" t="str">
        <f t="shared" si="238"/>
        <v/>
      </c>
      <c r="CU206" s="80" t="str">
        <f t="shared" si="239"/>
        <v>UF</v>
      </c>
      <c r="CV206" s="80" t="str">
        <f t="shared" si="240"/>
        <v>UF</v>
      </c>
      <c r="CW206" s="20" t="str">
        <f>IF(G206&lt;48,"UF", IF(NOT(ISBLANK(CS206)), CS206, IF(CE206=5, CC206+Sheet2!B67, IF(CE206=6, CC206+Sheet2!B68, IF(CE206=7, CC206+Sheet2!B69,"")))))</f>
        <v>UF</v>
      </c>
      <c r="CX206" s="68" t="str">
        <f t="shared" si="263"/>
        <v/>
      </c>
      <c r="CY206" s="5" t="s">
        <v>12</v>
      </c>
      <c r="DA206" s="5" t="str">
        <f t="shared" si="241"/>
        <v>UF</v>
      </c>
      <c r="DB206" s="73" t="str">
        <f t="shared" si="242"/>
        <v>UF</v>
      </c>
      <c r="DC206" s="73" t="str">
        <f t="shared" si="243"/>
        <v>UF</v>
      </c>
      <c r="DD206" s="5" t="str">
        <f>IF(G206&lt;48,"UF", IF(NOT(ISBLANK(CZ:CZ)), CZ:CZ, IF(CL:CL=3, CK:CK+Sheet2!B72, IF(CL:CL=4, CK:CK+Sheet2!B73, IF(CL:CL=7, CK:CK+Sheet2!B74,"")))))</f>
        <v>UF</v>
      </c>
      <c r="DE206" s="69" t="str">
        <f t="shared" si="202"/>
        <v/>
      </c>
      <c r="DF206" s="2">
        <v>3</v>
      </c>
      <c r="DG206" s="2">
        <v>38</v>
      </c>
      <c r="DH206" s="2">
        <v>2</v>
      </c>
      <c r="DI206" s="2">
        <v>2</v>
      </c>
      <c r="DJ206" s="2">
        <v>2</v>
      </c>
      <c r="DK206" s="2" t="s">
        <v>12</v>
      </c>
      <c r="DL206" s="2" t="s">
        <v>12</v>
      </c>
      <c r="DM206" s="2" t="s">
        <v>12</v>
      </c>
      <c r="DN206" s="2" t="s">
        <v>12</v>
      </c>
      <c r="DO206" s="2">
        <v>90</v>
      </c>
      <c r="DP206" s="2">
        <v>60</v>
      </c>
      <c r="DQ206" s="2">
        <v>1</v>
      </c>
      <c r="DR206" s="2">
        <v>39</v>
      </c>
      <c r="DS206" s="2">
        <v>2</v>
      </c>
      <c r="DT206" s="2">
        <v>85</v>
      </c>
      <c r="DU206" s="2">
        <v>82</v>
      </c>
      <c r="DV206" s="2">
        <v>2</v>
      </c>
      <c r="DW206" s="2">
        <v>2</v>
      </c>
      <c r="DX206" s="2">
        <v>2</v>
      </c>
      <c r="DY206" s="2">
        <v>1</v>
      </c>
      <c r="DZ206" s="2">
        <v>30.5</v>
      </c>
      <c r="EA206" s="2">
        <v>33</v>
      </c>
      <c r="EB206" s="2">
        <v>43.5</v>
      </c>
      <c r="EC206" s="2">
        <v>1</v>
      </c>
      <c r="ED206" s="2">
        <v>1</v>
      </c>
    </row>
    <row r="207" spans="3:134" x14ac:dyDescent="0.25">
      <c r="C207" s="5" t="s">
        <v>15</v>
      </c>
      <c r="D207" s="10">
        <v>2501024338</v>
      </c>
      <c r="E207" s="5">
        <v>2</v>
      </c>
      <c r="F207" s="2">
        <v>1</v>
      </c>
      <c r="G207" s="2">
        <v>44</v>
      </c>
      <c r="H207" s="2">
        <v>-0.53879022894662221</v>
      </c>
      <c r="I207" s="2">
        <v>51</v>
      </c>
      <c r="J207" s="2">
        <v>0.99441714029262385</v>
      </c>
      <c r="K207" s="5">
        <v>3300</v>
      </c>
      <c r="L207" s="2">
        <v>0.14707338780410831</v>
      </c>
      <c r="M207" s="2">
        <v>-1.3956999999999999</v>
      </c>
      <c r="N207" s="2" t="str">
        <f t="shared" si="203"/>
        <v/>
      </c>
      <c r="O207" s="2">
        <f t="shared" si="204"/>
        <v>-1.3956999999999999</v>
      </c>
      <c r="P207" s="2">
        <v>68</v>
      </c>
      <c r="Q207" s="2">
        <v>0.99</v>
      </c>
      <c r="R207" s="5" t="str">
        <f t="shared" si="205"/>
        <v/>
      </c>
      <c r="S207" s="5">
        <f t="shared" si="206"/>
        <v>0.99</v>
      </c>
      <c r="T207" s="1">
        <v>6900</v>
      </c>
      <c r="U207" s="2">
        <v>-0.46</v>
      </c>
      <c r="V207" s="2" t="str">
        <f t="shared" si="207"/>
        <v/>
      </c>
      <c r="W207" s="2">
        <f t="shared" si="208"/>
        <v>-0.46</v>
      </c>
      <c r="Y207" s="76">
        <f t="shared" si="244"/>
        <v>-2.2388597710533777</v>
      </c>
      <c r="Z207" s="76">
        <f t="shared" si="245"/>
        <v>-2</v>
      </c>
      <c r="AA207" s="2">
        <f t="shared" si="209"/>
        <v>-1.38195</v>
      </c>
      <c r="AB207" s="2">
        <f t="shared" si="210"/>
        <v>-2.77765</v>
      </c>
      <c r="AC207" s="2" t="s">
        <v>12</v>
      </c>
      <c r="AE207" s="79">
        <f t="shared" si="246"/>
        <v>-0.44941714029262392</v>
      </c>
      <c r="AF207" s="79">
        <f t="shared" si="247"/>
        <v>-1</v>
      </c>
      <c r="AG207" s="2">
        <f t="shared" si="200"/>
        <v>-0.44500000000000001</v>
      </c>
      <c r="AH207" s="2">
        <f t="shared" si="211"/>
        <v>0.54499999999999993</v>
      </c>
      <c r="AI207" s="2" t="s">
        <v>12</v>
      </c>
      <c r="AK207" s="76">
        <f t="shared" si="248"/>
        <v>-0.95207338780410822</v>
      </c>
      <c r="AL207" s="76">
        <f t="shared" si="249"/>
        <v>-2</v>
      </c>
      <c r="AM207" s="2">
        <f t="shared" si="212"/>
        <v>-0.34499999999999997</v>
      </c>
      <c r="AN207" s="2">
        <f t="shared" si="213"/>
        <v>-0.80499999999999994</v>
      </c>
      <c r="AO207" s="2">
        <v>-1.7739</v>
      </c>
      <c r="AP207" s="2" t="str">
        <f t="shared" si="214"/>
        <v/>
      </c>
      <c r="AQ207" s="2">
        <f t="shared" si="215"/>
        <v>-1.7739</v>
      </c>
      <c r="AR207" s="2">
        <v>81</v>
      </c>
      <c r="AS207" s="2">
        <v>0.1</v>
      </c>
      <c r="AT207" s="2" t="str">
        <f t="shared" si="216"/>
        <v/>
      </c>
      <c r="AU207" s="2">
        <f t="shared" si="217"/>
        <v>0.1</v>
      </c>
      <c r="AV207" s="2">
        <v>8900</v>
      </c>
      <c r="AW207" s="2">
        <v>-1.1499999999999999</v>
      </c>
      <c r="AX207" s="2" t="str">
        <f t="shared" si="218"/>
        <v/>
      </c>
      <c r="AY207" s="2">
        <f t="shared" si="219"/>
        <v>-1.1499999999999999</v>
      </c>
      <c r="BA207" s="78" t="e">
        <f t="shared" si="250"/>
        <v>#VALUE!</v>
      </c>
      <c r="BB207" s="78" t="e">
        <f t="shared" si="251"/>
        <v>#VALUE!</v>
      </c>
      <c r="BC207" s="2" t="str">
        <f t="shared" si="220"/>
        <v/>
      </c>
      <c r="BD207" s="2" t="e">
        <f t="shared" si="221"/>
        <v>#VALUE!</v>
      </c>
      <c r="BE207" s="67" t="e">
        <f t="shared" si="252"/>
        <v>#VALUE!</v>
      </c>
      <c r="BF207" s="2" t="s">
        <v>12</v>
      </c>
      <c r="BH207" s="2" t="str">
        <f t="shared" si="222"/>
        <v/>
      </c>
      <c r="BI207" s="2" t="e">
        <f t="shared" si="223"/>
        <v>#VALUE!</v>
      </c>
      <c r="BJ207" s="67" t="e">
        <f t="shared" si="224"/>
        <v>#VALUE!</v>
      </c>
      <c r="BK207" s="2" t="s">
        <v>12</v>
      </c>
      <c r="BM207" s="77" t="e">
        <f t="shared" si="253"/>
        <v>#VALUE!</v>
      </c>
      <c r="BN207" s="77" t="e">
        <f t="shared" si="254"/>
        <v>#VALUE!</v>
      </c>
      <c r="BO207" s="2" t="str">
        <f t="shared" si="225"/>
        <v/>
      </c>
      <c r="BP207" s="2" t="e">
        <f t="shared" si="226"/>
        <v>#VALUE!</v>
      </c>
      <c r="BQ207" s="67" t="e">
        <f t="shared" si="255"/>
        <v>#VALUE!</v>
      </c>
      <c r="BS207" s="75" t="e">
        <f t="shared" si="256"/>
        <v>#VALUE!</v>
      </c>
      <c r="BT207" s="75" t="e">
        <f t="shared" si="257"/>
        <v>#VALUE!</v>
      </c>
      <c r="BU207" s="5" t="str">
        <f>IF(G213&gt;=36, IF(AND(NOT(ISBLANK(CM:CM)), NOT(ISBLANK(BD:BD))), (CM:CM-BD:BD)/2, ""), "UF")</f>
        <v/>
      </c>
      <c r="BV207" s="5" t="e">
        <f t="shared" si="227"/>
        <v>#VALUE!</v>
      </c>
      <c r="BW207" s="69" t="e">
        <f t="shared" si="228"/>
        <v>#VALUE!</v>
      </c>
      <c r="BX207" s="2" t="s">
        <v>12</v>
      </c>
      <c r="BZ207" s="74" t="e">
        <f t="shared" si="258"/>
        <v>#VALUE!</v>
      </c>
      <c r="CA207" s="74" t="e">
        <f t="shared" si="259"/>
        <v>#VALUE!</v>
      </c>
      <c r="CB207" s="5" t="str">
        <f t="shared" si="229"/>
        <v/>
      </c>
      <c r="CC207" s="5" t="e">
        <f t="shared" si="230"/>
        <v>#VALUE!</v>
      </c>
      <c r="CD207" s="2" t="e">
        <f t="shared" si="231"/>
        <v>#VALUE!</v>
      </c>
      <c r="CE207" s="69" t="e">
        <f t="shared" si="232"/>
        <v>#VALUE!</v>
      </c>
      <c r="CF207" s="5" t="s">
        <v>12</v>
      </c>
      <c r="CH207" s="72" t="e">
        <f t="shared" si="260"/>
        <v>#VALUE!</v>
      </c>
      <c r="CI207" s="72" t="e">
        <f t="shared" si="261"/>
        <v>#VALUE!</v>
      </c>
      <c r="CJ207" s="5" t="str">
        <f t="shared" si="233"/>
        <v/>
      </c>
      <c r="CK207" s="5" t="e">
        <f t="shared" si="234"/>
        <v>#VALUE!</v>
      </c>
      <c r="CL207" s="69" t="e">
        <f t="shared" si="235"/>
        <v>#VALUE!</v>
      </c>
      <c r="CN207" s="70" t="str">
        <f t="shared" si="236"/>
        <v/>
      </c>
      <c r="CO207" s="5" t="str">
        <f t="shared" si="237"/>
        <v>UF</v>
      </c>
      <c r="CP207" s="5" t="str">
        <f>IF(G207&lt;48,"UF", IF(NOT(ISBLANK(CM:CM)), CM:CM, IF(BW:BW=1, BV:BV+Sheet2!B32, IF(Sheet1!BW:BW=2, Sheet1!BV:BV+Sheet2!B33, IF(Sheet1!BW:BW=7, Sheet1!BV:BV+Sheet2!B34,"")))))</f>
        <v>UF</v>
      </c>
      <c r="CQ207" s="69" t="str">
        <f t="shared" si="262"/>
        <v/>
      </c>
      <c r="CR207" s="5" t="s">
        <v>12</v>
      </c>
      <c r="CT207" s="5" t="str">
        <f t="shared" si="238"/>
        <v/>
      </c>
      <c r="CU207" s="80" t="str">
        <f t="shared" si="239"/>
        <v>UF</v>
      </c>
      <c r="CV207" s="80" t="str">
        <f t="shared" si="240"/>
        <v>UF</v>
      </c>
      <c r="CW207" s="20" t="str">
        <f>IF(G207&lt;48,"UF", IF(NOT(ISBLANK(CS207)), CS207, IF(CE207=5, CC207+Sheet2!B21, IF(CE207=6, CC207+Sheet2!B22, IF(CE207=7, CC207+Sheet2!B23,"")))))</f>
        <v>UF</v>
      </c>
      <c r="CX207" s="68" t="str">
        <f t="shared" si="263"/>
        <v/>
      </c>
      <c r="CY207" s="5" t="s">
        <v>12</v>
      </c>
      <c r="DA207" s="5" t="str">
        <f t="shared" si="241"/>
        <v>UF</v>
      </c>
      <c r="DB207" s="73" t="str">
        <f t="shared" si="242"/>
        <v>UF</v>
      </c>
      <c r="DC207" s="73" t="str">
        <f t="shared" si="243"/>
        <v>UF</v>
      </c>
      <c r="DD207" s="5" t="str">
        <f>IF(G207&lt;48,"UF", IF(NOT(ISBLANK(CZ:CZ)), CZ:CZ, IF(CL:CL=3, CK:CK+Sheet2!B26, IF(CL:CL=4, CK:CK+Sheet2!B27, IF(CL:CL=7, CK:CK+Sheet2!B28,"")))))</f>
        <v>UF</v>
      </c>
      <c r="DE207" s="69" t="str">
        <f t="shared" si="202"/>
        <v/>
      </c>
      <c r="DF207" s="2">
        <v>2</v>
      </c>
      <c r="DG207" s="2">
        <v>37</v>
      </c>
      <c r="DH207" s="2">
        <v>2</v>
      </c>
      <c r="DI207" s="2">
        <v>2</v>
      </c>
      <c r="DJ207" s="2">
        <v>2</v>
      </c>
      <c r="DK207" s="2">
        <v>95</v>
      </c>
      <c r="DL207" s="2">
        <v>60</v>
      </c>
      <c r="DM207" s="2">
        <v>90</v>
      </c>
      <c r="DN207" s="2">
        <v>60</v>
      </c>
      <c r="DO207" s="2" t="s">
        <v>12</v>
      </c>
      <c r="DP207" s="2" t="s">
        <v>12</v>
      </c>
      <c r="DQ207" s="2">
        <v>2</v>
      </c>
      <c r="DR207" s="2">
        <v>40</v>
      </c>
      <c r="DS207" s="2">
        <v>2</v>
      </c>
      <c r="DV207" s="2">
        <v>2</v>
      </c>
      <c r="DW207" s="2">
        <v>2</v>
      </c>
      <c r="DX207" s="2">
        <v>2</v>
      </c>
      <c r="DY207" s="2">
        <v>2</v>
      </c>
      <c r="DZ207" s="2">
        <v>35</v>
      </c>
      <c r="EA207" s="2">
        <v>36</v>
      </c>
      <c r="EB207" s="2" t="s">
        <v>12</v>
      </c>
      <c r="EC207" s="2">
        <v>1</v>
      </c>
      <c r="ED207" s="2" t="s">
        <v>12</v>
      </c>
    </row>
    <row r="208" spans="3:134" x14ac:dyDescent="0.25">
      <c r="C208" s="8" t="s">
        <v>198</v>
      </c>
      <c r="D208" s="4">
        <v>2501025180</v>
      </c>
      <c r="E208" s="5">
        <v>7</v>
      </c>
      <c r="F208" s="2">
        <v>1</v>
      </c>
      <c r="G208" s="2">
        <v>43</v>
      </c>
      <c r="H208" s="2">
        <v>-8.4281305187218769E-2</v>
      </c>
      <c r="I208" s="2">
        <v>46</v>
      </c>
      <c r="J208" s="2">
        <v>-1.6898613744484801</v>
      </c>
      <c r="K208" s="1">
        <v>2800</v>
      </c>
      <c r="L208" s="2">
        <v>-0.98574519678023331</v>
      </c>
      <c r="N208" s="2">
        <f t="shared" si="203"/>
        <v>0.25134065259360938</v>
      </c>
      <c r="O208" s="2">
        <f t="shared" si="204"/>
        <v>0.16705934740639061</v>
      </c>
      <c r="P208" s="2" t="s">
        <v>12</v>
      </c>
      <c r="R208" s="5">
        <f t="shared" si="205"/>
        <v>0.45493068722424002</v>
      </c>
      <c r="S208" s="5">
        <f t="shared" si="206"/>
        <v>-1.23493068722424</v>
      </c>
      <c r="T208" s="1" t="s">
        <v>12</v>
      </c>
      <c r="V208" s="2">
        <f t="shared" si="207"/>
        <v>0.42787259839011665</v>
      </c>
      <c r="W208" s="2">
        <f t="shared" si="208"/>
        <v>-0.55787259839011671</v>
      </c>
      <c r="X208" s="2">
        <v>0.41839999999999999</v>
      </c>
      <c r="Y208" s="76">
        <f t="shared" si="244"/>
        <v>0.50268130518721876</v>
      </c>
      <c r="Z208" s="76">
        <f t="shared" si="245"/>
        <v>1</v>
      </c>
      <c r="AA208" s="2" t="str">
        <f t="shared" si="209"/>
        <v/>
      </c>
      <c r="AB208" s="2">
        <f t="shared" si="210"/>
        <v>0.41839999999999999</v>
      </c>
      <c r="AC208" s="2">
        <v>72</v>
      </c>
      <c r="AD208" s="2">
        <v>-0.78</v>
      </c>
      <c r="AE208" s="79">
        <f t="shared" si="246"/>
        <v>0.90986137444848003</v>
      </c>
      <c r="AF208" s="79">
        <f t="shared" si="247"/>
        <v>2</v>
      </c>
      <c r="AG208" s="2" t="str">
        <f t="shared" si="200"/>
        <v/>
      </c>
      <c r="AH208" s="2">
        <f t="shared" si="211"/>
        <v>-0.78</v>
      </c>
      <c r="AI208" s="2">
        <v>8800</v>
      </c>
      <c r="AJ208" s="2">
        <v>-0.13</v>
      </c>
      <c r="AK208" s="76">
        <f t="shared" si="248"/>
        <v>0.85574519678023331</v>
      </c>
      <c r="AL208" s="76">
        <f t="shared" si="249"/>
        <v>2</v>
      </c>
      <c r="AM208" s="2" t="str">
        <f t="shared" si="212"/>
        <v/>
      </c>
      <c r="AN208" s="2">
        <f t="shared" si="213"/>
        <v>-0.13</v>
      </c>
      <c r="AP208" s="2" t="str">
        <f t="shared" si="214"/>
        <v/>
      </c>
      <c r="AQ208" s="2" t="e">
        <f t="shared" si="215"/>
        <v>#VALUE!</v>
      </c>
      <c r="AR208" s="2" t="s">
        <v>12</v>
      </c>
      <c r="AT208" s="2" t="str">
        <f t="shared" si="216"/>
        <v/>
      </c>
      <c r="AU208" s="2" t="e">
        <f t="shared" si="217"/>
        <v>#VALUE!</v>
      </c>
      <c r="AV208" s="2" t="s">
        <v>12</v>
      </c>
      <c r="AX208" s="2" t="str">
        <f t="shared" si="218"/>
        <v/>
      </c>
      <c r="AY208" s="2" t="e">
        <f t="shared" si="219"/>
        <v>#VALUE!</v>
      </c>
      <c r="BA208" s="78" t="e">
        <f t="shared" si="250"/>
        <v>#VALUE!</v>
      </c>
      <c r="BB208" s="78" t="e">
        <f t="shared" si="251"/>
        <v>#VALUE!</v>
      </c>
      <c r="BC208" s="2" t="str">
        <f t="shared" si="220"/>
        <v/>
      </c>
      <c r="BD208" s="2" t="e">
        <f t="shared" si="221"/>
        <v>#VALUE!</v>
      </c>
      <c r="BE208" s="67" t="e">
        <f t="shared" si="252"/>
        <v>#VALUE!</v>
      </c>
      <c r="BF208" s="2" t="s">
        <v>12</v>
      </c>
      <c r="BH208" s="2" t="str">
        <f t="shared" si="222"/>
        <v/>
      </c>
      <c r="BI208" s="2" t="e">
        <f t="shared" si="223"/>
        <v>#VALUE!</v>
      </c>
      <c r="BJ208" s="67" t="e">
        <f t="shared" si="224"/>
        <v>#VALUE!</v>
      </c>
      <c r="BK208" s="2" t="s">
        <v>12</v>
      </c>
      <c r="BM208" s="77" t="e">
        <f t="shared" si="253"/>
        <v>#VALUE!</v>
      </c>
      <c r="BN208" s="77" t="e">
        <f t="shared" si="254"/>
        <v>#VALUE!</v>
      </c>
      <c r="BO208" s="2" t="str">
        <f t="shared" si="225"/>
        <v/>
      </c>
      <c r="BP208" s="2" t="e">
        <f t="shared" si="226"/>
        <v>#VALUE!</v>
      </c>
      <c r="BQ208" s="67" t="e">
        <f t="shared" si="255"/>
        <v>#VALUE!</v>
      </c>
      <c r="BS208" s="75" t="e">
        <f t="shared" si="256"/>
        <v>#VALUE!</v>
      </c>
      <c r="BT208" s="75" t="e">
        <f t="shared" si="257"/>
        <v>#VALUE!</v>
      </c>
      <c r="BU208" s="5" t="str">
        <f>IF(G214&gt;=36, IF(AND(NOT(ISBLANK(CM:CM)), NOT(ISBLANK(BD:BD))), (CM:CM-BD:BD)/2, ""), "UF")</f>
        <v/>
      </c>
      <c r="BV208" s="5" t="e">
        <f t="shared" si="227"/>
        <v>#VALUE!</v>
      </c>
      <c r="BW208" s="69" t="e">
        <f t="shared" si="228"/>
        <v>#VALUE!</v>
      </c>
      <c r="BX208" s="2" t="s">
        <v>12</v>
      </c>
      <c r="BZ208" s="74" t="e">
        <f t="shared" si="258"/>
        <v>#VALUE!</v>
      </c>
      <c r="CA208" s="74" t="e">
        <f t="shared" si="259"/>
        <v>#VALUE!</v>
      </c>
      <c r="CB208" s="5" t="str">
        <f t="shared" si="229"/>
        <v/>
      </c>
      <c r="CC208" s="5" t="e">
        <f t="shared" si="230"/>
        <v>#VALUE!</v>
      </c>
      <c r="CD208" s="2" t="e">
        <f t="shared" si="231"/>
        <v>#VALUE!</v>
      </c>
      <c r="CE208" s="69" t="e">
        <f t="shared" si="232"/>
        <v>#VALUE!</v>
      </c>
      <c r="CF208" s="5" t="s">
        <v>12</v>
      </c>
      <c r="CH208" s="72" t="e">
        <f t="shared" si="260"/>
        <v>#VALUE!</v>
      </c>
      <c r="CI208" s="72" t="e">
        <f t="shared" si="261"/>
        <v>#VALUE!</v>
      </c>
      <c r="CJ208" s="5" t="str">
        <f t="shared" si="233"/>
        <v/>
      </c>
      <c r="CK208" s="5" t="e">
        <f t="shared" si="234"/>
        <v>#VALUE!</v>
      </c>
      <c r="CL208" s="69" t="e">
        <f t="shared" si="235"/>
        <v>#VALUE!</v>
      </c>
      <c r="CN208" s="70" t="str">
        <f t="shared" si="236"/>
        <v/>
      </c>
      <c r="CO208" s="5" t="str">
        <f t="shared" si="237"/>
        <v>UF</v>
      </c>
      <c r="CP208" s="5" t="str">
        <f>IF(G208&lt;48,"UF", IF(NOT(ISBLANK(CM:CM)), CM:CM, IF(BW:BW=1, BV:BV+Sheet2!B372, IF(Sheet1!BW:BW=2, Sheet1!BV:BV+Sheet2!B373, IF(Sheet1!BW:BW=7, Sheet1!BV:BV+Sheet2!B374,"")))))</f>
        <v>UF</v>
      </c>
      <c r="CQ208" s="69" t="str">
        <f t="shared" si="262"/>
        <v/>
      </c>
      <c r="CR208" s="5" t="s">
        <v>12</v>
      </c>
      <c r="CT208" s="5" t="str">
        <f t="shared" si="238"/>
        <v/>
      </c>
      <c r="CU208" s="80" t="str">
        <f t="shared" si="239"/>
        <v>UF</v>
      </c>
      <c r="CV208" s="80" t="str">
        <f t="shared" si="240"/>
        <v>UF</v>
      </c>
      <c r="CW208" s="20" t="str">
        <f>IF(G208&lt;48,"UF", IF(NOT(ISBLANK(CS208)), CS208, IF(CE208=5, CC208+Sheet2!B361, IF(CE208=6, CC208+Sheet2!B362, IF(CE208=7, CC208+Sheet2!B363,"")))))</f>
        <v>UF</v>
      </c>
      <c r="CX208" s="68" t="str">
        <f t="shared" si="263"/>
        <v/>
      </c>
      <c r="CY208" s="5" t="s">
        <v>12</v>
      </c>
      <c r="DA208" s="5" t="str">
        <f t="shared" si="241"/>
        <v>UF</v>
      </c>
      <c r="DB208" s="73" t="str">
        <f t="shared" si="242"/>
        <v>UF</v>
      </c>
      <c r="DC208" s="73" t="str">
        <f t="shared" si="243"/>
        <v>UF</v>
      </c>
      <c r="DD208" s="5" t="str">
        <f>IF(G208&lt;48,"UF", IF(NOT(ISBLANK(CZ:CZ)), CZ:CZ, IF(CL:CL=3, CK:CK+Sheet2!B366, IF(CL:CL=4, CK:CK+Sheet2!B367, IF(CL:CL=7, CK:CK+Sheet2!B368,"")))))</f>
        <v>UF</v>
      </c>
      <c r="DE208" s="69" t="str">
        <f t="shared" si="202"/>
        <v/>
      </c>
      <c r="DF208" s="2">
        <v>2</v>
      </c>
      <c r="DG208" s="2">
        <v>36</v>
      </c>
      <c r="DH208" s="2">
        <v>2</v>
      </c>
      <c r="DI208" s="2">
        <v>2</v>
      </c>
      <c r="DJ208" s="2">
        <v>3</v>
      </c>
      <c r="DK208" s="2" t="s">
        <v>12</v>
      </c>
      <c r="DL208" s="2" t="s">
        <v>12</v>
      </c>
      <c r="DM208" s="2" t="s">
        <v>12</v>
      </c>
      <c r="DN208" s="2" t="s">
        <v>12</v>
      </c>
      <c r="DO208" s="2" t="s">
        <v>12</v>
      </c>
      <c r="DP208" s="2" t="s">
        <v>12</v>
      </c>
      <c r="DQ208" s="2">
        <v>1</v>
      </c>
      <c r="DR208" s="2">
        <v>39</v>
      </c>
      <c r="DS208" s="2">
        <v>3</v>
      </c>
      <c r="DT208" s="2" t="s">
        <v>12</v>
      </c>
      <c r="DU208" s="2" t="s">
        <v>12</v>
      </c>
      <c r="DV208" s="2">
        <v>2</v>
      </c>
      <c r="DW208" s="2">
        <v>3</v>
      </c>
      <c r="DX208" s="2">
        <v>2</v>
      </c>
      <c r="DY208" s="2">
        <v>2</v>
      </c>
      <c r="DZ208" s="2">
        <v>33</v>
      </c>
      <c r="EA208" s="2" t="s">
        <v>12</v>
      </c>
      <c r="EB208" s="2">
        <v>43.5</v>
      </c>
      <c r="EC208" s="2" t="s">
        <v>12</v>
      </c>
      <c r="ED208" s="2">
        <v>1</v>
      </c>
    </row>
    <row r="209" spans="2:134" x14ac:dyDescent="0.25">
      <c r="B209" s="2"/>
      <c r="C209" s="16" t="s">
        <v>413</v>
      </c>
      <c r="D209" s="2">
        <v>2501025474</v>
      </c>
      <c r="E209" s="5" t="s">
        <v>535</v>
      </c>
      <c r="F209" s="2">
        <v>2</v>
      </c>
      <c r="G209" s="2">
        <v>48</v>
      </c>
      <c r="H209">
        <v>-1.1795019105887261</v>
      </c>
      <c r="I209" s="2">
        <v>50</v>
      </c>
      <c r="J209">
        <v>6.1168777667580831E-2</v>
      </c>
      <c r="K209" s="5">
        <v>3000</v>
      </c>
      <c r="L209" s="2">
        <v>-0.73426392472567259</v>
      </c>
      <c r="M209" s="2">
        <v>-2.7736246654643431</v>
      </c>
      <c r="N209" s="2">
        <f t="shared" si="203"/>
        <v>-0.62439075927052901</v>
      </c>
      <c r="O209" s="2">
        <f t="shared" si="204"/>
        <v>-2.7736246654643431</v>
      </c>
      <c r="P209" s="2">
        <v>71</v>
      </c>
      <c r="Q209" s="2">
        <v>1.221127843356588</v>
      </c>
      <c r="R209" s="5">
        <f t="shared" si="205"/>
        <v>0.31922775299843931</v>
      </c>
      <c r="S209" s="5">
        <f t="shared" si="206"/>
        <v>1.221127843356588</v>
      </c>
      <c r="T209" s="1">
        <v>7000</v>
      </c>
      <c r="U209" s="2">
        <v>-1.3376752364517379</v>
      </c>
      <c r="V209" s="2">
        <f t="shared" si="207"/>
        <v>-0.28839784859492223</v>
      </c>
      <c r="W209" s="2">
        <f t="shared" si="208"/>
        <v>-1.3376752364517379</v>
      </c>
      <c r="X209" s="2">
        <v>-2.4282834291297841</v>
      </c>
      <c r="Y209" s="76">
        <f t="shared" si="244"/>
        <v>-1.248781518541058</v>
      </c>
      <c r="Z209" s="76">
        <f t="shared" si="245"/>
        <v>-2</v>
      </c>
      <c r="AA209" s="2">
        <f t="shared" si="209"/>
        <v>-1.9175353477904173</v>
      </c>
      <c r="AB209" s="2">
        <f t="shared" si="210"/>
        <v>-2.4282834291297841</v>
      </c>
      <c r="AC209" s="2">
        <v>78</v>
      </c>
      <c r="AD209" s="2">
        <v>0.6996242836644595</v>
      </c>
      <c r="AE209" s="79">
        <f t="shared" si="246"/>
        <v>0.63845550599687861</v>
      </c>
      <c r="AF209" s="79">
        <f t="shared" si="247"/>
        <v>1</v>
      </c>
      <c r="AG209" s="2">
        <f t="shared" si="200"/>
        <v>-0.37527731355155491</v>
      </c>
      <c r="AH209" s="2">
        <f t="shared" si="211"/>
        <v>0.6996242836644595</v>
      </c>
      <c r="AI209" s="2">
        <v>8450</v>
      </c>
      <c r="AJ209" s="2">
        <v>-1.3110596219155171</v>
      </c>
      <c r="AK209" s="76">
        <f t="shared" si="248"/>
        <v>-0.57679569718984447</v>
      </c>
      <c r="AL209" s="76">
        <f t="shared" si="249"/>
        <v>-1</v>
      </c>
      <c r="AM209" s="2">
        <f t="shared" si="212"/>
        <v>-7.3244088672845042E-2</v>
      </c>
      <c r="AN209" s="2">
        <f t="shared" si="213"/>
        <v>-1.3110596219155171</v>
      </c>
      <c r="AO209" s="2">
        <v>-2.6139428522242469</v>
      </c>
      <c r="AP209" s="2">
        <f t="shared" si="214"/>
        <v>-1.7661597120874137</v>
      </c>
      <c r="AQ209" s="2">
        <f t="shared" si="215"/>
        <v>-2.6139428522242469</v>
      </c>
      <c r="AR209" s="2">
        <v>84</v>
      </c>
      <c r="AS209" s="2">
        <v>0.4705732162534782</v>
      </c>
      <c r="AT209" s="2">
        <f t="shared" si="216"/>
        <v>0.31127277561835076</v>
      </c>
      <c r="AU209" s="2">
        <f t="shared" si="217"/>
        <v>0.4705732162534782</v>
      </c>
      <c r="AV209" s="2">
        <v>9350</v>
      </c>
      <c r="AW209" s="2">
        <v>-1.484163413797428</v>
      </c>
      <c r="AX209" s="2">
        <f t="shared" si="218"/>
        <v>-0.54333507659236546</v>
      </c>
      <c r="AY209" s="2">
        <f t="shared" si="219"/>
        <v>-1.484163413797428</v>
      </c>
      <c r="AZ209" s="2">
        <v>-5.9606028533046116</v>
      </c>
      <c r="BA209" s="78">
        <f t="shared" si="250"/>
        <v>-3.5323194241748275</v>
      </c>
      <c r="BB209" s="78">
        <f t="shared" si="251"/>
        <v>-2</v>
      </c>
      <c r="BC209" s="2">
        <f t="shared" si="220"/>
        <v>-1.3990053808795213</v>
      </c>
      <c r="BD209" s="2">
        <f t="shared" si="221"/>
        <v>-5.9606028533046116</v>
      </c>
      <c r="BE209" s="67">
        <f t="shared" si="252"/>
        <v>1</v>
      </c>
      <c r="BF209" s="2">
        <v>91.5</v>
      </c>
      <c r="BG209" s="2">
        <v>1.322169834901161</v>
      </c>
      <c r="BH209" s="2">
        <f t="shared" si="222"/>
        <v>0.23756057817717094</v>
      </c>
      <c r="BI209" s="2">
        <f t="shared" si="223"/>
        <v>1.322169834901161</v>
      </c>
      <c r="BJ209" s="67">
        <f t="shared" si="224"/>
        <v>7</v>
      </c>
      <c r="BK209" s="2">
        <v>9900</v>
      </c>
      <c r="BL209" s="2">
        <v>-2.397729775100248</v>
      </c>
      <c r="BM209" s="77">
        <f t="shared" si="253"/>
        <v>-1.0866701531847309</v>
      </c>
      <c r="BN209" s="77">
        <f t="shared" si="254"/>
        <v>-2</v>
      </c>
      <c r="BO209" s="2">
        <f t="shared" si="225"/>
        <v>-0.37945889848586134</v>
      </c>
      <c r="BP209" s="2">
        <f t="shared" si="226"/>
        <v>-2.397729775100248</v>
      </c>
      <c r="BQ209" s="67">
        <f t="shared" si="255"/>
        <v>4</v>
      </c>
      <c r="BR209" s="2">
        <v>-6.8109589948628111</v>
      </c>
      <c r="BS209" s="75">
        <f t="shared" si="256"/>
        <v>-0.8503561415581995</v>
      </c>
      <c r="BT209" s="75">
        <f t="shared" si="257"/>
        <v>-2</v>
      </c>
      <c r="BU209" s="5" t="e">
        <f>IF(#REF!&gt;=36, IF(AND(NOT(ISBLANK(CM:CM)), NOT(ISBLANK(BD:BD))), (CM:CM-BD:BD)/2, ""), "UF")</f>
        <v>#REF!</v>
      </c>
      <c r="BV209" s="5">
        <f t="shared" si="227"/>
        <v>-6.8109589948628111</v>
      </c>
      <c r="BW209" s="69">
        <f t="shared" si="228"/>
        <v>1</v>
      </c>
      <c r="BX209" s="2">
        <v>100</v>
      </c>
      <c r="BY209" s="2">
        <v>1.183254950784991</v>
      </c>
      <c r="BZ209" s="74">
        <f t="shared" si="258"/>
        <v>3.580984725885239</v>
      </c>
      <c r="CA209" s="74">
        <f t="shared" si="259"/>
        <v>2</v>
      </c>
      <c r="CB209" s="5">
        <f t="shared" si="229"/>
        <v>-0.2506032079519892</v>
      </c>
      <c r="CC209" s="5">
        <f t="shared" si="230"/>
        <v>1.183254950784991</v>
      </c>
      <c r="CD209" s="2">
        <f t="shared" si="231"/>
        <v>-0.13891488411617003</v>
      </c>
      <c r="CE209" s="69">
        <f t="shared" si="232"/>
        <v>7</v>
      </c>
      <c r="CF209" s="5">
        <v>11000</v>
      </c>
      <c r="CG209" s="2">
        <v>-2.622540109255012</v>
      </c>
      <c r="CH209" s="72">
        <f t="shared" si="260"/>
        <v>-0.22481033415476404</v>
      </c>
      <c r="CI209" s="72">
        <f t="shared" si="261"/>
        <v>-1</v>
      </c>
      <c r="CJ209" s="5">
        <f t="shared" si="233"/>
        <v>0.14596245594585899</v>
      </c>
      <c r="CK209" s="5">
        <f t="shared" si="234"/>
        <v>-2.622540109255012</v>
      </c>
      <c r="CL209" s="69">
        <f t="shared" si="235"/>
        <v>4</v>
      </c>
      <c r="CM209" s="2">
        <v>-5.4724032594991243</v>
      </c>
      <c r="CN209" s="70">
        <f t="shared" si="236"/>
        <v>1.3385557353636868</v>
      </c>
      <c r="CO209" s="5">
        <f t="shared" si="237"/>
        <v>1.3385557353636868</v>
      </c>
      <c r="CP209" s="5">
        <f>IF(G209&lt;48,"UF", IF(NOT(ISBLANK(CM:CM)), CM:CM, IF(BW:BW=1, BV:BV+Sheet2!B626, IF(Sheet1!BW:BW=2, Sheet1!BV:BV+Sheet2!B627, IF(Sheet1!BW:BW=7, Sheet1!BV:BV+Sheet2!B628,"")))))</f>
        <v>-5.4724032594991243</v>
      </c>
      <c r="CQ209" s="69">
        <f t="shared" si="262"/>
        <v>1</v>
      </c>
      <c r="CR209" s="5">
        <v>106</v>
      </c>
      <c r="CS209" s="2">
        <v>0.82096341899718261</v>
      </c>
      <c r="CT209" s="5">
        <f t="shared" si="238"/>
        <v>-0.36229153178780837</v>
      </c>
      <c r="CU209" s="80">
        <f t="shared" si="239"/>
        <v>-0.36229153178780837</v>
      </c>
      <c r="CV209" s="80">
        <f t="shared" si="240"/>
        <v>-1</v>
      </c>
      <c r="CW209" s="20">
        <f>IF(G209&lt;48,"UF", IF(NOT(ISBLANK(CS209)), CS209, IF(CE209=5, CC209+Sheet2!B615, IF(CE209=6, CC209+Sheet2!B616, IF(CE209=7, CC209+Sheet2!B617,"")))))</f>
        <v>0.82096341899718261</v>
      </c>
      <c r="CX209" s="68">
        <f t="shared" si="263"/>
        <v>7</v>
      </c>
      <c r="CY209" s="5">
        <v>13000</v>
      </c>
      <c r="CZ209" s="5">
        <v>-2.10580486320853</v>
      </c>
      <c r="DA209" s="5">
        <f t="shared" si="241"/>
        <v>0.51673524604648202</v>
      </c>
      <c r="DB209" s="73">
        <f t="shared" si="242"/>
        <v>0.51673524604648202</v>
      </c>
      <c r="DC209" s="73">
        <f t="shared" si="243"/>
        <v>1</v>
      </c>
      <c r="DD209" s="5">
        <f>IF(G209&lt;48,"UF", IF(NOT(ISBLANK(CZ:CZ)), CZ:CZ, IF(CL:CL=3, CK:CK+Sheet2!B620, IF(CL:CL=4, CK:CK+Sheet2!B621, IF(CL:CL=7, CK:CK+Sheet2!B622,"")))))</f>
        <v>-2.10580486320853</v>
      </c>
      <c r="DE209" s="69">
        <f t="shared" si="202"/>
        <v>4</v>
      </c>
      <c r="DF209" s="2">
        <v>3</v>
      </c>
      <c r="DG209" s="2">
        <v>33</v>
      </c>
      <c r="DH209" s="2">
        <v>2</v>
      </c>
      <c r="DI209" s="2">
        <v>2</v>
      </c>
      <c r="DJ209" s="2">
        <v>2</v>
      </c>
      <c r="DK209" s="2">
        <v>100</v>
      </c>
      <c r="DL209" s="2">
        <v>60</v>
      </c>
      <c r="DM209" s="2">
        <v>100</v>
      </c>
      <c r="DN209" s="2">
        <v>60</v>
      </c>
      <c r="DO209" s="2">
        <v>100</v>
      </c>
      <c r="DP209" s="2">
        <v>60</v>
      </c>
      <c r="DQ209" s="2">
        <v>2</v>
      </c>
      <c r="DR209" s="2">
        <v>38</v>
      </c>
      <c r="DS209" s="2">
        <v>2</v>
      </c>
      <c r="DT209" s="2">
        <v>77</v>
      </c>
      <c r="DU209" s="2">
        <v>74</v>
      </c>
      <c r="DV209" s="2">
        <v>2</v>
      </c>
      <c r="DW209" s="2">
        <v>2</v>
      </c>
      <c r="DX209" s="2">
        <v>2</v>
      </c>
      <c r="DY209" s="2">
        <v>3</v>
      </c>
      <c r="DZ209" s="2">
        <v>34</v>
      </c>
      <c r="EA209" s="2">
        <v>36</v>
      </c>
      <c r="EB209" s="2">
        <v>44.9</v>
      </c>
      <c r="EC209" s="2">
        <v>1</v>
      </c>
      <c r="ED209" s="2">
        <v>1</v>
      </c>
    </row>
    <row r="210" spans="2:134" x14ac:dyDescent="0.25">
      <c r="C210" s="8" t="s">
        <v>259</v>
      </c>
      <c r="D210" s="8">
        <v>2501025849</v>
      </c>
      <c r="E210" s="5">
        <v>7</v>
      </c>
      <c r="F210" s="2">
        <v>1</v>
      </c>
      <c r="G210" s="2">
        <v>43</v>
      </c>
      <c r="H210" s="2">
        <v>-1.3576675310758251</v>
      </c>
      <c r="I210" s="2">
        <v>51</v>
      </c>
      <c r="J210" s="2">
        <v>0.99441714029262385</v>
      </c>
      <c r="K210" s="2">
        <v>3060</v>
      </c>
      <c r="L210" s="2">
        <v>-0.38233842194813111</v>
      </c>
      <c r="M210" s="2">
        <v>-0.69969999999999999</v>
      </c>
      <c r="N210" s="2">
        <f t="shared" si="203"/>
        <v>0.40008376553791253</v>
      </c>
      <c r="O210" s="2">
        <f t="shared" si="204"/>
        <v>-0.69969999999999999</v>
      </c>
      <c r="P210" s="2">
        <v>68.5</v>
      </c>
      <c r="Q210" s="2">
        <v>1.21</v>
      </c>
      <c r="R210" s="5">
        <f t="shared" si="205"/>
        <v>-0.11220857014631191</v>
      </c>
      <c r="S210" s="5">
        <f t="shared" si="206"/>
        <v>1.21</v>
      </c>
      <c r="T210" s="2">
        <v>7450</v>
      </c>
      <c r="U210" s="2">
        <v>0.16</v>
      </c>
      <c r="V210" s="2">
        <f t="shared" si="207"/>
        <v>0.21616921097406555</v>
      </c>
      <c r="W210" s="2">
        <f t="shared" si="208"/>
        <v>0.16</v>
      </c>
      <c r="X210" s="2">
        <v>-0.5575</v>
      </c>
      <c r="Y210" s="76">
        <f t="shared" si="244"/>
        <v>0.80016753107582506</v>
      </c>
      <c r="Z210" s="76">
        <f t="shared" si="245"/>
        <v>2</v>
      </c>
      <c r="AA210" s="2">
        <f t="shared" si="209"/>
        <v>-1.1379000000000001</v>
      </c>
      <c r="AB210" s="2">
        <f t="shared" si="210"/>
        <v>-0.5575</v>
      </c>
      <c r="AC210" s="2">
        <v>76</v>
      </c>
      <c r="AD210" s="2">
        <v>0.77</v>
      </c>
      <c r="AE210" s="79">
        <f t="shared" si="246"/>
        <v>-0.22441714029262383</v>
      </c>
      <c r="AF210" s="79">
        <f t="shared" si="247"/>
        <v>-1</v>
      </c>
      <c r="AG210" s="2">
        <f t="shared" si="200"/>
        <v>-0.20999999999999996</v>
      </c>
      <c r="AH210" s="2">
        <f t="shared" si="211"/>
        <v>0.77</v>
      </c>
      <c r="AI210" s="2">
        <v>9000</v>
      </c>
      <c r="AJ210" s="2">
        <v>0.05</v>
      </c>
      <c r="AK210" s="76">
        <f t="shared" si="248"/>
        <v>0.4323384219481311</v>
      </c>
      <c r="AL210" s="76">
        <f t="shared" si="249"/>
        <v>1</v>
      </c>
      <c r="AM210" s="2">
        <f t="shared" si="212"/>
        <v>-0.21500000000000002</v>
      </c>
      <c r="AN210" s="2">
        <f t="shared" si="213"/>
        <v>0.05</v>
      </c>
      <c r="AO210" s="2">
        <v>-1.0658000000000001</v>
      </c>
      <c r="AP210" s="2">
        <f t="shared" si="214"/>
        <v>-0.429545604515922</v>
      </c>
      <c r="AQ210" s="2">
        <f t="shared" si="215"/>
        <v>-1.0658000000000001</v>
      </c>
      <c r="AR210" s="2">
        <v>83</v>
      </c>
      <c r="AS210" s="2">
        <v>0.79</v>
      </c>
      <c r="AT210" s="2">
        <f t="shared" si="216"/>
        <v>-8.3507795593330048E-2</v>
      </c>
      <c r="AU210" s="2">
        <f t="shared" si="217"/>
        <v>0.79</v>
      </c>
      <c r="AV210" s="2">
        <v>9900</v>
      </c>
      <c r="AW210" s="2">
        <v>-0.27</v>
      </c>
      <c r="AX210" s="2">
        <f t="shared" si="218"/>
        <v>-0.40836795020202254</v>
      </c>
      <c r="AY210" s="2">
        <f t="shared" si="219"/>
        <v>-0.27</v>
      </c>
      <c r="AZ210" s="2">
        <v>-1.416591209031844</v>
      </c>
      <c r="BA210" s="78">
        <f t="shared" si="250"/>
        <v>-0.85909120903184399</v>
      </c>
      <c r="BB210" s="78">
        <f t="shared" si="251"/>
        <v>-2</v>
      </c>
      <c r="BC210" s="2">
        <f t="shared" si="220"/>
        <v>0.13954511992643404</v>
      </c>
      <c r="BD210" s="2">
        <f t="shared" si="221"/>
        <v>-1.416591209031844</v>
      </c>
      <c r="BE210" s="67">
        <f t="shared" si="252"/>
        <v>7</v>
      </c>
      <c r="BF210" s="2">
        <v>87.5</v>
      </c>
      <c r="BG210" s="2">
        <v>0.60298440881333992</v>
      </c>
      <c r="BH210" s="2">
        <f t="shared" si="222"/>
        <v>-0.19722050586856135</v>
      </c>
      <c r="BI210" s="2">
        <f t="shared" si="223"/>
        <v>0.60298440881333992</v>
      </c>
      <c r="BJ210" s="67">
        <f t="shared" si="224"/>
        <v>7</v>
      </c>
      <c r="BK210" s="2">
        <v>11200</v>
      </c>
      <c r="BL210" s="2">
        <v>-0.76673590040404505</v>
      </c>
      <c r="BM210" s="77">
        <f t="shared" si="253"/>
        <v>-0.81673590040404509</v>
      </c>
      <c r="BN210" s="77">
        <f t="shared" si="254"/>
        <v>-2</v>
      </c>
      <c r="BO210" s="2">
        <f t="shared" si="225"/>
        <v>-1.1800349373202363E-3</v>
      </c>
      <c r="BP210" s="2">
        <f t="shared" si="226"/>
        <v>-0.76673590040404505</v>
      </c>
      <c r="BQ210" s="67">
        <f t="shared" si="255"/>
        <v>7</v>
      </c>
      <c r="BR210" s="5">
        <v>-0.64716464022069797</v>
      </c>
      <c r="BS210" s="75">
        <f t="shared" si="256"/>
        <v>0.76942656881114602</v>
      </c>
      <c r="BT210" s="75">
        <f t="shared" si="257"/>
        <v>2</v>
      </c>
      <c r="BU210" s="5" t="str">
        <f>IF(G216&gt;=36, IF(AND(NOT(ISBLANK(CM:CM)), NOT(ISBLANK(BD:BD))), (CM:CM-BD:BD)/2, ""), "UF")</f>
        <v/>
      </c>
      <c r="BV210" s="5">
        <f t="shared" si="227"/>
        <v>-0.64716464022069797</v>
      </c>
      <c r="BW210" s="69">
        <f t="shared" si="228"/>
        <v>7</v>
      </c>
      <c r="BX210" s="2">
        <v>95</v>
      </c>
      <c r="BY210" s="5">
        <v>0.19833848239431601</v>
      </c>
      <c r="BZ210" s="74">
        <f t="shared" si="258"/>
        <v>0.965074382798361</v>
      </c>
      <c r="CA210" s="74">
        <f t="shared" si="259"/>
        <v>2</v>
      </c>
      <c r="CB210" s="5" t="str">
        <f t="shared" si="229"/>
        <v/>
      </c>
      <c r="CC210" s="5">
        <f t="shared" si="230"/>
        <v>0.19833848239431601</v>
      </c>
      <c r="CD210" s="2">
        <f t="shared" si="231"/>
        <v>-0.40464592641902392</v>
      </c>
      <c r="CE210" s="69">
        <f t="shared" si="232"/>
        <v>7</v>
      </c>
      <c r="CF210" s="5">
        <v>13500</v>
      </c>
      <c r="CG210" s="5">
        <v>-0.27354010481196073</v>
      </c>
      <c r="CH210" s="72">
        <f t="shared" si="260"/>
        <v>0.49319579559208432</v>
      </c>
      <c r="CI210" s="72">
        <f t="shared" si="261"/>
        <v>1</v>
      </c>
      <c r="CJ210" s="5" t="str">
        <f t="shared" si="233"/>
        <v/>
      </c>
      <c r="CK210" s="5">
        <f t="shared" si="234"/>
        <v>-0.27354010481196073</v>
      </c>
      <c r="CL210" s="69">
        <f t="shared" si="235"/>
        <v>7</v>
      </c>
      <c r="CN210" s="70" t="str">
        <f t="shared" si="236"/>
        <v/>
      </c>
      <c r="CO210" s="5" t="str">
        <f t="shared" si="237"/>
        <v>UF</v>
      </c>
      <c r="CP210" s="5" t="str">
        <f>IF(G210&lt;48,"UF", IF(NOT(ISBLANK(CM:CM)), CM:CM, IF(BW:BW=1, BV:BV+Sheet2!B456, IF(Sheet1!BW:BW=2, Sheet1!BV:BV+Sheet2!B457, IF(Sheet1!BW:BW=7, Sheet1!BV:BV+Sheet2!B458,"")))))</f>
        <v>UF</v>
      </c>
      <c r="CQ210" s="69" t="str">
        <f t="shared" si="262"/>
        <v/>
      </c>
      <c r="CR210" s="5" t="s">
        <v>12</v>
      </c>
      <c r="CT210" s="5" t="str">
        <f t="shared" si="238"/>
        <v/>
      </c>
      <c r="CU210" s="80" t="str">
        <f t="shared" si="239"/>
        <v>UF</v>
      </c>
      <c r="CV210" s="80" t="str">
        <f t="shared" si="240"/>
        <v>UF</v>
      </c>
      <c r="CW210" s="20" t="str">
        <f>IF(G210&lt;48,"UF", IF(NOT(ISBLANK(CS210)), CS210, IF(CE210=5, CC210+Sheet2!B445, IF(CE210=6, CC210+Sheet2!B446, IF(CE210=7, CC210+Sheet2!B447,"")))))</f>
        <v>UF</v>
      </c>
      <c r="CX210" s="68" t="str">
        <f t="shared" si="263"/>
        <v/>
      </c>
      <c r="CY210" s="5" t="s">
        <v>12</v>
      </c>
      <c r="DA210" s="5" t="str">
        <f t="shared" si="241"/>
        <v>UF</v>
      </c>
      <c r="DB210" s="73" t="str">
        <f t="shared" si="242"/>
        <v>UF</v>
      </c>
      <c r="DC210" s="73" t="str">
        <f t="shared" si="243"/>
        <v>UF</v>
      </c>
      <c r="DD210" s="5" t="str">
        <f>IF(G210&lt;48,"UF", IF(NOT(ISBLANK(CZ:CZ)), CZ:CZ, IF(CL:CL=3, CK:CK+Sheet2!B450, IF(CL:CL=4, CK:CK+Sheet2!B451, IF(CL:CL=7, CK:CK+Sheet2!B452,"")))))</f>
        <v>UF</v>
      </c>
      <c r="DE210" s="69" t="str">
        <f t="shared" si="202"/>
        <v/>
      </c>
      <c r="DF210" s="2">
        <v>3</v>
      </c>
      <c r="DG210" s="2">
        <v>32</v>
      </c>
      <c r="DH210" s="2">
        <v>2</v>
      </c>
      <c r="DI210" s="2">
        <v>2</v>
      </c>
      <c r="DJ210" s="2">
        <v>2</v>
      </c>
      <c r="DK210" s="2">
        <v>100</v>
      </c>
      <c r="DL210" s="2">
        <v>50</v>
      </c>
      <c r="DM210" s="2" t="s">
        <v>12</v>
      </c>
      <c r="DN210" s="2" t="s">
        <v>12</v>
      </c>
      <c r="DO210" s="2">
        <v>100</v>
      </c>
      <c r="DP210" s="2">
        <v>60</v>
      </c>
      <c r="DQ210" s="2">
        <v>2</v>
      </c>
      <c r="DR210" s="2">
        <v>41</v>
      </c>
      <c r="DS210" s="2">
        <v>2</v>
      </c>
      <c r="DT210" s="2">
        <v>88</v>
      </c>
      <c r="DU210" s="2">
        <v>81</v>
      </c>
      <c r="DV210" s="2">
        <v>4</v>
      </c>
      <c r="DW210" s="2">
        <v>2</v>
      </c>
      <c r="DX210" s="2">
        <v>2</v>
      </c>
      <c r="DY210" s="2">
        <v>3</v>
      </c>
      <c r="DZ210" s="2">
        <v>34</v>
      </c>
      <c r="EA210" s="2">
        <v>35</v>
      </c>
      <c r="EB210" s="2">
        <v>44.5</v>
      </c>
      <c r="EC210" s="2">
        <v>1</v>
      </c>
      <c r="ED210" s="2">
        <v>1</v>
      </c>
    </row>
    <row r="211" spans="2:134" x14ac:dyDescent="0.25">
      <c r="C211" s="2" t="s">
        <v>110</v>
      </c>
      <c r="D211" s="2">
        <v>2501026136</v>
      </c>
      <c r="E211" s="5" t="s">
        <v>527</v>
      </c>
      <c r="F211" s="2">
        <v>1</v>
      </c>
      <c r="G211" s="2">
        <v>43</v>
      </c>
      <c r="H211" s="2">
        <v>-3.099396283216413</v>
      </c>
      <c r="I211" s="2">
        <v>48</v>
      </c>
      <c r="J211" s="2">
        <v>-0.61614996855203885</v>
      </c>
      <c r="K211" s="5">
        <v>2310</v>
      </c>
      <c r="L211" s="2">
        <v>-2.2250597747551168</v>
      </c>
      <c r="M211" s="2">
        <v>-0.70540000000000003</v>
      </c>
      <c r="N211" s="2" t="str">
        <f t="shared" si="203"/>
        <v/>
      </c>
      <c r="O211" s="2">
        <f t="shared" si="204"/>
        <v>-0.70540000000000003</v>
      </c>
      <c r="P211" s="2">
        <v>64</v>
      </c>
      <c r="Q211" s="2">
        <v>-0.77</v>
      </c>
      <c r="R211" s="5" t="str">
        <f t="shared" si="205"/>
        <v/>
      </c>
      <c r="S211" s="5">
        <f t="shared" si="206"/>
        <v>-0.77</v>
      </c>
      <c r="T211" s="1">
        <v>6500</v>
      </c>
      <c r="U211" s="2">
        <v>-0.96</v>
      </c>
      <c r="V211" s="2" t="str">
        <f t="shared" si="207"/>
        <v/>
      </c>
      <c r="W211" s="2">
        <f t="shared" si="208"/>
        <v>-0.96</v>
      </c>
      <c r="Y211" s="76">
        <f t="shared" si="244"/>
        <v>2.634296283216413</v>
      </c>
      <c r="Z211" s="76">
        <f t="shared" si="245"/>
        <v>2</v>
      </c>
      <c r="AA211" s="2">
        <f t="shared" si="209"/>
        <v>0.24030000000000001</v>
      </c>
      <c r="AB211" s="2">
        <f t="shared" si="210"/>
        <v>-0.46510000000000001</v>
      </c>
      <c r="AC211" s="2" t="s">
        <v>12</v>
      </c>
      <c r="AE211" s="79">
        <f t="shared" si="246"/>
        <v>-0.92385003144796118</v>
      </c>
      <c r="AF211" s="79">
        <f t="shared" si="247"/>
        <v>-2</v>
      </c>
      <c r="AG211" s="2">
        <f t="shared" si="200"/>
        <v>-0.77</v>
      </c>
      <c r="AH211" s="2">
        <f t="shared" si="211"/>
        <v>-1.54</v>
      </c>
      <c r="AI211" s="2" t="s">
        <v>12</v>
      </c>
      <c r="AK211" s="76">
        <f t="shared" si="248"/>
        <v>0.92005977475511691</v>
      </c>
      <c r="AL211" s="76">
        <f t="shared" si="249"/>
        <v>2</v>
      </c>
      <c r="AM211" s="2">
        <f t="shared" si="212"/>
        <v>-0.34499999999999997</v>
      </c>
      <c r="AN211" s="2">
        <f t="shared" si="213"/>
        <v>-1.3049999999999999</v>
      </c>
      <c r="AO211" s="2">
        <v>-0.28939999999999999</v>
      </c>
      <c r="AP211" s="2">
        <f t="shared" si="214"/>
        <v>-0.38063300969250746</v>
      </c>
      <c r="AQ211" s="2">
        <f t="shared" si="215"/>
        <v>-0.28939999999999999</v>
      </c>
      <c r="AR211" s="2">
        <v>74</v>
      </c>
      <c r="AS211" s="2">
        <v>-2.31</v>
      </c>
      <c r="AT211" s="2">
        <f t="shared" si="216"/>
        <v>-0.43015903761665553</v>
      </c>
      <c r="AU211" s="2">
        <f t="shared" si="217"/>
        <v>-2.31</v>
      </c>
      <c r="AV211" s="2">
        <v>8400</v>
      </c>
      <c r="AW211" s="2">
        <v>-1.65</v>
      </c>
      <c r="AX211" s="2">
        <f t="shared" si="218"/>
        <v>-1.0342400697381287</v>
      </c>
      <c r="AY211" s="2">
        <f t="shared" si="219"/>
        <v>-1.65</v>
      </c>
      <c r="AZ211" s="2">
        <v>-1.226366019385015</v>
      </c>
      <c r="BA211" s="78">
        <f t="shared" si="250"/>
        <v>-0.76126601938501492</v>
      </c>
      <c r="BB211" s="78">
        <f t="shared" si="251"/>
        <v>-2</v>
      </c>
      <c r="BC211" s="2">
        <f t="shared" si="220"/>
        <v>-0.90295332074154022</v>
      </c>
      <c r="BD211" s="2">
        <f t="shared" si="221"/>
        <v>-1.226366019385015</v>
      </c>
      <c r="BE211" s="67">
        <f t="shared" si="252"/>
        <v>7</v>
      </c>
      <c r="BF211" s="2">
        <v>77</v>
      </c>
      <c r="BG211" s="2">
        <v>-2.4003180752333111</v>
      </c>
      <c r="BH211" s="2">
        <f t="shared" si="222"/>
        <v>0.41150104589071468</v>
      </c>
      <c r="BI211" s="2">
        <f t="shared" si="223"/>
        <v>-2.4003180752333111</v>
      </c>
      <c r="BJ211" s="67">
        <f t="shared" si="224"/>
        <v>6</v>
      </c>
      <c r="BK211" s="2">
        <v>8800</v>
      </c>
      <c r="BL211" s="2">
        <v>-3.373480139476257</v>
      </c>
      <c r="BM211" s="77">
        <f t="shared" si="253"/>
        <v>-2.0684801394762573</v>
      </c>
      <c r="BN211" s="77">
        <f t="shared" si="254"/>
        <v>-2</v>
      </c>
      <c r="BO211" s="2">
        <f t="shared" si="225"/>
        <v>-0.36754049101709069</v>
      </c>
      <c r="BP211" s="2">
        <f t="shared" si="226"/>
        <v>-3.373480139476257</v>
      </c>
      <c r="BQ211" s="67">
        <f t="shared" si="255"/>
        <v>3</v>
      </c>
      <c r="BR211" s="5">
        <v>-2.9982599622246209</v>
      </c>
      <c r="BS211" s="75">
        <f t="shared" si="256"/>
        <v>-1.7718939428396059</v>
      </c>
      <c r="BT211" s="75">
        <f t="shared" si="257"/>
        <v>-2</v>
      </c>
      <c r="BU211" s="5" t="str">
        <f>IF(G217&gt;=36, IF(AND(NOT(ISBLANK(CM:CM)), NOT(ISBLANK(BD:BD))), (CM:CM-BD:BD)/2, ""), "UF")</f>
        <v/>
      </c>
      <c r="BV211" s="5">
        <f t="shared" si="227"/>
        <v>-2.9982599622246209</v>
      </c>
      <c r="BW211" s="69">
        <f t="shared" si="228"/>
        <v>2</v>
      </c>
      <c r="BX211" s="2">
        <v>90</v>
      </c>
      <c r="BY211" s="5">
        <v>-1.075496862327856</v>
      </c>
      <c r="BZ211" s="74">
        <f t="shared" si="258"/>
        <v>2.297983277148401</v>
      </c>
      <c r="CA211" s="74">
        <f t="shared" si="259"/>
        <v>2</v>
      </c>
      <c r="CB211" s="5" t="str">
        <f t="shared" si="229"/>
        <v/>
      </c>
      <c r="CC211" s="5">
        <f t="shared" si="230"/>
        <v>-1.075496862327856</v>
      </c>
      <c r="CD211" s="2">
        <f t="shared" si="231"/>
        <v>1.3248212129054551</v>
      </c>
      <c r="CE211" s="69">
        <f t="shared" si="232"/>
        <v>7</v>
      </c>
      <c r="CF211" s="5">
        <v>10500</v>
      </c>
      <c r="CG211" s="5">
        <v>-2.7526214730512719</v>
      </c>
      <c r="CH211" s="72">
        <f t="shared" si="260"/>
        <v>0.62085866642498511</v>
      </c>
      <c r="CI211" s="72">
        <f t="shared" si="261"/>
        <v>1</v>
      </c>
      <c r="CJ211" s="5" t="str">
        <f t="shared" si="233"/>
        <v/>
      </c>
      <c r="CK211" s="5">
        <f t="shared" si="234"/>
        <v>-2.7526214730512719</v>
      </c>
      <c r="CL211" s="69">
        <f t="shared" si="235"/>
        <v>4</v>
      </c>
      <c r="CN211" s="70" t="str">
        <f t="shared" si="236"/>
        <v/>
      </c>
      <c r="CO211" s="5" t="str">
        <f t="shared" si="237"/>
        <v>UF</v>
      </c>
      <c r="CP211" s="5" t="str">
        <f>IF(G211&lt;48,"UF", IF(NOT(ISBLANK(CM:CM)), CM:CM, IF(BW:BW=1, BV:BV+Sheet2!B137, IF(Sheet1!BW:BW=2, Sheet1!BV:BV+Sheet2!B138, IF(Sheet1!BW:BW=7, Sheet1!BV:BV+Sheet2!B139,"")))))</f>
        <v>UF</v>
      </c>
      <c r="CQ211" s="69" t="str">
        <f t="shared" si="262"/>
        <v/>
      </c>
      <c r="CR211" s="5" t="s">
        <v>12</v>
      </c>
      <c r="CT211" s="5" t="str">
        <f t="shared" si="238"/>
        <v/>
      </c>
      <c r="CU211" s="80" t="str">
        <f t="shared" si="239"/>
        <v>UF</v>
      </c>
      <c r="CV211" s="80" t="str">
        <f t="shared" si="240"/>
        <v>UF</v>
      </c>
      <c r="CW211" s="20" t="str">
        <f>IF(G211&lt;48,"UF", IF(NOT(ISBLANK(CS211)), CS211, IF(CE211=5, CC211+Sheet2!B126, IF(CE211=6, CC211+Sheet2!B127, IF(CE211=7, CC211+Sheet2!B128,"")))))</f>
        <v>UF</v>
      </c>
      <c r="CX211" s="68" t="str">
        <f t="shared" si="263"/>
        <v/>
      </c>
      <c r="CY211" s="5" t="s">
        <v>12</v>
      </c>
      <c r="DA211" s="5" t="str">
        <f t="shared" si="241"/>
        <v>UF</v>
      </c>
      <c r="DB211" s="73" t="str">
        <f t="shared" si="242"/>
        <v>UF</v>
      </c>
      <c r="DC211" s="73" t="str">
        <f t="shared" si="243"/>
        <v>UF</v>
      </c>
      <c r="DD211" s="5" t="str">
        <f>IF(G211&lt;48,"UF", IF(NOT(ISBLANK(CZ:CZ)), CZ:CZ, IF(CL:CL=3, CK:CK+Sheet2!B131, IF(CL:CL=4, CK:CK+Sheet2!B132, IF(CL:CL=7, CK:CK+Sheet2!B133,"")))))</f>
        <v>UF</v>
      </c>
      <c r="DE211" s="69" t="str">
        <f t="shared" si="202"/>
        <v/>
      </c>
      <c r="DF211" s="2">
        <v>2</v>
      </c>
      <c r="DG211" s="2">
        <v>33</v>
      </c>
      <c r="DH211" s="2">
        <v>1</v>
      </c>
      <c r="DI211" s="2">
        <v>2</v>
      </c>
      <c r="DJ211" s="2">
        <v>2</v>
      </c>
      <c r="DK211" s="2">
        <v>105</v>
      </c>
      <c r="DL211" s="2">
        <v>65</v>
      </c>
      <c r="DM211" s="2">
        <v>100</v>
      </c>
      <c r="DN211" s="2">
        <v>60</v>
      </c>
      <c r="DO211" s="2" t="s">
        <v>12</v>
      </c>
      <c r="DP211" s="2" t="s">
        <v>12</v>
      </c>
      <c r="DQ211" s="2">
        <v>2</v>
      </c>
      <c r="DR211" s="2">
        <v>38</v>
      </c>
      <c r="DS211" s="2">
        <v>2</v>
      </c>
      <c r="DT211" s="2">
        <v>83</v>
      </c>
      <c r="DU211" s="2">
        <v>80</v>
      </c>
      <c r="DV211" s="2">
        <v>3</v>
      </c>
      <c r="DW211" s="2">
        <v>2</v>
      </c>
      <c r="DX211" s="2">
        <v>2</v>
      </c>
      <c r="DY211" s="2">
        <v>2</v>
      </c>
      <c r="DZ211" s="2">
        <v>32.5</v>
      </c>
      <c r="EA211" s="2">
        <v>33</v>
      </c>
      <c r="EB211" s="2">
        <v>44</v>
      </c>
      <c r="EC211" s="2">
        <v>1</v>
      </c>
      <c r="ED211" s="2">
        <v>1</v>
      </c>
    </row>
    <row r="212" spans="2:134" x14ac:dyDescent="0.25">
      <c r="C212" s="8" t="s">
        <v>362</v>
      </c>
      <c r="D212" s="2">
        <v>2501026373</v>
      </c>
      <c r="E212" s="5" t="s">
        <v>527</v>
      </c>
      <c r="F212" s="2">
        <v>1</v>
      </c>
      <c r="G212" s="2">
        <v>46</v>
      </c>
      <c r="H212" s="2">
        <v>-3.5392506925117568</v>
      </c>
      <c r="I212" s="2">
        <v>50</v>
      </c>
      <c r="J212" s="2">
        <v>0.45756143734440202</v>
      </c>
      <c r="K212" s="5">
        <v>2400</v>
      </c>
      <c r="L212" s="2">
        <v>-1.986002992181128</v>
      </c>
      <c r="M212" s="2">
        <v>0.33529999999999999</v>
      </c>
      <c r="N212" s="2">
        <f t="shared" si="203"/>
        <v>1.1343253462558784</v>
      </c>
      <c r="O212" s="2">
        <f t="shared" si="204"/>
        <v>0.33529999999999999</v>
      </c>
      <c r="P212" s="2">
        <v>62</v>
      </c>
      <c r="Q212" s="2">
        <v>-1.65</v>
      </c>
      <c r="R212" s="5">
        <f t="shared" si="205"/>
        <v>-0.61878071867220097</v>
      </c>
      <c r="S212" s="5">
        <f t="shared" si="206"/>
        <v>-1.65</v>
      </c>
      <c r="T212" s="1">
        <v>6700</v>
      </c>
      <c r="U212" s="2">
        <v>-0.71</v>
      </c>
      <c r="V212" s="2">
        <f t="shared" si="207"/>
        <v>0.31800149609056394</v>
      </c>
      <c r="W212" s="2">
        <f t="shared" si="208"/>
        <v>-0.71</v>
      </c>
      <c r="X212" s="2">
        <v>-1.2706</v>
      </c>
      <c r="Y212" s="76">
        <f t="shared" si="244"/>
        <v>2.2686506925117569</v>
      </c>
      <c r="Z212" s="76">
        <f t="shared" si="245"/>
        <v>2</v>
      </c>
      <c r="AA212" s="2">
        <f t="shared" si="209"/>
        <v>0.43484999999999996</v>
      </c>
      <c r="AB212" s="2">
        <f t="shared" si="210"/>
        <v>-1.2706</v>
      </c>
      <c r="AC212" s="2">
        <v>72</v>
      </c>
      <c r="AD212" s="2">
        <v>-0.78</v>
      </c>
      <c r="AE212" s="79">
        <f t="shared" si="246"/>
        <v>-1.2375614373444019</v>
      </c>
      <c r="AF212" s="79">
        <f t="shared" si="247"/>
        <v>-2</v>
      </c>
      <c r="AG212" s="2">
        <f t="shared" si="200"/>
        <v>1.4999999999999902E-2</v>
      </c>
      <c r="AH212" s="2">
        <f t="shared" si="211"/>
        <v>-0.78</v>
      </c>
      <c r="AI212" s="2">
        <v>7600</v>
      </c>
      <c r="AJ212" s="2">
        <v>-1.35</v>
      </c>
      <c r="AK212" s="76">
        <f t="shared" si="248"/>
        <v>0.63600299218112788</v>
      </c>
      <c r="AL212" s="76">
        <f t="shared" si="249"/>
        <v>1</v>
      </c>
      <c r="AM212" s="2">
        <f t="shared" si="212"/>
        <v>-0.41500000000000004</v>
      </c>
      <c r="AN212" s="2">
        <f t="shared" si="213"/>
        <v>-1.35</v>
      </c>
      <c r="AO212" s="2">
        <v>-0.78029999999999999</v>
      </c>
      <c r="AP212" s="2">
        <f t="shared" si="214"/>
        <v>-2.2514110845852531E-2</v>
      </c>
      <c r="AQ212" s="2">
        <f t="shared" si="215"/>
        <v>-0.78029999999999999</v>
      </c>
      <c r="AR212" s="2">
        <v>76</v>
      </c>
      <c r="AS212" s="2">
        <v>-1.62</v>
      </c>
      <c r="AT212" s="2">
        <f t="shared" si="216"/>
        <v>-0.5248981921347935</v>
      </c>
      <c r="AU212" s="2">
        <f t="shared" si="217"/>
        <v>-1.62</v>
      </c>
      <c r="AV212" s="2">
        <v>8500</v>
      </c>
      <c r="AW212" s="2">
        <v>-1.54</v>
      </c>
      <c r="AX212" s="2">
        <f t="shared" si="218"/>
        <v>-0.75339276939604738</v>
      </c>
      <c r="AY212" s="2">
        <f t="shared" si="219"/>
        <v>-1.54</v>
      </c>
      <c r="AZ212" s="2">
        <v>-1.315628221691705</v>
      </c>
      <c r="BA212" s="78">
        <f t="shared" si="250"/>
        <v>-4.5028221691705062E-2</v>
      </c>
      <c r="BB212" s="78">
        <f t="shared" si="251"/>
        <v>-1</v>
      </c>
      <c r="BC212" s="2" t="str">
        <f t="shared" si="220"/>
        <v/>
      </c>
      <c r="BD212" s="2">
        <f t="shared" si="221"/>
        <v>-1.315628221691705</v>
      </c>
      <c r="BE212" s="67">
        <f t="shared" si="252"/>
        <v>7</v>
      </c>
      <c r="BF212" s="2">
        <v>79</v>
      </c>
      <c r="BG212" s="2">
        <v>-1.829796384269587</v>
      </c>
      <c r="BH212" s="2" t="str">
        <f t="shared" si="222"/>
        <v/>
      </c>
      <c r="BI212" s="2">
        <f t="shared" si="223"/>
        <v>-1.829796384269587</v>
      </c>
      <c r="BJ212" s="67">
        <f t="shared" si="224"/>
        <v>7</v>
      </c>
      <c r="BK212" s="2">
        <v>9200</v>
      </c>
      <c r="BL212" s="2">
        <v>-2.8567855387920948</v>
      </c>
      <c r="BM212" s="77">
        <f t="shared" si="253"/>
        <v>-1.5067855387920948</v>
      </c>
      <c r="BN212" s="77">
        <f t="shared" si="254"/>
        <v>-2</v>
      </c>
      <c r="BO212" s="2" t="str">
        <f t="shared" si="225"/>
        <v/>
      </c>
      <c r="BP212" s="2">
        <f t="shared" si="226"/>
        <v>-2.8567855387920948</v>
      </c>
      <c r="BQ212" s="67">
        <f t="shared" si="255"/>
        <v>4</v>
      </c>
      <c r="BS212" s="75" t="e">
        <f t="shared" si="256"/>
        <v>#REF!</v>
      </c>
      <c r="BT212" s="75" t="e">
        <f t="shared" si="257"/>
        <v>#REF!</v>
      </c>
      <c r="BU212" s="5" t="e">
        <f>IF(#REF!&gt;=36, IF(AND(NOT(ISBLANK(CM:CM)), NOT(ISBLANK(BD:BD))), (CM:CM-BD:BD)/2, ""), "UF")</f>
        <v>#REF!</v>
      </c>
      <c r="BV212" s="5" t="e">
        <f t="shared" si="227"/>
        <v>#REF!</v>
      </c>
      <c r="BW212" s="69" t="e">
        <f t="shared" si="228"/>
        <v>#REF!</v>
      </c>
      <c r="BX212" s="2" t="s">
        <v>12</v>
      </c>
      <c r="BZ212" s="74" t="e">
        <f t="shared" si="258"/>
        <v>#VALUE!</v>
      </c>
      <c r="CA212" s="74" t="e">
        <f t="shared" si="259"/>
        <v>#VALUE!</v>
      </c>
      <c r="CB212" s="5" t="str">
        <f t="shared" si="229"/>
        <v/>
      </c>
      <c r="CC212" s="5" t="e">
        <f t="shared" si="230"/>
        <v>#VALUE!</v>
      </c>
      <c r="CD212" s="2" t="e">
        <f t="shared" si="231"/>
        <v>#VALUE!</v>
      </c>
      <c r="CE212" s="69" t="e">
        <f t="shared" si="232"/>
        <v>#VALUE!</v>
      </c>
      <c r="CF212" s="5" t="s">
        <v>12</v>
      </c>
      <c r="CH212" s="72" t="e">
        <f t="shared" si="260"/>
        <v>#VALUE!</v>
      </c>
      <c r="CI212" s="72" t="e">
        <f t="shared" si="261"/>
        <v>#VALUE!</v>
      </c>
      <c r="CJ212" s="5" t="str">
        <f t="shared" si="233"/>
        <v/>
      </c>
      <c r="CK212" s="5" t="e">
        <f t="shared" si="234"/>
        <v>#VALUE!</v>
      </c>
      <c r="CL212" s="69" t="e">
        <f t="shared" si="235"/>
        <v>#VALUE!</v>
      </c>
      <c r="CN212" s="70" t="str">
        <f t="shared" si="236"/>
        <v/>
      </c>
      <c r="CO212" s="5" t="str">
        <f t="shared" si="237"/>
        <v>UF</v>
      </c>
      <c r="CP212" s="5" t="str">
        <f>IF(G212&lt;48,"UF", IF(NOT(ISBLANK(CM:CM)), CM:CM, IF(BW:BW=1, BV:BV+Sheet2!B227, IF(Sheet1!BW:BW=2, Sheet1!BV:BV+Sheet2!B228, IF(Sheet1!BW:BW=7, Sheet1!BV:BV+Sheet2!B229,"")))))</f>
        <v>UF</v>
      </c>
      <c r="CQ212" s="69" t="str">
        <f t="shared" si="262"/>
        <v/>
      </c>
      <c r="CR212" s="5" t="s">
        <v>12</v>
      </c>
      <c r="CT212" s="5" t="str">
        <f t="shared" si="238"/>
        <v/>
      </c>
      <c r="CU212" s="80" t="str">
        <f t="shared" si="239"/>
        <v>UF</v>
      </c>
      <c r="CV212" s="80" t="str">
        <f t="shared" si="240"/>
        <v>UF</v>
      </c>
      <c r="CW212" s="20" t="str">
        <f>IF(G212&lt;48,"UF", IF(NOT(ISBLANK(CS212)), CS212, IF(CE212=5, CC212+Sheet2!B216, IF(CE212=6, CC212+Sheet2!B217, IF(CE212=7, CC212+Sheet2!B218,"")))))</f>
        <v>UF</v>
      </c>
      <c r="CX212" s="68" t="str">
        <f t="shared" si="263"/>
        <v/>
      </c>
      <c r="CY212" s="5" t="s">
        <v>12</v>
      </c>
      <c r="DA212" s="5" t="str">
        <f t="shared" si="241"/>
        <v>UF</v>
      </c>
      <c r="DB212" s="73" t="str">
        <f t="shared" si="242"/>
        <v>UF</v>
      </c>
      <c r="DC212" s="73" t="str">
        <f t="shared" si="243"/>
        <v>UF</v>
      </c>
      <c r="DD212" s="5" t="str">
        <f>IF(G212&lt;48,"UF", IF(NOT(ISBLANK(CZ:CZ)), CZ:CZ, IF(CL:CL=3, CK:CK+Sheet2!B221, IF(CL:CL=4, CK:CK+Sheet2!B222, IF(CL:CL=7, CK:CK+Sheet2!B223,"")))))</f>
        <v>UF</v>
      </c>
      <c r="DE212" s="69" t="str">
        <f t="shared" si="202"/>
        <v/>
      </c>
      <c r="DF212" s="2">
        <v>2</v>
      </c>
      <c r="DG212" s="2">
        <v>27</v>
      </c>
      <c r="DH212" s="2">
        <v>2</v>
      </c>
      <c r="DI212" s="2">
        <v>2</v>
      </c>
      <c r="DJ212" s="2">
        <v>2</v>
      </c>
      <c r="DK212" s="2">
        <v>90</v>
      </c>
      <c r="DL212" s="2">
        <v>50</v>
      </c>
      <c r="DM212" s="2">
        <v>90</v>
      </c>
      <c r="DN212" s="2">
        <v>50</v>
      </c>
      <c r="DO212" s="2">
        <v>95</v>
      </c>
      <c r="DP212" s="2">
        <v>55</v>
      </c>
      <c r="DQ212" s="2">
        <v>2</v>
      </c>
      <c r="DR212" s="2">
        <v>38</v>
      </c>
      <c r="DS212" s="2">
        <v>1</v>
      </c>
      <c r="DT212" s="2">
        <v>105</v>
      </c>
      <c r="DU212" s="2">
        <v>100</v>
      </c>
      <c r="DV212" s="2">
        <v>2</v>
      </c>
      <c r="DW212" s="2">
        <v>3</v>
      </c>
      <c r="DX212" s="2">
        <v>2</v>
      </c>
      <c r="DY212" s="2">
        <v>2</v>
      </c>
      <c r="DZ212" s="2">
        <v>33</v>
      </c>
      <c r="EA212" s="2" t="s">
        <v>12</v>
      </c>
      <c r="EB212" s="2">
        <v>45</v>
      </c>
      <c r="EC212" s="2" t="s">
        <v>12</v>
      </c>
      <c r="ED212" s="2">
        <v>1</v>
      </c>
    </row>
    <row r="213" spans="2:134" x14ac:dyDescent="0.25">
      <c r="B213" s="2"/>
      <c r="C213" t="s">
        <v>424</v>
      </c>
      <c r="D213" s="3">
        <v>2501026381</v>
      </c>
      <c r="E213" s="3">
        <v>7</v>
      </c>
      <c r="F213" s="2">
        <v>2</v>
      </c>
      <c r="G213" s="2">
        <v>46</v>
      </c>
      <c r="H213">
        <v>-0.22702231809997039</v>
      </c>
      <c r="I213" s="2">
        <v>50</v>
      </c>
      <c r="J213">
        <v>6.1168777667580831E-2</v>
      </c>
      <c r="K213" s="2">
        <v>3280</v>
      </c>
      <c r="L213" s="2">
        <v>-0.13677480954860369</v>
      </c>
      <c r="M213" s="2">
        <v>-0.78951634450276409</v>
      </c>
      <c r="N213" s="2">
        <f t="shared" si="203"/>
        <v>-9.064130384037751E-2</v>
      </c>
      <c r="O213" s="2">
        <f t="shared" si="204"/>
        <v>-0.78951634450276409</v>
      </c>
      <c r="P213" s="2">
        <v>67</v>
      </c>
      <c r="Q213" s="2">
        <v>-0.63504199143723494</v>
      </c>
      <c r="R213" s="5">
        <f t="shared" si="205"/>
        <v>-0.93062328592047694</v>
      </c>
      <c r="S213" s="5">
        <f t="shared" si="206"/>
        <v>-0.63504199143723494</v>
      </c>
      <c r="T213" s="2">
        <v>7300</v>
      </c>
      <c r="U213" s="2">
        <v>-0.95933344433490486</v>
      </c>
      <c r="V213" s="2">
        <f t="shared" si="207"/>
        <v>-0.61403614906899062</v>
      </c>
      <c r="W213" s="2">
        <f t="shared" si="208"/>
        <v>-0.95933344433490486</v>
      </c>
      <c r="X213" s="2">
        <v>-0.40830492578072541</v>
      </c>
      <c r="Y213" s="76">
        <f t="shared" si="244"/>
        <v>-0.18128260768075502</v>
      </c>
      <c r="Z213" s="76">
        <f t="shared" si="245"/>
        <v>-1</v>
      </c>
      <c r="AA213" s="2">
        <f t="shared" si="209"/>
        <v>-8.7352982900789078E-2</v>
      </c>
      <c r="AB213" s="2">
        <f t="shared" si="210"/>
        <v>-0.40830492578072541</v>
      </c>
      <c r="AC213" s="2">
        <v>72</v>
      </c>
      <c r="AD213" s="2">
        <v>-1.800077794173373</v>
      </c>
      <c r="AE213" s="79">
        <f t="shared" si="246"/>
        <v>-1.8612465718409539</v>
      </c>
      <c r="AF213" s="79">
        <f t="shared" si="247"/>
        <v>-2</v>
      </c>
      <c r="AG213" s="2">
        <f t="shared" si="200"/>
        <v>-0.54855017556000607</v>
      </c>
      <c r="AH213" s="2">
        <f t="shared" si="211"/>
        <v>-1.800077794173373</v>
      </c>
      <c r="AI213" s="2">
        <v>8400</v>
      </c>
      <c r="AJ213" s="2">
        <v>-1.3648471076865849</v>
      </c>
      <c r="AK213" s="76">
        <f t="shared" si="248"/>
        <v>-1.2280722981379812</v>
      </c>
      <c r="AL213" s="76">
        <f t="shared" si="249"/>
        <v>-2</v>
      </c>
      <c r="AM213" s="2">
        <f t="shared" si="212"/>
        <v>-0.33478281364820661</v>
      </c>
      <c r="AN213" s="2">
        <f t="shared" si="213"/>
        <v>-1.3648471076865849</v>
      </c>
      <c r="AO213" s="2">
        <v>-0.8097479572388131</v>
      </c>
      <c r="AP213" s="2">
        <f t="shared" si="214"/>
        <v>-1.1026538432041786</v>
      </c>
      <c r="AQ213" s="2">
        <f t="shared" si="215"/>
        <v>-0.8097479572388131</v>
      </c>
      <c r="AR213" s="2">
        <v>78</v>
      </c>
      <c r="AS213" s="2">
        <v>-1.7321423425572471</v>
      </c>
      <c r="AT213" s="2">
        <f t="shared" si="216"/>
        <v>0.49231516116246332</v>
      </c>
      <c r="AU213" s="2">
        <f t="shared" si="217"/>
        <v>-1.7321423425572471</v>
      </c>
      <c r="AV213" s="2">
        <v>9200</v>
      </c>
      <c r="AW213" s="2">
        <v>-1.6288990716313181</v>
      </c>
      <c r="AX213" s="2">
        <f t="shared" si="218"/>
        <v>-0.56606053578154103</v>
      </c>
      <c r="AY213" s="2">
        <f t="shared" si="219"/>
        <v>-1.6288990716313181</v>
      </c>
      <c r="AZ213" s="2">
        <v>-2.6136126121890828</v>
      </c>
      <c r="BA213" s="78">
        <f t="shared" si="250"/>
        <v>-2.2053076864083572</v>
      </c>
      <c r="BB213" s="78">
        <f t="shared" si="251"/>
        <v>-2</v>
      </c>
      <c r="BC213" s="2">
        <f t="shared" si="220"/>
        <v>-0.5772768178974973</v>
      </c>
      <c r="BD213" s="2">
        <f t="shared" si="221"/>
        <v>-2.6136126121890828</v>
      </c>
      <c r="BE213" s="67">
        <f t="shared" si="252"/>
        <v>2</v>
      </c>
      <c r="BF213" s="2">
        <v>84</v>
      </c>
      <c r="BG213" s="2">
        <v>-0.81544747184844635</v>
      </c>
      <c r="BH213" s="2">
        <f t="shared" si="222"/>
        <v>0.46641797649648065</v>
      </c>
      <c r="BI213" s="2">
        <f t="shared" si="223"/>
        <v>-0.81544747184844635</v>
      </c>
      <c r="BJ213" s="67">
        <f t="shared" si="224"/>
        <v>7</v>
      </c>
      <c r="BK213" s="2">
        <v>9800</v>
      </c>
      <c r="BL213" s="2">
        <v>-2.496968179249667</v>
      </c>
      <c r="BM213" s="77">
        <f t="shared" si="253"/>
        <v>-1.1321210715630821</v>
      </c>
      <c r="BN213" s="77">
        <f t="shared" si="254"/>
        <v>-2</v>
      </c>
      <c r="BO213" s="2">
        <f t="shared" si="225"/>
        <v>-3.2838974703600941E-2</v>
      </c>
      <c r="BP213" s="2">
        <f t="shared" si="226"/>
        <v>-2.496968179249667</v>
      </c>
      <c r="BQ213" s="67">
        <f t="shared" si="255"/>
        <v>4</v>
      </c>
      <c r="BR213" s="2">
        <v>-2.5415784109313049</v>
      </c>
      <c r="BS213" s="75">
        <f t="shared" si="256"/>
        <v>7.203420125777793E-2</v>
      </c>
      <c r="BT213" s="75">
        <f t="shared" si="257"/>
        <v>1</v>
      </c>
      <c r="BU213" s="5" t="str">
        <f t="shared" ref="BU213:BU218" si="264">IF(G220&gt;=36, IF(AND(NOT(ISBLANK(CM:CM)), NOT(ISBLANK(BD:BD))), (CM:CM-BD:BD)/2, ""), "UF")</f>
        <v/>
      </c>
      <c r="BV213" s="5">
        <f t="shared" si="227"/>
        <v>-2.5415784109313049</v>
      </c>
      <c r="BW213" s="69">
        <f t="shared" si="228"/>
        <v>2</v>
      </c>
      <c r="BX213" s="2">
        <v>94</v>
      </c>
      <c r="BY213" s="2">
        <v>-0.33288841306780509</v>
      </c>
      <c r="BZ213" s="74">
        <f t="shared" si="258"/>
        <v>2.164079766181862</v>
      </c>
      <c r="CA213" s="74">
        <f t="shared" si="259"/>
        <v>2</v>
      </c>
      <c r="CB213" s="5" t="str">
        <f t="shared" si="229"/>
        <v/>
      </c>
      <c r="CC213" s="5">
        <f t="shared" si="230"/>
        <v>-0.33288841306780509</v>
      </c>
      <c r="CD213" s="2">
        <f t="shared" si="231"/>
        <v>0.48255905878064126</v>
      </c>
      <c r="CE213" s="69">
        <f t="shared" si="232"/>
        <v>7</v>
      </c>
      <c r="CF213" s="5">
        <v>12000</v>
      </c>
      <c r="CG213" s="2">
        <v>-1.7274159957421209</v>
      </c>
      <c r="CH213" s="72">
        <f t="shared" si="260"/>
        <v>0.76955218350754606</v>
      </c>
      <c r="CI213" s="72">
        <f t="shared" si="261"/>
        <v>2</v>
      </c>
      <c r="CJ213" s="5" t="str">
        <f t="shared" si="233"/>
        <v/>
      </c>
      <c r="CK213" s="5">
        <f t="shared" si="234"/>
        <v>-1.7274159957421209</v>
      </c>
      <c r="CL213" s="69">
        <f t="shared" si="235"/>
        <v>7</v>
      </c>
      <c r="CM213" s="2"/>
      <c r="CN213" s="70" t="str">
        <f t="shared" si="236"/>
        <v/>
      </c>
      <c r="CO213" s="5" t="str">
        <f t="shared" si="237"/>
        <v>UF</v>
      </c>
      <c r="CP213" s="5" t="str">
        <f>IF(G213&lt;48,"UF", IF(NOT(ISBLANK(CM:CM)), CM:CM, IF(BW:BW=1, BV:BV+Sheet2!B637, IF(Sheet1!BW:BW=2, Sheet1!BV:BV+Sheet2!B638, IF(Sheet1!BW:BW=7, Sheet1!BV:BV+Sheet2!B639,"")))))</f>
        <v>UF</v>
      </c>
      <c r="CQ213" s="69" t="str">
        <f t="shared" si="262"/>
        <v/>
      </c>
      <c r="CR213" s="5" t="s">
        <v>12</v>
      </c>
      <c r="CS213" s="2"/>
      <c r="CT213" s="5" t="str">
        <f t="shared" si="238"/>
        <v/>
      </c>
      <c r="CU213" s="80" t="str">
        <f t="shared" si="239"/>
        <v>UF</v>
      </c>
      <c r="CV213" s="80" t="str">
        <f t="shared" si="240"/>
        <v>UF</v>
      </c>
      <c r="CW213" s="20" t="str">
        <f>IF(G213&lt;48,"UF", IF(NOT(ISBLANK(CS213)), CS213, IF(CE213=5, CC213+Sheet2!B626, IF(CE213=6, CC213+Sheet2!B627, IF(CE213=7, CC213+Sheet2!B628,"")))))</f>
        <v>UF</v>
      </c>
      <c r="CX213" s="68" t="str">
        <f t="shared" si="263"/>
        <v/>
      </c>
      <c r="CY213" s="5" t="s">
        <v>12</v>
      </c>
      <c r="DA213" s="5" t="str">
        <f t="shared" si="241"/>
        <v>UF</v>
      </c>
      <c r="DB213" s="73" t="str">
        <f t="shared" si="242"/>
        <v>UF</v>
      </c>
      <c r="DC213" s="73" t="str">
        <f t="shared" si="243"/>
        <v>UF</v>
      </c>
      <c r="DD213" s="5" t="str">
        <f>IF(G213&lt;48,"UF", IF(NOT(ISBLANK(CZ:CZ)), CZ:CZ, IF(CL:CL=3, CK:CK+Sheet2!B631, IF(CL:CL=4, CK:CK+Sheet2!B632, IF(CL:CL=7, CK:CK+Sheet2!B633,"")))))</f>
        <v>UF</v>
      </c>
      <c r="DE213" s="69" t="str">
        <f t="shared" si="202"/>
        <v/>
      </c>
      <c r="DF213" s="2">
        <v>1</v>
      </c>
      <c r="DG213" s="2">
        <v>31</v>
      </c>
      <c r="DH213" s="2">
        <v>2</v>
      </c>
      <c r="DI213" s="2">
        <v>2</v>
      </c>
      <c r="DJ213" s="2">
        <v>2</v>
      </c>
      <c r="DK213" s="2">
        <v>80</v>
      </c>
      <c r="DL213" s="2">
        <v>50</v>
      </c>
      <c r="DM213" s="2">
        <v>100</v>
      </c>
      <c r="DN213" s="2">
        <v>50</v>
      </c>
      <c r="DO213" s="2">
        <v>100</v>
      </c>
      <c r="DP213" s="2">
        <v>60</v>
      </c>
      <c r="DQ213" s="2">
        <v>1</v>
      </c>
      <c r="DR213" s="2">
        <v>38</v>
      </c>
      <c r="DS213" s="2">
        <v>2</v>
      </c>
      <c r="DT213" s="2">
        <v>80</v>
      </c>
      <c r="DU213" s="2">
        <v>74</v>
      </c>
      <c r="DV213" s="2">
        <v>2</v>
      </c>
      <c r="DW213" s="2">
        <v>2</v>
      </c>
      <c r="DX213" s="2">
        <v>2</v>
      </c>
      <c r="DY213" s="2">
        <v>3</v>
      </c>
      <c r="DZ213" s="2">
        <v>35</v>
      </c>
      <c r="EA213" s="2">
        <v>35.5</v>
      </c>
      <c r="EB213" s="2">
        <v>46.5</v>
      </c>
      <c r="EC213" s="2">
        <v>1</v>
      </c>
      <c r="ED213" s="2">
        <v>1</v>
      </c>
    </row>
    <row r="214" spans="2:134" x14ac:dyDescent="0.25">
      <c r="D214" s="2">
        <v>2501026586</v>
      </c>
      <c r="E214" s="5" t="s">
        <v>531</v>
      </c>
      <c r="F214" s="2">
        <v>2</v>
      </c>
      <c r="G214" s="2">
        <v>43</v>
      </c>
      <c r="H214" s="2">
        <v>-2.8855019028563742</v>
      </c>
      <c r="I214" s="2">
        <v>49</v>
      </c>
      <c r="J214" s="2">
        <v>-0.46706379753639199</v>
      </c>
      <c r="K214" s="5">
        <v>2470</v>
      </c>
      <c r="L214" s="2">
        <v>-1.973307230865353</v>
      </c>
      <c r="M214" s="2">
        <v>-0.81420000000000003</v>
      </c>
      <c r="N214" s="2">
        <f t="shared" si="203"/>
        <v>1.2754509514281871</v>
      </c>
      <c r="O214" s="2">
        <f t="shared" si="204"/>
        <v>-0.81420000000000003</v>
      </c>
      <c r="P214" s="2">
        <v>64.5</v>
      </c>
      <c r="Q214" s="2">
        <v>-1.47</v>
      </c>
      <c r="R214" s="5">
        <f t="shared" si="205"/>
        <v>-0.87146810123180396</v>
      </c>
      <c r="S214" s="5">
        <f t="shared" si="206"/>
        <v>-1.47</v>
      </c>
      <c r="T214" s="1">
        <v>6750</v>
      </c>
      <c r="U214" s="2">
        <v>-1.47</v>
      </c>
      <c r="V214" s="2">
        <f t="shared" si="207"/>
        <v>0.20665361543267646</v>
      </c>
      <c r="W214" s="2">
        <f t="shared" si="208"/>
        <v>-1.47</v>
      </c>
      <c r="X214" s="2">
        <v>-0.33460000000000001</v>
      </c>
      <c r="Y214" s="76">
        <f t="shared" si="244"/>
        <v>2.5509019028563742</v>
      </c>
      <c r="Z214" s="76">
        <f t="shared" si="245"/>
        <v>2</v>
      </c>
      <c r="AA214" s="2">
        <f t="shared" si="209"/>
        <v>0.4148</v>
      </c>
      <c r="AB214" s="2">
        <f t="shared" si="210"/>
        <v>-0.33460000000000001</v>
      </c>
      <c r="AC214" s="2">
        <v>70.5</v>
      </c>
      <c r="AD214" s="2">
        <v>-2.21</v>
      </c>
      <c r="AE214" s="79">
        <f t="shared" si="246"/>
        <v>-1.7429362024636079</v>
      </c>
      <c r="AF214" s="79">
        <f t="shared" si="247"/>
        <v>-2</v>
      </c>
      <c r="AG214" s="2">
        <f t="shared" si="200"/>
        <v>-0.72000000000000008</v>
      </c>
      <c r="AH214" s="2">
        <f t="shared" si="211"/>
        <v>-2.21</v>
      </c>
      <c r="AI214" s="2">
        <v>8130.0000000000009</v>
      </c>
      <c r="AJ214" s="2">
        <v>-1.56</v>
      </c>
      <c r="AK214" s="76">
        <f t="shared" si="248"/>
        <v>0.41330723086535293</v>
      </c>
      <c r="AL214" s="76">
        <f t="shared" si="249"/>
        <v>1</v>
      </c>
      <c r="AM214" s="2">
        <f t="shared" si="212"/>
        <v>-0.39499999999999991</v>
      </c>
      <c r="AN214" s="2">
        <f t="shared" si="213"/>
        <v>-1.56</v>
      </c>
      <c r="AO214" s="2">
        <v>-0.64039999999999997</v>
      </c>
      <c r="AP214" s="2">
        <f t="shared" si="214"/>
        <v>0.12243334165115183</v>
      </c>
      <c r="AQ214" s="2">
        <f t="shared" si="215"/>
        <v>-0.64039999999999997</v>
      </c>
      <c r="AR214" s="2">
        <v>74.400000000000006</v>
      </c>
      <c r="AS214" s="2">
        <v>-2.91</v>
      </c>
      <c r="AT214" s="2">
        <f t="shared" si="216"/>
        <v>-0.44202578908572909</v>
      </c>
      <c r="AU214" s="2">
        <f t="shared" si="217"/>
        <v>-2.91</v>
      </c>
      <c r="AV214" s="2">
        <v>8500</v>
      </c>
      <c r="AW214" s="2">
        <v>-2.2599999999999998</v>
      </c>
      <c r="AX214" s="2">
        <f t="shared" si="218"/>
        <v>-0.62630639097900787</v>
      </c>
      <c r="AY214" s="2">
        <f t="shared" si="219"/>
        <v>-2.2599999999999998</v>
      </c>
      <c r="AZ214" s="2">
        <v>-8.9733316697696339E-2</v>
      </c>
      <c r="BA214" s="78">
        <f t="shared" si="250"/>
        <v>0.24486668330230366</v>
      </c>
      <c r="BB214" s="78">
        <f t="shared" si="251"/>
        <v>1</v>
      </c>
      <c r="BC214" s="2" t="str">
        <f t="shared" si="220"/>
        <v/>
      </c>
      <c r="BD214" s="2">
        <f t="shared" si="221"/>
        <v>-8.9733316697696339E-2</v>
      </c>
      <c r="BE214" s="67">
        <f t="shared" si="252"/>
        <v>7</v>
      </c>
      <c r="BF214" s="2">
        <v>76</v>
      </c>
      <c r="BG214" s="2">
        <v>-3.0940515781714582</v>
      </c>
      <c r="BH214" s="2" t="str">
        <f t="shared" si="222"/>
        <v/>
      </c>
      <c r="BI214" s="2">
        <f t="shared" si="223"/>
        <v>-3.0940515781714582</v>
      </c>
      <c r="BJ214" s="67">
        <f t="shared" si="224"/>
        <v>5</v>
      </c>
      <c r="BK214" s="2">
        <v>9490</v>
      </c>
      <c r="BL214" s="2">
        <v>-2.8126127819580158</v>
      </c>
      <c r="BM214" s="77">
        <f t="shared" si="253"/>
        <v>-1.2526127819580157</v>
      </c>
      <c r="BN214" s="77">
        <f t="shared" si="254"/>
        <v>-2</v>
      </c>
      <c r="BO214" s="2" t="str">
        <f t="shared" si="225"/>
        <v/>
      </c>
      <c r="BP214" s="2">
        <f t="shared" si="226"/>
        <v>-2.8126127819580158</v>
      </c>
      <c r="BQ214" s="67">
        <f t="shared" si="255"/>
        <v>4</v>
      </c>
      <c r="BS214" s="75" t="e">
        <f t="shared" si="256"/>
        <v>#VALUE!</v>
      </c>
      <c r="BT214" s="75" t="e">
        <f t="shared" si="257"/>
        <v>#VALUE!</v>
      </c>
      <c r="BU214" s="5" t="str">
        <f t="shared" si="264"/>
        <v/>
      </c>
      <c r="BV214" s="5" t="e">
        <f t="shared" si="227"/>
        <v>#VALUE!</v>
      </c>
      <c r="BW214" s="69" t="e">
        <f t="shared" si="228"/>
        <v>#VALUE!</v>
      </c>
      <c r="BX214" s="2" t="s">
        <v>12</v>
      </c>
      <c r="BZ214" s="74" t="e">
        <f t="shared" si="258"/>
        <v>#VALUE!</v>
      </c>
      <c r="CA214" s="74" t="e">
        <f t="shared" si="259"/>
        <v>#VALUE!</v>
      </c>
      <c r="CB214" s="5" t="str">
        <f t="shared" si="229"/>
        <v/>
      </c>
      <c r="CC214" s="5" t="e">
        <f t="shared" si="230"/>
        <v>#VALUE!</v>
      </c>
      <c r="CD214" s="2" t="e">
        <f t="shared" si="231"/>
        <v>#VALUE!</v>
      </c>
      <c r="CE214" s="69" t="e">
        <f t="shared" si="232"/>
        <v>#VALUE!</v>
      </c>
      <c r="CF214" s="5" t="s">
        <v>12</v>
      </c>
      <c r="CH214" s="72" t="e">
        <f t="shared" si="260"/>
        <v>#VALUE!</v>
      </c>
      <c r="CI214" s="72" t="e">
        <f t="shared" si="261"/>
        <v>#VALUE!</v>
      </c>
      <c r="CJ214" s="5" t="str">
        <f t="shared" si="233"/>
        <v/>
      </c>
      <c r="CK214" s="5" t="e">
        <f t="shared" si="234"/>
        <v>#VALUE!</v>
      </c>
      <c r="CL214" s="69" t="e">
        <f t="shared" si="235"/>
        <v>#VALUE!</v>
      </c>
      <c r="CN214" s="70" t="str">
        <f t="shared" si="236"/>
        <v/>
      </c>
      <c r="CO214" s="5" t="str">
        <f t="shared" si="237"/>
        <v>UF</v>
      </c>
      <c r="CP214" s="5" t="str">
        <f>IF(G214&lt;48,"UF", IF(NOT(ISBLANK(CM:CM)), CM:CM, IF(BW:BW=1, BV:BV+Sheet2!B142, IF(Sheet1!BW:BW=2, Sheet1!BV:BV+Sheet2!B143, IF(Sheet1!BW:BW=7, Sheet1!BV:BV+Sheet2!B144,"")))))</f>
        <v>UF</v>
      </c>
      <c r="CQ214" s="69" t="str">
        <f t="shared" si="262"/>
        <v/>
      </c>
      <c r="CR214" s="5" t="s">
        <v>12</v>
      </c>
      <c r="CT214" s="5" t="str">
        <f t="shared" si="238"/>
        <v/>
      </c>
      <c r="CU214" s="80" t="str">
        <f t="shared" si="239"/>
        <v>UF</v>
      </c>
      <c r="CV214" s="80" t="str">
        <f t="shared" si="240"/>
        <v>UF</v>
      </c>
      <c r="CW214" s="20" t="str">
        <f>IF(G214&lt;48,"UF", IF(NOT(ISBLANK(CS214)), CS214, IF(CE214=5, CC214+Sheet2!B131, IF(CE214=6, CC214+Sheet2!B132, IF(CE214=7, CC214+Sheet2!B133,"")))))</f>
        <v>UF</v>
      </c>
      <c r="CX214" s="68" t="str">
        <f t="shared" si="263"/>
        <v/>
      </c>
      <c r="CY214" s="5" t="s">
        <v>12</v>
      </c>
      <c r="DA214" s="5" t="str">
        <f t="shared" si="241"/>
        <v>UF</v>
      </c>
      <c r="DB214" s="73" t="str">
        <f t="shared" si="242"/>
        <v>UF</v>
      </c>
      <c r="DC214" s="73" t="str">
        <f t="shared" si="243"/>
        <v>UF</v>
      </c>
      <c r="DD214" s="5" t="str">
        <f>IF(G214&lt;48,"UF", IF(NOT(ISBLANK(CZ:CZ)), CZ:CZ, IF(CL:CL=3, CK:CK+Sheet2!B136, IF(CL:CL=4, CK:CK+Sheet2!B137, IF(CL:CL=7, CK:CK+Sheet2!B138,"")))))</f>
        <v>UF</v>
      </c>
      <c r="DE214" s="69" t="str">
        <f t="shared" si="202"/>
        <v/>
      </c>
      <c r="DF214" s="2">
        <v>3</v>
      </c>
      <c r="DG214" s="2">
        <v>35</v>
      </c>
      <c r="DH214" s="2">
        <v>2</v>
      </c>
      <c r="DI214" s="2">
        <v>2</v>
      </c>
      <c r="DJ214" s="2">
        <v>2</v>
      </c>
      <c r="DK214" s="2">
        <v>113</v>
      </c>
      <c r="DL214" s="2">
        <v>63</v>
      </c>
      <c r="DM214" s="2">
        <v>110</v>
      </c>
      <c r="DN214" s="2">
        <v>60</v>
      </c>
      <c r="DO214" s="2">
        <v>116</v>
      </c>
      <c r="DP214" s="2">
        <v>70</v>
      </c>
      <c r="DQ214" s="2">
        <v>2</v>
      </c>
      <c r="DR214" s="2">
        <v>38</v>
      </c>
      <c r="DS214" s="2">
        <v>2</v>
      </c>
      <c r="DT214" s="2">
        <v>70</v>
      </c>
      <c r="DU214" s="2">
        <v>60</v>
      </c>
      <c r="DV214" s="2">
        <v>2</v>
      </c>
      <c r="DW214" s="2">
        <v>4</v>
      </c>
      <c r="DX214" s="2">
        <v>3</v>
      </c>
      <c r="DY214" s="2">
        <v>2</v>
      </c>
      <c r="DZ214" s="2">
        <v>34</v>
      </c>
      <c r="EA214" s="2">
        <v>34.5</v>
      </c>
      <c r="EB214" s="2">
        <v>34.700000000000003</v>
      </c>
      <c r="EC214" s="2">
        <v>1</v>
      </c>
      <c r="ED214" s="2">
        <v>1</v>
      </c>
    </row>
    <row r="215" spans="2:134" x14ac:dyDescent="0.25">
      <c r="C215" s="8" t="s">
        <v>346</v>
      </c>
      <c r="D215" s="2">
        <v>2501027051</v>
      </c>
      <c r="E215" s="5">
        <v>7</v>
      </c>
      <c r="F215" s="2">
        <v>1</v>
      </c>
      <c r="G215" s="2">
        <v>45</v>
      </c>
      <c r="H215" s="2">
        <v>-1.0489091352804221</v>
      </c>
      <c r="I215" s="2">
        <v>53</v>
      </c>
      <c r="J215" s="2">
        <v>2.0681285461890671</v>
      </c>
      <c r="K215" s="2">
        <v>3400</v>
      </c>
      <c r="L215" s="2">
        <v>0.36061993902816308</v>
      </c>
      <c r="M215" s="2">
        <v>0.78990000000000005</v>
      </c>
      <c r="N215" s="2">
        <f t="shared" si="203"/>
        <v>0.98055456764021098</v>
      </c>
      <c r="O215" s="2">
        <f t="shared" si="204"/>
        <v>0.78990000000000005</v>
      </c>
      <c r="P215" s="2">
        <v>68</v>
      </c>
      <c r="Q215" s="2">
        <v>0.99</v>
      </c>
      <c r="R215" s="5">
        <f t="shared" si="205"/>
        <v>-0.64906427309453352</v>
      </c>
      <c r="S215" s="5">
        <f t="shared" si="206"/>
        <v>0.99</v>
      </c>
      <c r="T215" s="2">
        <v>8400</v>
      </c>
      <c r="U215" s="2">
        <v>1.1399999999999999</v>
      </c>
      <c r="V215" s="2">
        <f t="shared" si="207"/>
        <v>0.36469003048591853</v>
      </c>
      <c r="W215" s="2">
        <f t="shared" si="208"/>
        <v>1.1399999999999999</v>
      </c>
      <c r="X215" s="2">
        <v>0.91220000000000001</v>
      </c>
      <c r="Y215" s="76">
        <f t="shared" si="244"/>
        <v>1.961109135280422</v>
      </c>
      <c r="Z215" s="76">
        <f t="shared" si="245"/>
        <v>2</v>
      </c>
      <c r="AA215" s="2">
        <f t="shared" si="209"/>
        <v>-0.40725</v>
      </c>
      <c r="AB215" s="2">
        <f t="shared" si="210"/>
        <v>0.91220000000000001</v>
      </c>
      <c r="AC215" s="2">
        <v>76</v>
      </c>
      <c r="AD215" s="2">
        <v>0.77</v>
      </c>
      <c r="AE215" s="79">
        <f t="shared" si="246"/>
        <v>-1.298128546189067</v>
      </c>
      <c r="AF215" s="79">
        <f t="shared" si="247"/>
        <v>-2</v>
      </c>
      <c r="AG215" s="2">
        <f t="shared" si="200"/>
        <v>-9.9999999999999978E-2</v>
      </c>
      <c r="AH215" s="2">
        <f t="shared" si="211"/>
        <v>0.77</v>
      </c>
      <c r="AI215" s="2">
        <v>10250</v>
      </c>
      <c r="AJ215" s="2">
        <v>1.0900000000000001</v>
      </c>
      <c r="AK215" s="76">
        <f t="shared" si="248"/>
        <v>0.72938006097183705</v>
      </c>
      <c r="AL215" s="76">
        <f t="shared" si="249"/>
        <v>2</v>
      </c>
      <c r="AM215" s="2">
        <f t="shared" si="212"/>
        <v>-0.27999999999999997</v>
      </c>
      <c r="AN215" s="2">
        <f t="shared" si="213"/>
        <v>1.0900000000000001</v>
      </c>
      <c r="AO215" s="2">
        <v>0.17549999999999999</v>
      </c>
      <c r="AP215" s="2">
        <f t="shared" si="214"/>
        <v>2.0780089481213626E-2</v>
      </c>
      <c r="AQ215" s="2">
        <f t="shared" si="215"/>
        <v>0.17549999999999999</v>
      </c>
      <c r="AR215" s="2">
        <v>83</v>
      </c>
      <c r="AS215" s="2">
        <v>0.79</v>
      </c>
      <c r="AT215" s="2">
        <f t="shared" si="216"/>
        <v>-0.15523406100756887</v>
      </c>
      <c r="AU215" s="2">
        <f t="shared" si="217"/>
        <v>0.79</v>
      </c>
      <c r="AV215" s="2">
        <v>11000</v>
      </c>
      <c r="AW215" s="2">
        <v>0.57999999999999996</v>
      </c>
      <c r="AX215" s="2">
        <f t="shared" si="218"/>
        <v>-6.9467356920850321E-2</v>
      </c>
      <c r="AY215" s="2">
        <f t="shared" si="219"/>
        <v>0.57999999999999996</v>
      </c>
      <c r="AZ215" s="2">
        <v>0.95376017896242726</v>
      </c>
      <c r="BA215" s="78">
        <f t="shared" si="250"/>
        <v>4.1560178962427252E-2</v>
      </c>
      <c r="BB215" s="78">
        <f t="shared" si="251"/>
        <v>1</v>
      </c>
      <c r="BC215" s="2">
        <f t="shared" si="220"/>
        <v>-0.16940643795706026</v>
      </c>
      <c r="BD215" s="2">
        <f t="shared" si="221"/>
        <v>0.95376017896242726</v>
      </c>
      <c r="BE215" s="67">
        <f t="shared" si="252"/>
        <v>7</v>
      </c>
      <c r="BF215" s="2">
        <v>87</v>
      </c>
      <c r="BG215" s="2">
        <v>0.45953187798486228</v>
      </c>
      <c r="BH215" s="2">
        <f t="shared" si="222"/>
        <v>0.13514682392068197</v>
      </c>
      <c r="BI215" s="2">
        <f t="shared" si="223"/>
        <v>0.45953187798486228</v>
      </c>
      <c r="BJ215" s="67">
        <f t="shared" si="224"/>
        <v>7</v>
      </c>
      <c r="BK215" s="2">
        <v>13500</v>
      </c>
      <c r="BL215" s="2">
        <v>0.95106528615829944</v>
      </c>
      <c r="BM215" s="77">
        <f t="shared" si="253"/>
        <v>-0.13893471384170064</v>
      </c>
      <c r="BN215" s="77">
        <f t="shared" si="254"/>
        <v>-1</v>
      </c>
      <c r="BO215" s="2">
        <f t="shared" si="225"/>
        <v>3.4224125254788871E-3</v>
      </c>
      <c r="BP215" s="2">
        <f t="shared" si="226"/>
        <v>0.95106528615829944</v>
      </c>
      <c r="BQ215" s="67">
        <f t="shared" si="255"/>
        <v>7</v>
      </c>
      <c r="BR215" s="5">
        <v>-0.33271931387118081</v>
      </c>
      <c r="BS215" s="75">
        <f t="shared" si="256"/>
        <v>-1.2864794928336081</v>
      </c>
      <c r="BT215" s="75">
        <f t="shared" si="257"/>
        <v>-2</v>
      </c>
      <c r="BU215" s="5" t="str">
        <f t="shared" si="264"/>
        <v/>
      </c>
      <c r="BV215" s="5">
        <f t="shared" si="227"/>
        <v>-0.33271931387118081</v>
      </c>
      <c r="BW215" s="69">
        <f t="shared" si="228"/>
        <v>7</v>
      </c>
      <c r="BX215" s="2">
        <v>99</v>
      </c>
      <c r="BY215" s="5">
        <v>1.1954404717620459</v>
      </c>
      <c r="BZ215" s="74">
        <f t="shared" si="258"/>
        <v>0.24437518560374649</v>
      </c>
      <c r="CA215" s="74">
        <f t="shared" si="259"/>
        <v>1</v>
      </c>
      <c r="CB215" s="5" t="str">
        <f t="shared" si="229"/>
        <v/>
      </c>
      <c r="CC215" s="5">
        <f t="shared" si="230"/>
        <v>1.1954404717620459</v>
      </c>
      <c r="CD215" s="2">
        <f t="shared" si="231"/>
        <v>0.73590859377718365</v>
      </c>
      <c r="CE215" s="69">
        <f t="shared" si="232"/>
        <v>7</v>
      </c>
      <c r="CF215" s="5">
        <v>15000</v>
      </c>
      <c r="CG215" s="5">
        <v>0.59026723757643662</v>
      </c>
      <c r="CH215" s="72">
        <f t="shared" si="260"/>
        <v>-0.36079804858186282</v>
      </c>
      <c r="CI215" s="72">
        <f t="shared" si="261"/>
        <v>-1</v>
      </c>
      <c r="CJ215" s="5" t="str">
        <f t="shared" si="233"/>
        <v/>
      </c>
      <c r="CK215" s="5">
        <f t="shared" si="234"/>
        <v>0.59026723757643662</v>
      </c>
      <c r="CL215" s="69">
        <f t="shared" si="235"/>
        <v>7</v>
      </c>
      <c r="CN215" s="70" t="str">
        <f t="shared" si="236"/>
        <v/>
      </c>
      <c r="CO215" s="5" t="str">
        <f t="shared" si="237"/>
        <v>UF</v>
      </c>
      <c r="CP215" s="5" t="str">
        <f>IF(G215&lt;48,"UF", IF(NOT(ISBLANK(CM:CM)), CM:CM, IF(BW:BW=1, BV:BV+Sheet2!B578, IF(Sheet1!BW:BW=2, Sheet1!BV:BV+Sheet2!B579, IF(Sheet1!BW:BW=7, Sheet1!BV:BV+Sheet2!B580,"")))))</f>
        <v>UF</v>
      </c>
      <c r="CQ215" s="69" t="str">
        <f t="shared" si="262"/>
        <v/>
      </c>
      <c r="CR215" s="5" t="s">
        <v>12</v>
      </c>
      <c r="CT215" s="5" t="str">
        <f t="shared" si="238"/>
        <v/>
      </c>
      <c r="CU215" s="80" t="str">
        <f t="shared" si="239"/>
        <v>UF</v>
      </c>
      <c r="CV215" s="80" t="str">
        <f t="shared" si="240"/>
        <v>UF</v>
      </c>
      <c r="CW215" s="20" t="str">
        <f>IF(G215&lt;48,"UF", IF(NOT(ISBLANK(CS215)), CS215, IF(CE215=5, CC215+Sheet2!B567, IF(CE215=6, CC215+Sheet2!B568, IF(CE215=7, CC215+Sheet2!B569,"")))))</f>
        <v>UF</v>
      </c>
      <c r="CX215" s="68" t="str">
        <f t="shared" si="263"/>
        <v/>
      </c>
      <c r="CY215" s="5" t="s">
        <v>12</v>
      </c>
      <c r="DA215" s="5" t="str">
        <f t="shared" si="241"/>
        <v>UF</v>
      </c>
      <c r="DB215" s="73" t="str">
        <f t="shared" si="242"/>
        <v>UF</v>
      </c>
      <c r="DC215" s="73" t="str">
        <f t="shared" si="243"/>
        <v>UF</v>
      </c>
      <c r="DD215" s="5" t="str">
        <f>IF(G215&lt;48,"UF", IF(NOT(ISBLANK(CZ:CZ)), CZ:CZ, IF(CL:CL=3, CK:CK+Sheet2!B572, IF(CL:CL=4, CK:CK+Sheet2!B573, IF(CL:CL=7, CK:CK+Sheet2!B574,"")))))</f>
        <v>UF</v>
      </c>
      <c r="DE215" s="69" t="str">
        <f t="shared" si="202"/>
        <v/>
      </c>
      <c r="DF215" s="2">
        <v>2</v>
      </c>
      <c r="DG215" s="2">
        <v>33</v>
      </c>
      <c r="DH215" s="2">
        <v>1</v>
      </c>
      <c r="DI215" s="2">
        <v>2</v>
      </c>
      <c r="DJ215" s="2">
        <v>2</v>
      </c>
      <c r="DK215" s="2">
        <v>115</v>
      </c>
      <c r="DL215" s="2">
        <v>70</v>
      </c>
      <c r="DM215" s="2">
        <v>100</v>
      </c>
      <c r="DN215" s="2">
        <v>60</v>
      </c>
      <c r="DO215" s="2">
        <v>100</v>
      </c>
      <c r="DP215" s="2">
        <v>60</v>
      </c>
      <c r="DQ215" s="2">
        <v>2</v>
      </c>
      <c r="DR215" s="2">
        <v>39</v>
      </c>
      <c r="DS215" s="2">
        <v>2</v>
      </c>
      <c r="DT215" s="2">
        <v>1</v>
      </c>
      <c r="DU215" s="2">
        <v>93</v>
      </c>
      <c r="DV215" s="2">
        <v>80</v>
      </c>
      <c r="DW215" s="2">
        <v>2</v>
      </c>
      <c r="DX215" s="2">
        <v>2</v>
      </c>
      <c r="DY215" s="2">
        <v>2</v>
      </c>
      <c r="DZ215" s="2">
        <v>35</v>
      </c>
      <c r="EA215" s="2">
        <v>35</v>
      </c>
      <c r="EB215" s="2">
        <v>46</v>
      </c>
      <c r="EC215" s="2">
        <v>1</v>
      </c>
      <c r="ED215" s="2">
        <v>1</v>
      </c>
    </row>
    <row r="216" spans="2:134" x14ac:dyDescent="0.25">
      <c r="C216" s="8" t="s">
        <v>182</v>
      </c>
      <c r="D216" s="4">
        <v>2501027302</v>
      </c>
      <c r="E216" s="5">
        <v>7</v>
      </c>
      <c r="F216" s="2">
        <v>2</v>
      </c>
      <c r="G216" s="2">
        <v>41</v>
      </c>
      <c r="H216" s="2">
        <v>-2.038510606018678</v>
      </c>
      <c r="I216" s="2">
        <v>52</v>
      </c>
      <c r="J216" s="2">
        <v>1.117633928075521</v>
      </c>
      <c r="K216" s="1">
        <v>3000</v>
      </c>
      <c r="L216" s="2">
        <v>-0.73426392472567259</v>
      </c>
      <c r="M216" s="2">
        <v>1.5218</v>
      </c>
      <c r="N216" s="2">
        <f t="shared" si="203"/>
        <v>1.561255303009339</v>
      </c>
      <c r="O216" s="2">
        <f t="shared" si="204"/>
        <v>1.5218</v>
      </c>
      <c r="P216" s="2">
        <v>67.5</v>
      </c>
      <c r="Q216" s="2">
        <v>-7.0000000000000007E-2</v>
      </c>
      <c r="R216" s="5">
        <f t="shared" si="205"/>
        <v>-0.39881696403776046</v>
      </c>
      <c r="S216" s="5">
        <f t="shared" si="206"/>
        <v>-7.0000000000000007E-2</v>
      </c>
      <c r="T216" s="1">
        <v>8970</v>
      </c>
      <c r="U216" s="2">
        <v>1.1200000000000001</v>
      </c>
      <c r="V216" s="2">
        <f t="shared" si="207"/>
        <v>0.86213196236283629</v>
      </c>
      <c r="W216" s="2">
        <f t="shared" si="208"/>
        <v>1.1200000000000001</v>
      </c>
      <c r="X216" s="2">
        <v>1.0840000000000001</v>
      </c>
      <c r="Y216" s="76">
        <f t="shared" si="244"/>
        <v>3.122510606018678</v>
      </c>
      <c r="Z216" s="76">
        <f t="shared" si="245"/>
        <v>2</v>
      </c>
      <c r="AA216" s="2">
        <f t="shared" si="209"/>
        <v>0.51229999999999998</v>
      </c>
      <c r="AB216" s="2">
        <f t="shared" si="210"/>
        <v>1.0840000000000001</v>
      </c>
      <c r="AC216" s="2">
        <v>76.5</v>
      </c>
      <c r="AD216" s="2">
        <v>0.32</v>
      </c>
      <c r="AE216" s="79">
        <f t="shared" si="246"/>
        <v>-0.79763392807552091</v>
      </c>
      <c r="AF216" s="79">
        <f t="shared" si="247"/>
        <v>-2</v>
      </c>
      <c r="AG216" s="2">
        <f t="shared" si="200"/>
        <v>0.26500000000000001</v>
      </c>
      <c r="AH216" s="2">
        <f t="shared" si="211"/>
        <v>0.32</v>
      </c>
      <c r="AI216" s="2">
        <v>10740</v>
      </c>
      <c r="AJ216" s="2">
        <v>0.99</v>
      </c>
      <c r="AK216" s="76">
        <f t="shared" si="248"/>
        <v>1.7242639247256726</v>
      </c>
      <c r="AL216" s="76">
        <f t="shared" si="249"/>
        <v>2</v>
      </c>
      <c r="AM216" s="2">
        <f t="shared" si="212"/>
        <v>-9.000000000000008E-2</v>
      </c>
      <c r="AN216" s="2">
        <f t="shared" si="213"/>
        <v>0.99</v>
      </c>
      <c r="AO216" s="2">
        <v>0.9546</v>
      </c>
      <c r="AP216" s="2">
        <f t="shared" si="214"/>
        <v>-0.40847444359687179</v>
      </c>
      <c r="AQ216" s="2">
        <f t="shared" si="215"/>
        <v>0.9546</v>
      </c>
      <c r="AR216" s="2">
        <v>83.5</v>
      </c>
      <c r="AS216" s="2">
        <v>0.46</v>
      </c>
      <c r="AT216" s="2">
        <f t="shared" si="216"/>
        <v>0.28727093514407365</v>
      </c>
      <c r="AU216" s="2">
        <f t="shared" si="217"/>
        <v>0.46</v>
      </c>
      <c r="AV216" s="2">
        <v>12150</v>
      </c>
      <c r="AW216" s="2">
        <v>0.94</v>
      </c>
      <c r="AX216" s="2">
        <f t="shared" si="218"/>
        <v>-0.16235604037800622</v>
      </c>
      <c r="AY216" s="2">
        <f t="shared" si="219"/>
        <v>0.94</v>
      </c>
      <c r="AZ216" s="2">
        <v>0.26705111280625649</v>
      </c>
      <c r="BA216" s="78">
        <f t="shared" si="250"/>
        <v>-0.81694888719374359</v>
      </c>
      <c r="BB216" s="78">
        <f t="shared" si="251"/>
        <v>-2</v>
      </c>
      <c r="BC216" s="2" t="str">
        <f t="shared" si="220"/>
        <v/>
      </c>
      <c r="BD216" s="2">
        <f t="shared" si="221"/>
        <v>0.26705111280625649</v>
      </c>
      <c r="BE216" s="67">
        <f t="shared" si="252"/>
        <v>7</v>
      </c>
      <c r="BF216" s="2">
        <v>90</v>
      </c>
      <c r="BG216" s="2">
        <v>0.89454187028814725</v>
      </c>
      <c r="BH216" s="2" t="str">
        <f t="shared" si="222"/>
        <v/>
      </c>
      <c r="BI216" s="2">
        <f t="shared" si="223"/>
        <v>0.89454187028814725</v>
      </c>
      <c r="BJ216" s="67">
        <f t="shared" si="224"/>
        <v>7</v>
      </c>
      <c r="BK216" s="2">
        <v>13700</v>
      </c>
      <c r="BL216" s="2">
        <v>0.66528791924398756</v>
      </c>
      <c r="BM216" s="77">
        <f t="shared" si="253"/>
        <v>-0.32471208075601243</v>
      </c>
      <c r="BN216" s="77">
        <f t="shared" si="254"/>
        <v>-1</v>
      </c>
      <c r="BO216" s="2" t="str">
        <f t="shared" si="225"/>
        <v/>
      </c>
      <c r="BP216" s="2">
        <f t="shared" si="226"/>
        <v>0.66528791924398756</v>
      </c>
      <c r="BQ216" s="67">
        <f t="shared" si="255"/>
        <v>7</v>
      </c>
      <c r="BS216" s="75" t="e">
        <f t="shared" si="256"/>
        <v>#VALUE!</v>
      </c>
      <c r="BT216" s="75" t="e">
        <f t="shared" si="257"/>
        <v>#VALUE!</v>
      </c>
      <c r="BU216" s="5" t="str">
        <f t="shared" si="264"/>
        <v/>
      </c>
      <c r="BV216" s="5" t="e">
        <f t="shared" si="227"/>
        <v>#VALUE!</v>
      </c>
      <c r="BW216" s="69" t="e">
        <f t="shared" si="228"/>
        <v>#VALUE!</v>
      </c>
      <c r="BX216" s="2" t="s">
        <v>12</v>
      </c>
      <c r="BZ216" s="74" t="e">
        <f t="shared" si="258"/>
        <v>#VALUE!</v>
      </c>
      <c r="CA216" s="74" t="e">
        <f t="shared" si="259"/>
        <v>#VALUE!</v>
      </c>
      <c r="CB216" s="5" t="str">
        <f t="shared" si="229"/>
        <v/>
      </c>
      <c r="CC216" s="5" t="e">
        <f t="shared" si="230"/>
        <v>#VALUE!</v>
      </c>
      <c r="CD216" s="2" t="e">
        <f t="shared" si="231"/>
        <v>#VALUE!</v>
      </c>
      <c r="CE216" s="69" t="e">
        <f t="shared" si="232"/>
        <v>#VALUE!</v>
      </c>
      <c r="CF216" s="5" t="s">
        <v>12</v>
      </c>
      <c r="CH216" s="72" t="e">
        <f t="shared" si="260"/>
        <v>#VALUE!</v>
      </c>
      <c r="CI216" s="72" t="e">
        <f t="shared" si="261"/>
        <v>#VALUE!</v>
      </c>
      <c r="CJ216" s="5" t="str">
        <f t="shared" si="233"/>
        <v/>
      </c>
      <c r="CK216" s="5" t="e">
        <f t="shared" si="234"/>
        <v>#VALUE!</v>
      </c>
      <c r="CL216" s="69" t="e">
        <f t="shared" si="235"/>
        <v>#VALUE!</v>
      </c>
      <c r="CN216" s="70" t="str">
        <f t="shared" si="236"/>
        <v/>
      </c>
      <c r="CO216" s="5" t="str">
        <f t="shared" si="237"/>
        <v>UF</v>
      </c>
      <c r="CP216" s="5" t="str">
        <f>IF(G216&lt;48,"UF", IF(NOT(ISBLANK(CM:CM)), CM:CM, IF(BW:BW=1, BV:BV+Sheet2!B351, IF(Sheet1!BW:BW=2, Sheet1!BV:BV+Sheet2!B352, IF(Sheet1!BW:BW=7, Sheet1!BV:BV+Sheet2!B353,"")))))</f>
        <v>UF</v>
      </c>
      <c r="CQ216" s="69" t="str">
        <f t="shared" si="262"/>
        <v/>
      </c>
      <c r="CR216" s="5" t="s">
        <v>12</v>
      </c>
      <c r="CT216" s="5" t="str">
        <f t="shared" si="238"/>
        <v/>
      </c>
      <c r="CU216" s="80" t="str">
        <f t="shared" si="239"/>
        <v>UF</v>
      </c>
      <c r="CV216" s="80" t="str">
        <f t="shared" si="240"/>
        <v>UF</v>
      </c>
      <c r="CW216" s="20" t="str">
        <f>IF(G216&lt;48,"UF", IF(NOT(ISBLANK(CS216)), CS216, IF(CE216=5, CC216+Sheet2!B340, IF(CE216=6, CC216+Sheet2!B341, IF(CE216=7, CC216+Sheet2!B342,"")))))</f>
        <v>UF</v>
      </c>
      <c r="CX216" s="68" t="str">
        <f t="shared" si="263"/>
        <v/>
      </c>
      <c r="CY216" s="5" t="s">
        <v>12</v>
      </c>
      <c r="DA216" s="5" t="str">
        <f t="shared" si="241"/>
        <v>UF</v>
      </c>
      <c r="DB216" s="73" t="str">
        <f t="shared" si="242"/>
        <v>UF</v>
      </c>
      <c r="DC216" s="73" t="str">
        <f t="shared" si="243"/>
        <v>UF</v>
      </c>
      <c r="DD216" s="5" t="str">
        <f>IF(G216&lt;48,"UF", IF(NOT(ISBLANK(CZ:CZ)), CZ:CZ, IF(CL:CL=3, CK:CK+Sheet2!B345, IF(CL:CL=4, CK:CK+Sheet2!B346, IF(CL:CL=7, CK:CK+Sheet2!B347,"")))))</f>
        <v>UF</v>
      </c>
      <c r="DE216" s="69" t="str">
        <f t="shared" si="202"/>
        <v/>
      </c>
      <c r="DF216" s="2">
        <v>2</v>
      </c>
      <c r="DG216" s="2">
        <v>35</v>
      </c>
      <c r="DH216" s="2">
        <v>2</v>
      </c>
      <c r="DI216" s="2">
        <v>2</v>
      </c>
      <c r="DJ216" s="2">
        <v>2</v>
      </c>
      <c r="DK216" s="2">
        <v>110</v>
      </c>
      <c r="DL216" s="2">
        <v>75</v>
      </c>
      <c r="DM216" s="2">
        <v>128</v>
      </c>
      <c r="DN216" s="2">
        <v>88</v>
      </c>
      <c r="DO216" s="2" t="s">
        <v>12</v>
      </c>
      <c r="DP216" s="2" t="s">
        <v>12</v>
      </c>
      <c r="DQ216" s="2">
        <v>2</v>
      </c>
      <c r="DR216" s="2">
        <v>36</v>
      </c>
      <c r="DS216" s="2">
        <v>2</v>
      </c>
      <c r="DT216" s="2">
        <v>92</v>
      </c>
      <c r="DU216" s="2">
        <v>80</v>
      </c>
      <c r="DV216" s="2">
        <v>2</v>
      </c>
      <c r="DW216" s="2">
        <v>2</v>
      </c>
      <c r="DX216" s="2">
        <v>2</v>
      </c>
      <c r="DY216" s="2">
        <v>2</v>
      </c>
      <c r="DZ216" s="2">
        <v>34</v>
      </c>
      <c r="EA216" s="2">
        <v>35</v>
      </c>
      <c r="EB216" s="2">
        <v>47.5</v>
      </c>
      <c r="EC216" s="2">
        <v>1</v>
      </c>
      <c r="ED216" s="2">
        <v>1</v>
      </c>
    </row>
    <row r="217" spans="2:134" x14ac:dyDescent="0.25">
      <c r="C217" s="8" t="s">
        <v>364</v>
      </c>
      <c r="D217" s="2">
        <v>2501027401</v>
      </c>
      <c r="E217" s="5">
        <v>4</v>
      </c>
      <c r="F217" s="2">
        <v>1</v>
      </c>
      <c r="G217" s="2">
        <v>45</v>
      </c>
      <c r="H217" s="2">
        <v>-3.2116063080169521</v>
      </c>
      <c r="I217" s="2">
        <v>55</v>
      </c>
      <c r="J217" s="2">
        <v>3.141839952085506</v>
      </c>
      <c r="K217" s="5">
        <v>3000</v>
      </c>
      <c r="L217" s="2">
        <v>-0.51868017376649433</v>
      </c>
      <c r="M217" s="2">
        <v>-2.3414000000000001</v>
      </c>
      <c r="N217" s="2">
        <f t="shared" si="203"/>
        <v>1.286553154008476</v>
      </c>
      <c r="O217" s="2">
        <f t="shared" si="204"/>
        <v>-2.3414000000000001</v>
      </c>
      <c r="P217" s="2">
        <v>65</v>
      </c>
      <c r="Q217" s="2">
        <v>-0.33</v>
      </c>
      <c r="R217" s="5">
        <f t="shared" si="205"/>
        <v>-2.1559199760427532</v>
      </c>
      <c r="S217" s="5">
        <f t="shared" si="206"/>
        <v>-0.33</v>
      </c>
      <c r="T217" s="1">
        <v>5800</v>
      </c>
      <c r="U217" s="2">
        <v>-1.9</v>
      </c>
      <c r="V217" s="2">
        <f t="shared" si="207"/>
        <v>-0.30565991311675278</v>
      </c>
      <c r="W217" s="2">
        <f t="shared" si="208"/>
        <v>-1.9</v>
      </c>
      <c r="X217" s="2">
        <v>-0.63849999999999996</v>
      </c>
      <c r="Y217" s="76">
        <f t="shared" si="244"/>
        <v>2.5731063080169521</v>
      </c>
      <c r="Z217" s="76">
        <f t="shared" si="245"/>
        <v>2</v>
      </c>
      <c r="AA217" s="2">
        <f t="shared" si="209"/>
        <v>0.12390000000000001</v>
      </c>
      <c r="AB217" s="2">
        <f t="shared" si="210"/>
        <v>-0.63849999999999996</v>
      </c>
      <c r="AC217" s="2">
        <v>71</v>
      </c>
      <c r="AD217" s="2">
        <v>-1.17</v>
      </c>
      <c r="AE217" s="79">
        <f t="shared" si="246"/>
        <v>-4.3118399520855064</v>
      </c>
      <c r="AF217" s="79">
        <f t="shared" si="247"/>
        <v>-2</v>
      </c>
      <c r="AG217" s="2">
        <f t="shared" si="200"/>
        <v>-0.30000000000000004</v>
      </c>
      <c r="AH217" s="2">
        <f t="shared" si="211"/>
        <v>-1.17</v>
      </c>
      <c r="AI217" s="2">
        <v>7800</v>
      </c>
      <c r="AJ217" s="2">
        <v>-1.1299999999999999</v>
      </c>
      <c r="AK217" s="76">
        <f t="shared" si="248"/>
        <v>-0.61131982623350556</v>
      </c>
      <c r="AL217" s="76">
        <f t="shared" si="249"/>
        <v>-1</v>
      </c>
      <c r="AM217" s="2">
        <f t="shared" si="212"/>
        <v>0.64500000000000002</v>
      </c>
      <c r="AN217" s="2">
        <f t="shared" si="213"/>
        <v>-1.1299999999999999</v>
      </c>
      <c r="AO217" s="2">
        <v>-8.2199999999999995E-2</v>
      </c>
      <c r="AP217" s="2" t="str">
        <f t="shared" si="214"/>
        <v/>
      </c>
      <c r="AQ217" s="2">
        <f t="shared" si="215"/>
        <v>-8.2199999999999995E-2</v>
      </c>
      <c r="AR217" s="2">
        <v>78</v>
      </c>
      <c r="AS217" s="2">
        <v>-0.93</v>
      </c>
      <c r="AT217" s="2" t="str">
        <f t="shared" si="216"/>
        <v/>
      </c>
      <c r="AU217" s="2">
        <f t="shared" si="217"/>
        <v>-0.93</v>
      </c>
      <c r="AV217" s="2">
        <v>9500</v>
      </c>
      <c r="AW217" s="2">
        <v>-0.61</v>
      </c>
      <c r="AX217" s="2" t="str">
        <f t="shared" si="218"/>
        <v/>
      </c>
      <c r="AY217" s="2">
        <f t="shared" si="219"/>
        <v>-0.61</v>
      </c>
      <c r="BA217" s="78">
        <f t="shared" si="250"/>
        <v>-0.31199068607711833</v>
      </c>
      <c r="BB217" s="78">
        <f t="shared" si="251"/>
        <v>-1</v>
      </c>
      <c r="BC217" s="2">
        <f t="shared" si="220"/>
        <v>-0.86829068607711835</v>
      </c>
      <c r="BD217" s="2">
        <f t="shared" si="221"/>
        <v>-0.95049068607711829</v>
      </c>
      <c r="BE217" s="67">
        <f t="shared" si="252"/>
        <v>7</v>
      </c>
      <c r="BF217" s="2" t="s">
        <v>12</v>
      </c>
      <c r="BH217" s="2">
        <f t="shared" si="222"/>
        <v>0.207526477488994</v>
      </c>
      <c r="BI217" s="2">
        <f t="shared" si="223"/>
        <v>-0.72247352251100605</v>
      </c>
      <c r="BJ217" s="67">
        <f t="shared" si="224"/>
        <v>7</v>
      </c>
      <c r="BK217" s="2" t="s">
        <v>12</v>
      </c>
      <c r="BM217" s="77">
        <f t="shared" si="253"/>
        <v>9.994202819736886E-2</v>
      </c>
      <c r="BN217" s="77">
        <f t="shared" si="254"/>
        <v>1</v>
      </c>
      <c r="BO217" s="2">
        <f t="shared" si="225"/>
        <v>-0.42005797180263099</v>
      </c>
      <c r="BP217" s="2">
        <f t="shared" si="226"/>
        <v>-1.030057971802631</v>
      </c>
      <c r="BQ217" s="67">
        <f t="shared" si="255"/>
        <v>7</v>
      </c>
      <c r="BR217" s="5">
        <v>-2.687072058231355</v>
      </c>
      <c r="BS217" s="75">
        <f t="shared" si="256"/>
        <v>-1.7365813721542367</v>
      </c>
      <c r="BT217" s="75">
        <f t="shared" si="257"/>
        <v>-2</v>
      </c>
      <c r="BU217" s="5" t="str">
        <f t="shared" si="264"/>
        <v/>
      </c>
      <c r="BV217" s="5">
        <f t="shared" si="227"/>
        <v>-2.687072058231355</v>
      </c>
      <c r="BW217" s="69">
        <f t="shared" si="228"/>
        <v>2</v>
      </c>
      <c r="BX217" s="2">
        <v>93</v>
      </c>
      <c r="BY217" s="5">
        <v>-0.30742056753301811</v>
      </c>
      <c r="BZ217" s="74">
        <f t="shared" si="258"/>
        <v>0.72263740426961287</v>
      </c>
      <c r="CA217" s="74">
        <f t="shared" si="259"/>
        <v>2</v>
      </c>
      <c r="CB217" s="5" t="str">
        <f t="shared" si="229"/>
        <v/>
      </c>
      <c r="CC217" s="5">
        <f t="shared" si="230"/>
        <v>-0.30742056753301811</v>
      </c>
      <c r="CD217" s="2">
        <f t="shared" si="231"/>
        <v>0.41505295497798794</v>
      </c>
      <c r="CE217" s="69">
        <f t="shared" si="232"/>
        <v>7</v>
      </c>
      <c r="CF217" s="5">
        <v>11400</v>
      </c>
      <c r="CG217" s="5">
        <v>-1.8701739154078929</v>
      </c>
      <c r="CH217" s="72">
        <f t="shared" si="260"/>
        <v>-0.84011594360526187</v>
      </c>
      <c r="CI217" s="72">
        <f t="shared" si="261"/>
        <v>-2</v>
      </c>
      <c r="CJ217" s="5" t="str">
        <f t="shared" si="233"/>
        <v/>
      </c>
      <c r="CK217" s="5">
        <f t="shared" si="234"/>
        <v>-1.8701739154078929</v>
      </c>
      <c r="CL217" s="69">
        <f t="shared" si="235"/>
        <v>7</v>
      </c>
      <c r="CN217" s="70" t="str">
        <f t="shared" si="236"/>
        <v/>
      </c>
      <c r="CO217" s="5" t="str">
        <f t="shared" si="237"/>
        <v>UF</v>
      </c>
      <c r="CP217" s="5" t="str">
        <f>IF(G217&lt;48,"UF", IF(NOT(ISBLANK(CM:CM)), CM:CM, IF(BW:BW=1, BV:BV+Sheet2!B230, IF(Sheet1!BW:BW=2, Sheet1!BV:BV+Sheet2!B231, IF(Sheet1!BW:BW=7, Sheet1!BV:BV+Sheet2!B232,"")))))</f>
        <v>UF</v>
      </c>
      <c r="CQ217" s="69" t="str">
        <f t="shared" si="262"/>
        <v/>
      </c>
      <c r="CR217" s="5" t="s">
        <v>12</v>
      </c>
      <c r="CT217" s="5" t="str">
        <f t="shared" si="238"/>
        <v/>
      </c>
      <c r="CU217" s="80" t="str">
        <f t="shared" si="239"/>
        <v>UF</v>
      </c>
      <c r="CV217" s="80" t="str">
        <f t="shared" si="240"/>
        <v>UF</v>
      </c>
      <c r="CW217" s="20" t="str">
        <f>IF(G217&lt;48,"UF", IF(NOT(ISBLANK(CS217)), CS217, IF(CE217=5, CC217+Sheet2!B219, IF(CE217=6, CC217+Sheet2!B220, IF(CE217=7, CC217+Sheet2!B221,"")))))</f>
        <v>UF</v>
      </c>
      <c r="CX217" s="68" t="str">
        <f t="shared" si="263"/>
        <v/>
      </c>
      <c r="CY217" s="5" t="s">
        <v>12</v>
      </c>
      <c r="DA217" s="5" t="str">
        <f t="shared" si="241"/>
        <v>UF</v>
      </c>
      <c r="DB217" s="73" t="str">
        <f t="shared" si="242"/>
        <v>UF</v>
      </c>
      <c r="DC217" s="73" t="str">
        <f t="shared" si="243"/>
        <v>UF</v>
      </c>
      <c r="DD217" s="5" t="str">
        <f>IF(G217&lt;48,"UF", IF(NOT(ISBLANK(CZ:CZ)), CZ:CZ, IF(CL:CL=3, CK:CK+Sheet2!B224, IF(CL:CL=4, CK:CK+Sheet2!B225, IF(CL:CL=7, CK:CK+Sheet2!B226,"")))))</f>
        <v>UF</v>
      </c>
      <c r="DE217" s="69" t="str">
        <f t="shared" si="202"/>
        <v/>
      </c>
      <c r="DF217" s="2">
        <v>2</v>
      </c>
      <c r="DG217" s="2">
        <v>23</v>
      </c>
      <c r="DH217" s="2">
        <v>2</v>
      </c>
      <c r="DI217" s="2">
        <v>2</v>
      </c>
      <c r="DJ217" s="2">
        <v>2</v>
      </c>
      <c r="DK217" s="2">
        <v>105</v>
      </c>
      <c r="DL217" s="2">
        <v>50</v>
      </c>
      <c r="DM217" s="2">
        <v>105</v>
      </c>
      <c r="DN217" s="2">
        <v>55</v>
      </c>
      <c r="DO217" s="2">
        <v>100</v>
      </c>
      <c r="DP217" s="2">
        <v>60</v>
      </c>
      <c r="DQ217" s="2">
        <v>2</v>
      </c>
      <c r="DR217" s="2">
        <v>39</v>
      </c>
      <c r="DS217" s="2">
        <v>1</v>
      </c>
      <c r="DT217" s="2">
        <v>99</v>
      </c>
      <c r="DU217" s="2">
        <v>92</v>
      </c>
      <c r="DV217" s="2">
        <v>2</v>
      </c>
      <c r="DW217" s="2">
        <v>2</v>
      </c>
      <c r="DX217" s="2">
        <v>2</v>
      </c>
      <c r="DY217" s="2">
        <v>2</v>
      </c>
      <c r="DZ217" s="2">
        <v>33</v>
      </c>
      <c r="EA217" s="2">
        <v>34</v>
      </c>
      <c r="EB217" s="2">
        <v>43</v>
      </c>
      <c r="EC217" s="2">
        <v>1</v>
      </c>
      <c r="ED217" s="2">
        <v>1</v>
      </c>
    </row>
    <row r="218" spans="2:134" x14ac:dyDescent="0.25">
      <c r="C218" s="5" t="s">
        <v>92</v>
      </c>
      <c r="D218" s="2">
        <v>2501027752</v>
      </c>
      <c r="E218" s="5" t="s">
        <v>535</v>
      </c>
      <c r="F218" s="2">
        <v>2</v>
      </c>
      <c r="G218" s="2">
        <v>44</v>
      </c>
      <c r="H218" s="2">
        <v>0.33157988914135872</v>
      </c>
      <c r="I218" s="2">
        <v>51</v>
      </c>
      <c r="J218" s="2">
        <v>0.58940135287155082</v>
      </c>
      <c r="K218" s="5">
        <v>3600</v>
      </c>
      <c r="L218" s="2">
        <v>0.50669087134292667</v>
      </c>
      <c r="M218" s="2">
        <v>-0.51659999999999995</v>
      </c>
      <c r="N218" s="2">
        <f t="shared" si="203"/>
        <v>-0.99648994457067941</v>
      </c>
      <c r="O218" s="2">
        <f t="shared" si="204"/>
        <v>-0.51659999999999995</v>
      </c>
      <c r="P218" s="2">
        <v>68.5</v>
      </c>
      <c r="Q218" s="2">
        <v>0.4</v>
      </c>
      <c r="R218" s="5">
        <f t="shared" si="205"/>
        <v>-2.9700676435775397E-2</v>
      </c>
      <c r="S218" s="5">
        <f t="shared" si="206"/>
        <v>0.4</v>
      </c>
      <c r="T218" s="1">
        <v>7800</v>
      </c>
      <c r="U218" s="2">
        <v>-0.16</v>
      </c>
      <c r="V218" s="2">
        <f t="shared" si="207"/>
        <v>-0.69834543567146334</v>
      </c>
      <c r="W218" s="2">
        <f t="shared" si="208"/>
        <v>-0.16</v>
      </c>
      <c r="X218" s="2">
        <v>-1.6614</v>
      </c>
      <c r="Y218" s="76">
        <f t="shared" si="244"/>
        <v>-1.9929798891413588</v>
      </c>
      <c r="Z218" s="76">
        <f t="shared" si="245"/>
        <v>-2</v>
      </c>
      <c r="AA218" s="2">
        <f t="shared" si="209"/>
        <v>-0.94779999999999998</v>
      </c>
      <c r="AB218" s="2">
        <f t="shared" si="210"/>
        <v>-1.6614</v>
      </c>
      <c r="AC218" s="2">
        <v>77</v>
      </c>
      <c r="AD218" s="2">
        <v>0.53</v>
      </c>
      <c r="AE218" s="79">
        <f t="shared" si="246"/>
        <v>-5.9401352871550794E-2</v>
      </c>
      <c r="AF218" s="79">
        <f t="shared" si="247"/>
        <v>-1</v>
      </c>
      <c r="AG218" s="2">
        <f t="shared" si="200"/>
        <v>-0.15500000000000003</v>
      </c>
      <c r="AH218" s="2">
        <f t="shared" si="211"/>
        <v>0.53</v>
      </c>
      <c r="AI218" s="2">
        <v>8750</v>
      </c>
      <c r="AJ218" s="2">
        <v>-0.89</v>
      </c>
      <c r="AK218" s="76">
        <f t="shared" si="248"/>
        <v>-1.3966908713429267</v>
      </c>
      <c r="AL218" s="76">
        <f t="shared" si="249"/>
        <v>-2</v>
      </c>
      <c r="AM218" s="2">
        <f t="shared" si="212"/>
        <v>-0.41499999999999998</v>
      </c>
      <c r="AN218" s="2">
        <f t="shared" si="213"/>
        <v>-0.89</v>
      </c>
      <c r="AO218" s="2">
        <v>-1.4956</v>
      </c>
      <c r="AP218" s="2" t="str">
        <f t="shared" si="214"/>
        <v/>
      </c>
      <c r="AQ218" s="2">
        <f t="shared" si="215"/>
        <v>-1.4956</v>
      </c>
      <c r="AR218" s="2">
        <v>82.5</v>
      </c>
      <c r="AS218" s="2">
        <v>0.09</v>
      </c>
      <c r="AT218" s="2" t="str">
        <f t="shared" si="216"/>
        <v/>
      </c>
      <c r="AU218" s="2">
        <f t="shared" si="217"/>
        <v>0.09</v>
      </c>
      <c r="AV218" s="2">
        <v>9800</v>
      </c>
      <c r="AW218" s="2">
        <v>-0.99</v>
      </c>
      <c r="AX218" s="2" t="str">
        <f t="shared" si="218"/>
        <v/>
      </c>
      <c r="AY218" s="2">
        <f t="shared" si="219"/>
        <v>-0.99</v>
      </c>
      <c r="BA218" s="78">
        <f t="shared" si="250"/>
        <v>0.13266004503524154</v>
      </c>
      <c r="BB218" s="78">
        <f t="shared" si="251"/>
        <v>1</v>
      </c>
      <c r="BC218" s="2">
        <f t="shared" si="220"/>
        <v>-3.3139954964758335E-2</v>
      </c>
      <c r="BD218" s="2">
        <f t="shared" si="221"/>
        <v>-1.5287399549647585</v>
      </c>
      <c r="BE218" s="67">
        <f t="shared" si="252"/>
        <v>7</v>
      </c>
      <c r="BF218" s="2" t="s">
        <v>12</v>
      </c>
      <c r="BH218" s="2">
        <f t="shared" si="222"/>
        <v>-0.14096280435593503</v>
      </c>
      <c r="BI218" s="2">
        <f t="shared" si="223"/>
        <v>-5.0962804355935032E-2</v>
      </c>
      <c r="BJ218" s="67">
        <f t="shared" si="224"/>
        <v>7</v>
      </c>
      <c r="BK218" s="2" t="s">
        <v>12</v>
      </c>
      <c r="BM218" s="77">
        <f t="shared" si="253"/>
        <v>-0.15989038102253439</v>
      </c>
      <c r="BN218" s="77">
        <f t="shared" si="254"/>
        <v>-1</v>
      </c>
      <c r="BO218" s="2">
        <f t="shared" si="225"/>
        <v>-5.9890381022534335E-2</v>
      </c>
      <c r="BP218" s="2">
        <f t="shared" si="226"/>
        <v>-1.0498903810225344</v>
      </c>
      <c r="BQ218" s="67">
        <f t="shared" si="255"/>
        <v>7</v>
      </c>
      <c r="BR218" s="5">
        <v>-1.5950198648942751</v>
      </c>
      <c r="BS218" s="75">
        <f t="shared" si="256"/>
        <v>-6.6279909929516601E-2</v>
      </c>
      <c r="BT218" s="75">
        <f t="shared" si="257"/>
        <v>-1</v>
      </c>
      <c r="BU218" s="5" t="str">
        <f t="shared" si="264"/>
        <v/>
      </c>
      <c r="BV218" s="5">
        <f t="shared" si="227"/>
        <v>-1.5950198648942751</v>
      </c>
      <c r="BW218" s="69">
        <f t="shared" si="228"/>
        <v>7</v>
      </c>
      <c r="BX218" s="2">
        <v>94</v>
      </c>
      <c r="BY218" s="5">
        <v>-0.33288841306780509</v>
      </c>
      <c r="BZ218" s="74">
        <f t="shared" si="258"/>
        <v>0.71700196795472926</v>
      </c>
      <c r="CA218" s="74">
        <f t="shared" si="259"/>
        <v>2</v>
      </c>
      <c r="CB218" s="5" t="str">
        <f t="shared" si="229"/>
        <v/>
      </c>
      <c r="CC218" s="5">
        <f t="shared" si="230"/>
        <v>-0.33288841306780509</v>
      </c>
      <c r="CD218" s="2">
        <f t="shared" si="231"/>
        <v>-0.28192560871187006</v>
      </c>
      <c r="CE218" s="69">
        <f t="shared" si="232"/>
        <v>7</v>
      </c>
      <c r="CF218" s="5">
        <v>12700</v>
      </c>
      <c r="CG218" s="5">
        <v>-1.169671143067603</v>
      </c>
      <c r="CH218" s="72">
        <f t="shared" si="260"/>
        <v>-0.1197807620450686</v>
      </c>
      <c r="CI218" s="72">
        <f t="shared" si="261"/>
        <v>-1</v>
      </c>
      <c r="CJ218" s="5" t="str">
        <f t="shared" si="233"/>
        <v/>
      </c>
      <c r="CK218" s="5">
        <f t="shared" si="234"/>
        <v>-1.169671143067603</v>
      </c>
      <c r="CL218" s="69">
        <f t="shared" si="235"/>
        <v>7</v>
      </c>
      <c r="CN218" s="70" t="str">
        <f t="shared" si="236"/>
        <v/>
      </c>
      <c r="CO218" s="5" t="str">
        <f t="shared" si="237"/>
        <v>UF</v>
      </c>
      <c r="CP218" s="5" t="str">
        <f>IF(G218&lt;48,"UF", IF(NOT(ISBLANK(CM:CM)), CM:CM, IF(BW:BW=1, BV:BV+Sheet2!B24, IF(Sheet1!BW:BW=2, Sheet1!BV:BV+Sheet2!B25, IF(Sheet1!BW:BW=7, Sheet1!BV:BV+Sheet2!B26,"")))))</f>
        <v>UF</v>
      </c>
      <c r="CQ218" s="69" t="str">
        <f t="shared" si="262"/>
        <v/>
      </c>
      <c r="CR218" s="5" t="s">
        <v>12</v>
      </c>
      <c r="CT218" s="5" t="str">
        <f t="shared" si="238"/>
        <v/>
      </c>
      <c r="CU218" s="80" t="str">
        <f t="shared" si="239"/>
        <v>UF</v>
      </c>
      <c r="CV218" s="80" t="str">
        <f t="shared" si="240"/>
        <v>UF</v>
      </c>
      <c r="CW218" s="20" t="str">
        <f>IF(G218&lt;48,"UF", IF(NOT(ISBLANK(CS218)), CS218, IF(CE218=5, CC218+Sheet2!B13, IF(CE218=6, CC218+Sheet2!B14, IF(CE218=7, CC218+Sheet2!B15,"")))))</f>
        <v>UF</v>
      </c>
      <c r="CX218" s="68" t="str">
        <f t="shared" si="263"/>
        <v/>
      </c>
      <c r="CY218" s="5" t="s">
        <v>12</v>
      </c>
      <c r="DA218" s="5" t="str">
        <f t="shared" si="241"/>
        <v>UF</v>
      </c>
      <c r="DB218" s="73" t="str">
        <f t="shared" si="242"/>
        <v>UF</v>
      </c>
      <c r="DC218" s="73" t="str">
        <f t="shared" si="243"/>
        <v>UF</v>
      </c>
      <c r="DD218" s="5" t="str">
        <f>IF(G218&lt;48,"UF", IF(NOT(ISBLANK(CZ:CZ)), CZ:CZ, IF(CL:CL=3, CK:CK+Sheet2!B18, IF(CL:CL=4, CK:CK+Sheet2!B19, IF(CL:CL=7, CK:CK+Sheet2!B20,"")))))</f>
        <v>UF</v>
      </c>
      <c r="DE218" s="69" t="str">
        <f t="shared" si="202"/>
        <v/>
      </c>
      <c r="DF218" s="2">
        <v>2</v>
      </c>
      <c r="DG218" s="2">
        <v>31</v>
      </c>
      <c r="DH218" s="2">
        <v>2</v>
      </c>
      <c r="DI218" s="2">
        <v>2</v>
      </c>
      <c r="DJ218" s="2">
        <v>2</v>
      </c>
      <c r="DK218" s="2">
        <v>100</v>
      </c>
      <c r="DL218" s="2">
        <v>60</v>
      </c>
      <c r="DM218" s="2" t="s">
        <v>12</v>
      </c>
      <c r="DN218" s="2" t="s">
        <v>12</v>
      </c>
      <c r="DO218" s="2">
        <v>100</v>
      </c>
      <c r="DP218" s="2">
        <v>60</v>
      </c>
      <c r="DQ218" s="2">
        <v>2</v>
      </c>
      <c r="DR218" s="2">
        <v>38</v>
      </c>
      <c r="DS218" s="2">
        <v>1</v>
      </c>
      <c r="DT218" s="2" t="s">
        <v>12</v>
      </c>
      <c r="DU218" s="2">
        <v>105</v>
      </c>
      <c r="DV218" s="2">
        <v>2</v>
      </c>
      <c r="DW218" s="2">
        <v>3</v>
      </c>
      <c r="DX218" s="2">
        <v>2</v>
      </c>
      <c r="DY218" s="2">
        <v>2</v>
      </c>
      <c r="DZ218" s="2">
        <v>36</v>
      </c>
      <c r="EA218" s="2">
        <v>35.5</v>
      </c>
      <c r="EB218" s="2">
        <v>45.5</v>
      </c>
      <c r="EC218" s="2">
        <v>1</v>
      </c>
      <c r="ED218" s="2">
        <v>1</v>
      </c>
    </row>
    <row r="219" spans="2:134" x14ac:dyDescent="0.25">
      <c r="B219" s="2"/>
      <c r="C219" t="s">
        <v>423</v>
      </c>
      <c r="D219" s="3">
        <v>2501027817</v>
      </c>
      <c r="E219" s="3">
        <v>7</v>
      </c>
      <c r="F219" s="2">
        <v>2</v>
      </c>
      <c r="G219" s="2">
        <v>45</v>
      </c>
      <c r="H219">
        <v>-2.6142950208971039</v>
      </c>
      <c r="I219" s="2">
        <v>49</v>
      </c>
      <c r="J219">
        <v>-0.46706379753639199</v>
      </c>
      <c r="K219" s="2">
        <v>2530</v>
      </c>
      <c r="L219" s="2">
        <v>-1.824832855378792</v>
      </c>
      <c r="N219" s="2">
        <f t="shared" si="203"/>
        <v>2.3413040012578623</v>
      </c>
      <c r="O219" s="2">
        <f t="shared" si="204"/>
        <v>-0.27299101963924155</v>
      </c>
      <c r="P219" s="2" t="s">
        <v>12</v>
      </c>
      <c r="R219" s="5">
        <f t="shared" si="205"/>
        <v>0.79165254708691102</v>
      </c>
      <c r="S219" s="5">
        <f t="shared" si="206"/>
        <v>0.32458874955051903</v>
      </c>
      <c r="T219" s="2" t="s">
        <v>12</v>
      </c>
      <c r="V219" s="2">
        <f t="shared" si="207"/>
        <v>2.0155209715497389</v>
      </c>
      <c r="W219" s="2">
        <f t="shared" si="208"/>
        <v>0.19068811617094683</v>
      </c>
      <c r="X219" s="2">
        <v>2.0683129816186212</v>
      </c>
      <c r="Y219" s="76">
        <f t="shared" si="244"/>
        <v>4.6826080025157246</v>
      </c>
      <c r="Z219" s="76">
        <f t="shared" si="245"/>
        <v>2</v>
      </c>
      <c r="AA219" s="2">
        <f t="shared" si="209"/>
        <v>0.36607930725298743</v>
      </c>
      <c r="AB219" s="2">
        <f t="shared" si="210"/>
        <v>2.0683129816186212</v>
      </c>
      <c r="AC219" s="2">
        <v>79</v>
      </c>
      <c r="AD219" s="2">
        <v>1.11624129663743</v>
      </c>
      <c r="AE219" s="79">
        <f t="shared" si="246"/>
        <v>1.583305094173822</v>
      </c>
      <c r="AF219" s="79">
        <f t="shared" si="247"/>
        <v>2</v>
      </c>
      <c r="AG219" s="2">
        <f t="shared" si="200"/>
        <v>-0.47768665635120178</v>
      </c>
      <c r="AH219" s="2">
        <f t="shared" si="211"/>
        <v>1.11624129663743</v>
      </c>
      <c r="AI219" s="2">
        <v>12400</v>
      </c>
      <c r="AJ219" s="2">
        <v>2.2062090877206861</v>
      </c>
      <c r="AK219" s="76">
        <f t="shared" si="248"/>
        <v>4.0310419430994777</v>
      </c>
      <c r="AL219" s="76">
        <f t="shared" si="249"/>
        <v>2</v>
      </c>
      <c r="AM219" s="2">
        <f t="shared" si="212"/>
        <v>9.0567612152890692E-2</v>
      </c>
      <c r="AN219" s="2">
        <f t="shared" si="213"/>
        <v>2.2062090877206861</v>
      </c>
      <c r="AO219" s="2">
        <v>1.0567473640564939</v>
      </c>
      <c r="AP219" s="2">
        <f t="shared" si="214"/>
        <v>0.83525066849701379</v>
      </c>
      <c r="AQ219" s="2">
        <f t="shared" si="215"/>
        <v>1.0567473640564939</v>
      </c>
      <c r="AR219" s="2">
        <v>81</v>
      </c>
      <c r="AS219" s="2">
        <v>-0.63078456315188447</v>
      </c>
      <c r="AT219" s="2">
        <f t="shared" si="216"/>
        <v>-1.393178534596577</v>
      </c>
      <c r="AU219" s="2">
        <f t="shared" si="217"/>
        <v>-0.63078456315188447</v>
      </c>
      <c r="AV219" s="2">
        <v>11500</v>
      </c>
      <c r="AW219" s="2">
        <v>0.37182334047672821</v>
      </c>
      <c r="AX219" s="2">
        <f t="shared" si="218"/>
        <v>-0.21616695043327905</v>
      </c>
      <c r="AY219" s="2">
        <f t="shared" si="219"/>
        <v>0.37182334047672821</v>
      </c>
      <c r="AZ219" s="2">
        <v>3.7388143186126488</v>
      </c>
      <c r="BA219" s="78">
        <f t="shared" si="250"/>
        <v>1.6705013369940276</v>
      </c>
      <c r="BB219" s="78">
        <f t="shared" si="251"/>
        <v>2</v>
      </c>
      <c r="BC219" s="2">
        <f t="shared" si="220"/>
        <v>-0.39753565620683312</v>
      </c>
      <c r="BD219" s="2">
        <f t="shared" si="221"/>
        <v>3.7388143186126488</v>
      </c>
      <c r="BE219" s="67" t="str">
        <f t="shared" si="252"/>
        <v/>
      </c>
      <c r="BF219" s="2">
        <v>81</v>
      </c>
      <c r="BG219" s="2">
        <v>-1.6701157725557241</v>
      </c>
      <c r="BH219" s="2">
        <f t="shared" si="222"/>
        <v>9.9298716694693132E-2</v>
      </c>
      <c r="BI219" s="2">
        <f t="shared" si="223"/>
        <v>-1.6701157725557241</v>
      </c>
      <c r="BJ219" s="67">
        <f t="shared" si="224"/>
        <v>7</v>
      </c>
      <c r="BK219" s="2">
        <v>15500</v>
      </c>
      <c r="BL219" s="2">
        <v>1.773875186854128</v>
      </c>
      <c r="BM219" s="77">
        <f t="shared" si="253"/>
        <v>-0.4323339008665581</v>
      </c>
      <c r="BN219" s="77">
        <f t="shared" si="254"/>
        <v>-1</v>
      </c>
      <c r="BO219" s="2">
        <f t="shared" si="225"/>
        <v>-0.20916916584575784</v>
      </c>
      <c r="BP219" s="2">
        <f t="shared" si="226"/>
        <v>1.773875186854128</v>
      </c>
      <c r="BQ219" s="67">
        <f t="shared" si="255"/>
        <v>7</v>
      </c>
      <c r="BR219" s="2">
        <v>-0.13585960456400539</v>
      </c>
      <c r="BS219" s="75">
        <f t="shared" si="256"/>
        <v>-3.8746739231766543</v>
      </c>
      <c r="BT219" s="75">
        <f t="shared" si="257"/>
        <v>-2</v>
      </c>
      <c r="BU219" s="5" t="str">
        <f>IF(G227&gt;=36, IF(AND(NOT(ISBLANK(CM:CM)), NOT(ISBLANK(BD:BD))), (CM:CM-BD:BD)/2, ""), "UF")</f>
        <v/>
      </c>
      <c r="BV219" s="5">
        <f t="shared" si="227"/>
        <v>-0.13585960456400539</v>
      </c>
      <c r="BW219" s="69">
        <f t="shared" si="228"/>
        <v>7</v>
      </c>
      <c r="BX219" s="2">
        <v>94</v>
      </c>
      <c r="BY219" s="2">
        <v>-0.33288841306780509</v>
      </c>
      <c r="BZ219" s="74">
        <f t="shared" si="258"/>
        <v>-2.106763599921933</v>
      </c>
      <c r="CA219" s="74">
        <f t="shared" si="259"/>
        <v>-2</v>
      </c>
      <c r="CB219" s="5" t="str">
        <f t="shared" si="229"/>
        <v/>
      </c>
      <c r="CC219" s="5">
        <f t="shared" si="230"/>
        <v>-0.33288841306780509</v>
      </c>
      <c r="CD219" s="2">
        <f t="shared" si="231"/>
        <v>1.3372273594879189</v>
      </c>
      <c r="CE219" s="69">
        <f t="shared" si="232"/>
        <v>7</v>
      </c>
      <c r="CF219" s="5">
        <v>14000</v>
      </c>
      <c r="CG219" s="2">
        <v>-0.25568415706054531</v>
      </c>
      <c r="CH219" s="72">
        <f t="shared" si="260"/>
        <v>-2.0295593439146735</v>
      </c>
      <c r="CI219" s="72">
        <f t="shared" si="261"/>
        <v>-2</v>
      </c>
      <c r="CJ219" s="5" t="str">
        <f t="shared" si="233"/>
        <v/>
      </c>
      <c r="CK219" s="5">
        <f t="shared" si="234"/>
        <v>-0.25568415706054531</v>
      </c>
      <c r="CL219" s="69">
        <f t="shared" si="235"/>
        <v>7</v>
      </c>
      <c r="CM219" s="2"/>
      <c r="CN219" s="70" t="str">
        <f t="shared" si="236"/>
        <v/>
      </c>
      <c r="CO219" s="5" t="str">
        <f t="shared" si="237"/>
        <v>UF</v>
      </c>
      <c r="CP219" s="5" t="str">
        <f>IF(G219&lt;48,"UF", IF(NOT(ISBLANK(CM:CM)), CM:CM, IF(BW:BW=1, BV:BV+Sheet2!B638, IF(Sheet1!BW:BW=2, Sheet1!BV:BV+Sheet2!B639, IF(Sheet1!BW:BW=7, Sheet1!BV:BV+Sheet2!B640,"")))))</f>
        <v>UF</v>
      </c>
      <c r="CQ219" s="69" t="str">
        <f t="shared" si="262"/>
        <v/>
      </c>
      <c r="CR219" s="5" t="s">
        <v>12</v>
      </c>
      <c r="CS219" s="2"/>
      <c r="CT219" s="5" t="str">
        <f t="shared" si="238"/>
        <v/>
      </c>
      <c r="CU219" s="80" t="str">
        <f t="shared" si="239"/>
        <v>UF</v>
      </c>
      <c r="CV219" s="80" t="str">
        <f t="shared" si="240"/>
        <v>UF</v>
      </c>
      <c r="CW219" s="20" t="str">
        <f>IF(G219&lt;48,"UF", IF(NOT(ISBLANK(CS219)), CS219, IF(CE219=5, CC219+Sheet2!B627, IF(CE219=6, CC219+Sheet2!B628, IF(CE219=7, CC219+Sheet2!B629,"")))))</f>
        <v>UF</v>
      </c>
      <c r="CX219" s="68" t="str">
        <f t="shared" si="263"/>
        <v/>
      </c>
      <c r="CY219" s="5" t="s">
        <v>12</v>
      </c>
      <c r="DA219" s="5" t="str">
        <f t="shared" si="241"/>
        <v>UF</v>
      </c>
      <c r="DB219" s="73" t="str">
        <f t="shared" si="242"/>
        <v>UF</v>
      </c>
      <c r="DC219" s="73" t="str">
        <f t="shared" si="243"/>
        <v>UF</v>
      </c>
      <c r="DD219" s="5" t="str">
        <f>IF(G219&lt;48,"UF", IF(NOT(ISBLANK(CZ:CZ)), CZ:CZ, IF(CL:CL=3, CK:CK+Sheet2!B632, IF(CL:CL=4, CK:CK+Sheet2!B633, IF(CL:CL=7, CK:CK+Sheet2!B634,"")))))</f>
        <v>UF</v>
      </c>
      <c r="DE219" s="69" t="str">
        <f t="shared" si="202"/>
        <v/>
      </c>
      <c r="DF219" s="2">
        <v>2</v>
      </c>
      <c r="DG219" s="2">
        <v>37</v>
      </c>
      <c r="DH219" s="2">
        <v>1</v>
      </c>
      <c r="DI219" s="2">
        <v>1</v>
      </c>
      <c r="DJ219" s="2">
        <v>2</v>
      </c>
      <c r="DK219" s="2">
        <v>95</v>
      </c>
      <c r="DL219" s="2">
        <v>56</v>
      </c>
      <c r="DM219" s="2">
        <v>95</v>
      </c>
      <c r="DN219" s="2">
        <v>50</v>
      </c>
      <c r="DO219" s="2">
        <v>84</v>
      </c>
      <c r="DP219" s="2">
        <v>45</v>
      </c>
      <c r="DQ219" s="2">
        <v>1</v>
      </c>
      <c r="DR219" s="2">
        <v>38</v>
      </c>
      <c r="DS219" s="2">
        <v>2</v>
      </c>
      <c r="DT219" s="2">
        <v>79</v>
      </c>
      <c r="DU219" s="2">
        <v>72</v>
      </c>
      <c r="DV219" s="2">
        <v>1</v>
      </c>
      <c r="DW219" s="2">
        <v>3</v>
      </c>
      <c r="DX219" s="2">
        <v>2</v>
      </c>
      <c r="DY219" s="2">
        <v>3</v>
      </c>
      <c r="DZ219" s="2">
        <v>32.5</v>
      </c>
      <c r="EA219" s="2">
        <v>34</v>
      </c>
      <c r="EB219" s="2">
        <v>47</v>
      </c>
      <c r="EC219" s="2">
        <v>1</v>
      </c>
      <c r="ED219" s="2">
        <v>1</v>
      </c>
    </row>
    <row r="220" spans="2:134" x14ac:dyDescent="0.25">
      <c r="C220" s="8" t="s">
        <v>162</v>
      </c>
      <c r="D220" s="4">
        <v>2501028139</v>
      </c>
      <c r="E220" s="5">
        <v>7</v>
      </c>
      <c r="F220" s="2">
        <v>2</v>
      </c>
      <c r="G220" s="2">
        <v>41</v>
      </c>
      <c r="H220" s="2">
        <v>21.33475082878207</v>
      </c>
      <c r="I220" s="2">
        <v>22</v>
      </c>
      <c r="J220" s="2">
        <v>-14.729343328043569</v>
      </c>
      <c r="K220" s="1">
        <v>2450</v>
      </c>
      <c r="L220" s="2">
        <v>-2.023320197997946</v>
      </c>
      <c r="M220" s="2">
        <v>-0.73380000000000001</v>
      </c>
      <c r="N220" s="2">
        <f t="shared" si="203"/>
        <v>-10.602425414391035</v>
      </c>
      <c r="O220" s="2">
        <f t="shared" si="204"/>
        <v>-0.73380000000000001</v>
      </c>
      <c r="P220" s="2">
        <v>65</v>
      </c>
      <c r="Q220" s="2">
        <v>-1.23</v>
      </c>
      <c r="R220" s="5">
        <f t="shared" si="205"/>
        <v>6.5796716640217845</v>
      </c>
      <c r="S220" s="5">
        <f t="shared" si="206"/>
        <v>-1.23</v>
      </c>
      <c r="T220" s="1">
        <v>6900</v>
      </c>
      <c r="U220" s="2">
        <v>-1.27</v>
      </c>
      <c r="V220" s="2">
        <f t="shared" si="207"/>
        <v>0.59166009899897309</v>
      </c>
      <c r="W220" s="2">
        <f t="shared" si="208"/>
        <v>-1.27</v>
      </c>
      <c r="X220" s="2">
        <v>0.12989999999999999</v>
      </c>
      <c r="Y220" s="76">
        <f t="shared" si="244"/>
        <v>-21.204850828782071</v>
      </c>
      <c r="Z220" s="76">
        <f t="shared" si="245"/>
        <v>-2</v>
      </c>
      <c r="AA220" s="2">
        <f t="shared" si="209"/>
        <v>0.91484999999999994</v>
      </c>
      <c r="AB220" s="2">
        <f t="shared" si="210"/>
        <v>0.12989999999999999</v>
      </c>
      <c r="AC220" s="2">
        <v>72</v>
      </c>
      <c r="AD220" s="2">
        <v>-1.57</v>
      </c>
      <c r="AE220" s="79">
        <f t="shared" si="246"/>
        <v>13.159343328043569</v>
      </c>
      <c r="AF220" s="79">
        <f t="shared" si="247"/>
        <v>2</v>
      </c>
      <c r="AG220" s="2">
        <f t="shared" si="200"/>
        <v>-0.17500000000000004</v>
      </c>
      <c r="AH220" s="2">
        <f t="shared" si="211"/>
        <v>-1.57</v>
      </c>
      <c r="AI220" s="2">
        <v>8800</v>
      </c>
      <c r="AJ220" s="2">
        <v>-0.84</v>
      </c>
      <c r="AK220" s="76">
        <f t="shared" si="248"/>
        <v>1.1833201979979462</v>
      </c>
      <c r="AL220" s="76">
        <f t="shared" si="249"/>
        <v>2</v>
      </c>
      <c r="AM220" s="2">
        <f t="shared" si="212"/>
        <v>0.36499999999999999</v>
      </c>
      <c r="AN220" s="2">
        <f t="shared" si="213"/>
        <v>-0.84</v>
      </c>
      <c r="AO220" s="2">
        <v>0.59970000000000001</v>
      </c>
      <c r="AP220" s="2">
        <f t="shared" si="214"/>
        <v>-0.50266295539851003</v>
      </c>
      <c r="AQ220" s="2">
        <f t="shared" si="215"/>
        <v>0.59970000000000001</v>
      </c>
      <c r="AR220" s="2">
        <v>78</v>
      </c>
      <c r="AS220" s="2">
        <v>-1.58</v>
      </c>
      <c r="AT220" s="2">
        <f t="shared" si="216"/>
        <v>0.94722565580973672</v>
      </c>
      <c r="AU220" s="2">
        <f t="shared" si="217"/>
        <v>-1.58</v>
      </c>
      <c r="AV220" s="2">
        <v>10300</v>
      </c>
      <c r="AW220" s="2">
        <v>-0.54</v>
      </c>
      <c r="AX220" s="2">
        <f t="shared" si="218"/>
        <v>0.14102108169086158</v>
      </c>
      <c r="AY220" s="2">
        <f t="shared" si="219"/>
        <v>-0.54</v>
      </c>
      <c r="AZ220" s="2">
        <v>-0.87542591079702003</v>
      </c>
      <c r="BA220" s="78">
        <f t="shared" si="250"/>
        <v>-1.0053259107970201</v>
      </c>
      <c r="BB220" s="78">
        <f t="shared" si="251"/>
        <v>-2</v>
      </c>
      <c r="BC220" s="2">
        <f t="shared" si="220"/>
        <v>-0.87475713610762063</v>
      </c>
      <c r="BD220" s="2">
        <f t="shared" si="221"/>
        <v>-0.87542591079702003</v>
      </c>
      <c r="BE220" s="67">
        <f t="shared" si="252"/>
        <v>7</v>
      </c>
      <c r="BF220" s="2">
        <v>88</v>
      </c>
      <c r="BG220" s="2">
        <v>0.32445131161947349</v>
      </c>
      <c r="BH220" s="2">
        <f t="shared" si="222"/>
        <v>0.92108498359499702</v>
      </c>
      <c r="BI220" s="2">
        <f t="shared" si="223"/>
        <v>0.32445131161947349</v>
      </c>
      <c r="BJ220" s="67">
        <f t="shared" si="224"/>
        <v>7</v>
      </c>
      <c r="BK220" s="2">
        <v>12000</v>
      </c>
      <c r="BL220" s="2">
        <v>-0.5579578366182768</v>
      </c>
      <c r="BM220" s="77">
        <f t="shared" si="253"/>
        <v>0.28204216338172317</v>
      </c>
      <c r="BN220" s="77">
        <f t="shared" si="254"/>
        <v>1</v>
      </c>
      <c r="BO220" s="2">
        <f t="shared" si="225"/>
        <v>9.4771947646484903E-2</v>
      </c>
      <c r="BP220" s="2">
        <f t="shared" si="226"/>
        <v>-0.5579578366182768</v>
      </c>
      <c r="BQ220" s="67">
        <f t="shared" si="255"/>
        <v>7</v>
      </c>
      <c r="BR220" s="5">
        <v>-2.0245714083228621</v>
      </c>
      <c r="BS220" s="75">
        <f t="shared" si="256"/>
        <v>-1.1491454975258422</v>
      </c>
      <c r="BT220" s="75">
        <f t="shared" si="257"/>
        <v>-2</v>
      </c>
      <c r="BU220" s="5" t="str">
        <f>IF(G228&gt;=36, IF(AND(NOT(ISBLANK(CM:CM)), NOT(ISBLANK(BD:BD))), (CM:CM-BD:BD)/2, ""), "UF")</f>
        <v/>
      </c>
      <c r="BV220" s="5">
        <f t="shared" si="227"/>
        <v>-2.0245714083228621</v>
      </c>
      <c r="BW220" s="69">
        <f t="shared" si="228"/>
        <v>2</v>
      </c>
      <c r="BX220" s="2">
        <v>100</v>
      </c>
      <c r="BY220" s="5">
        <v>1.183254950784991</v>
      </c>
      <c r="BZ220" s="74">
        <f t="shared" si="258"/>
        <v>1.7412127874032679</v>
      </c>
      <c r="CA220" s="74">
        <f t="shared" si="259"/>
        <v>2</v>
      </c>
      <c r="CB220" s="5" t="str">
        <f t="shared" si="229"/>
        <v/>
      </c>
      <c r="CC220" s="5">
        <f t="shared" si="230"/>
        <v>1.183254950784991</v>
      </c>
      <c r="CD220" s="2">
        <f t="shared" si="231"/>
        <v>0.8588036391655175</v>
      </c>
      <c r="CE220" s="69">
        <f t="shared" si="232"/>
        <v>7</v>
      </c>
      <c r="CF220" s="5">
        <v>14000</v>
      </c>
      <c r="CG220" s="5">
        <v>-0.25568415706054531</v>
      </c>
      <c r="CH220" s="72">
        <f t="shared" si="260"/>
        <v>0.30227367955773149</v>
      </c>
      <c r="CI220" s="72">
        <f t="shared" si="261"/>
        <v>1</v>
      </c>
      <c r="CJ220" s="5" t="str">
        <f t="shared" si="233"/>
        <v/>
      </c>
      <c r="CK220" s="5">
        <f t="shared" si="234"/>
        <v>-0.25568415706054531</v>
      </c>
      <c r="CL220" s="69">
        <f t="shared" si="235"/>
        <v>7</v>
      </c>
      <c r="CN220" s="70" t="str">
        <f t="shared" si="236"/>
        <v/>
      </c>
      <c r="CO220" s="5" t="str">
        <f t="shared" si="237"/>
        <v>UF</v>
      </c>
      <c r="CP220" s="5" t="str">
        <f>IF(G220&lt;48,"UF", IF(NOT(ISBLANK(CM:CM)), CM:CM, IF(BW:BW=1, BV:BV+Sheet2!B352, IF(Sheet1!BW:BW=2, Sheet1!BV:BV+Sheet2!B353, IF(Sheet1!BW:BW=7, Sheet1!BV:BV+Sheet2!B354,"")))))</f>
        <v>UF</v>
      </c>
      <c r="CQ220" s="69" t="str">
        <f t="shared" si="262"/>
        <v/>
      </c>
      <c r="CR220" s="5" t="s">
        <v>12</v>
      </c>
      <c r="CT220" s="5" t="str">
        <f t="shared" si="238"/>
        <v/>
      </c>
      <c r="CU220" s="80" t="str">
        <f t="shared" si="239"/>
        <v>UF</v>
      </c>
      <c r="CV220" s="80" t="str">
        <f t="shared" si="240"/>
        <v>UF</v>
      </c>
      <c r="CW220" s="20" t="str">
        <f>IF(G220&lt;48,"UF", IF(NOT(ISBLANK(CS220)), CS220, IF(CE220=5, CC220+Sheet2!B341, IF(CE220=6, CC220+Sheet2!B342, IF(CE220=7, CC220+Sheet2!B343,"")))))</f>
        <v>UF</v>
      </c>
      <c r="CX220" s="68" t="str">
        <f t="shared" si="263"/>
        <v/>
      </c>
      <c r="CY220" s="5" t="s">
        <v>12</v>
      </c>
      <c r="DA220" s="5" t="str">
        <f t="shared" si="241"/>
        <v>UF</v>
      </c>
      <c r="DB220" s="73" t="str">
        <f t="shared" si="242"/>
        <v>UF</v>
      </c>
      <c r="DC220" s="73" t="str">
        <f t="shared" si="243"/>
        <v>UF</v>
      </c>
      <c r="DD220" s="5" t="str">
        <f>IF(G220&lt;48,"UF", IF(NOT(ISBLANK(CZ:CZ)), CZ:CZ, IF(CL:CL=3, CK:CK+Sheet2!B346, IF(CL:CL=4, CK:CK+Sheet2!B347, IF(CL:CL=7, CK:CK+Sheet2!B348,"")))))</f>
        <v>UF</v>
      </c>
      <c r="DE220" s="69" t="str">
        <f t="shared" si="202"/>
        <v/>
      </c>
      <c r="DF220" s="2">
        <v>2</v>
      </c>
      <c r="DG220" s="2">
        <v>37</v>
      </c>
      <c r="DH220" s="2">
        <v>1</v>
      </c>
      <c r="DI220" s="2">
        <v>2</v>
      </c>
      <c r="DJ220" s="2">
        <v>2</v>
      </c>
      <c r="DK220" s="2">
        <v>110</v>
      </c>
      <c r="DL220" s="2">
        <v>70</v>
      </c>
      <c r="DM220" s="2" t="s">
        <v>12</v>
      </c>
      <c r="DN220" s="2" t="s">
        <v>12</v>
      </c>
      <c r="DO220" s="2" t="s">
        <v>12</v>
      </c>
      <c r="DP220" s="2" t="s">
        <v>12</v>
      </c>
      <c r="DQ220" s="2">
        <v>1</v>
      </c>
      <c r="DR220" s="2">
        <v>36</v>
      </c>
      <c r="DS220" s="2">
        <v>2</v>
      </c>
      <c r="DT220" s="2">
        <v>89</v>
      </c>
      <c r="DU220" s="2">
        <v>85</v>
      </c>
      <c r="DV220" s="2">
        <v>2</v>
      </c>
      <c r="DW220" s="2">
        <v>2</v>
      </c>
      <c r="DX220" s="2">
        <v>2</v>
      </c>
      <c r="DY220" s="2">
        <v>3</v>
      </c>
      <c r="DZ220" s="2">
        <v>43</v>
      </c>
      <c r="EA220" s="2" t="s">
        <v>12</v>
      </c>
      <c r="EB220" s="2">
        <v>46.5</v>
      </c>
      <c r="EC220" s="2" t="s">
        <v>12</v>
      </c>
      <c r="ED220" s="2">
        <v>1</v>
      </c>
    </row>
    <row r="221" spans="2:134" x14ac:dyDescent="0.25">
      <c r="C221" s="2">
        <v>14000620</v>
      </c>
      <c r="D221" s="2">
        <v>2501028406</v>
      </c>
      <c r="E221" s="5" t="s">
        <v>528</v>
      </c>
      <c r="F221" s="2">
        <v>1</v>
      </c>
      <c r="G221" s="2">
        <v>45</v>
      </c>
      <c r="H221" s="2">
        <v>-1.8110790890640389</v>
      </c>
      <c r="I221" s="2">
        <v>48</v>
      </c>
      <c r="J221" s="2">
        <v>-0.61614996855203885</v>
      </c>
      <c r="K221" s="5">
        <v>2600</v>
      </c>
      <c r="L221" s="2">
        <v>-1.473952090495636</v>
      </c>
      <c r="M221" s="2">
        <v>-1.7947</v>
      </c>
      <c r="N221" s="2">
        <f t="shared" si="203"/>
        <v>-5.2860455467980572E-2</v>
      </c>
      <c r="O221" s="2">
        <f t="shared" si="204"/>
        <v>-1.7947</v>
      </c>
      <c r="P221" s="2">
        <v>64</v>
      </c>
      <c r="Q221" s="2">
        <v>-0.77</v>
      </c>
      <c r="R221" s="5">
        <f t="shared" si="205"/>
        <v>-8.1925015723980588E-2</v>
      </c>
      <c r="S221" s="5">
        <f t="shared" si="206"/>
        <v>-0.77</v>
      </c>
      <c r="T221" s="1">
        <v>5900</v>
      </c>
      <c r="U221" s="2">
        <v>-1.76</v>
      </c>
      <c r="V221" s="2">
        <f t="shared" si="207"/>
        <v>-0.16802395475218201</v>
      </c>
      <c r="W221" s="2">
        <f t="shared" si="208"/>
        <v>-1.76</v>
      </c>
      <c r="X221" s="2">
        <v>-1.9168000000000001</v>
      </c>
      <c r="Y221" s="76">
        <f t="shared" si="244"/>
        <v>-0.10572091093596114</v>
      </c>
      <c r="Z221" s="76">
        <f t="shared" si="245"/>
        <v>-1</v>
      </c>
      <c r="AA221" s="2">
        <f t="shared" si="209"/>
        <v>-0.49629999999999996</v>
      </c>
      <c r="AB221" s="2">
        <f t="shared" si="210"/>
        <v>-1.9168000000000001</v>
      </c>
      <c r="AC221" s="2">
        <v>72</v>
      </c>
      <c r="AD221" s="2">
        <v>-0.78</v>
      </c>
      <c r="AE221" s="79">
        <f t="shared" si="246"/>
        <v>-0.16385003144796118</v>
      </c>
      <c r="AF221" s="79">
        <f t="shared" si="247"/>
        <v>-1</v>
      </c>
      <c r="AG221" s="2">
        <f t="shared" si="200"/>
        <v>-0.255</v>
      </c>
      <c r="AH221" s="2">
        <f t="shared" si="211"/>
        <v>-0.78</v>
      </c>
      <c r="AI221" s="2">
        <v>7200</v>
      </c>
      <c r="AJ221" s="2">
        <v>-1.81</v>
      </c>
      <c r="AK221" s="76">
        <f t="shared" si="248"/>
        <v>-0.33604790950436403</v>
      </c>
      <c r="AL221" s="76">
        <f t="shared" si="249"/>
        <v>-1</v>
      </c>
      <c r="AM221" s="2">
        <f t="shared" si="212"/>
        <v>-0.12499999999999989</v>
      </c>
      <c r="AN221" s="2">
        <f t="shared" si="213"/>
        <v>-1.81</v>
      </c>
      <c r="AO221" s="2">
        <v>-1.7625999999999999</v>
      </c>
      <c r="AP221" s="2">
        <f t="shared" si="214"/>
        <v>-0.99153890593348593</v>
      </c>
      <c r="AQ221" s="2">
        <f t="shared" si="215"/>
        <v>-1.7625999999999999</v>
      </c>
      <c r="AR221" s="2">
        <v>77</v>
      </c>
      <c r="AS221" s="2">
        <v>-1.28</v>
      </c>
      <c r="AT221" s="2">
        <f t="shared" si="216"/>
        <v>0.33307336982548003</v>
      </c>
      <c r="AU221" s="2">
        <f t="shared" si="217"/>
        <v>-1.28</v>
      </c>
      <c r="AV221" s="2">
        <v>8050</v>
      </c>
      <c r="AW221" s="2">
        <v>-2.0099999999999998</v>
      </c>
      <c r="AX221" s="2">
        <f t="shared" si="218"/>
        <v>-0.71524760439844748</v>
      </c>
      <c r="AY221" s="2">
        <f t="shared" si="219"/>
        <v>-2.0099999999999998</v>
      </c>
      <c r="AZ221" s="2">
        <v>-3.8998778118669719</v>
      </c>
      <c r="BA221" s="78">
        <f t="shared" si="250"/>
        <v>-1.9830778118669719</v>
      </c>
      <c r="BB221" s="78">
        <f t="shared" si="251"/>
        <v>-2</v>
      </c>
      <c r="BC221" s="2" t="str">
        <f t="shared" si="220"/>
        <v/>
      </c>
      <c r="BD221" s="2">
        <f t="shared" si="221"/>
        <v>-3.8998778118669719</v>
      </c>
      <c r="BE221" s="67">
        <f t="shared" si="252"/>
        <v>1</v>
      </c>
      <c r="BF221" s="2">
        <v>85</v>
      </c>
      <c r="BG221" s="2">
        <v>-0.11385326034904</v>
      </c>
      <c r="BH221" s="2" t="str">
        <f t="shared" si="222"/>
        <v/>
      </c>
      <c r="BI221" s="2">
        <f t="shared" si="223"/>
        <v>-0.11385326034904</v>
      </c>
      <c r="BJ221" s="67">
        <f t="shared" si="224"/>
        <v>7</v>
      </c>
      <c r="BK221" s="2">
        <v>8900</v>
      </c>
      <c r="BL221" s="2">
        <v>-3.240495208796895</v>
      </c>
      <c r="BM221" s="77">
        <f t="shared" si="253"/>
        <v>-1.430495208796895</v>
      </c>
      <c r="BN221" s="77">
        <f t="shared" si="254"/>
        <v>-2</v>
      </c>
      <c r="BO221" s="2" t="str">
        <f t="shared" si="225"/>
        <v/>
      </c>
      <c r="BP221" s="2">
        <f t="shared" si="226"/>
        <v>-3.240495208796895</v>
      </c>
      <c r="BQ221" s="67">
        <f t="shared" si="255"/>
        <v>3</v>
      </c>
      <c r="BS221" s="75" t="e">
        <f t="shared" si="256"/>
        <v>#REF!</v>
      </c>
      <c r="BT221" s="75" t="e">
        <f t="shared" si="257"/>
        <v>#REF!</v>
      </c>
      <c r="BU221" s="5" t="e">
        <f>IF(#REF!&gt;=36, IF(AND(NOT(ISBLANK(CM:CM)), NOT(ISBLANK(BD:BD))), (CM:CM-BD:BD)/2, ""), "UF")</f>
        <v>#REF!</v>
      </c>
      <c r="BV221" s="5" t="e">
        <f t="shared" si="227"/>
        <v>#REF!</v>
      </c>
      <c r="BW221" s="69" t="e">
        <f t="shared" si="228"/>
        <v>#REF!</v>
      </c>
      <c r="BX221" s="2" t="s">
        <v>12</v>
      </c>
      <c r="BZ221" s="74" t="e">
        <f t="shared" si="258"/>
        <v>#VALUE!</v>
      </c>
      <c r="CA221" s="74" t="e">
        <f t="shared" si="259"/>
        <v>#VALUE!</v>
      </c>
      <c r="CB221" s="5" t="str">
        <f t="shared" si="229"/>
        <v/>
      </c>
      <c r="CC221" s="5" t="e">
        <f t="shared" si="230"/>
        <v>#VALUE!</v>
      </c>
      <c r="CD221" s="2" t="e">
        <f t="shared" si="231"/>
        <v>#VALUE!</v>
      </c>
      <c r="CE221" s="69" t="e">
        <f t="shared" si="232"/>
        <v>#VALUE!</v>
      </c>
      <c r="CF221" s="5" t="s">
        <v>12</v>
      </c>
      <c r="CH221" s="72" t="e">
        <f t="shared" si="260"/>
        <v>#VALUE!</v>
      </c>
      <c r="CI221" s="72" t="e">
        <f t="shared" si="261"/>
        <v>#VALUE!</v>
      </c>
      <c r="CJ221" s="5" t="str">
        <f t="shared" si="233"/>
        <v/>
      </c>
      <c r="CK221" s="5" t="e">
        <f t="shared" si="234"/>
        <v>#VALUE!</v>
      </c>
      <c r="CL221" s="69" t="e">
        <f t="shared" si="235"/>
        <v>#VALUE!</v>
      </c>
      <c r="CN221" s="70" t="str">
        <f t="shared" si="236"/>
        <v/>
      </c>
      <c r="CO221" s="5" t="str">
        <f t="shared" si="237"/>
        <v>UF</v>
      </c>
      <c r="CP221" s="5" t="str">
        <f>IF(G221&lt;48,"UF", IF(NOT(ISBLANK(CM:CM)), CM:CM, IF(BW:BW=1, BV:BV+Sheet2!B41, IF(Sheet1!BW:BW=2, Sheet1!BV:BV+Sheet2!B42, IF(Sheet1!BW:BW=7, Sheet1!BV:BV+Sheet2!B43,"")))))</f>
        <v>UF</v>
      </c>
      <c r="CQ221" s="69" t="str">
        <f t="shared" si="262"/>
        <v/>
      </c>
      <c r="CR221" s="5" t="s">
        <v>12</v>
      </c>
      <c r="CT221" s="5" t="str">
        <f t="shared" si="238"/>
        <v/>
      </c>
      <c r="CU221" s="80" t="str">
        <f t="shared" si="239"/>
        <v>UF</v>
      </c>
      <c r="CV221" s="80" t="str">
        <f t="shared" si="240"/>
        <v>UF</v>
      </c>
      <c r="CW221" s="20" t="str">
        <f>IF(G221&lt;48,"UF", IF(NOT(ISBLANK(CS221)), CS221, IF(CE221=5, CC221+Sheet2!B30, IF(CE221=6, CC221+Sheet2!B31, IF(CE221=7, CC221+Sheet2!B32,"")))))</f>
        <v>UF</v>
      </c>
      <c r="CX221" s="68" t="str">
        <f t="shared" si="263"/>
        <v/>
      </c>
      <c r="CY221" s="5" t="s">
        <v>12</v>
      </c>
      <c r="DA221" s="5" t="str">
        <f t="shared" si="241"/>
        <v>UF</v>
      </c>
      <c r="DB221" s="73" t="str">
        <f t="shared" si="242"/>
        <v>UF</v>
      </c>
      <c r="DC221" s="73" t="str">
        <f t="shared" si="243"/>
        <v>UF</v>
      </c>
      <c r="DD221" s="5" t="str">
        <f>IF(G221&lt;48,"UF", IF(NOT(ISBLANK(CZ:CZ)), CZ:CZ, IF(CL:CL=3, CK:CK+Sheet2!B35, IF(CL:CL=4, CK:CK+Sheet2!B36, IF(CL:CL=7, CK:CK+Sheet2!B37,"")))))</f>
        <v>UF</v>
      </c>
      <c r="DE221" s="69" t="str">
        <f t="shared" si="202"/>
        <v/>
      </c>
      <c r="DF221" s="2">
        <v>2</v>
      </c>
      <c r="DG221" s="2">
        <v>36</v>
      </c>
      <c r="DH221" s="2">
        <v>1</v>
      </c>
      <c r="DI221" s="2">
        <v>2</v>
      </c>
      <c r="DJ221" s="2">
        <v>2</v>
      </c>
      <c r="DK221" s="2">
        <v>100</v>
      </c>
      <c r="DL221" s="2">
        <v>55</v>
      </c>
      <c r="DM221" s="2">
        <v>100</v>
      </c>
      <c r="DN221" s="2">
        <v>55</v>
      </c>
      <c r="DO221" s="2">
        <v>100</v>
      </c>
      <c r="DP221" s="2">
        <v>60</v>
      </c>
      <c r="DQ221" s="2">
        <v>2</v>
      </c>
      <c r="DR221" s="2">
        <v>39</v>
      </c>
      <c r="DS221" s="2">
        <v>2</v>
      </c>
      <c r="DT221" s="2">
        <v>92</v>
      </c>
      <c r="DU221" s="2">
        <v>88</v>
      </c>
      <c r="DV221" s="2">
        <v>2</v>
      </c>
      <c r="DW221" s="2">
        <v>2</v>
      </c>
      <c r="DX221" s="2">
        <v>2</v>
      </c>
      <c r="DY221" s="2">
        <v>3</v>
      </c>
      <c r="DZ221" s="2">
        <v>34</v>
      </c>
      <c r="EA221" s="2">
        <v>33</v>
      </c>
      <c r="EB221" s="2">
        <v>44</v>
      </c>
      <c r="EC221" s="2">
        <v>1</v>
      </c>
      <c r="ED221" s="2">
        <v>1</v>
      </c>
    </row>
    <row r="222" spans="2:134" x14ac:dyDescent="0.25">
      <c r="C222" s="8" t="s">
        <v>304</v>
      </c>
      <c r="D222" s="8">
        <v>2501028686</v>
      </c>
      <c r="E222" s="5">
        <v>7</v>
      </c>
      <c r="F222" s="2">
        <v>1</v>
      </c>
      <c r="G222" s="2">
        <v>42</v>
      </c>
      <c r="H222" s="2">
        <v>-0.87203706367568257</v>
      </c>
      <c r="I222" s="2">
        <v>51</v>
      </c>
      <c r="J222" s="2">
        <v>0.99441714029262385</v>
      </c>
      <c r="K222" s="2">
        <v>3200</v>
      </c>
      <c r="L222" s="2">
        <v>-7.0518060756779827E-2</v>
      </c>
      <c r="M222" s="2">
        <v>0.38140000000000002</v>
      </c>
      <c r="N222" s="2">
        <f t="shared" si="203"/>
        <v>0.71471853183784129</v>
      </c>
      <c r="O222" s="2">
        <f t="shared" si="204"/>
        <v>0.38140000000000002</v>
      </c>
      <c r="P222" s="2">
        <v>72.5</v>
      </c>
      <c r="Q222" s="2">
        <v>2.98</v>
      </c>
      <c r="R222" s="5">
        <f t="shared" si="205"/>
        <v>0.66779142985368811</v>
      </c>
      <c r="S222" s="5">
        <f t="shared" si="206"/>
        <v>2.98</v>
      </c>
      <c r="T222" s="2">
        <v>9200</v>
      </c>
      <c r="U222" s="2">
        <v>1.88</v>
      </c>
      <c r="V222" s="2">
        <f t="shared" si="207"/>
        <v>0.86025903037838991</v>
      </c>
      <c r="W222" s="2">
        <f t="shared" si="208"/>
        <v>1.88</v>
      </c>
      <c r="X222" s="2">
        <v>0.55740000000000001</v>
      </c>
      <c r="Y222" s="76">
        <f t="shared" si="244"/>
        <v>1.4294370636756826</v>
      </c>
      <c r="Z222" s="76">
        <f t="shared" si="245"/>
        <v>2</v>
      </c>
      <c r="AA222" s="2">
        <f t="shared" si="209"/>
        <v>-0.79984999999999995</v>
      </c>
      <c r="AB222" s="2">
        <f t="shared" si="210"/>
        <v>0.55740000000000001</v>
      </c>
      <c r="AC222" s="2">
        <v>80</v>
      </c>
      <c r="AD222" s="2">
        <v>2.33</v>
      </c>
      <c r="AE222" s="79">
        <f t="shared" si="246"/>
        <v>1.3355828597073762</v>
      </c>
      <c r="AF222" s="79">
        <f t="shared" si="247"/>
        <v>2</v>
      </c>
      <c r="AG222" s="2">
        <f t="shared" si="200"/>
        <v>-0.84</v>
      </c>
      <c r="AH222" s="2">
        <f t="shared" si="211"/>
        <v>2.33</v>
      </c>
      <c r="AI222" s="2">
        <v>11000</v>
      </c>
      <c r="AJ222" s="2">
        <v>1.65</v>
      </c>
      <c r="AK222" s="76">
        <f t="shared" si="248"/>
        <v>1.7205180607567798</v>
      </c>
      <c r="AL222" s="76">
        <f t="shared" si="249"/>
        <v>2</v>
      </c>
      <c r="AM222" s="2">
        <f t="shared" si="212"/>
        <v>-8.4999999999999964E-2</v>
      </c>
      <c r="AN222" s="2">
        <f t="shared" si="213"/>
        <v>1.65</v>
      </c>
      <c r="AO222" s="2">
        <v>1.3803000000000001</v>
      </c>
      <c r="AP222" s="2" t="str">
        <f t="shared" si="214"/>
        <v/>
      </c>
      <c r="AQ222" s="2">
        <f t="shared" si="215"/>
        <v>1.3803000000000001</v>
      </c>
      <c r="AR222" s="2">
        <v>84.5</v>
      </c>
      <c r="AS222" s="2">
        <v>1.3</v>
      </c>
      <c r="AT222" s="2" t="str">
        <f t="shared" si="216"/>
        <v/>
      </c>
      <c r="AU222" s="2">
        <f t="shared" si="217"/>
        <v>1.3</v>
      </c>
      <c r="AV222" s="2">
        <v>12700</v>
      </c>
      <c r="AW222" s="2">
        <v>1.71</v>
      </c>
      <c r="AX222" s="2" t="str">
        <f t="shared" si="218"/>
        <v/>
      </c>
      <c r="AY222" s="2">
        <f t="shared" si="219"/>
        <v>1.71</v>
      </c>
      <c r="BA222" s="78">
        <f t="shared" si="250"/>
        <v>-0.54915357512680696</v>
      </c>
      <c r="BB222" s="78">
        <f t="shared" si="251"/>
        <v>-1</v>
      </c>
      <c r="BC222" s="2">
        <f t="shared" si="220"/>
        <v>-1.372053575126807</v>
      </c>
      <c r="BD222" s="2">
        <f t="shared" si="221"/>
        <v>8.2464248731930478E-3</v>
      </c>
      <c r="BE222" s="67">
        <f t="shared" si="252"/>
        <v>7</v>
      </c>
      <c r="BF222" s="2" t="s">
        <v>12</v>
      </c>
      <c r="BH222" s="2">
        <f t="shared" si="222"/>
        <v>-0.36722050586856136</v>
      </c>
      <c r="BI222" s="2">
        <f t="shared" si="223"/>
        <v>0.93277949413143868</v>
      </c>
      <c r="BJ222" s="67">
        <f t="shared" si="224"/>
        <v>7</v>
      </c>
      <c r="BK222" s="2" t="s">
        <v>12</v>
      </c>
      <c r="BM222" s="77">
        <f t="shared" si="253"/>
        <v>-0.99934836377885206</v>
      </c>
      <c r="BN222" s="77">
        <f t="shared" si="254"/>
        <v>-2</v>
      </c>
      <c r="BO222" s="2">
        <f t="shared" si="225"/>
        <v>-1.0593483637788521</v>
      </c>
      <c r="BP222" s="2">
        <f t="shared" si="226"/>
        <v>0.65065163622114786</v>
      </c>
      <c r="BQ222" s="67">
        <f t="shared" si="255"/>
        <v>7</v>
      </c>
      <c r="BR222" s="5">
        <v>-2.7358607253804208</v>
      </c>
      <c r="BS222" s="75">
        <f t="shared" si="256"/>
        <v>-2.7441071502536136</v>
      </c>
      <c r="BT222" s="75">
        <f t="shared" si="257"/>
        <v>-2</v>
      </c>
      <c r="BU222" s="5" t="str">
        <f>IF(G229&gt;=36, IF(AND(NOT(ISBLANK(CM:CM)), NOT(ISBLANK(BD:BD))), (CM:CM-BD:BD)/2, ""), "UF")</f>
        <v/>
      </c>
      <c r="BV222" s="5">
        <f t="shared" si="227"/>
        <v>-2.7358607253804208</v>
      </c>
      <c r="BW222" s="69">
        <f t="shared" si="228"/>
        <v>2</v>
      </c>
      <c r="BX222" s="2">
        <v>95</v>
      </c>
      <c r="BY222" s="5">
        <v>0.19833848239431601</v>
      </c>
      <c r="BZ222" s="74">
        <f t="shared" si="258"/>
        <v>-0.45231315382683185</v>
      </c>
      <c r="CA222" s="74">
        <f t="shared" si="259"/>
        <v>-1</v>
      </c>
      <c r="CB222" s="5" t="str">
        <f t="shared" si="229"/>
        <v/>
      </c>
      <c r="CC222" s="5">
        <f t="shared" si="230"/>
        <v>0.19833848239431601</v>
      </c>
      <c r="CD222" s="2">
        <f t="shared" si="231"/>
        <v>-0.73444101173712273</v>
      </c>
      <c r="CE222" s="69">
        <f t="shared" si="232"/>
        <v>7</v>
      </c>
      <c r="CF222" s="5">
        <v>17800</v>
      </c>
      <c r="CG222" s="5">
        <v>-1.4680450913365559</v>
      </c>
      <c r="CH222" s="72">
        <f t="shared" si="260"/>
        <v>-2.1186967275577038</v>
      </c>
      <c r="CI222" s="72">
        <f t="shared" si="261"/>
        <v>-2</v>
      </c>
      <c r="CJ222" s="5" t="str">
        <f t="shared" si="233"/>
        <v/>
      </c>
      <c r="CK222" s="5">
        <f t="shared" si="234"/>
        <v>-1.4680450913365559</v>
      </c>
      <c r="CL222" s="69">
        <f t="shared" si="235"/>
        <v>7</v>
      </c>
      <c r="CN222" s="70" t="str">
        <f t="shared" si="236"/>
        <v/>
      </c>
      <c r="CO222" s="5" t="str">
        <f t="shared" si="237"/>
        <v>UF</v>
      </c>
      <c r="CP222" s="5" t="str">
        <f>IF(G222&lt;48,"UF", IF(NOT(ISBLANK(CM:CM)), CM:CM, IF(BW:BW=1, BV:BV+Sheet2!B517, IF(Sheet1!BW:BW=2, Sheet1!BV:BV+Sheet2!B518, IF(Sheet1!BW:BW=7, Sheet1!BV:BV+Sheet2!B519,"")))))</f>
        <v>UF</v>
      </c>
      <c r="CQ222" s="69" t="str">
        <f t="shared" si="262"/>
        <v/>
      </c>
      <c r="CR222" s="5" t="s">
        <v>12</v>
      </c>
      <c r="CT222" s="5" t="str">
        <f t="shared" si="238"/>
        <v/>
      </c>
      <c r="CU222" s="80" t="str">
        <f t="shared" si="239"/>
        <v>UF</v>
      </c>
      <c r="CV222" s="80" t="str">
        <f t="shared" si="240"/>
        <v>UF</v>
      </c>
      <c r="CW222" s="20" t="str">
        <f>IF(G222&lt;48,"UF", IF(NOT(ISBLANK(CS222)), CS222, IF(CE222=5, CC222+Sheet2!B506, IF(CE222=6, CC222+Sheet2!B507, IF(CE222=7, CC222+Sheet2!B508,"")))))</f>
        <v>UF</v>
      </c>
      <c r="CX222" s="68" t="str">
        <f t="shared" si="263"/>
        <v/>
      </c>
      <c r="CY222" s="5" t="s">
        <v>12</v>
      </c>
      <c r="DA222" s="5" t="str">
        <f t="shared" si="241"/>
        <v>UF</v>
      </c>
      <c r="DB222" s="73" t="str">
        <f t="shared" si="242"/>
        <v>UF</v>
      </c>
      <c r="DC222" s="73" t="str">
        <f t="shared" si="243"/>
        <v>UF</v>
      </c>
      <c r="DD222" s="5" t="str">
        <f>IF(G222&lt;48,"UF", IF(NOT(ISBLANK(CZ:CZ)), CZ:CZ, IF(CL:CL=3, CK:CK+Sheet2!B511, IF(CL:CL=4, CK:CK+Sheet2!B512, IF(CL:CL=7, CK:CK+Sheet2!B513,"")))))</f>
        <v>UF</v>
      </c>
      <c r="DE222" s="69" t="str">
        <f t="shared" si="202"/>
        <v/>
      </c>
      <c r="DF222" s="2">
        <v>2</v>
      </c>
      <c r="DG222" s="2">
        <v>25</v>
      </c>
      <c r="DH222" s="2">
        <v>2</v>
      </c>
      <c r="DI222" s="2">
        <v>2</v>
      </c>
      <c r="DJ222" s="2">
        <v>2</v>
      </c>
      <c r="DK222" s="2">
        <v>110</v>
      </c>
      <c r="DL222" s="2">
        <v>60</v>
      </c>
      <c r="DM222" s="2">
        <v>113</v>
      </c>
      <c r="DN222" s="2">
        <v>60</v>
      </c>
      <c r="DO222" s="2">
        <v>110</v>
      </c>
      <c r="DP222" s="2">
        <v>70</v>
      </c>
      <c r="DQ222" s="2">
        <v>2</v>
      </c>
      <c r="DR222" s="2">
        <v>39</v>
      </c>
      <c r="DS222" s="2">
        <v>1</v>
      </c>
      <c r="DT222" s="2">
        <v>95</v>
      </c>
      <c r="DU222" s="2">
        <v>96</v>
      </c>
      <c r="DV222" s="2">
        <v>2</v>
      </c>
      <c r="DW222" s="2">
        <v>2</v>
      </c>
      <c r="DX222" s="2">
        <v>2</v>
      </c>
      <c r="DY222" s="2">
        <v>1</v>
      </c>
      <c r="DZ222" s="2">
        <v>34</v>
      </c>
      <c r="EA222" s="2">
        <v>35</v>
      </c>
      <c r="EB222" s="2">
        <v>46.9</v>
      </c>
      <c r="EC222" s="2">
        <v>1</v>
      </c>
      <c r="ED222" s="2">
        <v>4</v>
      </c>
    </row>
    <row r="223" spans="2:134" x14ac:dyDescent="0.25">
      <c r="C223" s="2">
        <v>14000628</v>
      </c>
      <c r="D223" s="2">
        <v>2501028708</v>
      </c>
      <c r="E223" s="5">
        <v>2</v>
      </c>
      <c r="F223" s="2">
        <v>1</v>
      </c>
      <c r="G223" s="2">
        <v>45</v>
      </c>
      <c r="H223" s="2">
        <v>-0.44324479820409463</v>
      </c>
      <c r="I223" s="2">
        <v>50</v>
      </c>
      <c r="J223" s="2">
        <v>0.45756143734440202</v>
      </c>
      <c r="K223" s="5">
        <v>3200</v>
      </c>
      <c r="L223" s="2">
        <v>-7.0518060756779827E-2</v>
      </c>
      <c r="M223" s="2">
        <v>-1.0626</v>
      </c>
      <c r="N223" s="2">
        <f t="shared" si="203"/>
        <v>-0.53177760089795267</v>
      </c>
      <c r="O223" s="2">
        <f t="shared" si="204"/>
        <v>-1.0626</v>
      </c>
      <c r="P223" s="2">
        <v>67</v>
      </c>
      <c r="Q223" s="2">
        <v>0.55000000000000004</v>
      </c>
      <c r="R223" s="5">
        <f t="shared" si="205"/>
        <v>-0.22878071867220101</v>
      </c>
      <c r="S223" s="5">
        <f t="shared" si="206"/>
        <v>0.55000000000000004</v>
      </c>
      <c r="T223" s="1">
        <v>6900</v>
      </c>
      <c r="U223" s="2">
        <v>-0.46</v>
      </c>
      <c r="V223" s="2">
        <f t="shared" si="207"/>
        <v>-0.49474096962161013</v>
      </c>
      <c r="W223" s="2">
        <f t="shared" si="208"/>
        <v>-0.46</v>
      </c>
      <c r="X223" s="2">
        <v>-1.5067999999999999</v>
      </c>
      <c r="Y223" s="76">
        <f t="shared" si="244"/>
        <v>-1.0635552017959053</v>
      </c>
      <c r="Z223" s="76">
        <f t="shared" si="245"/>
        <v>-2</v>
      </c>
      <c r="AA223" s="2">
        <f t="shared" si="209"/>
        <v>-0.94835000000000003</v>
      </c>
      <c r="AB223" s="2">
        <f t="shared" si="210"/>
        <v>-1.5067999999999999</v>
      </c>
      <c r="AC223" s="2">
        <v>74</v>
      </c>
      <c r="AD223" s="2">
        <v>0</v>
      </c>
      <c r="AE223" s="79">
        <f t="shared" si="246"/>
        <v>-0.45756143734440202</v>
      </c>
      <c r="AF223" s="79">
        <f t="shared" si="247"/>
        <v>-1</v>
      </c>
      <c r="AG223" s="2">
        <f t="shared" si="200"/>
        <v>-0.31000000000000005</v>
      </c>
      <c r="AH223" s="2">
        <f t="shared" si="211"/>
        <v>0</v>
      </c>
      <c r="AI223" s="2">
        <v>7870</v>
      </c>
      <c r="AJ223" s="2">
        <v>-1.06</v>
      </c>
      <c r="AK223" s="76">
        <f t="shared" si="248"/>
        <v>-0.98948193924322025</v>
      </c>
      <c r="AL223" s="76">
        <f t="shared" si="249"/>
        <v>-2</v>
      </c>
      <c r="AM223" s="2">
        <f t="shared" si="212"/>
        <v>-0.255</v>
      </c>
      <c r="AN223" s="2">
        <f t="shared" si="213"/>
        <v>-1.06</v>
      </c>
      <c r="AO223" s="2">
        <v>-1.3467</v>
      </c>
      <c r="AP223" s="2">
        <f t="shared" si="214"/>
        <v>-1.0361704506164209</v>
      </c>
      <c r="AQ223" s="2">
        <f t="shared" si="215"/>
        <v>-1.3467</v>
      </c>
      <c r="AR223" s="2">
        <v>80.5</v>
      </c>
      <c r="AS223" s="2">
        <v>-7.0000000000000007E-2</v>
      </c>
      <c r="AT223" s="2">
        <f t="shared" si="216"/>
        <v>8.6376922184507848E-2</v>
      </c>
      <c r="AU223" s="2">
        <f t="shared" si="217"/>
        <v>-7.0000000000000007E-2</v>
      </c>
      <c r="AV223" s="2">
        <v>9100</v>
      </c>
      <c r="AW223" s="2">
        <v>-0.97</v>
      </c>
      <c r="AX223" s="2">
        <f t="shared" si="218"/>
        <v>-0.83685640682062856</v>
      </c>
      <c r="AY223" s="2">
        <f t="shared" si="219"/>
        <v>-0.97</v>
      </c>
      <c r="AZ223" s="2">
        <v>-3.5791409012328419</v>
      </c>
      <c r="BA223" s="78">
        <f t="shared" si="250"/>
        <v>-2.0723409012328418</v>
      </c>
      <c r="BB223" s="78">
        <f t="shared" si="251"/>
        <v>-2</v>
      </c>
      <c r="BC223" s="2">
        <f t="shared" si="220"/>
        <v>-0.52527136686850473</v>
      </c>
      <c r="BD223" s="2">
        <f t="shared" si="221"/>
        <v>-3.5791409012328419</v>
      </c>
      <c r="BE223" s="67">
        <f t="shared" si="252"/>
        <v>1</v>
      </c>
      <c r="BF223" s="2">
        <v>86</v>
      </c>
      <c r="BG223" s="2">
        <v>0.1727538443690157</v>
      </c>
      <c r="BH223" s="2">
        <f t="shared" si="222"/>
        <v>5.3583512327289055E-3</v>
      </c>
      <c r="BI223" s="2">
        <f t="shared" si="223"/>
        <v>0.1727538443690157</v>
      </c>
      <c r="BJ223" s="67">
        <f t="shared" si="224"/>
        <v>7</v>
      </c>
      <c r="BK223" s="2">
        <v>9300</v>
      </c>
      <c r="BL223" s="2">
        <v>-2.7337128136412572</v>
      </c>
      <c r="BM223" s="77">
        <f t="shared" si="253"/>
        <v>-1.6737128136412571</v>
      </c>
      <c r="BN223" s="77">
        <f t="shared" si="254"/>
        <v>-2</v>
      </c>
      <c r="BO223" s="2">
        <f t="shared" si="225"/>
        <v>-0.2702503591591307</v>
      </c>
      <c r="BP223" s="2">
        <f t="shared" si="226"/>
        <v>-2.7337128136412572</v>
      </c>
      <c r="BQ223" s="67">
        <f t="shared" si="255"/>
        <v>4</v>
      </c>
      <c r="BR223" s="5">
        <v>-2.9225141006055142</v>
      </c>
      <c r="BS223" s="75">
        <f t="shared" si="256"/>
        <v>0.6566268006273277</v>
      </c>
      <c r="BT223" s="75">
        <f t="shared" si="257"/>
        <v>1</v>
      </c>
      <c r="BU223" s="5" t="e">
        <f>IF(#REF!&gt;=36, IF(AND(NOT(ISBLANK(CM:CM)), NOT(ISBLANK(BD:BD))), (CM:CM-BD:BD)/2, ""), "UF")</f>
        <v>#REF!</v>
      </c>
      <c r="BV223" s="5">
        <f t="shared" si="227"/>
        <v>-2.9225141006055142</v>
      </c>
      <c r="BW223" s="69">
        <f t="shared" si="228"/>
        <v>2</v>
      </c>
      <c r="BX223" s="2">
        <v>94</v>
      </c>
      <c r="BY223" s="5">
        <v>-5.3924946301813291E-2</v>
      </c>
      <c r="BZ223" s="74">
        <f t="shared" si="258"/>
        <v>2.679787867339444</v>
      </c>
      <c r="CA223" s="74">
        <f t="shared" si="259"/>
        <v>2</v>
      </c>
      <c r="CB223" s="5" t="str">
        <f t="shared" si="229"/>
        <v/>
      </c>
      <c r="CC223" s="5">
        <f t="shared" si="230"/>
        <v>-5.3924946301813291E-2</v>
      </c>
      <c r="CD223" s="2">
        <f t="shared" si="231"/>
        <v>-0.22667879067082899</v>
      </c>
      <c r="CE223" s="69">
        <f t="shared" si="232"/>
        <v>7</v>
      </c>
      <c r="CF223" s="5">
        <v>11500</v>
      </c>
      <c r="CG223" s="5">
        <v>-1.780751077477392</v>
      </c>
      <c r="CH223" s="72">
        <f t="shared" si="260"/>
        <v>0.95296173616386515</v>
      </c>
      <c r="CI223" s="72">
        <f t="shared" si="261"/>
        <v>2</v>
      </c>
      <c r="CJ223" s="5" t="str">
        <f t="shared" si="233"/>
        <v/>
      </c>
      <c r="CK223" s="5">
        <f t="shared" si="234"/>
        <v>-1.780751077477392</v>
      </c>
      <c r="CL223" s="69">
        <f t="shared" si="235"/>
        <v>7</v>
      </c>
      <c r="CN223" s="70" t="str">
        <f t="shared" si="236"/>
        <v/>
      </c>
      <c r="CO223" s="5" t="str">
        <f t="shared" si="237"/>
        <v>UF</v>
      </c>
      <c r="CP223" s="5" t="str">
        <f>IF(G223&lt;48,"UF", IF(NOT(ISBLANK(CM:CM)), CM:CM, IF(BW:BW=1, BV:BV+Sheet2!B108, IF(Sheet1!BW:BW=2, Sheet1!BV:BV+Sheet2!B109, IF(Sheet1!BW:BW=7, Sheet1!BV:BV+Sheet2!B110,"")))))</f>
        <v>UF</v>
      </c>
      <c r="CQ223" s="69" t="str">
        <f t="shared" si="262"/>
        <v/>
      </c>
      <c r="CR223" s="5" t="s">
        <v>12</v>
      </c>
      <c r="CT223" s="5" t="str">
        <f t="shared" si="238"/>
        <v/>
      </c>
      <c r="CU223" s="80" t="str">
        <f t="shared" si="239"/>
        <v>UF</v>
      </c>
      <c r="CV223" s="80" t="str">
        <f t="shared" si="240"/>
        <v>UF</v>
      </c>
      <c r="CW223" s="20" t="str">
        <f>IF(G223&lt;48,"UF", IF(NOT(ISBLANK(CS223)), CS223, IF(CE223=5, CC223+Sheet2!B97, IF(CE223=6, CC223+Sheet2!B98, IF(CE223=7, CC223+Sheet2!B99,"")))))</f>
        <v>UF</v>
      </c>
      <c r="CX223" s="68" t="str">
        <f t="shared" si="263"/>
        <v/>
      </c>
      <c r="CY223" s="5" t="s">
        <v>12</v>
      </c>
      <c r="DA223" s="5" t="str">
        <f t="shared" si="241"/>
        <v>UF</v>
      </c>
      <c r="DB223" s="73" t="str">
        <f t="shared" si="242"/>
        <v>UF</v>
      </c>
      <c r="DC223" s="73" t="str">
        <f t="shared" si="243"/>
        <v>UF</v>
      </c>
      <c r="DD223" s="5" t="str">
        <f>IF(G223&lt;48,"UF", IF(NOT(ISBLANK(CZ:CZ)), CZ:CZ, IF(CL:CL=3, CK:CK+Sheet2!B102, IF(CL:CL=4, CK:CK+Sheet2!B103, IF(CL:CL=7, CK:CK+Sheet2!B104,"")))))</f>
        <v>UF</v>
      </c>
      <c r="DE223" s="69" t="str">
        <f t="shared" si="202"/>
        <v/>
      </c>
      <c r="DF223" s="2">
        <v>1</v>
      </c>
      <c r="DG223" s="2">
        <v>21</v>
      </c>
      <c r="DH223" s="2">
        <v>2</v>
      </c>
      <c r="DI223" s="2">
        <v>2</v>
      </c>
      <c r="DJ223" s="2">
        <v>2</v>
      </c>
      <c r="DK223" s="2" t="s">
        <v>12</v>
      </c>
      <c r="DL223" s="2" t="s">
        <v>12</v>
      </c>
      <c r="DM223" s="2">
        <v>100</v>
      </c>
      <c r="DN223" s="2">
        <v>60</v>
      </c>
      <c r="DO223" s="2">
        <v>101</v>
      </c>
      <c r="DP223" s="2">
        <v>60</v>
      </c>
      <c r="DQ223" s="2">
        <v>2</v>
      </c>
      <c r="DR223" s="2">
        <v>40</v>
      </c>
      <c r="DS223" s="2">
        <v>2</v>
      </c>
      <c r="DT223" s="2">
        <v>81</v>
      </c>
      <c r="DU223" s="2">
        <v>70</v>
      </c>
      <c r="DV223" s="2">
        <v>4</v>
      </c>
      <c r="DW223" s="2">
        <v>2</v>
      </c>
      <c r="DX223" s="2">
        <v>2</v>
      </c>
      <c r="DY223" s="2">
        <v>2</v>
      </c>
      <c r="DZ223" s="2">
        <v>34</v>
      </c>
      <c r="EA223" s="2">
        <v>35</v>
      </c>
      <c r="EB223" s="2">
        <v>44.5</v>
      </c>
      <c r="EC223" s="2">
        <v>1</v>
      </c>
      <c r="ED223" s="2">
        <v>1</v>
      </c>
    </row>
    <row r="224" spans="2:134" x14ac:dyDescent="0.25">
      <c r="B224" s="2"/>
      <c r="C224" s="2" t="s">
        <v>411</v>
      </c>
      <c r="D224" s="2">
        <v>2501029917</v>
      </c>
      <c r="E224" s="5">
        <v>6</v>
      </c>
      <c r="F224" s="2">
        <v>2</v>
      </c>
      <c r="G224" s="2">
        <v>45</v>
      </c>
      <c r="H224">
        <v>-6.6311478589843551</v>
      </c>
      <c r="I224" s="2">
        <v>66</v>
      </c>
      <c r="J224">
        <v>8.5128899809310941</v>
      </c>
      <c r="K224" s="5">
        <v>2935</v>
      </c>
      <c r="L224" s="2">
        <v>-0.87811793934967142</v>
      </c>
      <c r="M224" s="2">
        <v>-3.2979551239379949</v>
      </c>
      <c r="N224" s="2">
        <f t="shared" si="203"/>
        <v>3.111421466601815</v>
      </c>
      <c r="O224" s="2">
        <f t="shared" si="204"/>
        <v>-3.2979551239379949</v>
      </c>
      <c r="P224" s="2">
        <v>72</v>
      </c>
      <c r="Q224" s="2">
        <v>1.685170302055043</v>
      </c>
      <c r="R224" s="5">
        <f t="shared" si="205"/>
        <v>-5.1564838875522332</v>
      </c>
      <c r="S224" s="5">
        <f t="shared" si="206"/>
        <v>1.685170302055043</v>
      </c>
      <c r="T224" s="1">
        <v>6900</v>
      </c>
      <c r="U224" s="2">
        <v>-1.466964632874695</v>
      </c>
      <c r="V224" s="2">
        <f t="shared" si="207"/>
        <v>-0.24336458416845674</v>
      </c>
      <c r="W224" s="2">
        <f t="shared" si="208"/>
        <v>-1.466964632874695</v>
      </c>
      <c r="X224" s="2">
        <v>-0.40830492578072541</v>
      </c>
      <c r="Y224" s="76">
        <f t="shared" si="244"/>
        <v>6.2228429332036299</v>
      </c>
      <c r="Z224" s="76">
        <f t="shared" si="245"/>
        <v>2</v>
      </c>
      <c r="AA224" s="2">
        <f t="shared" si="209"/>
        <v>-1.1764978250495572</v>
      </c>
      <c r="AB224" s="2">
        <f t="shared" si="210"/>
        <v>-0.40830492578072541</v>
      </c>
      <c r="AC224" s="2">
        <v>72</v>
      </c>
      <c r="AD224" s="2">
        <v>-1.800077794173373</v>
      </c>
      <c r="AE224" s="79">
        <f t="shared" si="246"/>
        <v>-10.312967775104466</v>
      </c>
      <c r="AF224" s="79">
        <f t="shared" si="247"/>
        <v>-2</v>
      </c>
      <c r="AG224" s="2">
        <f t="shared" si="200"/>
        <v>-1.7086563223061451</v>
      </c>
      <c r="AH224" s="2">
        <f t="shared" si="211"/>
        <v>-1.800077794173373</v>
      </c>
      <c r="AI224" s="2">
        <v>8400</v>
      </c>
      <c r="AJ224" s="2">
        <v>-1.3648471076865849</v>
      </c>
      <c r="AK224" s="76">
        <f t="shared" si="248"/>
        <v>-0.48672916833691349</v>
      </c>
      <c r="AL224" s="76">
        <f t="shared" si="249"/>
        <v>-1</v>
      </c>
      <c r="AM224" s="2">
        <f t="shared" si="212"/>
        <v>-3.2594538335355527E-2</v>
      </c>
      <c r="AN224" s="2">
        <f t="shared" si="213"/>
        <v>-1.3648471076865849</v>
      </c>
      <c r="AO224" s="2">
        <v>-0.66782534804407145</v>
      </c>
      <c r="AP224" s="2">
        <f t="shared" si="214"/>
        <v>0.32400158361946335</v>
      </c>
      <c r="AQ224" s="2">
        <f t="shared" si="215"/>
        <v>-0.66782534804407145</v>
      </c>
      <c r="AR224" s="2">
        <v>78</v>
      </c>
      <c r="AS224" s="2">
        <v>-1.7321423425572471</v>
      </c>
      <c r="AT224" s="2">
        <f t="shared" si="216"/>
        <v>-7.7438560189164507E-2</v>
      </c>
      <c r="AU224" s="2">
        <f t="shared" si="217"/>
        <v>-1.7321423425572471</v>
      </c>
      <c r="AV224" s="2">
        <v>9300</v>
      </c>
      <c r="AW224" s="2">
        <v>-1.5321537095454061</v>
      </c>
      <c r="AX224" s="2">
        <f t="shared" si="218"/>
        <v>-9.5620989031712567E-2</v>
      </c>
      <c r="AY224" s="2">
        <f t="shared" si="219"/>
        <v>-1.5321537095454061</v>
      </c>
      <c r="AZ224" s="2">
        <v>0.23969824145820129</v>
      </c>
      <c r="BA224" s="78">
        <f t="shared" si="250"/>
        <v>0.6480031672389267</v>
      </c>
      <c r="BB224" s="78">
        <f t="shared" si="251"/>
        <v>1</v>
      </c>
      <c r="BC224" s="2">
        <f t="shared" si="220"/>
        <v>0.43558612218047932</v>
      </c>
      <c r="BD224" s="2">
        <f t="shared" si="221"/>
        <v>0.23969824145820129</v>
      </c>
      <c r="BE224" s="67">
        <f t="shared" si="252"/>
        <v>7</v>
      </c>
      <c r="BF224" s="2">
        <v>80</v>
      </c>
      <c r="BG224" s="2">
        <v>-1.954954914551702</v>
      </c>
      <c r="BH224" s="2">
        <f t="shared" si="222"/>
        <v>-8.5940534403766325E-2</v>
      </c>
      <c r="BI224" s="2">
        <f t="shared" si="223"/>
        <v>-1.954954914551702</v>
      </c>
      <c r="BJ224" s="67">
        <f t="shared" si="224"/>
        <v>7</v>
      </c>
      <c r="BK224" s="2">
        <v>10800</v>
      </c>
      <c r="BL224" s="2">
        <v>-1.55608908575001</v>
      </c>
      <c r="BM224" s="77">
        <f t="shared" si="253"/>
        <v>-0.19124197806342513</v>
      </c>
      <c r="BN224" s="77">
        <f t="shared" si="254"/>
        <v>-1</v>
      </c>
      <c r="BO224" s="2">
        <f t="shared" si="225"/>
        <v>0.19550453560096306</v>
      </c>
      <c r="BP224" s="2">
        <f t="shared" si="226"/>
        <v>-1.55608908575001</v>
      </c>
      <c r="BQ224" s="67">
        <f t="shared" si="255"/>
        <v>7</v>
      </c>
      <c r="BR224" s="2">
        <v>0.6389330184973665</v>
      </c>
      <c r="BS224" s="75">
        <f t="shared" si="256"/>
        <v>0.39923477703916521</v>
      </c>
      <c r="BT224" s="75">
        <f t="shared" si="257"/>
        <v>1</v>
      </c>
      <c r="BU224" s="5" t="str">
        <f>IF(G230&gt;=36, IF(AND(NOT(ISBLANK(CM:CM)), NOT(ISBLANK(BD:BD))), (CM:CM-BD:BD)/2, ""), "UF")</f>
        <v/>
      </c>
      <c r="BV224" s="5">
        <f t="shared" si="227"/>
        <v>0.6389330184973665</v>
      </c>
      <c r="BW224" s="69">
        <f t="shared" si="228"/>
        <v>7</v>
      </c>
      <c r="BX224" s="2">
        <v>88</v>
      </c>
      <c r="BY224" s="2">
        <v>-1.9899639457685461</v>
      </c>
      <c r="BZ224" s="74">
        <f t="shared" si="258"/>
        <v>-0.43387486001853603</v>
      </c>
      <c r="CA224" s="74">
        <f t="shared" si="259"/>
        <v>-1</v>
      </c>
      <c r="CB224" s="5" t="str">
        <f t="shared" si="229"/>
        <v/>
      </c>
      <c r="CC224" s="5">
        <f t="shared" si="230"/>
        <v>-1.9899639457685461</v>
      </c>
      <c r="CD224" s="2">
        <f t="shared" si="231"/>
        <v>-3.5009031216844066E-2</v>
      </c>
      <c r="CE224" s="69">
        <f t="shared" si="232"/>
        <v>7</v>
      </c>
      <c r="CF224" s="5">
        <v>13000</v>
      </c>
      <c r="CG224" s="2">
        <v>-0.94564010274251686</v>
      </c>
      <c r="CH224" s="72">
        <f t="shared" si="260"/>
        <v>0.61044898300749317</v>
      </c>
      <c r="CI224" s="72">
        <f t="shared" si="261"/>
        <v>1</v>
      </c>
      <c r="CJ224" s="5" t="str">
        <f t="shared" si="233"/>
        <v/>
      </c>
      <c r="CK224" s="5">
        <f t="shared" si="234"/>
        <v>-0.94564010274251686</v>
      </c>
      <c r="CL224" s="69">
        <f t="shared" si="235"/>
        <v>7</v>
      </c>
      <c r="CM224" s="2"/>
      <c r="CN224" s="70" t="str">
        <f t="shared" si="236"/>
        <v/>
      </c>
      <c r="CO224" s="5" t="str">
        <f t="shared" si="237"/>
        <v>UF</v>
      </c>
      <c r="CP224" s="5" t="str">
        <f>IF(G224&lt;48,"UF", IF(NOT(ISBLANK(CM:CM)), CM:CM, IF(BW:BW=1, BV:BV+Sheet2!B622, IF(Sheet1!BW:BW=2, Sheet1!BV:BV+Sheet2!B623, IF(Sheet1!BW:BW=7, Sheet1!BV:BV+Sheet2!B624,"")))))</f>
        <v>UF</v>
      </c>
      <c r="CQ224" s="69" t="str">
        <f t="shared" si="262"/>
        <v/>
      </c>
      <c r="CR224" s="5" t="s">
        <v>12</v>
      </c>
      <c r="CS224" s="2"/>
      <c r="CT224" s="5" t="str">
        <f t="shared" si="238"/>
        <v/>
      </c>
      <c r="CU224" s="80" t="str">
        <f t="shared" si="239"/>
        <v>UF</v>
      </c>
      <c r="CV224" s="80" t="str">
        <f t="shared" si="240"/>
        <v>UF</v>
      </c>
      <c r="CW224" s="20" t="str">
        <f>IF(G224&lt;48,"UF", IF(NOT(ISBLANK(CS224)), CS224, IF(CE224=5, CC224+Sheet2!B611, IF(CE224=6, CC224+Sheet2!B612, IF(CE224=7, CC224+Sheet2!B613,"")))))</f>
        <v>UF</v>
      </c>
      <c r="CX224" s="68" t="str">
        <f t="shared" si="263"/>
        <v/>
      </c>
      <c r="CY224" s="5" t="s">
        <v>12</v>
      </c>
      <c r="DA224" s="5" t="str">
        <f t="shared" si="241"/>
        <v>UF</v>
      </c>
      <c r="DB224" s="73" t="str">
        <f t="shared" si="242"/>
        <v>UF</v>
      </c>
      <c r="DC224" s="73" t="str">
        <f t="shared" si="243"/>
        <v>UF</v>
      </c>
      <c r="DD224" s="5" t="str">
        <f>IF(G224&lt;48,"UF", IF(NOT(ISBLANK(CZ:CZ)), CZ:CZ, IF(CL:CL=3, CK:CK+Sheet2!B616, IF(CL:CL=4, CK:CK+Sheet2!B617, IF(CL:CL=7, CK:CK+Sheet2!B618,"")))))</f>
        <v>UF</v>
      </c>
      <c r="DE224" s="69" t="str">
        <f t="shared" si="202"/>
        <v/>
      </c>
      <c r="DF224" s="2">
        <v>1</v>
      </c>
      <c r="DG224" s="2">
        <v>30</v>
      </c>
      <c r="DH224" s="2">
        <v>2</v>
      </c>
      <c r="DI224" s="2">
        <v>2</v>
      </c>
      <c r="DJ224" s="2">
        <v>2</v>
      </c>
      <c r="DK224" s="2">
        <v>100</v>
      </c>
      <c r="DL224" s="2">
        <v>60</v>
      </c>
      <c r="DM224" s="2">
        <v>100</v>
      </c>
      <c r="DN224" s="2">
        <v>70</v>
      </c>
      <c r="DO224" s="2">
        <v>100</v>
      </c>
      <c r="DP224" s="2">
        <v>70</v>
      </c>
      <c r="DQ224" s="2">
        <v>2</v>
      </c>
      <c r="DR224" s="2">
        <v>40</v>
      </c>
      <c r="DS224" s="2">
        <v>1</v>
      </c>
      <c r="DT224" s="2">
        <v>96</v>
      </c>
      <c r="DU224" s="2">
        <v>86</v>
      </c>
      <c r="DV224" s="2">
        <v>2</v>
      </c>
      <c r="DW224" s="2">
        <v>2</v>
      </c>
      <c r="DX224" s="2">
        <v>4</v>
      </c>
      <c r="DY224" s="2">
        <v>2</v>
      </c>
      <c r="DZ224" s="2">
        <v>34</v>
      </c>
      <c r="EA224" s="2">
        <v>35</v>
      </c>
      <c r="EB224" s="2">
        <v>46</v>
      </c>
      <c r="EC224" s="2">
        <v>1</v>
      </c>
      <c r="ED224" s="2">
        <v>1</v>
      </c>
    </row>
    <row r="225" spans="3:134" x14ac:dyDescent="0.25">
      <c r="C225" s="5" t="s">
        <v>43</v>
      </c>
      <c r="D225" s="2">
        <v>2501030931</v>
      </c>
      <c r="E225" s="5">
        <v>2</v>
      </c>
      <c r="F225" s="2">
        <v>2</v>
      </c>
      <c r="G225" s="2">
        <v>41</v>
      </c>
      <c r="H225" s="2">
        <v>-7.3119226061244172E-2</v>
      </c>
      <c r="I225" s="2">
        <v>52</v>
      </c>
      <c r="J225" s="2">
        <v>1.117633928075521</v>
      </c>
      <c r="K225" s="5">
        <v>3600</v>
      </c>
      <c r="L225" s="2">
        <v>0.50669087134292667</v>
      </c>
      <c r="N225" s="2">
        <f t="shared" si="203"/>
        <v>-3.0340386969377915E-2</v>
      </c>
      <c r="O225" s="2">
        <f t="shared" si="204"/>
        <v>-0.10345961303062209</v>
      </c>
      <c r="P225" s="2" t="s">
        <v>12</v>
      </c>
      <c r="R225" s="5">
        <f t="shared" si="205"/>
        <v>-0.50381696403776044</v>
      </c>
      <c r="S225" s="5">
        <f t="shared" si="206"/>
        <v>0.61381696403776054</v>
      </c>
      <c r="T225" s="1" t="s">
        <v>12</v>
      </c>
      <c r="V225" s="2">
        <f t="shared" si="207"/>
        <v>-0.27334543567146335</v>
      </c>
      <c r="W225" s="2">
        <f t="shared" si="208"/>
        <v>0.23334543567146332</v>
      </c>
      <c r="X225" s="2">
        <v>-0.1338</v>
      </c>
      <c r="Y225" s="76">
        <f t="shared" si="244"/>
        <v>-6.068077393875583E-2</v>
      </c>
      <c r="Z225" s="76">
        <f t="shared" si="245"/>
        <v>-1</v>
      </c>
      <c r="AA225" s="2" t="str">
        <f t="shared" si="209"/>
        <v/>
      </c>
      <c r="AB225" s="2">
        <f t="shared" si="210"/>
        <v>-0.1338</v>
      </c>
      <c r="AC225" s="2">
        <v>76</v>
      </c>
      <c r="AD225" s="2">
        <v>0.11</v>
      </c>
      <c r="AE225" s="79">
        <f t="shared" si="246"/>
        <v>-1.0076339280755209</v>
      </c>
      <c r="AF225" s="79">
        <f t="shared" si="247"/>
        <v>-2</v>
      </c>
      <c r="AG225" s="2" t="str">
        <f t="shared" ref="AG225:AG288" si="265">IF(AND(NOT(ISBLANK(S225)), NOT(ISBLANK(AS225))), (AS225 - S225)/2, "")</f>
        <v/>
      </c>
      <c r="AH225" s="2">
        <f t="shared" si="211"/>
        <v>0.11</v>
      </c>
      <c r="AI225" s="2">
        <v>9600</v>
      </c>
      <c r="AJ225" s="2">
        <v>-0.04</v>
      </c>
      <c r="AK225" s="76">
        <f t="shared" si="248"/>
        <v>-0.54669087134292671</v>
      </c>
      <c r="AL225" s="76">
        <f t="shared" si="249"/>
        <v>-1</v>
      </c>
      <c r="AM225" s="2" t="str">
        <f t="shared" si="212"/>
        <v/>
      </c>
      <c r="AN225" s="2">
        <f t="shared" si="213"/>
        <v>-0.04</v>
      </c>
      <c r="AP225" s="2">
        <f t="shared" si="214"/>
        <v>-1.7038658525655646</v>
      </c>
      <c r="AQ225" s="2">
        <f t="shared" si="215"/>
        <v>-1.8376658525655645</v>
      </c>
      <c r="AR225" s="2" t="s">
        <v>12</v>
      </c>
      <c r="AT225" s="2">
        <f t="shared" si="216"/>
        <v>-3.5279539001440215E-2</v>
      </c>
      <c r="AU225" s="2">
        <f t="shared" si="217"/>
        <v>7.4720460998559779E-2</v>
      </c>
      <c r="AV225" s="2" t="s">
        <v>12</v>
      </c>
      <c r="AX225" s="2">
        <f t="shared" si="218"/>
        <v>-1.1298516865348536</v>
      </c>
      <c r="AY225" s="2">
        <f t="shared" si="219"/>
        <v>-1.1698516865348536</v>
      </c>
      <c r="AZ225" s="2">
        <v>-3.541531705131129</v>
      </c>
      <c r="BA225" s="78">
        <f t="shared" si="250"/>
        <v>-3.4077317051311291</v>
      </c>
      <c r="BB225" s="78">
        <f t="shared" si="251"/>
        <v>-2</v>
      </c>
      <c r="BC225" s="2" t="str">
        <f t="shared" si="220"/>
        <v/>
      </c>
      <c r="BD225" s="2">
        <f t="shared" si="221"/>
        <v>-3.541531705131129</v>
      </c>
      <c r="BE225" s="67">
        <f t="shared" si="252"/>
        <v>1</v>
      </c>
      <c r="BF225" s="2">
        <v>87</v>
      </c>
      <c r="BG225" s="2">
        <v>3.9440921997119571E-2</v>
      </c>
      <c r="BH225" s="2" t="str">
        <f t="shared" si="222"/>
        <v/>
      </c>
      <c r="BI225" s="2">
        <f t="shared" si="223"/>
        <v>3.9440921997119571E-2</v>
      </c>
      <c r="BJ225" s="67">
        <f t="shared" si="224"/>
        <v>7</v>
      </c>
      <c r="BK225" s="2">
        <v>10000</v>
      </c>
      <c r="BL225" s="2">
        <v>-2.2997033730697072</v>
      </c>
      <c r="BM225" s="77">
        <f t="shared" si="253"/>
        <v>-2.2597033730697071</v>
      </c>
      <c r="BN225" s="77">
        <f t="shared" si="254"/>
        <v>-2</v>
      </c>
      <c r="BO225" s="2" t="str">
        <f t="shared" si="225"/>
        <v/>
      </c>
      <c r="BP225" s="2">
        <f t="shared" si="226"/>
        <v>-2.2997033730697072</v>
      </c>
      <c r="BQ225" s="67">
        <f t="shared" si="255"/>
        <v>4</v>
      </c>
      <c r="BS225" s="75" t="e">
        <f t="shared" si="256"/>
        <v>#REF!</v>
      </c>
      <c r="BT225" s="75" t="e">
        <f t="shared" si="257"/>
        <v>#REF!</v>
      </c>
      <c r="BU225" s="5" t="e">
        <f>IF(#REF!&gt;=36, IF(AND(NOT(ISBLANK(CM:CM)), NOT(ISBLANK(BD:BD))), (CM:CM-BD:BD)/2, ""), "UF")</f>
        <v>#REF!</v>
      </c>
      <c r="BV225" s="5" t="e">
        <f t="shared" si="227"/>
        <v>#REF!</v>
      </c>
      <c r="BW225" s="69" t="e">
        <f t="shared" si="228"/>
        <v>#REF!</v>
      </c>
      <c r="BX225" s="2" t="s">
        <v>12</v>
      </c>
      <c r="BZ225" s="74" t="e">
        <f t="shared" si="258"/>
        <v>#VALUE!</v>
      </c>
      <c r="CA225" s="74" t="e">
        <f t="shared" si="259"/>
        <v>#VALUE!</v>
      </c>
      <c r="CB225" s="5" t="str">
        <f t="shared" si="229"/>
        <v/>
      </c>
      <c r="CC225" s="5" t="e">
        <f t="shared" si="230"/>
        <v>#VALUE!</v>
      </c>
      <c r="CD225" s="2" t="e">
        <f t="shared" si="231"/>
        <v>#VALUE!</v>
      </c>
      <c r="CE225" s="69" t="e">
        <f t="shared" si="232"/>
        <v>#VALUE!</v>
      </c>
      <c r="CF225" s="5" t="s">
        <v>12</v>
      </c>
      <c r="CH225" s="72" t="e">
        <f t="shared" si="260"/>
        <v>#VALUE!</v>
      </c>
      <c r="CI225" s="72" t="e">
        <f t="shared" si="261"/>
        <v>#VALUE!</v>
      </c>
      <c r="CJ225" s="5" t="str">
        <f t="shared" si="233"/>
        <v/>
      </c>
      <c r="CK225" s="5" t="e">
        <f t="shared" si="234"/>
        <v>#VALUE!</v>
      </c>
      <c r="CL225" s="69" t="e">
        <f t="shared" si="235"/>
        <v>#VALUE!</v>
      </c>
      <c r="CN225" s="70" t="str">
        <f t="shared" si="236"/>
        <v/>
      </c>
      <c r="CO225" s="5" t="str">
        <f t="shared" si="237"/>
        <v>UF</v>
      </c>
      <c r="CP225" s="5" t="str">
        <f>IF(G225&lt;48,"UF", IF(NOT(ISBLANK(CM:CM)), CM:CM, IF(BW:BW=1, BV:BV+Sheet2!B63, IF(Sheet1!BW:BW=2, Sheet1!BV:BV+Sheet2!B64, IF(Sheet1!BW:BW=7, Sheet1!BV:BV+Sheet2!B65,"")))))</f>
        <v>UF</v>
      </c>
      <c r="CQ225" s="69" t="str">
        <f t="shared" si="262"/>
        <v/>
      </c>
      <c r="CR225" s="5" t="s">
        <v>12</v>
      </c>
      <c r="CT225" s="5" t="str">
        <f t="shared" si="238"/>
        <v/>
      </c>
      <c r="CU225" s="80" t="str">
        <f t="shared" si="239"/>
        <v>UF</v>
      </c>
      <c r="CV225" s="80" t="str">
        <f t="shared" si="240"/>
        <v>UF</v>
      </c>
      <c r="CW225" s="20" t="str">
        <f>IF(G225&lt;48,"UF", IF(NOT(ISBLANK(CS225)), CS225, IF(CE225=5, CC225+Sheet2!B52, IF(CE225=6, CC225+Sheet2!B53, IF(CE225=7, CC225+Sheet2!B54,"")))))</f>
        <v>UF</v>
      </c>
      <c r="CX225" s="68" t="str">
        <f t="shared" si="263"/>
        <v/>
      </c>
      <c r="CY225" s="5" t="s">
        <v>12</v>
      </c>
      <c r="DA225" s="5" t="str">
        <f t="shared" si="241"/>
        <v>UF</v>
      </c>
      <c r="DB225" s="73" t="str">
        <f t="shared" si="242"/>
        <v>UF</v>
      </c>
      <c r="DC225" s="73" t="str">
        <f t="shared" si="243"/>
        <v>UF</v>
      </c>
      <c r="DD225" s="5" t="str">
        <f>IF(G225&lt;48,"UF", IF(NOT(ISBLANK(CZ:CZ)), CZ:CZ, IF(CL:CL=3, CK:CK+Sheet2!B57, IF(CL:CL=4, CK:CK+Sheet2!B58, IF(CL:CL=7, CK:CK+Sheet2!B59,"")))))</f>
        <v>UF</v>
      </c>
      <c r="DE225" s="69" t="str">
        <f t="shared" si="202"/>
        <v/>
      </c>
      <c r="DF225" s="2">
        <v>4</v>
      </c>
      <c r="DG225" s="2">
        <v>31</v>
      </c>
      <c r="DH225" s="2">
        <v>2</v>
      </c>
      <c r="DI225" s="2">
        <v>2</v>
      </c>
      <c r="DJ225" s="2">
        <v>2</v>
      </c>
      <c r="DK225" s="2">
        <v>100</v>
      </c>
      <c r="DL225" s="2">
        <v>60</v>
      </c>
      <c r="DM225" s="2">
        <v>120</v>
      </c>
      <c r="DN225" s="2">
        <v>80</v>
      </c>
      <c r="DO225" s="2">
        <v>110</v>
      </c>
      <c r="DP225" s="2">
        <v>60</v>
      </c>
      <c r="DQ225" s="2">
        <v>2</v>
      </c>
      <c r="DR225" s="2">
        <v>39</v>
      </c>
      <c r="DS225" s="2">
        <v>2</v>
      </c>
      <c r="DT225" s="2" t="s">
        <v>12</v>
      </c>
      <c r="DU225" s="2">
        <v>71</v>
      </c>
      <c r="DV225" s="2">
        <v>2</v>
      </c>
      <c r="DW225" s="2">
        <v>3</v>
      </c>
      <c r="DX225" s="2">
        <v>2</v>
      </c>
      <c r="DY225" s="2">
        <v>2</v>
      </c>
      <c r="DZ225" s="2">
        <v>33</v>
      </c>
      <c r="EA225" s="2">
        <v>36</v>
      </c>
      <c r="EB225" s="2">
        <v>45</v>
      </c>
      <c r="EC225" s="2">
        <v>4</v>
      </c>
      <c r="ED225" s="2">
        <v>1</v>
      </c>
    </row>
    <row r="226" spans="3:134" x14ac:dyDescent="0.25">
      <c r="C226" s="5" t="s">
        <v>13</v>
      </c>
      <c r="D226" s="10">
        <v>2501031156</v>
      </c>
      <c r="E226" s="5">
        <v>1</v>
      </c>
      <c r="F226" s="2">
        <v>2</v>
      </c>
      <c r="G226" s="2">
        <v>40</v>
      </c>
      <c r="H226" s="2">
        <v>-1.2789644565115481</v>
      </c>
      <c r="I226" s="2">
        <v>53</v>
      </c>
      <c r="J226" s="2">
        <v>1.645866503279491</v>
      </c>
      <c r="K226" s="5">
        <v>3340</v>
      </c>
      <c r="L226" s="2">
        <v>-1.310575364458897E-2</v>
      </c>
      <c r="M226" s="2">
        <v>-1.5008999999999999</v>
      </c>
      <c r="N226" s="2">
        <f t="shared" si="203"/>
        <v>-1.7637177717442261</v>
      </c>
      <c r="O226" s="2">
        <f t="shared" si="204"/>
        <v>-1.5008999999999999</v>
      </c>
      <c r="P226" s="2">
        <v>62</v>
      </c>
      <c r="Q226" s="2">
        <v>-2.64</v>
      </c>
      <c r="R226" s="5">
        <f t="shared" si="205"/>
        <v>-0.34793325163974553</v>
      </c>
      <c r="S226" s="5">
        <f t="shared" si="206"/>
        <v>-2.64</v>
      </c>
      <c r="T226" s="1">
        <v>5900</v>
      </c>
      <c r="U226" s="2">
        <v>-2.66</v>
      </c>
      <c r="V226" s="2">
        <f t="shared" si="207"/>
        <v>-1.4434471231777055</v>
      </c>
      <c r="W226" s="2">
        <f t="shared" si="208"/>
        <v>-2.66</v>
      </c>
      <c r="X226" s="2">
        <v>-4.8064</v>
      </c>
      <c r="Y226" s="76">
        <f t="shared" si="244"/>
        <v>-3.5274355434884521</v>
      </c>
      <c r="Z226" s="76">
        <f t="shared" si="245"/>
        <v>-2</v>
      </c>
      <c r="AA226" s="2">
        <f t="shared" si="209"/>
        <v>0.58265000000000011</v>
      </c>
      <c r="AB226" s="2">
        <f t="shared" si="210"/>
        <v>-4.8064</v>
      </c>
      <c r="AC226" s="2">
        <v>78</v>
      </c>
      <c r="AD226" s="2">
        <v>0.95</v>
      </c>
      <c r="AE226" s="79">
        <f t="shared" si="246"/>
        <v>-0.69586650327949107</v>
      </c>
      <c r="AF226" s="79">
        <f t="shared" si="247"/>
        <v>-2</v>
      </c>
      <c r="AG226" s="2">
        <f t="shared" si="265"/>
        <v>0.71500000000000008</v>
      </c>
      <c r="AH226" s="2">
        <f t="shared" si="211"/>
        <v>0.95</v>
      </c>
      <c r="AI226" s="2">
        <v>7000</v>
      </c>
      <c r="AJ226" s="2">
        <v>-2.9</v>
      </c>
      <c r="AK226" s="76">
        <f t="shared" si="248"/>
        <v>-2.886894246355411</v>
      </c>
      <c r="AL226" s="76">
        <f t="shared" si="249"/>
        <v>-2</v>
      </c>
      <c r="AM226" s="2">
        <f t="shared" si="212"/>
        <v>0.45500000000000007</v>
      </c>
      <c r="AN226" s="2">
        <f t="shared" si="213"/>
        <v>-2.9</v>
      </c>
      <c r="AO226" s="2">
        <v>-1.4746999999999999</v>
      </c>
      <c r="AP226" s="2">
        <f t="shared" si="214"/>
        <v>-2.6569590882608001</v>
      </c>
      <c r="AQ226" s="2">
        <f t="shared" si="215"/>
        <v>-1.4746999999999999</v>
      </c>
      <c r="AR226" s="2">
        <v>79</v>
      </c>
      <c r="AS226" s="2">
        <v>-1.21</v>
      </c>
      <c r="AT226" s="2">
        <f t="shared" si="216"/>
        <v>1.1128990584578382</v>
      </c>
      <c r="AU226" s="2">
        <f t="shared" si="217"/>
        <v>-1.21</v>
      </c>
      <c r="AV226" s="2">
        <v>9000</v>
      </c>
      <c r="AW226" s="2">
        <v>-1.75</v>
      </c>
      <c r="AX226" s="2">
        <f t="shared" si="218"/>
        <v>0.20151591037516647</v>
      </c>
      <c r="AY226" s="2">
        <f t="shared" si="219"/>
        <v>-1.75</v>
      </c>
      <c r="AZ226" s="2">
        <v>-10.1203181765216</v>
      </c>
      <c r="BA226" s="78">
        <f t="shared" si="250"/>
        <v>-5.3139181765216001</v>
      </c>
      <c r="BB226" s="78">
        <f t="shared" si="251"/>
        <v>-2</v>
      </c>
      <c r="BC226" s="2">
        <f t="shared" si="220"/>
        <v>-0.22842240146141002</v>
      </c>
      <c r="BD226" s="2">
        <f t="shared" si="221"/>
        <v>-10.1203181765216</v>
      </c>
      <c r="BE226" s="67">
        <f t="shared" si="252"/>
        <v>1</v>
      </c>
      <c r="BF226" s="2">
        <v>98</v>
      </c>
      <c r="BG226" s="2">
        <v>3.1757981169156762</v>
      </c>
      <c r="BH226" s="2">
        <f t="shared" si="222"/>
        <v>2.2524133237550314E-2</v>
      </c>
      <c r="BI226" s="2">
        <f t="shared" si="223"/>
        <v>3.1757981169156762</v>
      </c>
      <c r="BJ226" s="67" t="str">
        <f t="shared" si="224"/>
        <v/>
      </c>
      <c r="BK226" s="2">
        <v>9800</v>
      </c>
      <c r="BL226" s="2">
        <v>-2.496968179249667</v>
      </c>
      <c r="BM226" s="77">
        <f t="shared" si="253"/>
        <v>0.40303182075033295</v>
      </c>
      <c r="BN226" s="77">
        <f t="shared" si="254"/>
        <v>1</v>
      </c>
      <c r="BO226" s="2">
        <f t="shared" si="225"/>
        <v>-0.13640025845735973</v>
      </c>
      <c r="BP226" s="2">
        <f t="shared" si="226"/>
        <v>-2.496968179249667</v>
      </c>
      <c r="BQ226" s="67">
        <f t="shared" si="255"/>
        <v>4</v>
      </c>
      <c r="BR226" s="5">
        <v>-2.15996720438423</v>
      </c>
      <c r="BS226" s="75">
        <f t="shared" si="256"/>
        <v>7.9603509721373698</v>
      </c>
      <c r="BT226" s="75">
        <f t="shared" si="257"/>
        <v>2</v>
      </c>
      <c r="BU226" s="5" t="str">
        <f>IF(G231&gt;=36, IF(AND(NOT(ISBLANK(CM:CM)), NOT(ISBLANK(BD:BD))), (CM:CM-BD:BD)/2, ""), "UF")</f>
        <v/>
      </c>
      <c r="BV226" s="5">
        <f t="shared" si="227"/>
        <v>-2.15996720438423</v>
      </c>
      <c r="BW226" s="69">
        <f t="shared" si="228"/>
        <v>2</v>
      </c>
      <c r="BX226" s="2">
        <v>91</v>
      </c>
      <c r="BY226" s="5">
        <v>-1.142427600287349</v>
      </c>
      <c r="BZ226" s="74">
        <f t="shared" si="258"/>
        <v>1.3545405789623179</v>
      </c>
      <c r="CA226" s="74">
        <f t="shared" si="259"/>
        <v>2</v>
      </c>
      <c r="CB226" s="5" t="str">
        <f t="shared" si="229"/>
        <v/>
      </c>
      <c r="CC226" s="5">
        <f t="shared" si="230"/>
        <v>-1.142427600287349</v>
      </c>
      <c r="CD226" s="2">
        <f t="shared" si="231"/>
        <v>-4.3182257172030249</v>
      </c>
      <c r="CE226" s="69">
        <f t="shared" si="232"/>
        <v>7</v>
      </c>
      <c r="CF226" s="5">
        <v>11500</v>
      </c>
      <c r="CG226" s="5">
        <v>-2.1592007753720792</v>
      </c>
      <c r="CH226" s="72">
        <f t="shared" si="260"/>
        <v>0.33776740387758775</v>
      </c>
      <c r="CI226" s="72">
        <f t="shared" si="261"/>
        <v>1</v>
      </c>
      <c r="CJ226" s="5" t="str">
        <f t="shared" si="233"/>
        <v/>
      </c>
      <c r="CK226" s="5">
        <f t="shared" si="234"/>
        <v>-2.1592007753720792</v>
      </c>
      <c r="CL226" s="69">
        <f t="shared" si="235"/>
        <v>4</v>
      </c>
      <c r="CN226" s="70" t="str">
        <f t="shared" si="236"/>
        <v/>
      </c>
      <c r="CO226" s="5" t="str">
        <f t="shared" si="237"/>
        <v>UF</v>
      </c>
      <c r="CP226" s="5" t="str">
        <f>IF(G226&lt;48,"UF", IF(NOT(ISBLANK(CM:CM)), CM:CM, IF(BW:BW=1, BV:BV+Sheet2!B19, IF(Sheet1!BW:BW=2, Sheet1!BV:BV+Sheet2!B20, IF(Sheet1!BW:BW=7, Sheet1!BV:BV+Sheet2!B21,"")))))</f>
        <v>UF</v>
      </c>
      <c r="CQ226" s="69" t="str">
        <f t="shared" si="262"/>
        <v/>
      </c>
      <c r="CR226" s="5" t="s">
        <v>12</v>
      </c>
      <c r="CT226" s="5" t="str">
        <f t="shared" si="238"/>
        <v/>
      </c>
      <c r="CU226" s="80" t="str">
        <f t="shared" si="239"/>
        <v>UF</v>
      </c>
      <c r="CV226" s="80" t="str">
        <f t="shared" si="240"/>
        <v>UF</v>
      </c>
      <c r="CW226" s="20" t="str">
        <f>IF(G226&lt;48,"UF", IF(NOT(ISBLANK(CS226)), CS226, IF(CE226=5, CC226+Sheet2!B8, IF(CE226=6, CC226+Sheet2!B9, IF(CE226=7, CC226+Sheet2!B10,"")))))</f>
        <v>UF</v>
      </c>
      <c r="CX226" s="68" t="str">
        <f t="shared" si="263"/>
        <v/>
      </c>
      <c r="CY226" s="5" t="s">
        <v>12</v>
      </c>
      <c r="DA226" s="5" t="str">
        <f t="shared" si="241"/>
        <v>UF</v>
      </c>
      <c r="DB226" s="73" t="str">
        <f t="shared" si="242"/>
        <v>UF</v>
      </c>
      <c r="DC226" s="73" t="str">
        <f t="shared" si="243"/>
        <v>UF</v>
      </c>
      <c r="DD226" s="5" t="str">
        <f>IF(G226&lt;48,"UF", IF(NOT(ISBLANK(CZ:CZ)), CZ:CZ, IF(CL:CL=3, CK:CK+Sheet2!B13, IF(CL:CL=4, CK:CK+Sheet2!B14, IF(CL:CL=7, CK:CK+Sheet2!B15,"")))))</f>
        <v>UF</v>
      </c>
      <c r="DE226" s="69" t="str">
        <f t="shared" si="202"/>
        <v/>
      </c>
      <c r="DF226" s="2">
        <v>1</v>
      </c>
      <c r="DG226" s="2">
        <v>23</v>
      </c>
      <c r="DH226" s="2">
        <v>2</v>
      </c>
      <c r="DI226" s="2">
        <v>2</v>
      </c>
      <c r="DJ226" s="2">
        <v>2</v>
      </c>
      <c r="DK226" s="2">
        <v>120</v>
      </c>
      <c r="DL226" s="2">
        <v>75</v>
      </c>
      <c r="DM226" s="2">
        <v>110</v>
      </c>
      <c r="DN226" s="2">
        <v>60</v>
      </c>
      <c r="DO226" s="2">
        <v>110</v>
      </c>
      <c r="DP226" s="2">
        <v>75</v>
      </c>
      <c r="DQ226" s="2">
        <v>1</v>
      </c>
      <c r="DR226" s="2">
        <v>39</v>
      </c>
      <c r="DS226" s="2">
        <v>2</v>
      </c>
      <c r="DT226" s="2">
        <v>92</v>
      </c>
      <c r="DU226" s="2">
        <v>70</v>
      </c>
      <c r="DV226" s="2">
        <v>2</v>
      </c>
      <c r="DW226" s="2">
        <v>2</v>
      </c>
      <c r="DX226" s="2">
        <v>2</v>
      </c>
      <c r="DY226" s="2">
        <v>1</v>
      </c>
      <c r="DZ226" s="2">
        <v>34</v>
      </c>
      <c r="EA226" s="2">
        <v>34.5</v>
      </c>
      <c r="EB226" s="2">
        <v>44.5</v>
      </c>
      <c r="EC226" s="2">
        <v>1</v>
      </c>
      <c r="ED226" s="2">
        <v>1</v>
      </c>
    </row>
    <row r="227" spans="3:134" x14ac:dyDescent="0.25">
      <c r="C227" s="8" t="s">
        <v>181</v>
      </c>
      <c r="D227" s="4">
        <v>2501031164</v>
      </c>
      <c r="E227" s="5">
        <v>7</v>
      </c>
      <c r="F227" s="2">
        <v>2</v>
      </c>
      <c r="G227" s="2">
        <v>39</v>
      </c>
      <c r="H227" s="2">
        <v>-1.83258949838524</v>
      </c>
      <c r="I227" s="2">
        <v>51</v>
      </c>
      <c r="J227" s="2">
        <v>0.58940135287155082</v>
      </c>
      <c r="K227" s="1">
        <v>2940</v>
      </c>
      <c r="L227" s="2">
        <v>-0.8669790101491085</v>
      </c>
      <c r="M227" s="2">
        <v>0.84470000000000001</v>
      </c>
      <c r="N227" s="2">
        <f t="shared" si="203"/>
        <v>1.19909474919262</v>
      </c>
      <c r="O227" s="2">
        <f t="shared" si="204"/>
        <v>0.84470000000000001</v>
      </c>
      <c r="P227" s="2">
        <v>63.5</v>
      </c>
      <c r="Q227" s="2">
        <v>-1.94</v>
      </c>
      <c r="R227" s="5">
        <f t="shared" si="205"/>
        <v>-0.76470067643577533</v>
      </c>
      <c r="S227" s="5">
        <f t="shared" si="206"/>
        <v>-1.94</v>
      </c>
      <c r="T227" s="1">
        <v>7500</v>
      </c>
      <c r="U227" s="2">
        <v>-0.52</v>
      </c>
      <c r="V227" s="2">
        <f t="shared" si="207"/>
        <v>0.36348950507455424</v>
      </c>
      <c r="W227" s="2">
        <f t="shared" si="208"/>
        <v>-0.52</v>
      </c>
      <c r="X227" s="2">
        <v>0.56559999999999999</v>
      </c>
      <c r="Y227" s="76">
        <f t="shared" si="244"/>
        <v>2.3981894983852401</v>
      </c>
      <c r="Z227" s="76">
        <f t="shared" si="245"/>
        <v>2</v>
      </c>
      <c r="AA227" s="2">
        <f t="shared" si="209"/>
        <v>1.15255</v>
      </c>
      <c r="AB227" s="2">
        <f t="shared" si="210"/>
        <v>0.56559999999999999</v>
      </c>
      <c r="AC227" s="2">
        <v>73.5</v>
      </c>
      <c r="AD227" s="2">
        <v>-0.94</v>
      </c>
      <c r="AE227" s="79">
        <f t="shared" si="246"/>
        <v>-1.5294013528715507</v>
      </c>
      <c r="AF227" s="79">
        <f t="shared" si="247"/>
        <v>-2</v>
      </c>
      <c r="AG227" s="2">
        <f t="shared" si="265"/>
        <v>0.45999999999999996</v>
      </c>
      <c r="AH227" s="2">
        <f t="shared" si="211"/>
        <v>-0.94</v>
      </c>
      <c r="AI227" s="2">
        <v>9500</v>
      </c>
      <c r="AJ227" s="2">
        <v>-0.14000000000000001</v>
      </c>
      <c r="AK227" s="76">
        <f t="shared" si="248"/>
        <v>0.72697901014910848</v>
      </c>
      <c r="AL227" s="76">
        <f t="shared" si="249"/>
        <v>2</v>
      </c>
      <c r="AM227" s="2">
        <f t="shared" si="212"/>
        <v>7.5000000000000011E-2</v>
      </c>
      <c r="AN227" s="2">
        <f t="shared" si="213"/>
        <v>-0.14000000000000001</v>
      </c>
      <c r="AO227" s="2">
        <v>0.36509999999999998</v>
      </c>
      <c r="AP227" s="2">
        <f t="shared" si="214"/>
        <v>-6.3183140788537207E-2</v>
      </c>
      <c r="AQ227" s="2">
        <f t="shared" si="215"/>
        <v>0.36509999999999998</v>
      </c>
      <c r="AR227" s="2">
        <v>79.5</v>
      </c>
      <c r="AS227" s="2">
        <v>-1.02</v>
      </c>
      <c r="AT227" s="2">
        <f t="shared" si="216"/>
        <v>0.20474562723786</v>
      </c>
      <c r="AU227" s="2">
        <f t="shared" si="217"/>
        <v>-1.02</v>
      </c>
      <c r="AV227" s="2">
        <v>10500</v>
      </c>
      <c r="AW227" s="2">
        <v>-0.37</v>
      </c>
      <c r="AX227" s="2">
        <f t="shared" si="218"/>
        <v>-5.597043034205515E-2</v>
      </c>
      <c r="AY227" s="2">
        <f t="shared" si="219"/>
        <v>-0.37</v>
      </c>
      <c r="AZ227" s="2">
        <v>0.43923371842292558</v>
      </c>
      <c r="BA227" s="78">
        <f t="shared" si="250"/>
        <v>-0.12636628157707441</v>
      </c>
      <c r="BB227" s="78">
        <f t="shared" si="251"/>
        <v>-1</v>
      </c>
      <c r="BC227" s="2">
        <f t="shared" si="220"/>
        <v>6.8499926323690952E-2</v>
      </c>
      <c r="BD227" s="2">
        <f t="shared" si="221"/>
        <v>0.43923371842292558</v>
      </c>
      <c r="BE227" s="67">
        <f t="shared" si="252"/>
        <v>7</v>
      </c>
      <c r="BF227" s="2">
        <v>85</v>
      </c>
      <c r="BG227" s="2">
        <v>-0.53050874552427996</v>
      </c>
      <c r="BH227" s="2">
        <f t="shared" si="222"/>
        <v>1.0853630225395391E-2</v>
      </c>
      <c r="BI227" s="2">
        <f t="shared" si="223"/>
        <v>-0.53050874552427996</v>
      </c>
      <c r="BJ227" s="67">
        <f t="shared" si="224"/>
        <v>7</v>
      </c>
      <c r="BK227" s="2">
        <v>12400</v>
      </c>
      <c r="BL227" s="2">
        <v>-0.25194086068411031</v>
      </c>
      <c r="BM227" s="77">
        <f t="shared" si="253"/>
        <v>-0.1119408606841103</v>
      </c>
      <c r="BN227" s="77">
        <f t="shared" si="254"/>
        <v>-1</v>
      </c>
      <c r="BO227" s="2">
        <f t="shared" si="225"/>
        <v>3.8105280979818225E-2</v>
      </c>
      <c r="BP227" s="2">
        <f t="shared" si="226"/>
        <v>-0.25194086068411031</v>
      </c>
      <c r="BQ227" s="67">
        <f t="shared" si="255"/>
        <v>7</v>
      </c>
      <c r="BR227" s="5">
        <v>0.57059977897107284</v>
      </c>
      <c r="BS227" s="75">
        <f t="shared" si="256"/>
        <v>0.13136606054814726</v>
      </c>
      <c r="BT227" s="75">
        <f t="shared" si="257"/>
        <v>1</v>
      </c>
      <c r="BU227" s="5" t="str">
        <f>IF(G232&gt;=36, IF(AND(NOT(ISBLANK(CM:CM)), NOT(ISBLANK(BD:BD))), (CM:CM-BD:BD)/2, ""), "UF")</f>
        <v/>
      </c>
      <c r="BV227" s="5">
        <f t="shared" si="227"/>
        <v>0.57059977897107284</v>
      </c>
      <c r="BW227" s="69">
        <f t="shared" si="228"/>
        <v>7</v>
      </c>
      <c r="BX227" s="2">
        <v>97</v>
      </c>
      <c r="BY227" s="5">
        <v>-0.98743910932381385</v>
      </c>
      <c r="BZ227" s="74">
        <f t="shared" si="258"/>
        <v>-0.73549824863970348</v>
      </c>
      <c r="CA227" s="74">
        <f t="shared" si="259"/>
        <v>-2</v>
      </c>
      <c r="CB227" s="5" t="str">
        <f t="shared" si="229"/>
        <v/>
      </c>
      <c r="CC227" s="5">
        <f t="shared" si="230"/>
        <v>-0.98743910932381385</v>
      </c>
      <c r="CD227" s="2">
        <f t="shared" si="231"/>
        <v>-0.45693036379953389</v>
      </c>
      <c r="CE227" s="69">
        <f t="shared" si="232"/>
        <v>7</v>
      </c>
      <c r="CF227" s="5">
        <v>14000</v>
      </c>
      <c r="CG227" s="5">
        <v>-0.25568415706054531</v>
      </c>
      <c r="CH227" s="72">
        <f t="shared" si="260"/>
        <v>-3.7432963764350013E-3</v>
      </c>
      <c r="CI227" s="72">
        <f t="shared" si="261"/>
        <v>-1</v>
      </c>
      <c r="CJ227" s="5" t="str">
        <f t="shared" si="233"/>
        <v/>
      </c>
      <c r="CK227" s="5">
        <f t="shared" si="234"/>
        <v>-0.25568415706054531</v>
      </c>
      <c r="CL227" s="69">
        <f t="shared" si="235"/>
        <v>7</v>
      </c>
      <c r="CN227" s="70" t="str">
        <f t="shared" si="236"/>
        <v/>
      </c>
      <c r="CO227" s="5" t="str">
        <f t="shared" si="237"/>
        <v>UF</v>
      </c>
      <c r="CP227" s="5" t="str">
        <f>IF(G227&lt;48,"UF", IF(NOT(ISBLANK(CM:CM)), CM:CM, IF(BW:BW=1, BV:BV+Sheet2!B350, IF(Sheet1!BW:BW=2, Sheet1!BV:BV+Sheet2!B351, IF(Sheet1!BW:BW=7, Sheet1!BV:BV+Sheet2!B352,"")))))</f>
        <v>UF</v>
      </c>
      <c r="CQ227" s="69" t="str">
        <f t="shared" si="262"/>
        <v/>
      </c>
      <c r="CR227" s="5" t="s">
        <v>12</v>
      </c>
      <c r="CT227" s="5" t="str">
        <f t="shared" si="238"/>
        <v/>
      </c>
      <c r="CU227" s="80" t="str">
        <f t="shared" si="239"/>
        <v>UF</v>
      </c>
      <c r="CV227" s="80" t="str">
        <f t="shared" si="240"/>
        <v>UF</v>
      </c>
      <c r="CW227" s="20" t="str">
        <f>IF(G227&lt;48,"UF", IF(NOT(ISBLANK(CS227)), CS227, IF(CE227=5, CC227+Sheet2!B339, IF(CE227=6, CC227+Sheet2!B340, IF(CE227=7, CC227+Sheet2!B341,"")))))</f>
        <v>UF</v>
      </c>
      <c r="CX227" s="68" t="str">
        <f t="shared" si="263"/>
        <v/>
      </c>
      <c r="CY227" s="5" t="s">
        <v>12</v>
      </c>
      <c r="DA227" s="5" t="str">
        <f t="shared" si="241"/>
        <v>UF</v>
      </c>
      <c r="DB227" s="73" t="str">
        <f t="shared" si="242"/>
        <v>UF</v>
      </c>
      <c r="DC227" s="73" t="str">
        <f t="shared" si="243"/>
        <v>UF</v>
      </c>
      <c r="DD227" s="5" t="str">
        <f>IF(G227&lt;48,"UF", IF(NOT(ISBLANK(CZ:CZ)), CZ:CZ, IF(CL:CL=3, CK:CK+Sheet2!B344, IF(CL:CL=4, CK:CK+Sheet2!B345, IF(CL:CL=7, CK:CK+Sheet2!B346,"")))))</f>
        <v>UF</v>
      </c>
      <c r="DE227" s="69" t="str">
        <f t="shared" si="202"/>
        <v/>
      </c>
      <c r="DF227" s="2">
        <v>1</v>
      </c>
      <c r="DG227" s="2">
        <v>37</v>
      </c>
      <c r="DH227" s="2">
        <v>1</v>
      </c>
      <c r="DI227" s="2">
        <v>2</v>
      </c>
      <c r="DJ227" s="2">
        <v>2</v>
      </c>
      <c r="DK227" s="2">
        <v>105</v>
      </c>
      <c r="DL227" s="2">
        <v>64</v>
      </c>
      <c r="DM227" s="2">
        <v>110</v>
      </c>
      <c r="DN227" s="2">
        <v>70</v>
      </c>
      <c r="DO227" s="2" t="s">
        <v>12</v>
      </c>
      <c r="DP227" s="2" t="s">
        <v>12</v>
      </c>
      <c r="DQ227" s="2">
        <v>2</v>
      </c>
      <c r="DR227" s="2">
        <v>38</v>
      </c>
      <c r="DS227" s="2">
        <v>2</v>
      </c>
      <c r="DT227" s="2">
        <v>84</v>
      </c>
      <c r="DU227" s="2" t="s">
        <v>12</v>
      </c>
      <c r="DV227" s="2">
        <v>2</v>
      </c>
      <c r="DW227" s="2">
        <v>2</v>
      </c>
      <c r="DX227" s="2">
        <v>2</v>
      </c>
      <c r="DY227" s="2">
        <v>2</v>
      </c>
      <c r="DZ227" s="2">
        <v>34.5</v>
      </c>
      <c r="EA227" s="2">
        <v>35.4</v>
      </c>
      <c r="EB227" s="2">
        <v>45.5</v>
      </c>
      <c r="EC227" s="2">
        <v>1</v>
      </c>
      <c r="ED227" s="2">
        <v>1</v>
      </c>
    </row>
    <row r="228" spans="3:134" x14ac:dyDescent="0.25">
      <c r="C228" s="2">
        <v>14000817</v>
      </c>
      <c r="D228" s="2">
        <v>2501031385</v>
      </c>
      <c r="E228" s="5" t="s">
        <v>542</v>
      </c>
      <c r="F228" s="2">
        <v>2</v>
      </c>
      <c r="G228" s="2">
        <v>43</v>
      </c>
      <c r="H228" s="2">
        <v>-2.7833116521128671</v>
      </c>
      <c r="I228" s="2">
        <v>51</v>
      </c>
      <c r="J228" s="2">
        <v>0.58940135287155082</v>
      </c>
      <c r="K228" s="5">
        <v>2700</v>
      </c>
      <c r="L228" s="2">
        <v>-1.4162320057858351</v>
      </c>
      <c r="M228" s="2">
        <v>-2.6114999999999999</v>
      </c>
      <c r="N228" s="2">
        <f t="shared" si="203"/>
        <v>0.42735582605643352</v>
      </c>
      <c r="O228" s="2">
        <f t="shared" si="204"/>
        <v>-2.6114999999999999</v>
      </c>
      <c r="P228" s="2">
        <v>62</v>
      </c>
      <c r="Q228" s="2">
        <v>-2.64</v>
      </c>
      <c r="R228" s="5">
        <f t="shared" si="205"/>
        <v>-2.3447006764357754</v>
      </c>
      <c r="S228" s="5">
        <f t="shared" si="206"/>
        <v>-2.64</v>
      </c>
      <c r="T228" s="1">
        <v>5400</v>
      </c>
      <c r="U228" s="2">
        <v>-3.4</v>
      </c>
      <c r="V228" s="2">
        <f t="shared" si="207"/>
        <v>-1.1768839971070824</v>
      </c>
      <c r="W228" s="2">
        <f t="shared" si="208"/>
        <v>-3.4</v>
      </c>
      <c r="X228" s="2">
        <v>-1.9286000000000001</v>
      </c>
      <c r="Y228" s="76">
        <f t="shared" si="244"/>
        <v>0.85471165211286704</v>
      </c>
      <c r="Z228" s="76">
        <f t="shared" si="245"/>
        <v>2</v>
      </c>
      <c r="AA228" s="2">
        <f t="shared" si="209"/>
        <v>0.12515000000000009</v>
      </c>
      <c r="AB228" s="2">
        <f t="shared" si="210"/>
        <v>-1.9286000000000001</v>
      </c>
      <c r="AC228" s="2">
        <v>66</v>
      </c>
      <c r="AD228" s="2">
        <v>-4.0999999999999996</v>
      </c>
      <c r="AE228" s="79">
        <f t="shared" si="246"/>
        <v>-4.6894013528715508</v>
      </c>
      <c r="AF228" s="79">
        <f t="shared" si="247"/>
        <v>-2</v>
      </c>
      <c r="AG228" s="2">
        <f t="shared" si="265"/>
        <v>0.34500000000000008</v>
      </c>
      <c r="AH228" s="2">
        <f t="shared" si="211"/>
        <v>-4.0999999999999996</v>
      </c>
      <c r="AI228" s="2">
        <v>6300</v>
      </c>
      <c r="AJ228" s="2">
        <v>-3.77</v>
      </c>
      <c r="AK228" s="76">
        <f t="shared" si="248"/>
        <v>-2.3537679942141647</v>
      </c>
      <c r="AL228" s="76">
        <f t="shared" si="249"/>
        <v>-2</v>
      </c>
      <c r="AM228" s="2">
        <f t="shared" si="212"/>
        <v>0.30000000000000004</v>
      </c>
      <c r="AN228" s="2">
        <f t="shared" si="213"/>
        <v>-3.77</v>
      </c>
      <c r="AO228" s="2">
        <v>-2.3896999999999999</v>
      </c>
      <c r="AP228" s="2">
        <f t="shared" si="214"/>
        <v>-0.50351267179269643</v>
      </c>
      <c r="AQ228" s="2">
        <f t="shared" si="215"/>
        <v>-2.3896999999999999</v>
      </c>
      <c r="AR228" s="2">
        <v>77</v>
      </c>
      <c r="AS228" s="2">
        <v>-1.95</v>
      </c>
      <c r="AT228" s="2">
        <f t="shared" si="216"/>
        <v>0.78772205763600289</v>
      </c>
      <c r="AU228" s="2">
        <f t="shared" si="217"/>
        <v>-1.95</v>
      </c>
      <c r="AV228" s="2">
        <v>8000</v>
      </c>
      <c r="AW228" s="2">
        <v>-2.8</v>
      </c>
      <c r="AX228" s="2">
        <f t="shared" si="218"/>
        <v>-0.1911076297622325</v>
      </c>
      <c r="AY228" s="2">
        <f t="shared" si="219"/>
        <v>-2.8</v>
      </c>
      <c r="AZ228" s="2">
        <v>-2.935625343585393</v>
      </c>
      <c r="BA228" s="78">
        <f t="shared" si="250"/>
        <v>-1.0070253435853929</v>
      </c>
      <c r="BB228" s="78">
        <f t="shared" si="251"/>
        <v>-2</v>
      </c>
      <c r="BC228" s="2">
        <f t="shared" si="220"/>
        <v>0.70090438347834472</v>
      </c>
      <c r="BD228" s="2">
        <f t="shared" si="221"/>
        <v>-2.935625343585393</v>
      </c>
      <c r="BE228" s="67">
        <f t="shared" si="252"/>
        <v>2</v>
      </c>
      <c r="BF228" s="2">
        <v>78</v>
      </c>
      <c r="BG228" s="2">
        <v>-2.5245558847279939</v>
      </c>
      <c r="BH228" s="2">
        <f t="shared" si="222"/>
        <v>-1.4730320547386802</v>
      </c>
      <c r="BI228" s="2">
        <f t="shared" si="223"/>
        <v>-2.5245558847279939</v>
      </c>
      <c r="BJ228" s="67">
        <f t="shared" si="224"/>
        <v>6</v>
      </c>
      <c r="BK228" s="2">
        <v>8300</v>
      </c>
      <c r="BL228" s="2">
        <v>-4.152215259524465</v>
      </c>
      <c r="BM228" s="77">
        <f t="shared" si="253"/>
        <v>-0.382215259524465</v>
      </c>
      <c r="BN228" s="77">
        <f t="shared" si="254"/>
        <v>-1</v>
      </c>
      <c r="BO228" s="2">
        <f t="shared" si="225"/>
        <v>-0.83041927960277861</v>
      </c>
      <c r="BP228" s="2">
        <f t="shared" si="226"/>
        <v>-4.152215259524465</v>
      </c>
      <c r="BQ228" s="67">
        <f t="shared" si="255"/>
        <v>3</v>
      </c>
      <c r="BR228" s="5">
        <v>-0.28698684956496578</v>
      </c>
      <c r="BS228" s="75">
        <f t="shared" si="256"/>
        <v>2.6486384940204273</v>
      </c>
      <c r="BT228" s="75">
        <f t="shared" si="257"/>
        <v>2</v>
      </c>
      <c r="BU228" s="5" t="str">
        <f>IF(G233&gt;=36, IF(AND(NOT(ISBLANK(CM:CM)), NOT(ISBLANK(BD:BD))), (CM:CM-BD:BD)/2, ""), "UF")</f>
        <v/>
      </c>
      <c r="BV228" s="5">
        <f t="shared" si="227"/>
        <v>-0.28698684956496578</v>
      </c>
      <c r="BW228" s="69">
        <f t="shared" si="228"/>
        <v>7</v>
      </c>
      <c r="BX228" s="2">
        <v>74.5</v>
      </c>
      <c r="BY228" s="5">
        <v>-6.3690961642160406</v>
      </c>
      <c r="BZ228" s="74">
        <f t="shared" si="258"/>
        <v>-2.2168809046915756</v>
      </c>
      <c r="CA228" s="74">
        <f t="shared" si="259"/>
        <v>-2</v>
      </c>
      <c r="CB228" s="5" t="str">
        <f t="shared" si="229"/>
        <v/>
      </c>
      <c r="CC228" s="5">
        <f t="shared" si="230"/>
        <v>-6.3690961642160406</v>
      </c>
      <c r="CD228" s="2">
        <f t="shared" si="231"/>
        <v>-3.8445402794880468</v>
      </c>
      <c r="CE228" s="69">
        <f t="shared" si="232"/>
        <v>5</v>
      </c>
      <c r="CF228" s="5">
        <v>8700</v>
      </c>
      <c r="CG228" s="5">
        <v>-5.2912578388083356</v>
      </c>
      <c r="CH228" s="72">
        <f t="shared" si="260"/>
        <v>-1.1390425792838705</v>
      </c>
      <c r="CI228" s="72">
        <f t="shared" si="261"/>
        <v>-2</v>
      </c>
      <c r="CJ228" s="5" t="str">
        <f t="shared" si="233"/>
        <v/>
      </c>
      <c r="CK228" s="5">
        <f t="shared" si="234"/>
        <v>-5.2912578388083356</v>
      </c>
      <c r="CL228" s="69">
        <f t="shared" si="235"/>
        <v>3</v>
      </c>
      <c r="CN228" s="70" t="str">
        <f t="shared" si="236"/>
        <v/>
      </c>
      <c r="CO228" s="5" t="str">
        <f t="shared" si="237"/>
        <v>UF</v>
      </c>
      <c r="CP228" s="5" t="str">
        <f>IF(G228&lt;48,"UF", IF(NOT(ISBLANK(CM:CM)), CM:CM, IF(BW:BW=1, BV:BV+Sheet2!B114, IF(Sheet1!BW:BW=2, Sheet1!BV:BV+Sheet2!B115, IF(Sheet1!BW:BW=7, Sheet1!BV:BV+Sheet2!B116,"")))))</f>
        <v>UF</v>
      </c>
      <c r="CQ228" s="69" t="str">
        <f t="shared" si="262"/>
        <v/>
      </c>
      <c r="CR228" s="5" t="s">
        <v>12</v>
      </c>
      <c r="CT228" s="5" t="str">
        <f t="shared" si="238"/>
        <v/>
      </c>
      <c r="CU228" s="80" t="str">
        <f t="shared" si="239"/>
        <v>UF</v>
      </c>
      <c r="CV228" s="80" t="str">
        <f t="shared" si="240"/>
        <v>UF</v>
      </c>
      <c r="CW228" s="20" t="str">
        <f>IF(G228&lt;48,"UF", IF(NOT(ISBLANK(CS228)), CS228, IF(CE228=5, CC228+Sheet2!B103, IF(CE228=6, CC228+Sheet2!B104, IF(CE228=7, CC228+Sheet2!B105,"")))))</f>
        <v>UF</v>
      </c>
      <c r="CX228" s="68" t="str">
        <f t="shared" si="263"/>
        <v/>
      </c>
      <c r="CY228" s="5" t="s">
        <v>12</v>
      </c>
      <c r="DA228" s="5" t="str">
        <f t="shared" si="241"/>
        <v>UF</v>
      </c>
      <c r="DB228" s="73" t="str">
        <f t="shared" si="242"/>
        <v>UF</v>
      </c>
      <c r="DC228" s="73" t="str">
        <f t="shared" si="243"/>
        <v>UF</v>
      </c>
      <c r="DD228" s="5" t="str">
        <f>IF(G228&lt;48,"UF", IF(NOT(ISBLANK(CZ:CZ)), CZ:CZ, IF(CL:CL=3, CK:CK+Sheet2!B108, IF(CL:CL=4, CK:CK+Sheet2!B109, IF(CL:CL=7, CK:CK+Sheet2!B110,"")))))</f>
        <v>UF</v>
      </c>
      <c r="DE228" s="69" t="str">
        <f t="shared" si="202"/>
        <v/>
      </c>
      <c r="DF228" s="2">
        <v>3</v>
      </c>
      <c r="DG228" s="2">
        <v>30</v>
      </c>
      <c r="DH228" s="2">
        <v>2</v>
      </c>
      <c r="DI228" s="2">
        <v>1</v>
      </c>
      <c r="DJ228" s="2">
        <v>2</v>
      </c>
      <c r="DK228" s="2">
        <v>100</v>
      </c>
      <c r="DL228" s="2">
        <v>60</v>
      </c>
      <c r="DM228" s="2">
        <v>80</v>
      </c>
      <c r="DN228" s="2">
        <v>40</v>
      </c>
      <c r="DO228" s="2">
        <v>95</v>
      </c>
      <c r="DP228" s="2">
        <v>60</v>
      </c>
      <c r="DQ228" s="2">
        <v>2</v>
      </c>
      <c r="DR228" s="2">
        <v>41</v>
      </c>
      <c r="DS228" s="2">
        <v>1</v>
      </c>
      <c r="DT228" s="2">
        <v>89</v>
      </c>
      <c r="DU228" s="2">
        <v>95</v>
      </c>
      <c r="DV228" s="2">
        <v>2</v>
      </c>
      <c r="DW228" s="2">
        <v>2</v>
      </c>
      <c r="DX228" s="2">
        <v>2</v>
      </c>
      <c r="DY228" s="2">
        <v>2</v>
      </c>
      <c r="DZ228" s="2">
        <v>35</v>
      </c>
      <c r="EA228" s="2">
        <v>36</v>
      </c>
      <c r="EB228" s="2">
        <v>43</v>
      </c>
      <c r="EC228" s="2">
        <v>1</v>
      </c>
      <c r="ED228" s="2">
        <v>1</v>
      </c>
    </row>
    <row r="229" spans="3:134" x14ac:dyDescent="0.25">
      <c r="C229" s="8" t="s">
        <v>49</v>
      </c>
      <c r="D229" s="2">
        <v>2501032004</v>
      </c>
      <c r="E229" s="2" t="s">
        <v>537</v>
      </c>
      <c r="F229" s="2">
        <v>2</v>
      </c>
      <c r="G229" s="2">
        <v>40</v>
      </c>
      <c r="H229" s="2">
        <v>-1.9274259477678619</v>
      </c>
      <c r="I229" s="2">
        <v>55</v>
      </c>
      <c r="J229" s="2">
        <v>2.7023316536874251</v>
      </c>
      <c r="K229" s="5">
        <v>3390</v>
      </c>
      <c r="L229" s="2">
        <v>8.8851070313621702E-2</v>
      </c>
      <c r="M229" s="2">
        <v>-1.7487999999999999</v>
      </c>
      <c r="N229" s="2">
        <f t="shared" si="203"/>
        <v>0.32781297388393094</v>
      </c>
      <c r="O229" s="2">
        <f t="shared" si="204"/>
        <v>-1.7487999999999999</v>
      </c>
      <c r="P229" s="2">
        <v>72</v>
      </c>
      <c r="Q229" s="2">
        <v>2.0299999999999998</v>
      </c>
      <c r="R229" s="5">
        <f t="shared" si="205"/>
        <v>-0.87616582684371258</v>
      </c>
      <c r="S229" s="5">
        <f t="shared" si="206"/>
        <v>2.0299999999999998</v>
      </c>
      <c r="T229" s="2">
        <v>7800</v>
      </c>
      <c r="U229" s="2">
        <v>-0.16</v>
      </c>
      <c r="V229" s="2">
        <f t="shared" si="207"/>
        <v>-0.23442553515681086</v>
      </c>
      <c r="W229" s="2">
        <f t="shared" si="208"/>
        <v>-0.16</v>
      </c>
      <c r="X229" s="2">
        <v>-1.2718</v>
      </c>
      <c r="Y229" s="76">
        <f t="shared" si="244"/>
        <v>0.65562594776786187</v>
      </c>
      <c r="Z229" s="76">
        <f t="shared" si="245"/>
        <v>1</v>
      </c>
      <c r="AA229" s="2" t="str">
        <f t="shared" si="209"/>
        <v/>
      </c>
      <c r="AB229" s="2">
        <f t="shared" si="210"/>
        <v>-1.2718</v>
      </c>
      <c r="AC229" s="2">
        <v>78</v>
      </c>
      <c r="AD229" s="2">
        <v>0.95</v>
      </c>
      <c r="AE229" s="79">
        <f t="shared" si="246"/>
        <v>-1.7523316536874252</v>
      </c>
      <c r="AF229" s="79">
        <f t="shared" si="247"/>
        <v>-2</v>
      </c>
      <c r="AG229" s="2" t="str">
        <f t="shared" si="265"/>
        <v/>
      </c>
      <c r="AH229" s="2">
        <f t="shared" si="211"/>
        <v>0.95</v>
      </c>
      <c r="AI229" s="2">
        <v>9250</v>
      </c>
      <c r="AJ229" s="2">
        <v>-0.38</v>
      </c>
      <c r="AK229" s="76">
        <f t="shared" si="248"/>
        <v>-0.46885107031362172</v>
      </c>
      <c r="AL229" s="76">
        <f t="shared" si="249"/>
        <v>-1</v>
      </c>
      <c r="AM229" s="2">
        <f t="shared" si="212"/>
        <v>-0.57500000000000007</v>
      </c>
      <c r="AN229" s="2">
        <f t="shared" si="213"/>
        <v>-0.38</v>
      </c>
      <c r="AP229" s="2">
        <f t="shared" si="214"/>
        <v>-0.22031237850665797</v>
      </c>
      <c r="AQ229" s="2">
        <f t="shared" si="215"/>
        <v>-1.4921123785066581</v>
      </c>
      <c r="AR229" s="2" t="s">
        <v>12</v>
      </c>
      <c r="AT229" s="2">
        <f t="shared" si="216"/>
        <v>-0.31277434419026323</v>
      </c>
      <c r="AU229" s="2">
        <f t="shared" si="217"/>
        <v>0.63722565580973667</v>
      </c>
      <c r="AV229" s="2" t="s">
        <v>12</v>
      </c>
      <c r="AW229" s="2">
        <v>-1.31</v>
      </c>
      <c r="AX229" s="2">
        <f t="shared" si="218"/>
        <v>-0.35134426693024395</v>
      </c>
      <c r="AY229" s="2">
        <f t="shared" si="219"/>
        <v>-1.31</v>
      </c>
      <c r="AZ229" s="2">
        <v>-1.712424757013316</v>
      </c>
      <c r="BA229" s="78">
        <f t="shared" si="250"/>
        <v>-0.44062475701331594</v>
      </c>
      <c r="BB229" s="78">
        <f t="shared" si="251"/>
        <v>-1</v>
      </c>
      <c r="BC229" s="2">
        <f t="shared" si="220"/>
        <v>-0.38366032187574861</v>
      </c>
      <c r="BD229" s="2">
        <f t="shared" si="221"/>
        <v>-1.712424757013316</v>
      </c>
      <c r="BE229" s="67">
        <f t="shared" si="252"/>
        <v>7</v>
      </c>
      <c r="BF229" s="2">
        <v>88</v>
      </c>
      <c r="BG229" s="2">
        <v>0.32445131161947349</v>
      </c>
      <c r="BH229" s="2">
        <f t="shared" si="222"/>
        <v>5.9691710419401099E-2</v>
      </c>
      <c r="BI229" s="2">
        <f t="shared" si="223"/>
        <v>0.32445131161947349</v>
      </c>
      <c r="BJ229" s="67">
        <f t="shared" si="224"/>
        <v>7</v>
      </c>
      <c r="BK229" s="2">
        <v>11350</v>
      </c>
      <c r="BL229" s="2">
        <v>-1.0826885338604879</v>
      </c>
      <c r="BM229" s="77">
        <f t="shared" si="253"/>
        <v>-0.70268853386048791</v>
      </c>
      <c r="BN229" s="77">
        <f t="shared" si="254"/>
        <v>-2</v>
      </c>
      <c r="BO229" s="2">
        <f t="shared" si="225"/>
        <v>0.14572797651465388</v>
      </c>
      <c r="BP229" s="2">
        <f t="shared" si="226"/>
        <v>-1.0826885338604879</v>
      </c>
      <c r="BQ229" s="67">
        <f t="shared" si="255"/>
        <v>7</v>
      </c>
      <c r="BR229" s="5">
        <v>-2.643093344133904</v>
      </c>
      <c r="BS229" s="75">
        <f t="shared" si="256"/>
        <v>-0.93066858712058798</v>
      </c>
      <c r="BT229" s="75">
        <f t="shared" si="257"/>
        <v>-2</v>
      </c>
      <c r="BU229" s="5" t="str">
        <f>IF(G236&gt;=36, IF(AND(NOT(ISBLANK(CM:CM)), NOT(ISBLANK(BD:BD))), (CM:CM-BD:BD)/2, ""), "UF")</f>
        <v/>
      </c>
      <c r="BV229" s="5">
        <f t="shared" si="227"/>
        <v>-2.643093344133904</v>
      </c>
      <c r="BW229" s="69">
        <f t="shared" si="228"/>
        <v>2</v>
      </c>
      <c r="BX229" s="2">
        <v>98.5</v>
      </c>
      <c r="BY229" s="5">
        <v>0.81630078706793996</v>
      </c>
      <c r="BZ229" s="74">
        <f t="shared" si="258"/>
        <v>1.8989893209284279</v>
      </c>
      <c r="CA229" s="74">
        <f t="shared" si="259"/>
        <v>2</v>
      </c>
      <c r="CB229" s="5" t="str">
        <f t="shared" si="229"/>
        <v/>
      </c>
      <c r="CC229" s="5">
        <f t="shared" si="230"/>
        <v>0.81630078706793996</v>
      </c>
      <c r="CD229" s="2">
        <f t="shared" si="231"/>
        <v>0.49184947544846647</v>
      </c>
      <c r="CE229" s="69">
        <f t="shared" si="232"/>
        <v>7</v>
      </c>
      <c r="CF229" s="5">
        <v>13100</v>
      </c>
      <c r="CG229" s="5">
        <v>-0.87281607045603837</v>
      </c>
      <c r="CH229" s="72">
        <f t="shared" si="260"/>
        <v>0.20987246340444954</v>
      </c>
      <c r="CI229" s="72">
        <f t="shared" si="261"/>
        <v>1</v>
      </c>
      <c r="CJ229" s="5" t="str">
        <f t="shared" si="233"/>
        <v/>
      </c>
      <c r="CK229" s="5">
        <f t="shared" si="234"/>
        <v>-0.87281607045603837</v>
      </c>
      <c r="CL229" s="69">
        <f t="shared" si="235"/>
        <v>7</v>
      </c>
      <c r="CN229" s="70" t="str">
        <f t="shared" si="236"/>
        <v/>
      </c>
      <c r="CO229" s="5" t="str">
        <f t="shared" si="237"/>
        <v>UF</v>
      </c>
      <c r="CP229" s="5" t="str">
        <f>IF(G229&lt;48,"UF", IF(NOT(ISBLANK(CM:CM)), CM:CM, IF(BW:BW=1, BV:BV+Sheet2!B21, IF(Sheet1!BW:BW=2, Sheet1!BV:BV+Sheet2!B22, IF(Sheet1!BW:BW=7, Sheet1!BV:BV+Sheet2!B23,"")))))</f>
        <v>UF</v>
      </c>
      <c r="CQ229" s="69" t="str">
        <f t="shared" si="262"/>
        <v/>
      </c>
      <c r="CR229" s="5" t="s">
        <v>12</v>
      </c>
      <c r="CT229" s="5" t="str">
        <f t="shared" si="238"/>
        <v/>
      </c>
      <c r="CU229" s="80" t="str">
        <f t="shared" si="239"/>
        <v>UF</v>
      </c>
      <c r="CV229" s="80" t="str">
        <f t="shared" si="240"/>
        <v>UF</v>
      </c>
      <c r="CW229" s="20" t="str">
        <f>IF(G229&lt;48,"UF", IF(NOT(ISBLANK(CS229)), CS229, IF(CE229=5, CC229+Sheet2!B10, IF(CE229=6, CC229+Sheet2!B11, IF(CE229=7, CC229+Sheet2!B12,"")))))</f>
        <v>UF</v>
      </c>
      <c r="CX229" s="68" t="str">
        <f t="shared" si="263"/>
        <v/>
      </c>
      <c r="CY229" s="5" t="s">
        <v>12</v>
      </c>
      <c r="DA229" s="5" t="str">
        <f t="shared" si="241"/>
        <v>UF</v>
      </c>
      <c r="DB229" s="73" t="str">
        <f t="shared" si="242"/>
        <v>UF</v>
      </c>
      <c r="DC229" s="73" t="str">
        <f t="shared" si="243"/>
        <v>UF</v>
      </c>
      <c r="DD229" s="5" t="str">
        <f>IF(G229&lt;48,"UF", IF(NOT(ISBLANK(CZ:CZ)), CZ:CZ, IF(CL:CL=3, CK:CK+Sheet2!B15, IF(CL:CL=4, CK:CK+Sheet2!B16, IF(CL:CL=7, CK:CK+Sheet2!B17,"")))))</f>
        <v>UF</v>
      </c>
      <c r="DE229" s="69" t="str">
        <f t="shared" si="202"/>
        <v/>
      </c>
      <c r="DF229" s="2">
        <v>2</v>
      </c>
      <c r="DG229" s="2">
        <v>29</v>
      </c>
      <c r="DH229" s="2">
        <v>2</v>
      </c>
      <c r="DI229" s="2">
        <v>2</v>
      </c>
      <c r="DJ229" s="2">
        <v>2</v>
      </c>
      <c r="DK229" s="2">
        <v>100</v>
      </c>
      <c r="DL229" s="2">
        <v>60</v>
      </c>
      <c r="DM229" s="2">
        <v>95</v>
      </c>
      <c r="DN229" s="2">
        <v>60</v>
      </c>
      <c r="DO229" s="2">
        <v>90</v>
      </c>
      <c r="DP229" s="2">
        <v>60</v>
      </c>
      <c r="DQ229" s="2">
        <v>2</v>
      </c>
      <c r="DR229" s="2">
        <v>39</v>
      </c>
      <c r="DS229" s="2">
        <v>2</v>
      </c>
      <c r="DT229" s="2">
        <v>91</v>
      </c>
      <c r="DU229" s="2">
        <v>82</v>
      </c>
      <c r="DV229" s="2">
        <v>2</v>
      </c>
      <c r="DW229" s="2">
        <v>2</v>
      </c>
      <c r="DX229" s="2">
        <v>2</v>
      </c>
      <c r="DY229" s="2">
        <v>2</v>
      </c>
      <c r="DZ229" s="2">
        <v>34</v>
      </c>
      <c r="EA229" s="2">
        <v>36</v>
      </c>
      <c r="EB229" s="2">
        <v>46</v>
      </c>
      <c r="EC229" s="2">
        <v>1</v>
      </c>
      <c r="ED229" s="2">
        <v>1</v>
      </c>
    </row>
    <row r="230" spans="3:134" x14ac:dyDescent="0.25">
      <c r="C230" s="8" t="s">
        <v>124</v>
      </c>
      <c r="D230" s="4">
        <v>2501032411</v>
      </c>
      <c r="E230" s="2" t="s">
        <v>527</v>
      </c>
      <c r="F230" s="2">
        <v>1</v>
      </c>
      <c r="G230" s="2">
        <v>40</v>
      </c>
      <c r="H230" s="2">
        <v>-2.0877833917278581</v>
      </c>
      <c r="I230" s="2">
        <v>44</v>
      </c>
      <c r="J230" s="2">
        <v>-2.763572780344921</v>
      </c>
      <c r="K230" s="5">
        <v>2130</v>
      </c>
      <c r="L230" s="2">
        <v>-2.7210765225568521</v>
      </c>
      <c r="M230" s="2">
        <v>-0.373</v>
      </c>
      <c r="N230" s="2">
        <f t="shared" si="203"/>
        <v>1.1222916958639291</v>
      </c>
      <c r="O230" s="2">
        <f t="shared" si="204"/>
        <v>-0.373</v>
      </c>
      <c r="P230" s="2">
        <v>58</v>
      </c>
      <c r="Q230" s="2">
        <v>-3.42</v>
      </c>
      <c r="R230" s="5">
        <f t="shared" si="205"/>
        <v>-0.46321360982753945</v>
      </c>
      <c r="S230" s="5">
        <f t="shared" si="206"/>
        <v>-3.42</v>
      </c>
      <c r="T230" s="1">
        <v>5500</v>
      </c>
      <c r="U230" s="2">
        <v>-2.35</v>
      </c>
      <c r="V230" s="2">
        <f t="shared" si="207"/>
        <v>0.27553826127842607</v>
      </c>
      <c r="W230" s="2">
        <f t="shared" si="208"/>
        <v>-2.35</v>
      </c>
      <c r="X230" s="2">
        <v>0.15679999999999999</v>
      </c>
      <c r="Y230" s="76">
        <f t="shared" si="244"/>
        <v>2.2445833917278581</v>
      </c>
      <c r="Z230" s="76">
        <f t="shared" si="245"/>
        <v>2</v>
      </c>
      <c r="AA230" s="2">
        <f t="shared" si="209"/>
        <v>1.6343999999999999</v>
      </c>
      <c r="AB230" s="2">
        <f t="shared" si="210"/>
        <v>0.15679999999999999</v>
      </c>
      <c r="AC230" s="2">
        <v>64.5</v>
      </c>
      <c r="AD230" s="2">
        <v>-3.69</v>
      </c>
      <c r="AE230" s="79">
        <f t="shared" si="246"/>
        <v>-0.9264272196550789</v>
      </c>
      <c r="AF230" s="79">
        <f t="shared" si="247"/>
        <v>-2</v>
      </c>
      <c r="AG230" s="2">
        <f t="shared" si="265"/>
        <v>0.55499999999999994</v>
      </c>
      <c r="AH230" s="2">
        <f t="shared" si="211"/>
        <v>-3.69</v>
      </c>
      <c r="AI230" s="2">
        <v>6900</v>
      </c>
      <c r="AJ230" s="2">
        <v>-2.17</v>
      </c>
      <c r="AK230" s="76">
        <f t="shared" si="248"/>
        <v>0.55107652255685213</v>
      </c>
      <c r="AL230" s="76">
        <f t="shared" si="249"/>
        <v>1</v>
      </c>
      <c r="AM230" s="2">
        <f t="shared" si="212"/>
        <v>0.40500000000000003</v>
      </c>
      <c r="AN230" s="2">
        <f t="shared" si="213"/>
        <v>-2.17</v>
      </c>
      <c r="AO230" s="2">
        <v>-0.1512</v>
      </c>
      <c r="AP230" s="2" t="str">
        <f t="shared" si="214"/>
        <v/>
      </c>
      <c r="AQ230" s="2">
        <f t="shared" si="215"/>
        <v>-0.1512</v>
      </c>
      <c r="AR230" s="2">
        <v>74</v>
      </c>
      <c r="AS230" s="2">
        <v>-2.31</v>
      </c>
      <c r="AT230" s="2" t="str">
        <f t="shared" si="216"/>
        <v/>
      </c>
      <c r="AU230" s="2">
        <f t="shared" si="217"/>
        <v>-2.31</v>
      </c>
      <c r="AV230" s="2">
        <v>8500</v>
      </c>
      <c r="AW230" s="2">
        <v>-1.54</v>
      </c>
      <c r="AX230" s="2" t="str">
        <f t="shared" si="218"/>
        <v/>
      </c>
      <c r="AY230" s="2">
        <f t="shared" si="219"/>
        <v>-1.54</v>
      </c>
      <c r="BA230" s="78">
        <f t="shared" si="250"/>
        <v>-0.93467666746806866</v>
      </c>
      <c r="BB230" s="78">
        <f t="shared" si="251"/>
        <v>-2</v>
      </c>
      <c r="BC230" s="2">
        <f t="shared" si="220"/>
        <v>-0.62667666746806872</v>
      </c>
      <c r="BD230" s="2">
        <f t="shared" si="221"/>
        <v>-0.77787666746806872</v>
      </c>
      <c r="BE230" s="67">
        <f t="shared" si="252"/>
        <v>7</v>
      </c>
      <c r="BF230" s="2" t="s">
        <v>12</v>
      </c>
      <c r="BH230" s="2">
        <f t="shared" si="222"/>
        <v>2.0014189332016336E-2</v>
      </c>
      <c r="BI230" s="2">
        <f t="shared" si="223"/>
        <v>-2.2899858106679836</v>
      </c>
      <c r="BJ230" s="67">
        <f t="shared" si="224"/>
        <v>6</v>
      </c>
      <c r="BK230" s="2" t="s">
        <v>12</v>
      </c>
      <c r="BM230" s="77">
        <f t="shared" si="253"/>
        <v>3.9201136146488125E-2</v>
      </c>
      <c r="BN230" s="77">
        <f t="shared" si="254"/>
        <v>1</v>
      </c>
      <c r="BO230" s="2">
        <f t="shared" si="225"/>
        <v>-0.59079886385351188</v>
      </c>
      <c r="BP230" s="2">
        <f t="shared" si="226"/>
        <v>-2.1307988638535118</v>
      </c>
      <c r="BQ230" s="67">
        <f t="shared" si="255"/>
        <v>4</v>
      </c>
      <c r="BR230" s="5">
        <v>-2.031230002404206</v>
      </c>
      <c r="BS230" s="75">
        <f t="shared" si="256"/>
        <v>-1.2533533349361372</v>
      </c>
      <c r="BT230" s="75">
        <f t="shared" si="257"/>
        <v>-2</v>
      </c>
      <c r="BU230" s="5" t="str">
        <f>IF(G238&gt;=36, IF(AND(NOT(ISBLANK(CM:CM)), NOT(ISBLANK(BD:BD))), (CM:CM-BD:BD)/2, ""), "UF")</f>
        <v/>
      </c>
      <c r="BV230" s="5">
        <f t="shared" si="227"/>
        <v>-2.031230002404206</v>
      </c>
      <c r="BW230" s="69">
        <f t="shared" si="228"/>
        <v>2</v>
      </c>
      <c r="BX230" s="2">
        <v>85.5</v>
      </c>
      <c r="BY230" s="5">
        <v>-2.249957432003951</v>
      </c>
      <c r="BZ230" s="74">
        <f t="shared" si="258"/>
        <v>-0.11915856815043924</v>
      </c>
      <c r="CA230" s="74">
        <f t="shared" si="259"/>
        <v>-1</v>
      </c>
      <c r="CB230" s="5" t="str">
        <f t="shared" si="229"/>
        <v/>
      </c>
      <c r="CC230" s="5">
        <f t="shared" si="230"/>
        <v>-2.249957432003951</v>
      </c>
      <c r="CD230" s="2">
        <f t="shared" si="231"/>
        <v>4.0028378664032527E-2</v>
      </c>
      <c r="CE230" s="69">
        <f t="shared" si="232"/>
        <v>6</v>
      </c>
      <c r="CF230" s="5">
        <v>10000</v>
      </c>
      <c r="CG230" s="5">
        <v>-3.3123965915605358</v>
      </c>
      <c r="CH230" s="72">
        <f t="shared" si="260"/>
        <v>-1.181597727707024</v>
      </c>
      <c r="CI230" s="72">
        <f t="shared" si="261"/>
        <v>-2</v>
      </c>
      <c r="CJ230" s="5" t="str">
        <f t="shared" si="233"/>
        <v/>
      </c>
      <c r="CK230" s="5">
        <f t="shared" si="234"/>
        <v>-3.3123965915605358</v>
      </c>
      <c r="CL230" s="69">
        <f t="shared" si="235"/>
        <v>3</v>
      </c>
      <c r="CN230" s="70" t="str">
        <f t="shared" si="236"/>
        <v/>
      </c>
      <c r="CO230" s="5" t="str">
        <f t="shared" si="237"/>
        <v>UF</v>
      </c>
      <c r="CP230" s="5" t="str">
        <f>IF(G230&lt;48,"UF", IF(NOT(ISBLANK(CM:CM)), CM:CM, IF(BW:BW=1, BV:BV+Sheet2!B170, IF(Sheet1!BW:BW=2, Sheet1!BV:BV+Sheet2!B171, IF(Sheet1!BW:BW=7, Sheet1!BV:BV+Sheet2!B172,"")))))</f>
        <v>UF</v>
      </c>
      <c r="CQ230" s="69" t="str">
        <f t="shared" si="262"/>
        <v/>
      </c>
      <c r="CR230" s="5" t="s">
        <v>12</v>
      </c>
      <c r="CT230" s="5" t="str">
        <f t="shared" si="238"/>
        <v/>
      </c>
      <c r="CU230" s="80" t="str">
        <f t="shared" si="239"/>
        <v>UF</v>
      </c>
      <c r="CV230" s="80" t="str">
        <f t="shared" si="240"/>
        <v>UF</v>
      </c>
      <c r="CW230" s="20" t="str">
        <f>IF(G230&lt;48,"UF", IF(NOT(ISBLANK(CS230)), CS230, IF(CE230=5, CC230+Sheet2!B159, IF(CE230=6, CC230+Sheet2!B160, IF(CE230=7, CC230+Sheet2!B161,"")))))</f>
        <v>UF</v>
      </c>
      <c r="CX230" s="68" t="str">
        <f t="shared" si="263"/>
        <v/>
      </c>
      <c r="CY230" s="5" t="s">
        <v>12</v>
      </c>
      <c r="DA230" s="5" t="str">
        <f t="shared" si="241"/>
        <v>UF</v>
      </c>
      <c r="DB230" s="73" t="str">
        <f t="shared" si="242"/>
        <v>UF</v>
      </c>
      <c r="DC230" s="73" t="str">
        <f t="shared" si="243"/>
        <v>UF</v>
      </c>
      <c r="DD230" s="5" t="str">
        <f>IF(G230&lt;48,"UF", IF(NOT(ISBLANK(CZ:CZ)), CZ:CZ, IF(CL:CL=3, CK:CK+Sheet2!B164, IF(CL:CL=4, CK:CK+Sheet2!B165, IF(CL:CL=7, CK:CK+Sheet2!B166,"")))))</f>
        <v>UF</v>
      </c>
      <c r="DE230" s="69" t="str">
        <f t="shared" si="202"/>
        <v/>
      </c>
      <c r="DF230" s="2">
        <v>3</v>
      </c>
      <c r="DG230" s="2">
        <v>33</v>
      </c>
      <c r="DH230" s="2">
        <v>2</v>
      </c>
      <c r="DI230" s="2">
        <v>2</v>
      </c>
      <c r="DJ230" s="2">
        <v>2</v>
      </c>
      <c r="DK230" s="2">
        <v>100</v>
      </c>
      <c r="DL230" s="2">
        <v>60</v>
      </c>
      <c r="DM230" s="2" t="s">
        <v>12</v>
      </c>
      <c r="DN230" s="2" t="s">
        <v>12</v>
      </c>
      <c r="DO230" s="2" t="s">
        <v>12</v>
      </c>
      <c r="DP230" s="2" t="s">
        <v>12</v>
      </c>
      <c r="DQ230" s="2">
        <v>2</v>
      </c>
      <c r="DR230" s="2">
        <v>35</v>
      </c>
      <c r="DS230" s="2">
        <v>1</v>
      </c>
      <c r="DT230" s="2">
        <v>112</v>
      </c>
      <c r="DU230" s="2">
        <v>88</v>
      </c>
      <c r="DV230" s="2">
        <v>2</v>
      </c>
      <c r="DW230" s="2">
        <v>2</v>
      </c>
      <c r="DX230" s="2">
        <v>2</v>
      </c>
      <c r="DY230" s="2">
        <v>3</v>
      </c>
      <c r="DZ230" s="2">
        <v>31</v>
      </c>
      <c r="EA230" s="2">
        <v>33</v>
      </c>
      <c r="EB230" s="2">
        <v>43.5</v>
      </c>
      <c r="EC230" s="2">
        <v>1</v>
      </c>
      <c r="ED230" s="2">
        <v>1</v>
      </c>
    </row>
    <row r="231" spans="3:134" x14ac:dyDescent="0.25">
      <c r="C231" s="8" t="s">
        <v>196</v>
      </c>
      <c r="D231" s="4">
        <v>2501032594</v>
      </c>
      <c r="E231" s="5">
        <v>7</v>
      </c>
      <c r="F231" s="2">
        <v>2</v>
      </c>
      <c r="G231" s="2">
        <v>39</v>
      </c>
      <c r="H231" s="2">
        <v>-0.96587690818334671</v>
      </c>
      <c r="I231" s="2">
        <v>50</v>
      </c>
      <c r="J231" s="2">
        <v>6.1168777667580831E-2</v>
      </c>
      <c r="K231" s="1">
        <v>3060</v>
      </c>
      <c r="L231" s="2">
        <v>-0.60326652627431243</v>
      </c>
      <c r="M231" s="2">
        <v>1.0111000000000001</v>
      </c>
      <c r="N231" s="2">
        <f t="shared" si="203"/>
        <v>1.1355384540916733</v>
      </c>
      <c r="O231" s="2">
        <f t="shared" si="204"/>
        <v>1.0111000000000001</v>
      </c>
      <c r="P231" s="2">
        <v>62</v>
      </c>
      <c r="Q231" s="2">
        <v>-2.64</v>
      </c>
      <c r="R231" s="5">
        <f t="shared" si="205"/>
        <v>-1.4505843888337904</v>
      </c>
      <c r="S231" s="5">
        <f t="shared" si="206"/>
        <v>-2.64</v>
      </c>
      <c r="T231" s="1">
        <v>7250</v>
      </c>
      <c r="U231" s="2">
        <v>-0.82</v>
      </c>
      <c r="V231" s="2">
        <f t="shared" si="207"/>
        <v>-6.3366736862843775E-2</v>
      </c>
      <c r="W231" s="2">
        <f t="shared" si="208"/>
        <v>-0.82</v>
      </c>
      <c r="X231" s="2">
        <v>1.3051999999999999</v>
      </c>
      <c r="Y231" s="76">
        <f t="shared" si="244"/>
        <v>2.2710769081833466</v>
      </c>
      <c r="Z231" s="76">
        <f t="shared" si="245"/>
        <v>2</v>
      </c>
      <c r="AA231" s="2">
        <f t="shared" si="209"/>
        <v>1.0146000000000002</v>
      </c>
      <c r="AB231" s="2">
        <f t="shared" si="210"/>
        <v>1.3051999999999999</v>
      </c>
      <c r="AC231" s="2">
        <v>69</v>
      </c>
      <c r="AD231" s="2">
        <v>-2.84</v>
      </c>
      <c r="AE231" s="79">
        <f t="shared" si="246"/>
        <v>-2.9011687776675807</v>
      </c>
      <c r="AF231" s="79">
        <f t="shared" si="247"/>
        <v>-2</v>
      </c>
      <c r="AG231" s="2">
        <f t="shared" si="265"/>
        <v>0.90000000000000013</v>
      </c>
      <c r="AH231" s="2">
        <f t="shared" si="211"/>
        <v>-2.84</v>
      </c>
      <c r="AI231" s="2">
        <v>8900</v>
      </c>
      <c r="AJ231" s="2">
        <v>-0.73</v>
      </c>
      <c r="AK231" s="76">
        <f t="shared" si="248"/>
        <v>-0.12673347372568755</v>
      </c>
      <c r="AL231" s="76">
        <f t="shared" si="249"/>
        <v>-1</v>
      </c>
      <c r="AM231" s="2">
        <f t="shared" si="212"/>
        <v>-0.06</v>
      </c>
      <c r="AN231" s="2">
        <f t="shared" si="213"/>
        <v>-0.73</v>
      </c>
      <c r="AO231" s="2">
        <v>-0.61080000000000001</v>
      </c>
      <c r="AP231" s="2">
        <f t="shared" si="214"/>
        <v>-1.0477176969618056</v>
      </c>
      <c r="AQ231" s="2">
        <f t="shared" si="215"/>
        <v>-0.61080000000000001</v>
      </c>
      <c r="AR231" s="2">
        <v>80</v>
      </c>
      <c r="AS231" s="2">
        <v>-0.84</v>
      </c>
      <c r="AT231" s="2">
        <f t="shared" si="216"/>
        <v>1.0122762640757768</v>
      </c>
      <c r="AU231" s="2">
        <f t="shared" si="217"/>
        <v>-0.84</v>
      </c>
      <c r="AV231" s="2">
        <v>9850</v>
      </c>
      <c r="AW231" s="2">
        <v>-0.94</v>
      </c>
      <c r="AX231" s="2">
        <f t="shared" si="218"/>
        <v>-0.32530871938501105</v>
      </c>
      <c r="AY231" s="2">
        <f t="shared" si="219"/>
        <v>-0.94</v>
      </c>
      <c r="AZ231" s="2">
        <v>-0.79023539392361131</v>
      </c>
      <c r="BA231" s="78">
        <f t="shared" si="250"/>
        <v>-2.0954353939236112</v>
      </c>
      <c r="BB231" s="78">
        <f t="shared" si="251"/>
        <v>-2</v>
      </c>
      <c r="BC231" s="2">
        <f t="shared" si="220"/>
        <v>-0.18579679615254729</v>
      </c>
      <c r="BD231" s="2">
        <f t="shared" si="221"/>
        <v>-0.79023539392361131</v>
      </c>
      <c r="BE231" s="67">
        <f t="shared" si="252"/>
        <v>7</v>
      </c>
      <c r="BF231" s="2">
        <v>84</v>
      </c>
      <c r="BG231" s="2">
        <v>-0.81544747184844635</v>
      </c>
      <c r="BH231" s="2">
        <f t="shared" si="222"/>
        <v>-9.501948401108776E-3</v>
      </c>
      <c r="BI231" s="2">
        <f t="shared" si="223"/>
        <v>-0.81544747184844635</v>
      </c>
      <c r="BJ231" s="67">
        <f t="shared" si="224"/>
        <v>7</v>
      </c>
      <c r="BK231" s="2">
        <v>11000</v>
      </c>
      <c r="BL231" s="2">
        <v>-1.3806174387700221</v>
      </c>
      <c r="BM231" s="77">
        <f t="shared" si="253"/>
        <v>-0.65061743877002209</v>
      </c>
      <c r="BN231" s="77">
        <f t="shared" si="254"/>
        <v>-1</v>
      </c>
      <c r="BO231" s="2">
        <f t="shared" si="225"/>
        <v>-0.12795042793501432</v>
      </c>
      <c r="BP231" s="2">
        <f t="shared" si="226"/>
        <v>-1.3806174387700221</v>
      </c>
      <c r="BQ231" s="67">
        <f t="shared" si="255"/>
        <v>7</v>
      </c>
      <c r="BR231" s="5">
        <v>-1.1681903884576419</v>
      </c>
      <c r="BS231" s="75">
        <f t="shared" si="256"/>
        <v>-0.37795499453403059</v>
      </c>
      <c r="BT231" s="75">
        <f t="shared" si="257"/>
        <v>-1</v>
      </c>
      <c r="BU231" s="5" t="str">
        <f>IF(G240&gt;=36, IF(AND(NOT(ISBLANK(CM:CM)), NOT(ISBLANK(BD:BD))), (CM:CM-BD:BD)/2, ""), "UF")</f>
        <v/>
      </c>
      <c r="BV231" s="5">
        <f t="shared" si="227"/>
        <v>-1.1681903884576419</v>
      </c>
      <c r="BW231" s="69">
        <f t="shared" si="228"/>
        <v>7</v>
      </c>
      <c r="BX231" s="2">
        <v>92</v>
      </c>
      <c r="BY231" s="5">
        <v>-0.8685058452033263</v>
      </c>
      <c r="BZ231" s="74">
        <f t="shared" si="258"/>
        <v>0.51211159356669578</v>
      </c>
      <c r="CA231" s="74">
        <f t="shared" si="259"/>
        <v>1</v>
      </c>
      <c r="CB231" s="5" t="str">
        <f t="shared" si="229"/>
        <v/>
      </c>
      <c r="CC231" s="5">
        <f t="shared" si="230"/>
        <v>-0.8685058452033263</v>
      </c>
      <c r="CD231" s="2">
        <f t="shared" si="231"/>
        <v>-5.3058373354879951E-2</v>
      </c>
      <c r="CE231" s="69">
        <f t="shared" si="232"/>
        <v>7</v>
      </c>
      <c r="CF231" s="5">
        <v>12500</v>
      </c>
      <c r="CG231" s="5">
        <v>-1.3238512838050429</v>
      </c>
      <c r="CH231" s="72">
        <f t="shared" si="260"/>
        <v>5.6766154964979165E-2</v>
      </c>
      <c r="CI231" s="72">
        <f t="shared" si="261"/>
        <v>1</v>
      </c>
      <c r="CJ231" s="5" t="str">
        <f t="shared" si="233"/>
        <v/>
      </c>
      <c r="CK231" s="5">
        <f t="shared" si="234"/>
        <v>-1.3238512838050429</v>
      </c>
      <c r="CL231" s="69">
        <f t="shared" si="235"/>
        <v>7</v>
      </c>
      <c r="CN231" s="70" t="str">
        <f t="shared" si="236"/>
        <v/>
      </c>
      <c r="CO231" s="5" t="str">
        <f t="shared" si="237"/>
        <v>UF</v>
      </c>
      <c r="CP231" s="5" t="str">
        <f>IF(G231&lt;48,"UF", IF(NOT(ISBLANK(CM:CM)), CM:CM, IF(BW:BW=1, BV:BV+Sheet2!B370, IF(Sheet1!BW:BW=2, Sheet1!BV:BV+Sheet2!B371, IF(Sheet1!BW:BW=7, Sheet1!BV:BV+Sheet2!B372,"")))))</f>
        <v>UF</v>
      </c>
      <c r="CQ231" s="69" t="str">
        <f t="shared" si="262"/>
        <v/>
      </c>
      <c r="CR231" s="5" t="s">
        <v>12</v>
      </c>
      <c r="CT231" s="5" t="str">
        <f t="shared" si="238"/>
        <v/>
      </c>
      <c r="CU231" s="80" t="str">
        <f t="shared" si="239"/>
        <v>UF</v>
      </c>
      <c r="CV231" s="80" t="str">
        <f t="shared" si="240"/>
        <v>UF</v>
      </c>
      <c r="CW231" s="20" t="str">
        <f>IF(G231&lt;48,"UF", IF(NOT(ISBLANK(CS231)), CS231, IF(CE231=5, CC231+Sheet2!B359, IF(CE231=6, CC231+Sheet2!B360, IF(CE231=7, CC231+Sheet2!B361,"")))))</f>
        <v>UF</v>
      </c>
      <c r="CX231" s="68" t="str">
        <f t="shared" si="263"/>
        <v/>
      </c>
      <c r="CY231" s="5" t="s">
        <v>12</v>
      </c>
      <c r="DA231" s="5" t="str">
        <f t="shared" si="241"/>
        <v>UF</v>
      </c>
      <c r="DB231" s="73" t="str">
        <f t="shared" si="242"/>
        <v>UF</v>
      </c>
      <c r="DC231" s="73" t="str">
        <f t="shared" si="243"/>
        <v>UF</v>
      </c>
      <c r="DD231" s="5" t="str">
        <f>IF(G231&lt;48,"UF", IF(NOT(ISBLANK(CZ:CZ)), CZ:CZ, IF(CL:CL=3, CK:CK+Sheet2!B364, IF(CL:CL=4, CK:CK+Sheet2!B365, IF(CL:CL=7, CK:CK+Sheet2!B366,"")))))</f>
        <v>UF</v>
      </c>
      <c r="DE231" s="69" t="str">
        <f t="shared" si="202"/>
        <v/>
      </c>
      <c r="DF231" s="2">
        <v>1</v>
      </c>
      <c r="DG231" s="2">
        <v>36</v>
      </c>
      <c r="DH231" s="2">
        <v>2</v>
      </c>
      <c r="DI231" s="2">
        <v>2</v>
      </c>
      <c r="DJ231" s="2">
        <v>2</v>
      </c>
      <c r="DK231" s="2">
        <v>113</v>
      </c>
      <c r="DL231" s="2">
        <v>58</v>
      </c>
      <c r="DM231" s="2">
        <v>90</v>
      </c>
      <c r="DN231" s="2">
        <v>50</v>
      </c>
      <c r="DO231" s="2">
        <v>100</v>
      </c>
      <c r="DP231" s="2">
        <v>60</v>
      </c>
      <c r="DQ231" s="2">
        <v>2</v>
      </c>
      <c r="DR231" s="2">
        <v>40</v>
      </c>
      <c r="DS231" s="2">
        <v>2</v>
      </c>
      <c r="DT231" s="2">
        <v>72</v>
      </c>
      <c r="DU231" s="2">
        <v>79</v>
      </c>
      <c r="DV231" s="2">
        <v>2</v>
      </c>
      <c r="DW231" s="2">
        <v>2</v>
      </c>
      <c r="DX231" s="2">
        <v>2</v>
      </c>
      <c r="DY231" s="2">
        <v>3</v>
      </c>
      <c r="DZ231" s="2">
        <v>34</v>
      </c>
      <c r="EA231" s="2">
        <v>36.5</v>
      </c>
      <c r="EB231" s="2">
        <v>45.5</v>
      </c>
      <c r="EC231" s="2">
        <v>4</v>
      </c>
      <c r="ED231" s="2">
        <v>1</v>
      </c>
    </row>
    <row r="232" spans="3:134" x14ac:dyDescent="0.25">
      <c r="C232" s="8" t="s">
        <v>240</v>
      </c>
      <c r="D232" s="53">
        <v>2501033264</v>
      </c>
      <c r="E232" s="5">
        <v>7</v>
      </c>
      <c r="F232" s="2">
        <v>1</v>
      </c>
      <c r="G232" s="2">
        <v>39</v>
      </c>
      <c r="H232" s="2">
        <v>-2.216875467352676</v>
      </c>
      <c r="I232" s="2">
        <v>52</v>
      </c>
      <c r="J232" s="2">
        <v>1.531272843240846</v>
      </c>
      <c r="K232" s="2">
        <v>2940</v>
      </c>
      <c r="L232" s="2">
        <v>-0.65672075323294044</v>
      </c>
      <c r="M232" s="2">
        <v>-2.63E-2</v>
      </c>
      <c r="N232" s="2">
        <f t="shared" si="203"/>
        <v>1.1352877336763381</v>
      </c>
      <c r="O232" s="2">
        <f t="shared" si="204"/>
        <v>-2.63E-2</v>
      </c>
      <c r="P232" s="2">
        <v>68</v>
      </c>
      <c r="Q232" s="2">
        <v>0.99</v>
      </c>
      <c r="R232" s="5">
        <f t="shared" si="205"/>
        <v>-0.765636421620423</v>
      </c>
      <c r="S232" s="5">
        <f t="shared" si="206"/>
        <v>0.99</v>
      </c>
      <c r="T232" s="2">
        <v>7800</v>
      </c>
      <c r="U232" s="2">
        <v>0.54</v>
      </c>
      <c r="V232" s="2">
        <f t="shared" si="207"/>
        <v>0.35336037661647024</v>
      </c>
      <c r="W232" s="2">
        <f t="shared" si="208"/>
        <v>0.54</v>
      </c>
      <c r="X232" s="2">
        <v>5.3699999999999998E-2</v>
      </c>
      <c r="Y232" s="76">
        <f t="shared" si="244"/>
        <v>2.2705754673526761</v>
      </c>
      <c r="Z232" s="76">
        <f t="shared" si="245"/>
        <v>2</v>
      </c>
      <c r="AA232" s="2" t="str">
        <f t="shared" si="209"/>
        <v/>
      </c>
      <c r="AB232" s="2">
        <f t="shared" si="210"/>
        <v>5.3699999999999998E-2</v>
      </c>
      <c r="AC232" s="2">
        <v>74</v>
      </c>
      <c r="AD232" s="2">
        <v>0</v>
      </c>
      <c r="AE232" s="79">
        <f t="shared" si="246"/>
        <v>-1.531272843240846</v>
      </c>
      <c r="AF232" s="79">
        <f t="shared" si="247"/>
        <v>-2</v>
      </c>
      <c r="AG232" s="2" t="str">
        <f t="shared" si="265"/>
        <v/>
      </c>
      <c r="AH232" s="2">
        <f t="shared" si="211"/>
        <v>0</v>
      </c>
      <c r="AI232" s="2">
        <v>9000</v>
      </c>
      <c r="AJ232" s="2">
        <v>0.05</v>
      </c>
      <c r="AK232" s="76">
        <f t="shared" si="248"/>
        <v>0.70672075323294048</v>
      </c>
      <c r="AL232" s="76">
        <f t="shared" si="249"/>
        <v>2</v>
      </c>
      <c r="AM232" s="2" t="str">
        <f t="shared" si="212"/>
        <v/>
      </c>
      <c r="AN232" s="2">
        <f t="shared" si="213"/>
        <v>0.05</v>
      </c>
      <c r="AP232" s="2" t="str">
        <f t="shared" si="214"/>
        <v/>
      </c>
      <c r="AQ232" s="2" t="e">
        <f t="shared" si="215"/>
        <v>#VALUE!</v>
      </c>
      <c r="AR232" s="2" t="s">
        <v>12</v>
      </c>
      <c r="AT232" s="2" t="str">
        <f t="shared" si="216"/>
        <v/>
      </c>
      <c r="AU232" s="2" t="e">
        <f t="shared" si="217"/>
        <v>#VALUE!</v>
      </c>
      <c r="AV232" s="2" t="s">
        <v>12</v>
      </c>
      <c r="AX232" s="2" t="str">
        <f t="shared" si="218"/>
        <v/>
      </c>
      <c r="AY232" s="2" t="e">
        <f t="shared" si="219"/>
        <v>#VALUE!</v>
      </c>
      <c r="BA232" s="78" t="e">
        <f t="shared" si="250"/>
        <v>#VALUE!</v>
      </c>
      <c r="BB232" s="78" t="e">
        <f t="shared" si="251"/>
        <v>#VALUE!</v>
      </c>
      <c r="BC232" s="2" t="str">
        <f t="shared" si="220"/>
        <v/>
      </c>
      <c r="BD232" s="2" t="e">
        <f t="shared" si="221"/>
        <v>#VALUE!</v>
      </c>
      <c r="BE232" s="67" t="e">
        <f t="shared" si="252"/>
        <v>#VALUE!</v>
      </c>
      <c r="BF232" s="2" t="s">
        <v>12</v>
      </c>
      <c r="BH232" s="2" t="str">
        <f t="shared" si="222"/>
        <v/>
      </c>
      <c r="BI232" s="2" t="e">
        <f t="shared" si="223"/>
        <v>#VALUE!</v>
      </c>
      <c r="BJ232" s="67" t="e">
        <f t="shared" si="224"/>
        <v>#VALUE!</v>
      </c>
      <c r="BK232" s="2" t="s">
        <v>12</v>
      </c>
      <c r="BM232" s="77" t="e">
        <f t="shared" si="253"/>
        <v>#VALUE!</v>
      </c>
      <c r="BN232" s="77" t="e">
        <f t="shared" si="254"/>
        <v>#VALUE!</v>
      </c>
      <c r="BO232" s="2" t="str">
        <f t="shared" si="225"/>
        <v/>
      </c>
      <c r="BP232" s="2" t="e">
        <f t="shared" si="226"/>
        <v>#VALUE!</v>
      </c>
      <c r="BQ232" s="67" t="e">
        <f t="shared" si="255"/>
        <v>#VALUE!</v>
      </c>
      <c r="BS232" s="75" t="e">
        <f t="shared" si="256"/>
        <v>#VALUE!</v>
      </c>
      <c r="BT232" s="75" t="e">
        <f t="shared" si="257"/>
        <v>#VALUE!</v>
      </c>
      <c r="BU232" s="5" t="e">
        <f>IF(#REF!&gt;=36, IF(AND(NOT(ISBLANK(CM:CM)), NOT(ISBLANK(BD:BD))), (CM:CM-BD:BD)/2, ""), "UF")</f>
        <v>#REF!</v>
      </c>
      <c r="BV232" s="5" t="e">
        <f t="shared" si="227"/>
        <v>#VALUE!</v>
      </c>
      <c r="BW232" s="69" t="e">
        <f t="shared" si="228"/>
        <v>#VALUE!</v>
      </c>
      <c r="BX232" s="2" t="s">
        <v>12</v>
      </c>
      <c r="BZ232" s="74" t="e">
        <f t="shared" si="258"/>
        <v>#VALUE!</v>
      </c>
      <c r="CA232" s="74" t="e">
        <f t="shared" si="259"/>
        <v>#VALUE!</v>
      </c>
      <c r="CB232" s="5" t="str">
        <f t="shared" si="229"/>
        <v/>
      </c>
      <c r="CC232" s="5" t="e">
        <f t="shared" si="230"/>
        <v>#VALUE!</v>
      </c>
      <c r="CD232" s="2" t="e">
        <f t="shared" si="231"/>
        <v>#VALUE!</v>
      </c>
      <c r="CE232" s="69" t="e">
        <f t="shared" si="232"/>
        <v>#VALUE!</v>
      </c>
      <c r="CF232" s="5" t="s">
        <v>12</v>
      </c>
      <c r="CH232" s="72" t="e">
        <f t="shared" si="260"/>
        <v>#VALUE!</v>
      </c>
      <c r="CI232" s="72" t="e">
        <f t="shared" si="261"/>
        <v>#VALUE!</v>
      </c>
      <c r="CJ232" s="5" t="str">
        <f t="shared" si="233"/>
        <v/>
      </c>
      <c r="CK232" s="5" t="e">
        <f t="shared" si="234"/>
        <v>#VALUE!</v>
      </c>
      <c r="CL232" s="69" t="e">
        <f t="shared" si="235"/>
        <v>#VALUE!</v>
      </c>
      <c r="CN232" s="70" t="str">
        <f t="shared" si="236"/>
        <v/>
      </c>
      <c r="CO232" s="5" t="str">
        <f t="shared" si="237"/>
        <v>UF</v>
      </c>
      <c r="CP232" s="5" t="str">
        <f>IF(G232&lt;48,"UF", IF(NOT(ISBLANK(CM:CM)), CM:CM, IF(BW:BW=1, BV:BV+Sheet2!B427, IF(Sheet1!BW:BW=2, Sheet1!BV:BV+Sheet2!B428, IF(Sheet1!BW:BW=7, Sheet1!BV:BV+Sheet2!B429,"")))))</f>
        <v>UF</v>
      </c>
      <c r="CQ232" s="69" t="str">
        <f t="shared" si="262"/>
        <v/>
      </c>
      <c r="CR232" s="5" t="s">
        <v>12</v>
      </c>
      <c r="CT232" s="5" t="str">
        <f t="shared" si="238"/>
        <v/>
      </c>
      <c r="CU232" s="80" t="str">
        <f t="shared" si="239"/>
        <v>UF</v>
      </c>
      <c r="CV232" s="80" t="str">
        <f t="shared" si="240"/>
        <v>UF</v>
      </c>
      <c r="CW232" s="20" t="str">
        <f>IF(G232&lt;48,"UF", IF(NOT(ISBLANK(CS232)), CS232, IF(CE232=5, CC232+Sheet2!B416, IF(CE232=6, CC232+Sheet2!B417, IF(CE232=7, CC232+Sheet2!B418,"")))))</f>
        <v>UF</v>
      </c>
      <c r="CX232" s="68" t="str">
        <f t="shared" si="263"/>
        <v/>
      </c>
      <c r="CY232" s="5" t="s">
        <v>12</v>
      </c>
      <c r="DA232" s="5" t="str">
        <f t="shared" si="241"/>
        <v>UF</v>
      </c>
      <c r="DB232" s="73" t="str">
        <f t="shared" si="242"/>
        <v>UF</v>
      </c>
      <c r="DC232" s="73" t="str">
        <f t="shared" si="243"/>
        <v>UF</v>
      </c>
      <c r="DD232" s="5" t="str">
        <f>IF(G232&lt;48,"UF", IF(NOT(ISBLANK(CZ:CZ)), CZ:CZ, IF(CL:CL=3, CK:CK+Sheet2!B421, IF(CL:CL=4, CK:CK+Sheet2!B422, IF(CL:CL=7, CK:CK+Sheet2!B423,"")))))</f>
        <v>UF</v>
      </c>
      <c r="DE232" s="69" t="str">
        <f t="shared" si="202"/>
        <v/>
      </c>
      <c r="DF232" s="2">
        <v>1</v>
      </c>
      <c r="DG232" s="2">
        <v>29</v>
      </c>
      <c r="DH232" s="2">
        <v>1</v>
      </c>
      <c r="DI232" s="2">
        <v>2</v>
      </c>
      <c r="DJ232" s="2">
        <v>2</v>
      </c>
      <c r="DK232" s="2">
        <v>100</v>
      </c>
      <c r="DL232" s="2">
        <v>60</v>
      </c>
      <c r="DM232" s="2" t="s">
        <v>12</v>
      </c>
      <c r="DN232" s="2" t="s">
        <v>12</v>
      </c>
      <c r="DO232" s="2" t="s">
        <v>12</v>
      </c>
      <c r="DP232" s="2" t="s">
        <v>12</v>
      </c>
      <c r="DQ232" s="2">
        <v>2</v>
      </c>
      <c r="DR232" s="2">
        <v>39</v>
      </c>
      <c r="DS232" s="2">
        <v>2</v>
      </c>
      <c r="DT232" s="2">
        <v>84</v>
      </c>
      <c r="DU232" s="2">
        <v>85</v>
      </c>
      <c r="DV232" s="2">
        <v>2</v>
      </c>
      <c r="DW232" s="2">
        <v>2</v>
      </c>
      <c r="DX232" s="2">
        <v>3</v>
      </c>
      <c r="DY232" s="2">
        <v>2</v>
      </c>
      <c r="DZ232" s="2">
        <v>34</v>
      </c>
      <c r="EA232" s="2">
        <v>34</v>
      </c>
      <c r="EB232" s="2">
        <v>45.5</v>
      </c>
      <c r="EC232" s="2">
        <v>1</v>
      </c>
      <c r="ED232" s="2">
        <v>1</v>
      </c>
    </row>
    <row r="233" spans="3:134" x14ac:dyDescent="0.25">
      <c r="C233" s="8" t="s">
        <v>288</v>
      </c>
      <c r="D233" s="8">
        <v>2501033442</v>
      </c>
      <c r="E233" s="5">
        <v>7</v>
      </c>
      <c r="F233" s="2">
        <v>2</v>
      </c>
      <c r="G233" s="2">
        <v>40</v>
      </c>
      <c r="H233" s="2">
        <v>-0.48800718488977213</v>
      </c>
      <c r="I233" s="2">
        <v>50</v>
      </c>
      <c r="J233" s="2">
        <v>6.1168777667580831E-2</v>
      </c>
      <c r="K233" s="2">
        <v>3200</v>
      </c>
      <c r="L233" s="2">
        <v>-0.30398057951686752</v>
      </c>
      <c r="M233" s="2">
        <v>-1.087</v>
      </c>
      <c r="N233" s="2">
        <f t="shared" si="203"/>
        <v>-0.38419640755511392</v>
      </c>
      <c r="O233" s="2">
        <f t="shared" si="204"/>
        <v>-1.087</v>
      </c>
      <c r="P233" s="2">
        <v>71</v>
      </c>
      <c r="Q233" s="2">
        <v>1.57</v>
      </c>
      <c r="R233" s="5">
        <f t="shared" si="205"/>
        <v>0.65441561116620961</v>
      </c>
      <c r="S233" s="5">
        <f t="shared" si="206"/>
        <v>1.57</v>
      </c>
      <c r="T233" s="2">
        <v>8000</v>
      </c>
      <c r="U233" s="2">
        <v>7.0000000000000007E-2</v>
      </c>
      <c r="V233" s="2">
        <f t="shared" si="207"/>
        <v>8.1990289758433754E-2</v>
      </c>
      <c r="W233" s="2">
        <f t="shared" si="208"/>
        <v>7.0000000000000007E-2</v>
      </c>
      <c r="X233" s="2">
        <v>-1.2564</v>
      </c>
      <c r="Y233" s="76">
        <f t="shared" si="244"/>
        <v>-0.76839281511022783</v>
      </c>
      <c r="Z233" s="76">
        <f t="shared" si="245"/>
        <v>-2</v>
      </c>
      <c r="AA233" s="2">
        <f t="shared" si="209"/>
        <v>-0.99615000000000009</v>
      </c>
      <c r="AB233" s="2">
        <f t="shared" si="210"/>
        <v>-1.2564</v>
      </c>
      <c r="AC233" s="2">
        <v>79</v>
      </c>
      <c r="AD233" s="2">
        <v>1.37</v>
      </c>
      <c r="AE233" s="79">
        <f t="shared" si="246"/>
        <v>1.3088312223324192</v>
      </c>
      <c r="AF233" s="79">
        <f t="shared" si="247"/>
        <v>2</v>
      </c>
      <c r="AG233" s="2">
        <f t="shared" si="265"/>
        <v>-0.83500000000000008</v>
      </c>
      <c r="AH233" s="2">
        <f t="shared" si="211"/>
        <v>1.37</v>
      </c>
      <c r="AI233" s="2">
        <v>9500</v>
      </c>
      <c r="AJ233" s="2">
        <v>-0.14000000000000001</v>
      </c>
      <c r="AK233" s="76">
        <f t="shared" si="248"/>
        <v>0.16398057951686751</v>
      </c>
      <c r="AL233" s="76">
        <f t="shared" si="249"/>
        <v>1</v>
      </c>
      <c r="AM233" s="2">
        <f t="shared" si="212"/>
        <v>-0.22</v>
      </c>
      <c r="AN233" s="2">
        <f t="shared" si="213"/>
        <v>-0.14000000000000001</v>
      </c>
      <c r="AO233" s="2">
        <v>-0.42230000000000001</v>
      </c>
      <c r="AP233" s="2" t="str">
        <f t="shared" si="214"/>
        <v/>
      </c>
      <c r="AQ233" s="2">
        <f t="shared" si="215"/>
        <v>-0.42230000000000001</v>
      </c>
      <c r="AR233" s="2">
        <v>82</v>
      </c>
      <c r="AS233" s="2">
        <v>-0.1</v>
      </c>
      <c r="AT233" s="2" t="str">
        <f t="shared" si="216"/>
        <v/>
      </c>
      <c r="AU233" s="2">
        <f t="shared" si="217"/>
        <v>-0.1</v>
      </c>
      <c r="AV233" s="2">
        <v>10500</v>
      </c>
      <c r="AW233" s="2">
        <v>-0.37</v>
      </c>
      <c r="AX233" s="2" t="str">
        <f t="shared" si="218"/>
        <v/>
      </c>
      <c r="AY233" s="2">
        <f t="shared" si="219"/>
        <v>-0.37</v>
      </c>
      <c r="BA233" s="78">
        <f t="shared" si="250"/>
        <v>0.51784882185571601</v>
      </c>
      <c r="BB233" s="78">
        <f t="shared" si="251"/>
        <v>1</v>
      </c>
      <c r="BC233" s="2">
        <f t="shared" si="220"/>
        <v>-0.316251178144284</v>
      </c>
      <c r="BD233" s="2">
        <f t="shared" si="221"/>
        <v>-0.73855117814428395</v>
      </c>
      <c r="BE233" s="67">
        <f t="shared" si="252"/>
        <v>7</v>
      </c>
      <c r="BF233" s="2" t="s">
        <v>12</v>
      </c>
      <c r="BH233" s="2">
        <f t="shared" si="222"/>
        <v>0.26408370922737356</v>
      </c>
      <c r="BI233" s="2">
        <f t="shared" si="223"/>
        <v>0.16408370922737356</v>
      </c>
      <c r="BJ233" s="67">
        <f t="shared" si="224"/>
        <v>7</v>
      </c>
      <c r="BK233" s="2" t="s">
        <v>12</v>
      </c>
      <c r="BM233" s="77">
        <f t="shared" si="253"/>
        <v>-0.19189471902018174</v>
      </c>
      <c r="BN233" s="77">
        <f t="shared" si="254"/>
        <v>-1</v>
      </c>
      <c r="BO233" s="2">
        <f t="shared" si="225"/>
        <v>3.8105280979818225E-2</v>
      </c>
      <c r="BP233" s="2">
        <f t="shared" si="226"/>
        <v>-0.33189471902018175</v>
      </c>
      <c r="BQ233" s="67">
        <f t="shared" si="255"/>
        <v>7</v>
      </c>
      <c r="BR233" s="5">
        <v>-1.3710535344328521</v>
      </c>
      <c r="BS233" s="75">
        <f t="shared" si="256"/>
        <v>-0.6325023562885681</v>
      </c>
      <c r="BT233" s="75">
        <f t="shared" si="257"/>
        <v>-1</v>
      </c>
      <c r="BU233" s="5" t="str">
        <f>IF(G241&gt;=36, IF(AND(NOT(ISBLANK(CM:CM)), NOT(ISBLANK(BD:BD))), (CM:CM-BD:BD)/2, ""), "UF")</f>
        <v/>
      </c>
      <c r="BV233" s="5">
        <f t="shared" si="227"/>
        <v>-1.3710535344328521</v>
      </c>
      <c r="BW233" s="69">
        <f t="shared" si="228"/>
        <v>7</v>
      </c>
      <c r="BX233" s="2">
        <v>98</v>
      </c>
      <c r="BY233" s="5">
        <v>0.69225112768212071</v>
      </c>
      <c r="BZ233" s="74">
        <f t="shared" si="258"/>
        <v>1.0241458467023024</v>
      </c>
      <c r="CA233" s="74">
        <f t="shared" si="259"/>
        <v>2</v>
      </c>
      <c r="CB233" s="5" t="str">
        <f t="shared" si="229"/>
        <v/>
      </c>
      <c r="CC233" s="5">
        <f t="shared" si="230"/>
        <v>0.69225112768212071</v>
      </c>
      <c r="CD233" s="2">
        <f t="shared" si="231"/>
        <v>0.52816741845474713</v>
      </c>
      <c r="CE233" s="69">
        <f t="shared" si="232"/>
        <v>7</v>
      </c>
      <c r="CF233" s="5">
        <v>14000</v>
      </c>
      <c r="CG233" s="5">
        <v>-0.25568415706054531</v>
      </c>
      <c r="CH233" s="72">
        <f t="shared" si="260"/>
        <v>7.6210561959636436E-2</v>
      </c>
      <c r="CI233" s="72">
        <f t="shared" si="261"/>
        <v>1</v>
      </c>
      <c r="CJ233" s="5" t="str">
        <f t="shared" si="233"/>
        <v/>
      </c>
      <c r="CK233" s="5">
        <f t="shared" si="234"/>
        <v>-0.25568415706054531</v>
      </c>
      <c r="CL233" s="69">
        <f t="shared" si="235"/>
        <v>7</v>
      </c>
      <c r="CN233" s="70" t="str">
        <f t="shared" si="236"/>
        <v/>
      </c>
      <c r="CO233" s="5" t="str">
        <f t="shared" si="237"/>
        <v>UF</v>
      </c>
      <c r="CP233" s="5" t="str">
        <f>IF(G233&lt;48,"UF", IF(NOT(ISBLANK(CM:CM)), CM:CM, IF(BW:BW=1, BV:BV+Sheet2!B493, IF(Sheet1!BW:BW=2, Sheet1!BV:BV+Sheet2!B494, IF(Sheet1!BW:BW=7, Sheet1!BV:BV+Sheet2!B495,"")))))</f>
        <v>UF</v>
      </c>
      <c r="CQ233" s="69" t="str">
        <f t="shared" si="262"/>
        <v/>
      </c>
      <c r="CR233" s="5" t="s">
        <v>12</v>
      </c>
      <c r="CT233" s="5" t="str">
        <f t="shared" si="238"/>
        <v/>
      </c>
      <c r="CU233" s="80" t="str">
        <f t="shared" si="239"/>
        <v>UF</v>
      </c>
      <c r="CV233" s="80" t="str">
        <f t="shared" si="240"/>
        <v>UF</v>
      </c>
      <c r="CW233" s="20" t="str">
        <f>IF(G233&lt;48,"UF", IF(NOT(ISBLANK(CS233)), CS233, IF(CE233=5, CC233+Sheet2!B482, IF(CE233=6, CC233+Sheet2!B483, IF(CE233=7, CC233+Sheet2!B484,"")))))</f>
        <v>UF</v>
      </c>
      <c r="CX233" s="68" t="str">
        <f t="shared" si="263"/>
        <v/>
      </c>
      <c r="CY233" s="5" t="s">
        <v>12</v>
      </c>
      <c r="DA233" s="5" t="str">
        <f t="shared" si="241"/>
        <v>UF</v>
      </c>
      <c r="DB233" s="73" t="str">
        <f t="shared" si="242"/>
        <v>UF</v>
      </c>
      <c r="DC233" s="73" t="str">
        <f t="shared" si="243"/>
        <v>UF</v>
      </c>
      <c r="DD233" s="5" t="str">
        <f>IF(G233&lt;48,"UF", IF(NOT(ISBLANK(CZ:CZ)), CZ:CZ, IF(CL:CL=3, CK:CK+Sheet2!B487, IF(CL:CL=4, CK:CK+Sheet2!B488, IF(CL:CL=7, CK:CK+Sheet2!B489,"")))))</f>
        <v>UF</v>
      </c>
      <c r="DE233" s="69" t="str">
        <f t="shared" si="202"/>
        <v/>
      </c>
      <c r="DF233" s="2">
        <v>2</v>
      </c>
      <c r="DG233" s="2">
        <v>29</v>
      </c>
      <c r="DH233" s="2">
        <v>2</v>
      </c>
      <c r="DI233" s="2">
        <v>2</v>
      </c>
      <c r="DJ233" s="2">
        <v>2</v>
      </c>
      <c r="DK233" s="2">
        <v>100</v>
      </c>
      <c r="DL233" s="2">
        <v>60</v>
      </c>
      <c r="DM233" s="2">
        <v>120</v>
      </c>
      <c r="DN233" s="2">
        <v>80</v>
      </c>
      <c r="DO233" s="2">
        <v>100</v>
      </c>
      <c r="DP233" s="2">
        <v>60</v>
      </c>
      <c r="DQ233" s="2">
        <v>2</v>
      </c>
      <c r="DR233" s="2">
        <v>38</v>
      </c>
      <c r="DS233" s="2">
        <v>2</v>
      </c>
      <c r="DT233" s="2">
        <v>84</v>
      </c>
      <c r="DU233" s="2">
        <v>77</v>
      </c>
      <c r="DV233" s="2">
        <v>4</v>
      </c>
      <c r="DW233" s="2">
        <v>3</v>
      </c>
      <c r="DX233" s="2">
        <v>4</v>
      </c>
      <c r="DY233" s="2">
        <v>2</v>
      </c>
      <c r="DZ233" s="2">
        <v>33</v>
      </c>
      <c r="EA233" s="2">
        <v>35</v>
      </c>
      <c r="EB233" s="2">
        <v>46.5</v>
      </c>
      <c r="EC233" s="2">
        <v>1</v>
      </c>
      <c r="ED233" s="2">
        <v>1</v>
      </c>
    </row>
    <row r="234" spans="3:134" x14ac:dyDescent="0.25">
      <c r="C234" s="8" t="s">
        <v>303</v>
      </c>
      <c r="D234" s="8">
        <v>2501033558</v>
      </c>
      <c r="E234" s="5">
        <v>7</v>
      </c>
      <c r="F234" s="2">
        <v>1</v>
      </c>
      <c r="G234" s="2">
        <v>40</v>
      </c>
      <c r="H234" s="2">
        <v>-3.9051798305757219</v>
      </c>
      <c r="I234" s="2">
        <v>52</v>
      </c>
      <c r="J234" s="2">
        <v>1.531272843240846</v>
      </c>
      <c r="K234" s="2">
        <v>2500</v>
      </c>
      <c r="L234" s="2">
        <v>-1.7268064884432719</v>
      </c>
      <c r="M234" s="2">
        <v>-0.22550000000000001</v>
      </c>
      <c r="N234" s="2">
        <f t="shared" si="203"/>
        <v>1.3703899152878609</v>
      </c>
      <c r="O234" s="2">
        <f t="shared" si="204"/>
        <v>-0.22550000000000001</v>
      </c>
      <c r="P234" s="2">
        <v>65</v>
      </c>
      <c r="Q234" s="2">
        <v>-0.33</v>
      </c>
      <c r="R234" s="5">
        <f t="shared" si="205"/>
        <v>9.36357837957702E-3</v>
      </c>
      <c r="S234" s="5">
        <f t="shared" si="206"/>
        <v>-0.33</v>
      </c>
      <c r="T234" s="2">
        <v>7000</v>
      </c>
      <c r="U234" s="2">
        <v>-0.35</v>
      </c>
      <c r="V234" s="2">
        <f t="shared" si="207"/>
        <v>0.88840324422163597</v>
      </c>
      <c r="W234" s="2">
        <f t="shared" si="208"/>
        <v>-0.35</v>
      </c>
      <c r="X234" s="2">
        <v>-1.1644000000000001</v>
      </c>
      <c r="Y234" s="76">
        <f t="shared" si="244"/>
        <v>2.7407798305757218</v>
      </c>
      <c r="Z234" s="76">
        <f t="shared" si="245"/>
        <v>2</v>
      </c>
      <c r="AA234" s="2">
        <f t="shared" si="209"/>
        <v>-0.76869999999999994</v>
      </c>
      <c r="AB234" s="2">
        <f t="shared" si="210"/>
        <v>-1.1644000000000001</v>
      </c>
      <c r="AC234" s="2">
        <v>78</v>
      </c>
      <c r="AD234" s="2">
        <v>1.55</v>
      </c>
      <c r="AE234" s="79">
        <f t="shared" si="246"/>
        <v>1.872715675915404E-2</v>
      </c>
      <c r="AF234" s="79">
        <f t="shared" si="247"/>
        <v>1</v>
      </c>
      <c r="AG234" s="2">
        <f t="shared" si="265"/>
        <v>0.73</v>
      </c>
      <c r="AH234" s="2">
        <f t="shared" si="211"/>
        <v>1.55</v>
      </c>
      <c r="AI234" s="2">
        <v>9000</v>
      </c>
      <c r="AJ234" s="2">
        <v>0.05</v>
      </c>
      <c r="AK234" s="76">
        <f t="shared" si="248"/>
        <v>1.7768064884432719</v>
      </c>
      <c r="AL234" s="76">
        <f t="shared" si="249"/>
        <v>2</v>
      </c>
      <c r="AM234" s="2">
        <f t="shared" si="212"/>
        <v>-0.13</v>
      </c>
      <c r="AN234" s="2">
        <f t="shared" si="213"/>
        <v>0.05</v>
      </c>
      <c r="AO234" s="2">
        <v>-1.8673999999999999</v>
      </c>
      <c r="AP234" s="2">
        <f t="shared" si="214"/>
        <v>-0.54296071895850995</v>
      </c>
      <c r="AQ234" s="2">
        <f t="shared" si="215"/>
        <v>-1.8673999999999999</v>
      </c>
      <c r="AR234" s="2">
        <v>84</v>
      </c>
      <c r="AS234" s="2">
        <v>1.1299999999999999</v>
      </c>
      <c r="AT234" s="2">
        <f t="shared" si="216"/>
        <v>-0.25820334258441602</v>
      </c>
      <c r="AU234" s="2">
        <f t="shared" si="217"/>
        <v>1.1299999999999999</v>
      </c>
      <c r="AV234" s="2">
        <v>9500</v>
      </c>
      <c r="AW234" s="2">
        <v>-0.61</v>
      </c>
      <c r="AX234" s="2">
        <f t="shared" si="218"/>
        <v>-0.54357547356581504</v>
      </c>
      <c r="AY234" s="2">
        <f t="shared" si="219"/>
        <v>-0.61</v>
      </c>
      <c r="AZ234" s="2">
        <v>-2.25032143791702</v>
      </c>
      <c r="BA234" s="78">
        <f t="shared" si="250"/>
        <v>-1.0859214379170199</v>
      </c>
      <c r="BB234" s="78">
        <f t="shared" si="251"/>
        <v>-2</v>
      </c>
      <c r="BC234" s="2" t="str">
        <f t="shared" si="220"/>
        <v/>
      </c>
      <c r="BD234" s="2">
        <f t="shared" si="221"/>
        <v>-2.25032143791702</v>
      </c>
      <c r="BE234" s="67">
        <f t="shared" si="252"/>
        <v>2</v>
      </c>
      <c r="BF234" s="2">
        <v>89</v>
      </c>
      <c r="BG234" s="2">
        <v>1.033593314831168</v>
      </c>
      <c r="BH234" s="2" t="str">
        <f t="shared" si="222"/>
        <v/>
      </c>
      <c r="BI234" s="2">
        <f t="shared" si="223"/>
        <v>1.033593314831168</v>
      </c>
      <c r="BJ234" s="67">
        <f t="shared" si="224"/>
        <v>7</v>
      </c>
      <c r="BK234" s="2">
        <v>10900</v>
      </c>
      <c r="BL234" s="2">
        <v>-1.03715094713163</v>
      </c>
      <c r="BM234" s="77">
        <f t="shared" si="253"/>
        <v>-1.0871509471316301</v>
      </c>
      <c r="BN234" s="77">
        <f t="shared" si="254"/>
        <v>-2</v>
      </c>
      <c r="BO234" s="2" t="str">
        <f t="shared" si="225"/>
        <v/>
      </c>
      <c r="BP234" s="2">
        <f t="shared" si="226"/>
        <v>-1.03715094713163</v>
      </c>
      <c r="BQ234" s="67">
        <f t="shared" si="255"/>
        <v>7</v>
      </c>
      <c r="BS234" s="75" t="e">
        <f t="shared" si="256"/>
        <v>#VALUE!</v>
      </c>
      <c r="BT234" s="75" t="e">
        <f t="shared" si="257"/>
        <v>#VALUE!</v>
      </c>
      <c r="BU234" s="5" t="str">
        <f>IF(G242&gt;=36, IF(AND(NOT(ISBLANK(CM:CM)), NOT(ISBLANK(BD:BD))), (CM:CM-BD:BD)/2, ""), "UF")</f>
        <v/>
      </c>
      <c r="BV234" s="5" t="e">
        <f t="shared" si="227"/>
        <v>#VALUE!</v>
      </c>
      <c r="BW234" s="69" t="e">
        <f t="shared" si="228"/>
        <v>#VALUE!</v>
      </c>
      <c r="BX234" s="2" t="s">
        <v>12</v>
      </c>
      <c r="BZ234" s="74" t="e">
        <f t="shared" si="258"/>
        <v>#VALUE!</v>
      </c>
      <c r="CA234" s="74" t="e">
        <f t="shared" si="259"/>
        <v>#VALUE!</v>
      </c>
      <c r="CB234" s="5" t="str">
        <f t="shared" si="229"/>
        <v/>
      </c>
      <c r="CC234" s="5" t="e">
        <f t="shared" si="230"/>
        <v>#VALUE!</v>
      </c>
      <c r="CD234" s="2" t="e">
        <f t="shared" si="231"/>
        <v>#VALUE!</v>
      </c>
      <c r="CE234" s="69" t="e">
        <f t="shared" si="232"/>
        <v>#VALUE!</v>
      </c>
      <c r="CF234" s="5" t="s">
        <v>12</v>
      </c>
      <c r="CH234" s="72" t="e">
        <f t="shared" si="260"/>
        <v>#VALUE!</v>
      </c>
      <c r="CI234" s="72" t="e">
        <f t="shared" si="261"/>
        <v>#VALUE!</v>
      </c>
      <c r="CJ234" s="5" t="str">
        <f t="shared" si="233"/>
        <v/>
      </c>
      <c r="CK234" s="5" t="e">
        <f t="shared" si="234"/>
        <v>#VALUE!</v>
      </c>
      <c r="CL234" s="69" t="e">
        <f t="shared" si="235"/>
        <v>#VALUE!</v>
      </c>
      <c r="CN234" s="70" t="str">
        <f t="shared" si="236"/>
        <v/>
      </c>
      <c r="CO234" s="5" t="str">
        <f t="shared" si="237"/>
        <v>UF</v>
      </c>
      <c r="CP234" s="5" t="str">
        <f>IF(G234&lt;48,"UF", IF(NOT(ISBLANK(CM:CM)), CM:CM, IF(BW:BW=1, BV:BV+Sheet2!B516, IF(Sheet1!BW:BW=2, Sheet1!BV:BV+Sheet2!B517, IF(Sheet1!BW:BW=7, Sheet1!BV:BV+Sheet2!B518,"")))))</f>
        <v>UF</v>
      </c>
      <c r="CQ234" s="69" t="str">
        <f t="shared" si="262"/>
        <v/>
      </c>
      <c r="CR234" s="5" t="s">
        <v>12</v>
      </c>
      <c r="CT234" s="5" t="str">
        <f t="shared" si="238"/>
        <v/>
      </c>
      <c r="CU234" s="80" t="str">
        <f t="shared" si="239"/>
        <v>UF</v>
      </c>
      <c r="CV234" s="80" t="str">
        <f t="shared" si="240"/>
        <v>UF</v>
      </c>
      <c r="CW234" s="20" t="str">
        <f>IF(G234&lt;48,"UF", IF(NOT(ISBLANK(CS234)), CS234, IF(CE234=5, CC234+Sheet2!B505, IF(CE234=6, CC234+Sheet2!B506, IF(CE234=7, CC234+Sheet2!B507,"")))))</f>
        <v>UF</v>
      </c>
      <c r="CX234" s="68" t="str">
        <f t="shared" si="263"/>
        <v/>
      </c>
      <c r="CY234" s="5" t="s">
        <v>12</v>
      </c>
      <c r="DA234" s="5" t="str">
        <f t="shared" si="241"/>
        <v>UF</v>
      </c>
      <c r="DB234" s="73" t="str">
        <f t="shared" si="242"/>
        <v>UF</v>
      </c>
      <c r="DC234" s="73" t="str">
        <f t="shared" si="243"/>
        <v>UF</v>
      </c>
      <c r="DD234" s="5" t="str">
        <f>IF(G234&lt;48,"UF", IF(NOT(ISBLANK(CZ:CZ)), CZ:CZ, IF(CL:CL=3, CK:CK+Sheet2!B510, IF(CL:CL=4, CK:CK+Sheet2!B511, IF(CL:CL=7, CK:CK+Sheet2!B512,"")))))</f>
        <v>UF</v>
      </c>
      <c r="DE234" s="69" t="str">
        <f t="shared" si="202"/>
        <v/>
      </c>
      <c r="DF234" s="2">
        <v>2</v>
      </c>
      <c r="DG234" s="2">
        <v>28</v>
      </c>
      <c r="DH234" s="2">
        <v>2</v>
      </c>
      <c r="DI234" s="2">
        <v>2</v>
      </c>
      <c r="DJ234" s="2">
        <v>2</v>
      </c>
      <c r="DK234" s="2">
        <v>100</v>
      </c>
      <c r="DL234" s="2">
        <v>60</v>
      </c>
      <c r="DM234" s="2">
        <v>107</v>
      </c>
      <c r="DN234" s="2">
        <v>68</v>
      </c>
      <c r="DO234" s="2">
        <v>110</v>
      </c>
      <c r="DP234" s="2">
        <v>60</v>
      </c>
      <c r="DQ234" s="2">
        <v>2</v>
      </c>
      <c r="DR234" s="2">
        <v>39</v>
      </c>
      <c r="DS234" s="2">
        <v>2</v>
      </c>
      <c r="DT234" s="2">
        <v>84</v>
      </c>
      <c r="DU234" s="2">
        <v>74</v>
      </c>
      <c r="DV234" s="2">
        <v>2</v>
      </c>
      <c r="DW234" s="2">
        <v>2</v>
      </c>
      <c r="DX234" s="2">
        <v>4</v>
      </c>
      <c r="DY234" s="2">
        <v>2</v>
      </c>
      <c r="DZ234" s="2">
        <v>34</v>
      </c>
      <c r="EA234" s="2">
        <v>35.5</v>
      </c>
      <c r="EB234" s="2">
        <v>45</v>
      </c>
      <c r="EC234" s="2">
        <v>1</v>
      </c>
      <c r="ED234" s="2">
        <v>1</v>
      </c>
    </row>
    <row r="235" spans="3:134" x14ac:dyDescent="0.25">
      <c r="C235" s="8" t="s">
        <v>251</v>
      </c>
      <c r="D235" s="4">
        <v>2501033868</v>
      </c>
      <c r="E235" s="5">
        <v>7</v>
      </c>
      <c r="F235" s="2">
        <v>2</v>
      </c>
      <c r="G235" s="2">
        <v>39</v>
      </c>
      <c r="H235" s="2">
        <v>-1.7388819227782031</v>
      </c>
      <c r="I235" s="2">
        <v>50</v>
      </c>
      <c r="J235" s="2">
        <v>6.1168777667580831E-2</v>
      </c>
      <c r="K235" s="2">
        <v>2850</v>
      </c>
      <c r="L235" s="2">
        <v>-1.0694006696783991</v>
      </c>
      <c r="M235" s="2">
        <v>-0.4546</v>
      </c>
      <c r="N235" s="2">
        <f t="shared" si="203"/>
        <v>0.60214096138910156</v>
      </c>
      <c r="O235" s="2">
        <f t="shared" si="204"/>
        <v>-0.4546</v>
      </c>
      <c r="P235" s="2">
        <v>67</v>
      </c>
      <c r="Q235" s="2">
        <v>-0.3</v>
      </c>
      <c r="R235" s="5">
        <f t="shared" si="205"/>
        <v>2.4415611166209585E-2</v>
      </c>
      <c r="S235" s="5">
        <f t="shared" si="206"/>
        <v>-0.3</v>
      </c>
      <c r="T235" s="2">
        <v>7500</v>
      </c>
      <c r="U235" s="2">
        <v>-0.52</v>
      </c>
      <c r="V235" s="2">
        <f t="shared" si="207"/>
        <v>0.36970033483919951</v>
      </c>
      <c r="W235" s="2">
        <f t="shared" si="208"/>
        <v>-0.52</v>
      </c>
      <c r="X235" s="2">
        <v>-0.53459999999999996</v>
      </c>
      <c r="Y235" s="76">
        <f t="shared" si="244"/>
        <v>1.2042819227782031</v>
      </c>
      <c r="Z235" s="76">
        <f t="shared" si="245"/>
        <v>2</v>
      </c>
      <c r="AA235" s="2">
        <f t="shared" si="209"/>
        <v>-0.44784999999999997</v>
      </c>
      <c r="AB235" s="2">
        <f t="shared" si="210"/>
        <v>-0.53459999999999996</v>
      </c>
      <c r="AC235" s="2">
        <v>76</v>
      </c>
      <c r="AD235" s="2">
        <v>0.11</v>
      </c>
      <c r="AE235" s="79">
        <f t="shared" si="246"/>
        <v>4.8831222332419169E-2</v>
      </c>
      <c r="AF235" s="79">
        <f t="shared" si="247"/>
        <v>1</v>
      </c>
      <c r="AG235" s="2">
        <f t="shared" si="265"/>
        <v>9.9999999999999992E-2</v>
      </c>
      <c r="AH235" s="2">
        <f t="shared" si="211"/>
        <v>0.11</v>
      </c>
      <c r="AI235" s="2">
        <v>9300</v>
      </c>
      <c r="AJ235" s="2">
        <v>-0.33</v>
      </c>
      <c r="AK235" s="76">
        <f t="shared" si="248"/>
        <v>0.73940066967839901</v>
      </c>
      <c r="AL235" s="76">
        <f t="shared" si="249"/>
        <v>2</v>
      </c>
      <c r="AM235" s="2">
        <f t="shared" si="212"/>
        <v>-0.19</v>
      </c>
      <c r="AN235" s="2">
        <f t="shared" si="213"/>
        <v>-0.33</v>
      </c>
      <c r="AO235" s="2">
        <v>-1.1957</v>
      </c>
      <c r="AP235" s="2">
        <f t="shared" si="214"/>
        <v>-0.4860445153442795</v>
      </c>
      <c r="AQ235" s="2">
        <f t="shared" si="215"/>
        <v>-1.1957</v>
      </c>
      <c r="AR235" s="2">
        <v>82</v>
      </c>
      <c r="AS235" s="2">
        <v>-0.1</v>
      </c>
      <c r="AT235" s="2">
        <f t="shared" si="216"/>
        <v>0.10722565580973675</v>
      </c>
      <c r="AU235" s="2">
        <f t="shared" si="217"/>
        <v>-0.1</v>
      </c>
      <c r="AV235" s="2">
        <v>9900</v>
      </c>
      <c r="AW235" s="2">
        <v>-0.9</v>
      </c>
      <c r="AX235" s="2">
        <f t="shared" si="218"/>
        <v>-0.31420338178308171</v>
      </c>
      <c r="AY235" s="2">
        <f t="shared" si="219"/>
        <v>-0.9</v>
      </c>
      <c r="AZ235" s="2">
        <v>-1.506689030688559</v>
      </c>
      <c r="BA235" s="78">
        <f t="shared" si="250"/>
        <v>-0.97208903068855901</v>
      </c>
      <c r="BB235" s="78">
        <f t="shared" si="251"/>
        <v>-2</v>
      </c>
      <c r="BC235" s="2">
        <f t="shared" si="220"/>
        <v>-0.51309729932460435</v>
      </c>
      <c r="BD235" s="2">
        <f t="shared" si="221"/>
        <v>-1.506689030688559</v>
      </c>
      <c r="BE235" s="67">
        <f t="shared" si="252"/>
        <v>7</v>
      </c>
      <c r="BF235" s="2">
        <v>88</v>
      </c>
      <c r="BG235" s="2">
        <v>0.32445131161947349</v>
      </c>
      <c r="BH235" s="2">
        <f t="shared" si="222"/>
        <v>5.2843547723125016E-2</v>
      </c>
      <c r="BI235" s="2">
        <f t="shared" si="223"/>
        <v>0.32445131161947349</v>
      </c>
      <c r="BJ235" s="67">
        <f t="shared" si="224"/>
        <v>7</v>
      </c>
      <c r="BK235" s="2">
        <v>11500</v>
      </c>
      <c r="BL235" s="2">
        <v>-0.95840676356616339</v>
      </c>
      <c r="BM235" s="77">
        <f t="shared" si="253"/>
        <v>-0.62840676356616343</v>
      </c>
      <c r="BN235" s="77">
        <f t="shared" si="254"/>
        <v>-1</v>
      </c>
      <c r="BO235" s="2">
        <f t="shared" si="225"/>
        <v>-0.20743174051218569</v>
      </c>
      <c r="BP235" s="2">
        <f t="shared" si="226"/>
        <v>-0.95840676356616339</v>
      </c>
      <c r="BQ235" s="67">
        <f t="shared" si="255"/>
        <v>7</v>
      </c>
      <c r="BR235" s="5">
        <v>-2.734991897973813</v>
      </c>
      <c r="BS235" s="75">
        <f t="shared" si="256"/>
        <v>-1.2283028672852541</v>
      </c>
      <c r="BT235" s="75">
        <f t="shared" si="257"/>
        <v>-2</v>
      </c>
      <c r="BU235" s="5" t="e">
        <f>IF(#REF!&gt;=36, IF(AND(NOT(ISBLANK(CM:CM)), NOT(ISBLANK(BD:BD))), (CM:CM-BD:BD)/2, ""), "UF")</f>
        <v>#REF!</v>
      </c>
      <c r="BV235" s="5">
        <f t="shared" si="227"/>
        <v>-2.734991897973813</v>
      </c>
      <c r="BW235" s="69">
        <f t="shared" si="228"/>
        <v>2</v>
      </c>
      <c r="BX235" s="2">
        <v>95.5</v>
      </c>
      <c r="BY235" s="5">
        <v>5.8530643169375042E-2</v>
      </c>
      <c r="BZ235" s="74">
        <f t="shared" si="258"/>
        <v>1.0169374067355383</v>
      </c>
      <c r="CA235" s="74">
        <f t="shared" si="259"/>
        <v>2</v>
      </c>
      <c r="CB235" s="5" t="str">
        <f t="shared" si="229"/>
        <v/>
      </c>
      <c r="CC235" s="5">
        <f t="shared" si="230"/>
        <v>5.8530643169375042E-2</v>
      </c>
      <c r="CD235" s="2">
        <f t="shared" si="231"/>
        <v>-0.26592066845009843</v>
      </c>
      <c r="CE235" s="69">
        <f t="shared" si="232"/>
        <v>7</v>
      </c>
      <c r="CF235" s="5">
        <v>12250</v>
      </c>
      <c r="CG235" s="5">
        <v>-1.5222952215365571</v>
      </c>
      <c r="CH235" s="72">
        <f t="shared" si="260"/>
        <v>-0.56388845797039366</v>
      </c>
      <c r="CI235" s="72">
        <f t="shared" si="261"/>
        <v>-1</v>
      </c>
      <c r="CJ235" s="5" t="str">
        <f t="shared" si="233"/>
        <v/>
      </c>
      <c r="CK235" s="5">
        <f t="shared" si="234"/>
        <v>-1.5222952215365571</v>
      </c>
      <c r="CL235" s="69">
        <f t="shared" si="235"/>
        <v>7</v>
      </c>
      <c r="CN235" s="70" t="str">
        <f t="shared" si="236"/>
        <v/>
      </c>
      <c r="CO235" s="5" t="str">
        <f t="shared" si="237"/>
        <v>UF</v>
      </c>
      <c r="CP235" s="5" t="str">
        <f>IF(G235&lt;48,"UF", IF(NOT(ISBLANK(CM:CM)), CM:CM, IF(BW:BW=1, BV:BV+Sheet2!B445, IF(Sheet1!BW:BW=2, Sheet1!BV:BV+Sheet2!B446, IF(Sheet1!BW:BW=7, Sheet1!BV:BV+Sheet2!B447,"")))))</f>
        <v>UF</v>
      </c>
      <c r="CQ235" s="69" t="str">
        <f t="shared" si="262"/>
        <v/>
      </c>
      <c r="CR235" s="5" t="s">
        <v>12</v>
      </c>
      <c r="CT235" s="5" t="str">
        <f t="shared" si="238"/>
        <v/>
      </c>
      <c r="CU235" s="80" t="str">
        <f t="shared" si="239"/>
        <v>UF</v>
      </c>
      <c r="CV235" s="80" t="str">
        <f t="shared" si="240"/>
        <v>UF</v>
      </c>
      <c r="CW235" s="20" t="str">
        <f>IF(G235&lt;48,"UF", IF(NOT(ISBLANK(CS235)), CS235, IF(CE235=5, CC235+Sheet2!B434, IF(CE235=6, CC235+Sheet2!B435, IF(CE235=7, CC235+Sheet2!B436,"")))))</f>
        <v>UF</v>
      </c>
      <c r="CX235" s="68" t="str">
        <f t="shared" si="263"/>
        <v/>
      </c>
      <c r="CY235" s="5" t="s">
        <v>12</v>
      </c>
      <c r="DA235" s="5" t="str">
        <f t="shared" si="241"/>
        <v>UF</v>
      </c>
      <c r="DB235" s="73" t="str">
        <f t="shared" si="242"/>
        <v>UF</v>
      </c>
      <c r="DC235" s="73" t="str">
        <f t="shared" si="243"/>
        <v>UF</v>
      </c>
      <c r="DD235" s="5" t="str">
        <f>IF(G235&lt;48,"UF", IF(NOT(ISBLANK(CZ:CZ)), CZ:CZ, IF(CL:CL=3, CK:CK+Sheet2!B439, IF(CL:CL=4, CK:CK+Sheet2!B440, IF(CL:CL=7, CK:CK+Sheet2!B441,"")))))</f>
        <v>UF</v>
      </c>
      <c r="DE235" s="69" t="str">
        <f t="shared" si="202"/>
        <v/>
      </c>
      <c r="DF235" s="2">
        <v>1</v>
      </c>
      <c r="DG235" s="2">
        <v>26</v>
      </c>
      <c r="DH235" s="2">
        <v>1</v>
      </c>
      <c r="DI235" s="2">
        <v>2</v>
      </c>
      <c r="DJ235" s="2">
        <v>1</v>
      </c>
      <c r="DK235" s="2" t="s">
        <v>12</v>
      </c>
      <c r="DL235" s="2" t="s">
        <v>12</v>
      </c>
      <c r="DM235" s="2">
        <v>140</v>
      </c>
      <c r="DN235" s="2">
        <v>80</v>
      </c>
      <c r="DO235" s="2" t="s">
        <v>12</v>
      </c>
      <c r="DP235" s="2" t="s">
        <v>12</v>
      </c>
      <c r="DQ235" s="2">
        <v>2</v>
      </c>
      <c r="DR235" s="2">
        <v>38</v>
      </c>
      <c r="DS235" s="2">
        <v>2</v>
      </c>
      <c r="DT235" s="2">
        <v>92</v>
      </c>
      <c r="DU235" s="2">
        <v>82</v>
      </c>
      <c r="DV235" s="2">
        <v>4</v>
      </c>
      <c r="DW235" s="2">
        <v>2</v>
      </c>
      <c r="DX235" s="2">
        <v>2</v>
      </c>
      <c r="DY235" s="2">
        <v>2</v>
      </c>
      <c r="DZ235" s="2">
        <v>34</v>
      </c>
      <c r="EA235" s="2">
        <v>35</v>
      </c>
      <c r="EB235" s="2">
        <v>46</v>
      </c>
      <c r="EC235" s="2">
        <v>1</v>
      </c>
      <c r="ED235" s="2">
        <v>1</v>
      </c>
    </row>
    <row r="236" spans="3:134" x14ac:dyDescent="0.25">
      <c r="C236" s="8" t="s">
        <v>344</v>
      </c>
      <c r="D236" s="2">
        <v>2501033949</v>
      </c>
      <c r="E236" s="5">
        <v>7</v>
      </c>
      <c r="F236" s="2">
        <v>1</v>
      </c>
      <c r="G236" s="2">
        <v>42</v>
      </c>
      <c r="H236" s="2">
        <v>-0.1108297380910267</v>
      </c>
      <c r="I236" s="2">
        <v>50</v>
      </c>
      <c r="J236" s="2">
        <v>0.45756143734440202</v>
      </c>
      <c r="K236" s="2">
        <v>3300</v>
      </c>
      <c r="L236" s="2">
        <v>0.14707338780410831</v>
      </c>
      <c r="M236" s="2">
        <v>0.78820000000000001</v>
      </c>
      <c r="N236" s="2">
        <f t="shared" si="203"/>
        <v>1.4937148690455133</v>
      </c>
      <c r="O236" s="2">
        <f t="shared" si="204"/>
        <v>0.78820000000000001</v>
      </c>
      <c r="P236" s="2">
        <v>70</v>
      </c>
      <c r="Q236" s="2">
        <v>1.87</v>
      </c>
      <c r="R236" s="5">
        <f t="shared" si="205"/>
        <v>-3.3780718672201004E-2</v>
      </c>
      <c r="S236" s="5">
        <f t="shared" si="206"/>
        <v>1.87</v>
      </c>
      <c r="T236" s="2">
        <v>8900</v>
      </c>
      <c r="U236" s="2">
        <v>1.61</v>
      </c>
      <c r="V236" s="2">
        <f t="shared" si="207"/>
        <v>1.0864633060979458</v>
      </c>
      <c r="W236" s="2">
        <f t="shared" si="208"/>
        <v>1.61</v>
      </c>
      <c r="X236" s="2">
        <v>2.8765999999999998</v>
      </c>
      <c r="Y236" s="76">
        <f t="shared" si="244"/>
        <v>2.9874297380910266</v>
      </c>
      <c r="Z236" s="76">
        <f t="shared" si="245"/>
        <v>2</v>
      </c>
      <c r="AA236" s="2" t="str">
        <f t="shared" si="209"/>
        <v/>
      </c>
      <c r="AB236" s="2">
        <f t="shared" si="210"/>
        <v>2.8765999999999998</v>
      </c>
      <c r="AC236" s="2">
        <v>75</v>
      </c>
      <c r="AD236" s="2">
        <v>0.39</v>
      </c>
      <c r="AE236" s="79">
        <f t="shared" si="246"/>
        <v>-6.7561437344402009E-2</v>
      </c>
      <c r="AF236" s="79">
        <f t="shared" si="247"/>
        <v>-1</v>
      </c>
      <c r="AG236" s="2" t="str">
        <f t="shared" si="265"/>
        <v/>
      </c>
      <c r="AH236" s="2">
        <f t="shared" si="211"/>
        <v>0.39</v>
      </c>
      <c r="AI236" s="2">
        <v>12000</v>
      </c>
      <c r="AJ236" s="2">
        <v>2.3199999999999998</v>
      </c>
      <c r="AK236" s="76">
        <f t="shared" si="248"/>
        <v>2.1729266121958917</v>
      </c>
      <c r="AL236" s="76">
        <f t="shared" si="249"/>
        <v>2</v>
      </c>
      <c r="AM236" s="2" t="str">
        <f t="shared" si="212"/>
        <v/>
      </c>
      <c r="AN236" s="2">
        <f t="shared" si="213"/>
        <v>2.3199999999999998</v>
      </c>
      <c r="AP236" s="2">
        <f t="shared" si="214"/>
        <v>-0.18251545405255998</v>
      </c>
      <c r="AQ236" s="2">
        <f t="shared" si="215"/>
        <v>2.6940845459474398</v>
      </c>
      <c r="AR236" s="2" t="s">
        <v>12</v>
      </c>
      <c r="AT236" s="2">
        <f t="shared" si="216"/>
        <v>-0.39009245770642581</v>
      </c>
      <c r="AU236" s="2">
        <f t="shared" si="217"/>
        <v>-9.2457706425796982E-5</v>
      </c>
      <c r="AV236" s="2" t="s">
        <v>12</v>
      </c>
      <c r="AX236" s="2">
        <f t="shared" si="218"/>
        <v>-0.19847017228385744</v>
      </c>
      <c r="AY236" s="2">
        <f t="shared" si="219"/>
        <v>2.1215298277161425</v>
      </c>
      <c r="AZ236" s="2">
        <v>2.5115690918948799</v>
      </c>
      <c r="BA236" s="78">
        <f t="shared" si="250"/>
        <v>-0.36503090810511996</v>
      </c>
      <c r="BB236" s="78">
        <f t="shared" si="251"/>
        <v>-1</v>
      </c>
      <c r="BC236" s="2">
        <f t="shared" si="220"/>
        <v>-0.97572704348754968</v>
      </c>
      <c r="BD236" s="2">
        <f t="shared" si="221"/>
        <v>2.5115690918948799</v>
      </c>
      <c r="BE236" s="67" t="str">
        <f t="shared" si="252"/>
        <v/>
      </c>
      <c r="BF236" s="2">
        <v>88</v>
      </c>
      <c r="BG236" s="2">
        <v>-0.39018491541285161</v>
      </c>
      <c r="BH236" s="2">
        <f t="shared" si="222"/>
        <v>0.88573985513701758</v>
      </c>
      <c r="BI236" s="2">
        <f t="shared" si="223"/>
        <v>-0.39018491541285161</v>
      </c>
      <c r="BJ236" s="67">
        <f t="shared" si="224"/>
        <v>7</v>
      </c>
      <c r="BK236" s="2">
        <v>15200</v>
      </c>
      <c r="BL236" s="2">
        <v>1.923059655432285</v>
      </c>
      <c r="BM236" s="77">
        <f t="shared" si="253"/>
        <v>-0.39694034456771488</v>
      </c>
      <c r="BN236" s="77">
        <f t="shared" si="254"/>
        <v>-1</v>
      </c>
      <c r="BO236" s="2">
        <f t="shared" si="225"/>
        <v>-0.20640353521484686</v>
      </c>
      <c r="BP236" s="2">
        <f t="shared" si="226"/>
        <v>1.923059655432285</v>
      </c>
      <c r="BQ236" s="67">
        <f t="shared" si="255"/>
        <v>7</v>
      </c>
      <c r="BR236" s="5">
        <v>-0.23309658451520929</v>
      </c>
      <c r="BS236" s="75">
        <f t="shared" si="256"/>
        <v>-2.7446656764100892</v>
      </c>
      <c r="BT236" s="75">
        <f t="shared" si="257"/>
        <v>-2</v>
      </c>
      <c r="BU236" s="5" t="str">
        <f>IF(G243&gt;=36, IF(AND(NOT(ISBLANK(CM:CM)), NOT(ISBLANK(BD:BD))), (CM:CM-BD:BD)/2, ""), "UF")</f>
        <v/>
      </c>
      <c r="BV236" s="5">
        <f t="shared" si="227"/>
        <v>-0.23309658451520929</v>
      </c>
      <c r="BW236" s="69">
        <f t="shared" si="228"/>
        <v>7</v>
      </c>
      <c r="BX236" s="2">
        <v>105</v>
      </c>
      <c r="BY236" s="5">
        <v>2.657127107704627</v>
      </c>
      <c r="BZ236" s="74">
        <f t="shared" si="258"/>
        <v>0.73406745227234205</v>
      </c>
      <c r="CA236" s="74">
        <f t="shared" si="259"/>
        <v>2</v>
      </c>
      <c r="CB236" s="5" t="str">
        <f t="shared" si="229"/>
        <v/>
      </c>
      <c r="CC236" s="5">
        <f t="shared" si="230"/>
        <v>2.657127107704627</v>
      </c>
      <c r="CD236" s="2">
        <f t="shared" si="231"/>
        <v>3.0473120231174784</v>
      </c>
      <c r="CE236" s="69" t="str">
        <f t="shared" si="232"/>
        <v/>
      </c>
      <c r="CF236" s="5">
        <v>17000</v>
      </c>
      <c r="CG236" s="5">
        <v>1.502319222071602</v>
      </c>
      <c r="CH236" s="72">
        <f t="shared" si="260"/>
        <v>-0.42074043336068301</v>
      </c>
      <c r="CI236" s="72">
        <f t="shared" si="261"/>
        <v>-1</v>
      </c>
      <c r="CJ236" s="5" t="str">
        <f t="shared" si="233"/>
        <v/>
      </c>
      <c r="CK236" s="5">
        <f t="shared" si="234"/>
        <v>1.502319222071602</v>
      </c>
      <c r="CL236" s="69">
        <f t="shared" si="235"/>
        <v>7</v>
      </c>
      <c r="CN236" s="70" t="str">
        <f t="shared" si="236"/>
        <v/>
      </c>
      <c r="CO236" s="5" t="str">
        <f t="shared" si="237"/>
        <v>UF</v>
      </c>
      <c r="CP236" s="5" t="str">
        <f>IF(G236&lt;48,"UF", IF(NOT(ISBLANK(CM:CM)), CM:CM, IF(BW:BW=1, BV:BV+Sheet2!B576, IF(Sheet1!BW:BW=2, Sheet1!BV:BV+Sheet2!B577, IF(Sheet1!BW:BW=7, Sheet1!BV:BV+Sheet2!B578,"")))))</f>
        <v>UF</v>
      </c>
      <c r="CQ236" s="69" t="str">
        <f t="shared" si="262"/>
        <v/>
      </c>
      <c r="CR236" s="5" t="s">
        <v>12</v>
      </c>
      <c r="CT236" s="5" t="str">
        <f t="shared" si="238"/>
        <v/>
      </c>
      <c r="CU236" s="80" t="str">
        <f t="shared" si="239"/>
        <v>UF</v>
      </c>
      <c r="CV236" s="80" t="str">
        <f t="shared" si="240"/>
        <v>UF</v>
      </c>
      <c r="CW236" s="20" t="str">
        <f>IF(G236&lt;48,"UF", IF(NOT(ISBLANK(CS236)), CS236, IF(CE236=5, CC236+Sheet2!B565, IF(CE236=6, CC236+Sheet2!B566, IF(CE236=7, CC236+Sheet2!B567,"")))))</f>
        <v>UF</v>
      </c>
      <c r="CX236" s="68" t="str">
        <f t="shared" si="263"/>
        <v/>
      </c>
      <c r="CY236" s="5" t="s">
        <v>12</v>
      </c>
      <c r="DA236" s="5" t="str">
        <f t="shared" si="241"/>
        <v>UF</v>
      </c>
      <c r="DB236" s="73" t="str">
        <f t="shared" si="242"/>
        <v>UF</v>
      </c>
      <c r="DC236" s="73" t="str">
        <f t="shared" si="243"/>
        <v>UF</v>
      </c>
      <c r="DD236" s="5" t="str">
        <f>IF(G236&lt;48,"UF", IF(NOT(ISBLANK(CZ:CZ)), CZ:CZ, IF(CL:CL=3, CK:CK+Sheet2!B570, IF(CL:CL=4, CK:CK+Sheet2!B571, IF(CL:CL=7, CK:CK+Sheet2!B572,"")))))</f>
        <v>UF</v>
      </c>
      <c r="DE236" s="69" t="str">
        <f t="shared" si="202"/>
        <v/>
      </c>
      <c r="DF236" s="2">
        <v>2</v>
      </c>
      <c r="DG236" s="2">
        <v>36</v>
      </c>
      <c r="DH236" s="2">
        <v>1</v>
      </c>
      <c r="DI236" s="2">
        <v>2</v>
      </c>
      <c r="DJ236" s="2">
        <v>2</v>
      </c>
      <c r="DK236" s="2">
        <v>120</v>
      </c>
      <c r="DL236" s="2">
        <v>56</v>
      </c>
      <c r="DM236" s="2" t="s">
        <v>12</v>
      </c>
      <c r="DN236" s="2" t="s">
        <v>12</v>
      </c>
      <c r="DO236" s="2">
        <v>120</v>
      </c>
      <c r="DP236" s="2">
        <v>80</v>
      </c>
      <c r="DQ236" s="2">
        <v>1</v>
      </c>
      <c r="DR236" s="2">
        <v>38</v>
      </c>
      <c r="DS236" s="2">
        <v>2</v>
      </c>
      <c r="DT236" s="2">
        <v>85</v>
      </c>
      <c r="DU236" s="2">
        <v>75</v>
      </c>
      <c r="DV236" s="2">
        <v>2</v>
      </c>
      <c r="DW236" s="2">
        <v>2</v>
      </c>
      <c r="DX236" s="2">
        <v>2</v>
      </c>
      <c r="DY236" s="2">
        <v>2</v>
      </c>
      <c r="DZ236" s="2">
        <v>35</v>
      </c>
      <c r="EA236" s="2">
        <v>36</v>
      </c>
      <c r="EB236" s="2">
        <v>47</v>
      </c>
      <c r="EC236" s="2">
        <v>1</v>
      </c>
      <c r="ED236" s="2">
        <v>1</v>
      </c>
    </row>
    <row r="237" spans="3:134" x14ac:dyDescent="0.25">
      <c r="C237" s="8" t="s">
        <v>285</v>
      </c>
      <c r="D237" s="8">
        <v>2501034287</v>
      </c>
      <c r="E237" s="5">
        <v>7</v>
      </c>
      <c r="F237" s="2">
        <v>2</v>
      </c>
      <c r="G237" s="2">
        <v>39</v>
      </c>
      <c r="H237" s="2">
        <v>-1.3488158093758409</v>
      </c>
      <c r="I237" s="2">
        <v>54</v>
      </c>
      <c r="J237" s="2">
        <v>2.1740990784834611</v>
      </c>
      <c r="K237" s="2">
        <v>3445</v>
      </c>
      <c r="L237" s="2">
        <v>0.19987861641296389</v>
      </c>
      <c r="M237" s="2">
        <v>-1.2425999999999999</v>
      </c>
      <c r="N237" s="2">
        <f t="shared" si="203"/>
        <v>0.37615790468792043</v>
      </c>
      <c r="O237" s="2">
        <f t="shared" si="204"/>
        <v>-1.2425999999999999</v>
      </c>
      <c r="P237" s="2">
        <v>71</v>
      </c>
      <c r="Q237" s="2">
        <v>1.57</v>
      </c>
      <c r="R237" s="5">
        <f t="shared" si="205"/>
        <v>-0.82204953924173052</v>
      </c>
      <c r="S237" s="5">
        <f t="shared" si="206"/>
        <v>1.57</v>
      </c>
      <c r="T237" s="2">
        <v>7900</v>
      </c>
      <c r="U237" s="2">
        <v>-0.04</v>
      </c>
      <c r="V237" s="2">
        <f t="shared" si="207"/>
        <v>-0.16993930820648195</v>
      </c>
      <c r="W237" s="2">
        <f t="shared" si="208"/>
        <v>-0.04</v>
      </c>
      <c r="X237" s="2">
        <v>-0.59650000000000003</v>
      </c>
      <c r="Y237" s="76">
        <f t="shared" si="244"/>
        <v>0.75231580937584086</v>
      </c>
      <c r="Z237" s="76">
        <f t="shared" si="245"/>
        <v>2</v>
      </c>
      <c r="AA237" s="2">
        <f t="shared" si="209"/>
        <v>-1.15395</v>
      </c>
      <c r="AB237" s="2">
        <f t="shared" si="210"/>
        <v>-0.59650000000000003</v>
      </c>
      <c r="AC237" s="2">
        <v>77</v>
      </c>
      <c r="AD237" s="2">
        <v>0.53</v>
      </c>
      <c r="AE237" s="79">
        <f t="shared" si="246"/>
        <v>-1.644099078483461</v>
      </c>
      <c r="AF237" s="79">
        <f t="shared" si="247"/>
        <v>-2</v>
      </c>
      <c r="AG237" s="2">
        <f t="shared" si="265"/>
        <v>-0.65</v>
      </c>
      <c r="AH237" s="2">
        <f t="shared" si="211"/>
        <v>0.53</v>
      </c>
      <c r="AI237" s="2">
        <v>9500</v>
      </c>
      <c r="AJ237" s="2">
        <v>-0.14000000000000001</v>
      </c>
      <c r="AK237" s="76">
        <f t="shared" si="248"/>
        <v>-0.33987861641296391</v>
      </c>
      <c r="AL237" s="76">
        <f t="shared" si="249"/>
        <v>-1</v>
      </c>
      <c r="AM237" s="2">
        <f t="shared" si="212"/>
        <v>-0.16500000000000001</v>
      </c>
      <c r="AN237" s="2">
        <f t="shared" si="213"/>
        <v>-0.14000000000000001</v>
      </c>
      <c r="AO237" s="2">
        <v>-0.7379</v>
      </c>
      <c r="AP237" s="2" t="str">
        <f t="shared" si="214"/>
        <v/>
      </c>
      <c r="AQ237" s="2">
        <f t="shared" si="215"/>
        <v>-0.7379</v>
      </c>
      <c r="AR237" s="2">
        <v>83</v>
      </c>
      <c r="AS237" s="2">
        <v>0.27</v>
      </c>
      <c r="AT237" s="2" t="str">
        <f t="shared" si="216"/>
        <v/>
      </c>
      <c r="AU237" s="2">
        <f t="shared" si="217"/>
        <v>0.27</v>
      </c>
      <c r="AV237" s="2">
        <v>10500</v>
      </c>
      <c r="AW237" s="2">
        <v>-0.37</v>
      </c>
      <c r="AX237" s="2" t="str">
        <f t="shared" si="218"/>
        <v/>
      </c>
      <c r="AY237" s="2">
        <f t="shared" si="219"/>
        <v>-0.37</v>
      </c>
      <c r="BA237" s="78" t="e">
        <f t="shared" si="250"/>
        <v>#VALUE!</v>
      </c>
      <c r="BB237" s="78" t="e">
        <f t="shared" si="251"/>
        <v>#VALUE!</v>
      </c>
      <c r="BC237" s="2" t="str">
        <f t="shared" si="220"/>
        <v/>
      </c>
      <c r="BD237" s="2" t="e">
        <f t="shared" si="221"/>
        <v>#VALUE!</v>
      </c>
      <c r="BE237" s="67" t="e">
        <f t="shared" si="252"/>
        <v>#VALUE!</v>
      </c>
      <c r="BF237" s="2" t="s">
        <v>12</v>
      </c>
      <c r="BH237" s="2" t="str">
        <f t="shared" si="222"/>
        <v/>
      </c>
      <c r="BI237" s="2" t="e">
        <f t="shared" si="223"/>
        <v>#VALUE!</v>
      </c>
      <c r="BJ237" s="67" t="e">
        <f t="shared" si="224"/>
        <v>#VALUE!</v>
      </c>
      <c r="BK237" s="2" t="s">
        <v>12</v>
      </c>
      <c r="BM237" s="77" t="e">
        <f t="shared" si="253"/>
        <v>#VALUE!</v>
      </c>
      <c r="BN237" s="77" t="e">
        <f t="shared" si="254"/>
        <v>#VALUE!</v>
      </c>
      <c r="BO237" s="2" t="str">
        <f t="shared" si="225"/>
        <v/>
      </c>
      <c r="BP237" s="2" t="e">
        <f t="shared" si="226"/>
        <v>#VALUE!</v>
      </c>
      <c r="BQ237" s="67" t="e">
        <f t="shared" si="255"/>
        <v>#VALUE!</v>
      </c>
      <c r="BS237" s="75" t="e">
        <f t="shared" si="256"/>
        <v>#VALUE!</v>
      </c>
      <c r="BT237" s="75" t="e">
        <f t="shared" si="257"/>
        <v>#VALUE!</v>
      </c>
      <c r="BU237" s="5" t="e">
        <f>IF(#REF!&gt;=36, IF(AND(NOT(ISBLANK(CM:CM)), NOT(ISBLANK(BD:BD))), (CM:CM-BD:BD)/2, ""), "UF")</f>
        <v>#REF!</v>
      </c>
      <c r="BV237" s="5" t="e">
        <f t="shared" si="227"/>
        <v>#VALUE!</v>
      </c>
      <c r="BW237" s="69" t="e">
        <f t="shared" si="228"/>
        <v>#VALUE!</v>
      </c>
      <c r="BX237" s="2" t="s">
        <v>12</v>
      </c>
      <c r="BZ237" s="74" t="e">
        <f t="shared" si="258"/>
        <v>#VALUE!</v>
      </c>
      <c r="CA237" s="74" t="e">
        <f t="shared" si="259"/>
        <v>#VALUE!</v>
      </c>
      <c r="CB237" s="5" t="str">
        <f t="shared" si="229"/>
        <v/>
      </c>
      <c r="CC237" s="5" t="e">
        <f t="shared" si="230"/>
        <v>#VALUE!</v>
      </c>
      <c r="CD237" s="2" t="e">
        <f t="shared" si="231"/>
        <v>#VALUE!</v>
      </c>
      <c r="CE237" s="69" t="e">
        <f t="shared" si="232"/>
        <v>#VALUE!</v>
      </c>
      <c r="CF237" s="5" t="s">
        <v>12</v>
      </c>
      <c r="CH237" s="72" t="e">
        <f t="shared" si="260"/>
        <v>#VALUE!</v>
      </c>
      <c r="CI237" s="72" t="e">
        <f t="shared" si="261"/>
        <v>#VALUE!</v>
      </c>
      <c r="CJ237" s="5" t="str">
        <f t="shared" si="233"/>
        <v/>
      </c>
      <c r="CK237" s="5" t="e">
        <f t="shared" si="234"/>
        <v>#VALUE!</v>
      </c>
      <c r="CL237" s="69" t="e">
        <f t="shared" si="235"/>
        <v>#VALUE!</v>
      </c>
      <c r="CN237" s="70" t="str">
        <f t="shared" si="236"/>
        <v/>
      </c>
      <c r="CO237" s="5" t="str">
        <f t="shared" si="237"/>
        <v>UF</v>
      </c>
      <c r="CP237" s="5" t="str">
        <f>IF(G237&lt;48,"UF", IF(NOT(ISBLANK(CM:CM)), CM:CM, IF(BW:BW=1, BV:BV+Sheet2!B490, IF(Sheet1!BW:BW=2, Sheet1!BV:BV+Sheet2!B491, IF(Sheet1!BW:BW=7, Sheet1!BV:BV+Sheet2!B492,"")))))</f>
        <v>UF</v>
      </c>
      <c r="CQ237" s="69" t="str">
        <f t="shared" si="262"/>
        <v/>
      </c>
      <c r="CR237" s="5" t="s">
        <v>12</v>
      </c>
      <c r="CT237" s="5" t="str">
        <f t="shared" si="238"/>
        <v/>
      </c>
      <c r="CU237" s="80" t="str">
        <f t="shared" si="239"/>
        <v>UF</v>
      </c>
      <c r="CV237" s="80" t="str">
        <f t="shared" si="240"/>
        <v>UF</v>
      </c>
      <c r="CW237" s="20" t="str">
        <f>IF(G237&lt;48,"UF", IF(NOT(ISBLANK(CS237)), CS237, IF(CE237=5, CC237+Sheet2!B479, IF(CE237=6, CC237+Sheet2!B480, IF(CE237=7, CC237+Sheet2!B481,"")))))</f>
        <v>UF</v>
      </c>
      <c r="CX237" s="68" t="str">
        <f t="shared" si="263"/>
        <v/>
      </c>
      <c r="CY237" s="5" t="s">
        <v>12</v>
      </c>
      <c r="DA237" s="5" t="str">
        <f t="shared" si="241"/>
        <v>UF</v>
      </c>
      <c r="DB237" s="73" t="str">
        <f t="shared" si="242"/>
        <v>UF</v>
      </c>
      <c r="DC237" s="73" t="str">
        <f t="shared" si="243"/>
        <v>UF</v>
      </c>
      <c r="DD237" s="5" t="str">
        <f>IF(G237&lt;48,"UF", IF(NOT(ISBLANK(CZ:CZ)), CZ:CZ, IF(CL:CL=3, CK:CK+Sheet2!B484, IF(CL:CL=4, CK:CK+Sheet2!B485, IF(CL:CL=7, CK:CK+Sheet2!B486,"")))))</f>
        <v>UF</v>
      </c>
      <c r="DE237" s="69" t="str">
        <f t="shared" si="202"/>
        <v/>
      </c>
      <c r="DF237" s="2">
        <v>3</v>
      </c>
      <c r="DG237" s="2">
        <v>37</v>
      </c>
      <c r="DH237" s="2">
        <v>2</v>
      </c>
      <c r="DI237" s="2">
        <v>2</v>
      </c>
      <c r="DJ237" s="2">
        <v>2</v>
      </c>
      <c r="DK237" s="2">
        <v>110</v>
      </c>
      <c r="DL237" s="2">
        <v>70</v>
      </c>
      <c r="DM237" s="2">
        <v>120</v>
      </c>
      <c r="DN237" s="2">
        <v>80</v>
      </c>
      <c r="DO237" s="2" t="s">
        <v>12</v>
      </c>
      <c r="DP237" s="2" t="s">
        <v>12</v>
      </c>
      <c r="DQ237" s="2">
        <v>2</v>
      </c>
      <c r="DR237" s="2">
        <v>40</v>
      </c>
      <c r="DS237" s="2">
        <v>2</v>
      </c>
      <c r="DT237" s="2">
        <v>73</v>
      </c>
      <c r="DU237" s="2">
        <v>70</v>
      </c>
      <c r="DV237" s="2">
        <v>2</v>
      </c>
      <c r="DW237" s="2">
        <v>2</v>
      </c>
      <c r="DX237" s="2">
        <v>4</v>
      </c>
      <c r="DY237" s="2">
        <v>2</v>
      </c>
      <c r="DZ237" s="2">
        <v>36</v>
      </c>
      <c r="EA237" s="2">
        <v>35</v>
      </c>
      <c r="EB237" s="2">
        <v>48</v>
      </c>
      <c r="EC237" s="2">
        <v>1</v>
      </c>
      <c r="ED237" s="2">
        <v>1</v>
      </c>
    </row>
    <row r="238" spans="3:134" x14ac:dyDescent="0.25">
      <c r="C238" s="8" t="s">
        <v>158</v>
      </c>
      <c r="D238" s="8">
        <v>2501034295</v>
      </c>
      <c r="E238" s="5">
        <v>7</v>
      </c>
      <c r="F238" s="2">
        <v>2</v>
      </c>
      <c r="G238" s="2">
        <v>42</v>
      </c>
      <c r="H238" s="2">
        <v>-1.4595889009564269</v>
      </c>
      <c r="I238" s="2">
        <v>53</v>
      </c>
      <c r="J238" s="2">
        <v>1.645866503279491</v>
      </c>
      <c r="K238" s="2">
        <v>3285</v>
      </c>
      <c r="L238" s="2">
        <v>-0.1264130555318593</v>
      </c>
      <c r="M238" s="2">
        <v>-1.6221000000000001</v>
      </c>
      <c r="N238" s="2">
        <f t="shared" si="203"/>
        <v>0.46249445047821347</v>
      </c>
      <c r="O238" s="2">
        <f t="shared" si="204"/>
        <v>-1.6221000000000001</v>
      </c>
      <c r="P238" s="2">
        <v>73</v>
      </c>
      <c r="Q238" s="2">
        <v>2.5</v>
      </c>
      <c r="R238" s="5">
        <f t="shared" si="205"/>
        <v>-0.76793325163974546</v>
      </c>
      <c r="S238" s="5">
        <f t="shared" si="206"/>
        <v>2.5</v>
      </c>
      <c r="T238" s="2">
        <v>8100</v>
      </c>
      <c r="U238" s="2">
        <v>0.18</v>
      </c>
      <c r="V238" s="2">
        <f t="shared" si="207"/>
        <v>-0.10179347223407036</v>
      </c>
      <c r="W238" s="2">
        <f t="shared" si="208"/>
        <v>0.18</v>
      </c>
      <c r="X238" s="2">
        <v>-0.53459999999999996</v>
      </c>
      <c r="Y238" s="76">
        <f t="shared" si="244"/>
        <v>0.92498890095642694</v>
      </c>
      <c r="Z238" s="76">
        <f t="shared" si="245"/>
        <v>2</v>
      </c>
      <c r="AA238" s="2">
        <f t="shared" si="209"/>
        <v>-1.619</v>
      </c>
      <c r="AB238" s="2">
        <f t="shared" si="210"/>
        <v>-0.53459999999999996</v>
      </c>
      <c r="AC238" s="2">
        <v>76</v>
      </c>
      <c r="AD238" s="2">
        <v>0.11</v>
      </c>
      <c r="AE238" s="79">
        <f t="shared" si="246"/>
        <v>-1.5358665032794909</v>
      </c>
      <c r="AF238" s="79">
        <f t="shared" si="247"/>
        <v>-2</v>
      </c>
      <c r="AG238" s="2">
        <f t="shared" si="265"/>
        <v>-1.4849999999999999</v>
      </c>
      <c r="AH238" s="2">
        <f t="shared" si="211"/>
        <v>0.11</v>
      </c>
      <c r="AI238" s="2">
        <v>9300</v>
      </c>
      <c r="AJ238" s="2">
        <v>-0.33</v>
      </c>
      <c r="AK238" s="76">
        <f t="shared" si="248"/>
        <v>-0.20358694446814071</v>
      </c>
      <c r="AL238" s="76">
        <f t="shared" si="249"/>
        <v>-1</v>
      </c>
      <c r="AM238" s="2">
        <f t="shared" si="212"/>
        <v>-0.495</v>
      </c>
      <c r="AN238" s="2">
        <f t="shared" si="213"/>
        <v>-0.33</v>
      </c>
      <c r="AO238" s="2">
        <v>-0.73799999999999999</v>
      </c>
      <c r="AP238" s="2" t="str">
        <f t="shared" si="214"/>
        <v/>
      </c>
      <c r="AQ238" s="2">
        <f t="shared" si="215"/>
        <v>-0.73799999999999999</v>
      </c>
      <c r="AR238" s="2">
        <v>81</v>
      </c>
      <c r="AS238" s="2">
        <v>-0.47</v>
      </c>
      <c r="AT238" s="2" t="str">
        <f t="shared" si="216"/>
        <v/>
      </c>
      <c r="AU238" s="2">
        <f t="shared" si="217"/>
        <v>-0.47</v>
      </c>
      <c r="AV238" s="2">
        <v>10000</v>
      </c>
      <c r="AW238" s="2">
        <v>-0.81</v>
      </c>
      <c r="AX238" s="2" t="str">
        <f t="shared" si="218"/>
        <v/>
      </c>
      <c r="AY238" s="2">
        <f t="shared" si="219"/>
        <v>-0.81</v>
      </c>
      <c r="BA238" s="78" t="e">
        <f t="shared" si="250"/>
        <v>#VALUE!</v>
      </c>
      <c r="BB238" s="78" t="e">
        <f t="shared" si="251"/>
        <v>#VALUE!</v>
      </c>
      <c r="BC238" s="2" t="str">
        <f t="shared" si="220"/>
        <v/>
      </c>
      <c r="BD238" s="2" t="e">
        <f t="shared" si="221"/>
        <v>#VALUE!</v>
      </c>
      <c r="BE238" s="67" t="e">
        <f t="shared" si="252"/>
        <v>#VALUE!</v>
      </c>
      <c r="BF238" s="2" t="s">
        <v>12</v>
      </c>
      <c r="BH238" s="2" t="str">
        <f t="shared" si="222"/>
        <v/>
      </c>
      <c r="BI238" s="2" t="e">
        <f t="shared" si="223"/>
        <v>#VALUE!</v>
      </c>
      <c r="BJ238" s="67" t="e">
        <f t="shared" si="224"/>
        <v>#VALUE!</v>
      </c>
      <c r="BK238" s="2" t="s">
        <v>12</v>
      </c>
      <c r="BM238" s="77" t="e">
        <f t="shared" si="253"/>
        <v>#VALUE!</v>
      </c>
      <c r="BN238" s="77" t="e">
        <f t="shared" si="254"/>
        <v>#VALUE!</v>
      </c>
      <c r="BO238" s="2" t="str">
        <f t="shared" si="225"/>
        <v/>
      </c>
      <c r="BP238" s="2" t="e">
        <f t="shared" si="226"/>
        <v>#VALUE!</v>
      </c>
      <c r="BQ238" s="67" t="e">
        <f t="shared" si="255"/>
        <v>#VALUE!</v>
      </c>
      <c r="BS238" s="75" t="e">
        <f t="shared" si="256"/>
        <v>#VALUE!</v>
      </c>
      <c r="BT238" s="75" t="e">
        <f t="shared" si="257"/>
        <v>#VALUE!</v>
      </c>
      <c r="BU238" s="5" t="str">
        <f>IF(G244&gt;=36, IF(AND(NOT(ISBLANK(CM:CM)), NOT(ISBLANK(BD:BD))), (CM:CM-BD:BD)/2, ""), "UF")</f>
        <v/>
      </c>
      <c r="BV238" s="5" t="e">
        <f t="shared" si="227"/>
        <v>#VALUE!</v>
      </c>
      <c r="BW238" s="69" t="e">
        <f t="shared" si="228"/>
        <v>#VALUE!</v>
      </c>
      <c r="BX238" s="2" t="s">
        <v>12</v>
      </c>
      <c r="BZ238" s="74" t="e">
        <f t="shared" si="258"/>
        <v>#VALUE!</v>
      </c>
      <c r="CA238" s="74" t="e">
        <f t="shared" si="259"/>
        <v>#VALUE!</v>
      </c>
      <c r="CB238" s="5" t="str">
        <f t="shared" si="229"/>
        <v/>
      </c>
      <c r="CC238" s="5" t="e">
        <f t="shared" si="230"/>
        <v>#VALUE!</v>
      </c>
      <c r="CD238" s="2" t="e">
        <f t="shared" si="231"/>
        <v>#VALUE!</v>
      </c>
      <c r="CE238" s="69" t="e">
        <f t="shared" si="232"/>
        <v>#VALUE!</v>
      </c>
      <c r="CF238" s="5" t="s">
        <v>12</v>
      </c>
      <c r="CH238" s="72" t="e">
        <f t="shared" si="260"/>
        <v>#VALUE!</v>
      </c>
      <c r="CI238" s="72" t="e">
        <f t="shared" si="261"/>
        <v>#VALUE!</v>
      </c>
      <c r="CJ238" s="5" t="str">
        <f t="shared" si="233"/>
        <v/>
      </c>
      <c r="CK238" s="5" t="e">
        <f t="shared" si="234"/>
        <v>#VALUE!</v>
      </c>
      <c r="CL238" s="69" t="e">
        <f t="shared" si="235"/>
        <v>#VALUE!</v>
      </c>
      <c r="CN238" s="70" t="str">
        <f t="shared" si="236"/>
        <v/>
      </c>
      <c r="CO238" s="5" t="str">
        <f t="shared" si="237"/>
        <v>UF</v>
      </c>
      <c r="CP238" s="5" t="str">
        <f>IF(G238&lt;48,"UF", IF(NOT(ISBLANK(CM:CM)), CM:CM, IF(BW:BW=1, BV:BV+Sheet2!B582, IF(Sheet1!BW:BW=2, Sheet1!BV:BV+Sheet2!B583, IF(Sheet1!BW:BW=7, Sheet1!BV:BV+Sheet2!B584,"")))))</f>
        <v>UF</v>
      </c>
      <c r="CQ238" s="69" t="str">
        <f t="shared" si="262"/>
        <v/>
      </c>
      <c r="CR238" s="5" t="s">
        <v>12</v>
      </c>
      <c r="CT238" s="5" t="str">
        <f t="shared" si="238"/>
        <v/>
      </c>
      <c r="CU238" s="80" t="str">
        <f t="shared" si="239"/>
        <v>UF</v>
      </c>
      <c r="CV238" s="80" t="str">
        <f t="shared" si="240"/>
        <v>UF</v>
      </c>
      <c r="CW238" s="20" t="str">
        <f>IF(G238&lt;48,"UF", IF(NOT(ISBLANK(CS238)), CS238, IF(CE238=5, CC238+Sheet2!B571, IF(CE238=6, CC238+Sheet2!B572, IF(CE238=7, CC238+Sheet2!B573,"")))))</f>
        <v>UF</v>
      </c>
      <c r="CX238" s="68" t="str">
        <f t="shared" si="263"/>
        <v/>
      </c>
      <c r="CY238" s="5" t="s">
        <v>12</v>
      </c>
      <c r="DA238" s="5" t="str">
        <f t="shared" si="241"/>
        <v>UF</v>
      </c>
      <c r="DB238" s="73" t="str">
        <f t="shared" si="242"/>
        <v>UF</v>
      </c>
      <c r="DC238" s="73" t="str">
        <f t="shared" si="243"/>
        <v>UF</v>
      </c>
      <c r="DD238" s="5" t="str">
        <f>IF(G238&lt;48,"UF", IF(NOT(ISBLANK(CZ:CZ)), CZ:CZ, IF(CL:CL=3, CK:CK+Sheet2!B576, IF(CL:CL=4, CK:CK+Sheet2!B577, IF(CL:CL=7, CK:CK+Sheet2!B578,"")))))</f>
        <v>UF</v>
      </c>
      <c r="DE238" s="69" t="str">
        <f t="shared" si="202"/>
        <v/>
      </c>
      <c r="DF238" s="2">
        <v>1</v>
      </c>
      <c r="DG238" s="2">
        <v>23</v>
      </c>
      <c r="DH238" s="2">
        <v>2</v>
      </c>
      <c r="DI238" s="2">
        <v>2</v>
      </c>
      <c r="DJ238" s="2">
        <v>2</v>
      </c>
      <c r="DK238" s="2">
        <v>95</v>
      </c>
      <c r="DL238" s="2">
        <v>60</v>
      </c>
      <c r="DM238" s="2">
        <v>100</v>
      </c>
      <c r="DN238" s="2">
        <v>60</v>
      </c>
      <c r="DO238" s="2">
        <v>100</v>
      </c>
      <c r="DP238" s="2">
        <v>60</v>
      </c>
      <c r="DQ238" s="2">
        <v>2</v>
      </c>
      <c r="DR238" s="2">
        <v>36</v>
      </c>
      <c r="DS238" s="2">
        <v>2</v>
      </c>
      <c r="DT238" s="2">
        <v>76</v>
      </c>
      <c r="DU238" s="2">
        <v>80</v>
      </c>
      <c r="DV238" s="2">
        <v>2</v>
      </c>
      <c r="DW238" s="2">
        <v>2</v>
      </c>
      <c r="DX238" s="2">
        <v>2</v>
      </c>
      <c r="DY238" s="2">
        <v>2</v>
      </c>
      <c r="DZ238" s="2">
        <v>33.5</v>
      </c>
      <c r="EA238" s="2" t="s">
        <v>12</v>
      </c>
      <c r="EB238" s="2">
        <v>46.5</v>
      </c>
      <c r="EC238" s="2" t="s">
        <v>12</v>
      </c>
      <c r="ED238" s="2">
        <v>1</v>
      </c>
    </row>
    <row r="239" spans="3:134" x14ac:dyDescent="0.25">
      <c r="C239" s="10" t="s">
        <v>158</v>
      </c>
      <c r="D239" s="10">
        <v>2501034333</v>
      </c>
      <c r="E239" s="2">
        <v>6</v>
      </c>
      <c r="F239" s="2">
        <v>2</v>
      </c>
      <c r="G239" s="2">
        <v>40</v>
      </c>
      <c r="H239" s="2">
        <v>-1.7775358500737199</v>
      </c>
      <c r="I239" s="2">
        <v>50</v>
      </c>
      <c r="J239" s="2">
        <v>6.1168777667580831E-2</v>
      </c>
      <c r="K239" s="5">
        <v>2840</v>
      </c>
      <c r="L239" s="2">
        <v>-1.0921476541275199</v>
      </c>
      <c r="M239" s="2">
        <v>-2.9554999999999998</v>
      </c>
      <c r="N239" s="2" t="str">
        <f t="shared" si="203"/>
        <v/>
      </c>
      <c r="O239" s="2">
        <f t="shared" si="204"/>
        <v>-2.9554999999999998</v>
      </c>
      <c r="P239" s="2">
        <v>64</v>
      </c>
      <c r="Q239" s="2">
        <v>-1.7</v>
      </c>
      <c r="R239" s="5" t="str">
        <f t="shared" si="205"/>
        <v/>
      </c>
      <c r="S239" s="5">
        <f t="shared" si="206"/>
        <v>-1.7</v>
      </c>
      <c r="T239" s="2">
        <v>5600</v>
      </c>
      <c r="U239" s="2">
        <v>-3.11</v>
      </c>
      <c r="V239" s="2" t="str">
        <f t="shared" si="207"/>
        <v/>
      </c>
      <c r="W239" s="2">
        <f t="shared" si="208"/>
        <v>-3.11</v>
      </c>
      <c r="Y239" s="76" t="e">
        <f t="shared" si="244"/>
        <v>#VALUE!</v>
      </c>
      <c r="Z239" s="76" t="e">
        <f t="shared" si="245"/>
        <v>#VALUE!</v>
      </c>
      <c r="AA239" s="2" t="str">
        <f t="shared" si="209"/>
        <v/>
      </c>
      <c r="AB239" s="2" t="e">
        <f t="shared" si="210"/>
        <v>#VALUE!</v>
      </c>
      <c r="AC239" s="2" t="s">
        <v>12</v>
      </c>
      <c r="AE239" s="79" t="e">
        <f t="shared" si="246"/>
        <v>#VALUE!</v>
      </c>
      <c r="AF239" s="79" t="e">
        <f t="shared" si="247"/>
        <v>#VALUE!</v>
      </c>
      <c r="AG239" s="2" t="str">
        <f t="shared" si="265"/>
        <v/>
      </c>
      <c r="AH239" s="2" t="e">
        <f t="shared" si="211"/>
        <v>#VALUE!</v>
      </c>
      <c r="AI239" s="2" t="s">
        <v>12</v>
      </c>
      <c r="AK239" s="76" t="e">
        <f t="shared" si="248"/>
        <v>#VALUE!</v>
      </c>
      <c r="AL239" s="76" t="e">
        <f t="shared" si="249"/>
        <v>#VALUE!</v>
      </c>
      <c r="AM239" s="2" t="str">
        <f t="shared" si="212"/>
        <v/>
      </c>
      <c r="AN239" s="2" t="e">
        <f t="shared" si="213"/>
        <v>#VALUE!</v>
      </c>
      <c r="AP239" s="2" t="e">
        <f t="shared" si="214"/>
        <v>#VALUE!</v>
      </c>
      <c r="AQ239" s="2" t="e">
        <f t="shared" si="215"/>
        <v>#VALUE!</v>
      </c>
      <c r="AR239" s="2" t="s">
        <v>12</v>
      </c>
      <c r="AT239" s="2" t="e">
        <f t="shared" si="216"/>
        <v>#VALUE!</v>
      </c>
      <c r="AU239" s="2" t="e">
        <f t="shared" si="217"/>
        <v>#VALUE!</v>
      </c>
      <c r="AV239" s="2" t="s">
        <v>12</v>
      </c>
      <c r="AX239" s="2" t="e">
        <f t="shared" si="218"/>
        <v>#VALUE!</v>
      </c>
      <c r="AY239" s="2" t="e">
        <f t="shared" si="219"/>
        <v>#VALUE!</v>
      </c>
      <c r="AZ239" s="2">
        <v>-2.2781196533180741</v>
      </c>
      <c r="BA239" s="78" t="e">
        <f t="shared" si="250"/>
        <v>#VALUE!</v>
      </c>
      <c r="BB239" s="78" t="e">
        <f t="shared" si="251"/>
        <v>#VALUE!</v>
      </c>
      <c r="BC239" s="2" t="str">
        <f t="shared" si="220"/>
        <v/>
      </c>
      <c r="BD239" s="2">
        <f t="shared" si="221"/>
        <v>-2.2781196533180741</v>
      </c>
      <c r="BE239" s="67">
        <f t="shared" si="252"/>
        <v>2</v>
      </c>
      <c r="BF239" s="2">
        <v>81</v>
      </c>
      <c r="BG239" s="2">
        <v>-0.8053950735271872</v>
      </c>
      <c r="BH239" s="2" t="str">
        <f t="shared" si="222"/>
        <v/>
      </c>
      <c r="BI239" s="2">
        <f t="shared" si="223"/>
        <v>-0.8053950735271872</v>
      </c>
      <c r="BJ239" s="67">
        <f t="shared" si="224"/>
        <v>7</v>
      </c>
      <c r="BK239" s="2">
        <v>10000</v>
      </c>
      <c r="BL239" s="2">
        <v>-2.2997033730697072</v>
      </c>
      <c r="BM239" s="77" t="e">
        <f t="shared" si="253"/>
        <v>#VALUE!</v>
      </c>
      <c r="BN239" s="77" t="e">
        <f t="shared" si="254"/>
        <v>#VALUE!</v>
      </c>
      <c r="BO239" s="2" t="str">
        <f t="shared" si="225"/>
        <v/>
      </c>
      <c r="BP239" s="2">
        <f t="shared" si="226"/>
        <v>-2.2997033730697072</v>
      </c>
      <c r="BQ239" s="67">
        <f t="shared" si="255"/>
        <v>4</v>
      </c>
      <c r="BS239" s="75" t="e">
        <f t="shared" si="256"/>
        <v>#VALUE!</v>
      </c>
      <c r="BT239" s="75" t="e">
        <f t="shared" si="257"/>
        <v>#VALUE!</v>
      </c>
      <c r="BU239" s="5" t="str">
        <f>IF(G245&gt;=36, IF(AND(NOT(ISBLANK(CM:CM)), NOT(ISBLANK(BD:BD))), (CM:CM-BD:BD)/2, ""), "UF")</f>
        <v/>
      </c>
      <c r="BV239" s="5" t="e">
        <f t="shared" si="227"/>
        <v>#VALUE!</v>
      </c>
      <c r="BW239" s="69" t="e">
        <f t="shared" si="228"/>
        <v>#VALUE!</v>
      </c>
      <c r="BX239" s="2" t="s">
        <v>12</v>
      </c>
      <c r="BZ239" s="74" t="e">
        <f t="shared" si="258"/>
        <v>#VALUE!</v>
      </c>
      <c r="CA239" s="74" t="e">
        <f t="shared" si="259"/>
        <v>#VALUE!</v>
      </c>
      <c r="CB239" s="5" t="str">
        <f t="shared" si="229"/>
        <v/>
      </c>
      <c r="CC239" s="5" t="e">
        <f t="shared" si="230"/>
        <v>#VALUE!</v>
      </c>
      <c r="CD239" s="2" t="e">
        <f t="shared" si="231"/>
        <v>#VALUE!</v>
      </c>
      <c r="CE239" s="69" t="e">
        <f t="shared" si="232"/>
        <v>#VALUE!</v>
      </c>
      <c r="CF239" s="5" t="s">
        <v>12</v>
      </c>
      <c r="CH239" s="72" t="e">
        <f t="shared" si="260"/>
        <v>#VALUE!</v>
      </c>
      <c r="CI239" s="72" t="e">
        <f t="shared" si="261"/>
        <v>#VALUE!</v>
      </c>
      <c r="CJ239" s="5" t="str">
        <f t="shared" si="233"/>
        <v/>
      </c>
      <c r="CK239" s="5" t="e">
        <f t="shared" si="234"/>
        <v>#VALUE!</v>
      </c>
      <c r="CL239" s="69" t="e">
        <f t="shared" si="235"/>
        <v>#VALUE!</v>
      </c>
      <c r="CN239" s="70" t="str">
        <f t="shared" si="236"/>
        <v/>
      </c>
      <c r="CO239" s="5" t="str">
        <f t="shared" si="237"/>
        <v>UF</v>
      </c>
      <c r="CP239" s="5" t="str">
        <f>IF(G239&lt;48,"UF", IF(NOT(ISBLANK(CM:CM)), CM:CM, IF(BW:BW=1, BV:BV+Sheet2!B299, IF(Sheet1!BW:BW=2, Sheet1!BV:BV+Sheet2!B300, IF(Sheet1!BW:BW=7, Sheet1!BV:BV+Sheet2!B301,"")))))</f>
        <v>UF</v>
      </c>
      <c r="CQ239" s="69" t="str">
        <f t="shared" si="262"/>
        <v/>
      </c>
      <c r="CR239" s="5" t="s">
        <v>12</v>
      </c>
      <c r="CT239" s="5" t="str">
        <f t="shared" si="238"/>
        <v/>
      </c>
      <c r="CU239" s="80" t="str">
        <f t="shared" si="239"/>
        <v>UF</v>
      </c>
      <c r="CV239" s="80" t="str">
        <f t="shared" si="240"/>
        <v>UF</v>
      </c>
      <c r="CW239" s="20" t="str">
        <f>IF(G239&lt;48,"UF", IF(NOT(ISBLANK(CS239)), CS239, IF(CE239=5, CC239+Sheet2!B288, IF(CE239=6, CC239+Sheet2!B289, IF(CE239=7, CC239+Sheet2!B290,"")))))</f>
        <v>UF</v>
      </c>
      <c r="CX239" s="68" t="str">
        <f t="shared" si="263"/>
        <v/>
      </c>
      <c r="CY239" s="5" t="s">
        <v>12</v>
      </c>
      <c r="DA239" s="5" t="str">
        <f t="shared" si="241"/>
        <v>UF</v>
      </c>
      <c r="DB239" s="73" t="str">
        <f t="shared" si="242"/>
        <v>UF</v>
      </c>
      <c r="DC239" s="73" t="str">
        <f t="shared" si="243"/>
        <v>UF</v>
      </c>
      <c r="DD239" s="5" t="str">
        <f>IF(G239&lt;48,"UF", IF(NOT(ISBLANK(CZ:CZ)), CZ:CZ, IF(CL:CL=3, CK:CK+Sheet2!B293, IF(CL:CL=4, CK:CK+Sheet2!B294, IF(CL:CL=7, CK:CK+Sheet2!B295,"")))))</f>
        <v>UF</v>
      </c>
      <c r="DE239" s="69" t="str">
        <f t="shared" ref="DE239:DE302" si="266">IF(DD:DD&lt;-3,3,IF(AND(DD:DD&gt;=-3,DD:DD&lt;-2),4,IF(AND(DD:DD&gt;=-2,DD:DD&lt;=2),7,"")))</f>
        <v/>
      </c>
      <c r="DF239" s="2">
        <v>4</v>
      </c>
      <c r="DG239" s="2">
        <v>42</v>
      </c>
      <c r="DH239" s="2">
        <v>1</v>
      </c>
      <c r="DI239" s="2">
        <v>2</v>
      </c>
      <c r="DJ239" s="2">
        <v>2</v>
      </c>
      <c r="DK239" s="2">
        <v>80</v>
      </c>
      <c r="DL239" s="2">
        <v>120</v>
      </c>
      <c r="DM239" s="2">
        <v>80</v>
      </c>
      <c r="DN239" s="2">
        <v>130</v>
      </c>
      <c r="DO239" s="2">
        <v>79</v>
      </c>
      <c r="DP239" s="2">
        <v>122</v>
      </c>
      <c r="DQ239" s="2">
        <v>2</v>
      </c>
      <c r="DR239" s="2">
        <v>38</v>
      </c>
      <c r="DS239" s="2">
        <v>2</v>
      </c>
      <c r="DT239" s="2">
        <v>79</v>
      </c>
      <c r="DU239" s="2">
        <v>81</v>
      </c>
      <c r="DV239" s="2">
        <v>2</v>
      </c>
      <c r="DW239" s="2">
        <v>3</v>
      </c>
      <c r="DX239" s="2">
        <v>3</v>
      </c>
      <c r="DY239" s="2">
        <v>3</v>
      </c>
      <c r="DZ239" s="2">
        <v>34</v>
      </c>
      <c r="EA239" s="2" t="s">
        <v>12</v>
      </c>
      <c r="EB239" s="2" t="s">
        <v>12</v>
      </c>
      <c r="EC239" s="2" t="s">
        <v>12</v>
      </c>
      <c r="ED239" s="2" t="s">
        <v>12</v>
      </c>
    </row>
    <row r="240" spans="3:134" x14ac:dyDescent="0.25">
      <c r="C240" s="5" t="s">
        <v>27</v>
      </c>
      <c r="D240" s="2">
        <v>2501034678</v>
      </c>
      <c r="E240" s="5" t="s">
        <v>528</v>
      </c>
      <c r="F240" s="2">
        <v>1</v>
      </c>
      <c r="G240" s="2">
        <v>39</v>
      </c>
      <c r="H240" s="2">
        <v>-1.599390695589191</v>
      </c>
      <c r="I240" s="2">
        <v>45</v>
      </c>
      <c r="J240" s="2">
        <v>-2.2267170773967009</v>
      </c>
      <c r="K240" s="5">
        <v>2330</v>
      </c>
      <c r="L240" s="2">
        <v>-2.171444396942587</v>
      </c>
      <c r="M240" s="2">
        <v>-1.1563000000000001</v>
      </c>
      <c r="N240" s="2" t="str">
        <f t="shared" si="203"/>
        <v/>
      </c>
      <c r="O240" s="2">
        <f t="shared" si="204"/>
        <v>-1.1563000000000001</v>
      </c>
      <c r="P240" s="2">
        <v>63</v>
      </c>
      <c r="Q240" s="2">
        <v>-1.21</v>
      </c>
      <c r="R240" s="5" t="str">
        <f t="shared" si="205"/>
        <v/>
      </c>
      <c r="S240" s="5">
        <f t="shared" si="206"/>
        <v>-1.21</v>
      </c>
      <c r="T240" s="1">
        <v>6050</v>
      </c>
      <c r="U240" s="2">
        <v>-1.55</v>
      </c>
      <c r="V240" s="2" t="str">
        <f t="shared" si="207"/>
        <v/>
      </c>
      <c r="W240" s="2">
        <f t="shared" si="208"/>
        <v>-1.55</v>
      </c>
      <c r="Y240" s="76">
        <f t="shared" si="244"/>
        <v>-0.27815930441080905</v>
      </c>
      <c r="Z240" s="76">
        <f t="shared" si="245"/>
        <v>-1</v>
      </c>
      <c r="AA240" s="2">
        <f t="shared" si="209"/>
        <v>-0.72124999999999995</v>
      </c>
      <c r="AB240" s="2">
        <f t="shared" si="210"/>
        <v>-1.8775500000000001</v>
      </c>
      <c r="AC240" s="2" t="s">
        <v>12</v>
      </c>
      <c r="AE240" s="79">
        <f t="shared" si="246"/>
        <v>1.4967170773967009</v>
      </c>
      <c r="AF240" s="79">
        <f t="shared" si="247"/>
        <v>2</v>
      </c>
      <c r="AG240" s="2">
        <f t="shared" si="265"/>
        <v>0.48</v>
      </c>
      <c r="AH240" s="2">
        <f t="shared" si="211"/>
        <v>-0.73</v>
      </c>
      <c r="AI240" s="2" t="s">
        <v>12</v>
      </c>
      <c r="AK240" s="76">
        <f t="shared" si="248"/>
        <v>0.41644439694258706</v>
      </c>
      <c r="AL240" s="76">
        <f t="shared" si="249"/>
        <v>1</v>
      </c>
      <c r="AM240" s="2">
        <f t="shared" si="212"/>
        <v>-0.20499999999999996</v>
      </c>
      <c r="AN240" s="2">
        <f t="shared" si="213"/>
        <v>-1.7549999999999999</v>
      </c>
      <c r="AO240" s="2">
        <v>-2.6524999999999999</v>
      </c>
      <c r="AP240" s="2" t="str">
        <f t="shared" si="214"/>
        <v/>
      </c>
      <c r="AQ240" s="2">
        <f t="shared" si="215"/>
        <v>-2.6524999999999999</v>
      </c>
      <c r="AR240" s="2">
        <v>80</v>
      </c>
      <c r="AS240" s="2">
        <v>-0.25</v>
      </c>
      <c r="AT240" s="2" t="str">
        <f t="shared" si="216"/>
        <v/>
      </c>
      <c r="AU240" s="2">
        <f t="shared" si="217"/>
        <v>-0.25</v>
      </c>
      <c r="AV240" s="2">
        <v>8100</v>
      </c>
      <c r="AW240" s="2">
        <v>-1.96</v>
      </c>
      <c r="AX240" s="2" t="str">
        <f t="shared" si="218"/>
        <v/>
      </c>
      <c r="AY240" s="2">
        <f t="shared" si="219"/>
        <v>-1.96</v>
      </c>
      <c r="BA240" s="78" t="e">
        <f t="shared" si="250"/>
        <v>#VALUE!</v>
      </c>
      <c r="BB240" s="78" t="e">
        <f t="shared" si="251"/>
        <v>#VALUE!</v>
      </c>
      <c r="BC240" s="2" t="str">
        <f t="shared" si="220"/>
        <v/>
      </c>
      <c r="BD240" s="2" t="e">
        <f t="shared" si="221"/>
        <v>#VALUE!</v>
      </c>
      <c r="BE240" s="67" t="e">
        <f t="shared" si="252"/>
        <v>#VALUE!</v>
      </c>
      <c r="BF240" s="2" t="s">
        <v>12</v>
      </c>
      <c r="BH240" s="2" t="str">
        <f t="shared" si="222"/>
        <v/>
      </c>
      <c r="BI240" s="2" t="e">
        <f t="shared" si="223"/>
        <v>#VALUE!</v>
      </c>
      <c r="BJ240" s="67" t="e">
        <f t="shared" si="224"/>
        <v>#VALUE!</v>
      </c>
      <c r="BK240" s="2" t="s">
        <v>12</v>
      </c>
      <c r="BM240" s="77" t="e">
        <f t="shared" si="253"/>
        <v>#VALUE!</v>
      </c>
      <c r="BN240" s="77" t="e">
        <f t="shared" si="254"/>
        <v>#VALUE!</v>
      </c>
      <c r="BO240" s="2" t="str">
        <f t="shared" si="225"/>
        <v/>
      </c>
      <c r="BP240" s="2" t="e">
        <f t="shared" si="226"/>
        <v>#VALUE!</v>
      </c>
      <c r="BQ240" s="67" t="e">
        <f t="shared" si="255"/>
        <v>#VALUE!</v>
      </c>
      <c r="BS240" s="75" t="e">
        <f t="shared" si="256"/>
        <v>#VALUE!</v>
      </c>
      <c r="BT240" s="75" t="e">
        <f t="shared" si="257"/>
        <v>#VALUE!</v>
      </c>
      <c r="BU240" s="5" t="str">
        <f>IF(G246&gt;=36, IF(AND(NOT(ISBLANK(CM:CM)), NOT(ISBLANK(BD:BD))), (CM:CM-BD:BD)/2, ""), "UF")</f>
        <v/>
      </c>
      <c r="BV240" s="5" t="e">
        <f t="shared" si="227"/>
        <v>#VALUE!</v>
      </c>
      <c r="BW240" s="69" t="e">
        <f t="shared" si="228"/>
        <v>#VALUE!</v>
      </c>
      <c r="BX240" s="2" t="s">
        <v>12</v>
      </c>
      <c r="BZ240" s="74" t="e">
        <f t="shared" si="258"/>
        <v>#VALUE!</v>
      </c>
      <c r="CA240" s="74" t="e">
        <f t="shared" si="259"/>
        <v>#VALUE!</v>
      </c>
      <c r="CB240" s="5" t="str">
        <f t="shared" si="229"/>
        <v/>
      </c>
      <c r="CC240" s="5" t="e">
        <f t="shared" si="230"/>
        <v>#VALUE!</v>
      </c>
      <c r="CD240" s="2" t="e">
        <f t="shared" si="231"/>
        <v>#VALUE!</v>
      </c>
      <c r="CE240" s="69" t="e">
        <f t="shared" si="232"/>
        <v>#VALUE!</v>
      </c>
      <c r="CF240" s="5" t="s">
        <v>12</v>
      </c>
      <c r="CH240" s="72" t="e">
        <f t="shared" si="260"/>
        <v>#VALUE!</v>
      </c>
      <c r="CI240" s="72" t="e">
        <f t="shared" si="261"/>
        <v>#VALUE!</v>
      </c>
      <c r="CJ240" s="5" t="str">
        <f t="shared" si="233"/>
        <v/>
      </c>
      <c r="CK240" s="5" t="e">
        <f t="shared" si="234"/>
        <v>#VALUE!</v>
      </c>
      <c r="CL240" s="69" t="e">
        <f t="shared" si="235"/>
        <v>#VALUE!</v>
      </c>
      <c r="CN240" s="70" t="str">
        <f t="shared" si="236"/>
        <v/>
      </c>
      <c r="CO240" s="5" t="str">
        <f t="shared" si="237"/>
        <v>UF</v>
      </c>
      <c r="CP240" s="5" t="str">
        <f>IF(G240&lt;48,"UF", IF(NOT(ISBLANK(CM:CM)), CM:CM, IF(BW:BW=1, BV:BV+Sheet2!B52, IF(Sheet1!BW:BW=2, Sheet1!BV:BV+Sheet2!B53, IF(Sheet1!BW:BW=7, Sheet1!BV:BV+Sheet2!B54,"")))))</f>
        <v>UF</v>
      </c>
      <c r="CQ240" s="69" t="str">
        <f t="shared" si="262"/>
        <v/>
      </c>
      <c r="CR240" s="5" t="s">
        <v>12</v>
      </c>
      <c r="CT240" s="5" t="str">
        <f t="shared" si="238"/>
        <v/>
      </c>
      <c r="CU240" s="80" t="str">
        <f t="shared" si="239"/>
        <v>UF</v>
      </c>
      <c r="CV240" s="80" t="str">
        <f t="shared" si="240"/>
        <v>UF</v>
      </c>
      <c r="CW240" s="20" t="str">
        <f>IF(G240&lt;48,"UF", IF(NOT(ISBLANK(CS240)), CS240, IF(CE240=5, CC240+Sheet2!B41, IF(CE240=6, CC240+Sheet2!B42, IF(CE240=7, CC240+Sheet2!B43,"")))))</f>
        <v>UF</v>
      </c>
      <c r="CX240" s="68" t="str">
        <f t="shared" si="263"/>
        <v/>
      </c>
      <c r="CY240" s="5" t="s">
        <v>12</v>
      </c>
      <c r="DA240" s="5" t="str">
        <f t="shared" si="241"/>
        <v>UF</v>
      </c>
      <c r="DB240" s="73" t="str">
        <f t="shared" si="242"/>
        <v>UF</v>
      </c>
      <c r="DC240" s="73" t="str">
        <f t="shared" si="243"/>
        <v>UF</v>
      </c>
      <c r="DD240" s="5" t="str">
        <f>IF(G240&lt;48,"UF", IF(NOT(ISBLANK(CZ:CZ)), CZ:CZ, IF(CL:CL=3, CK:CK+Sheet2!B46, IF(CL:CL=4, CK:CK+Sheet2!B47, IF(CL:CL=7, CK:CK+Sheet2!B48,"")))))</f>
        <v>UF</v>
      </c>
      <c r="DE240" s="69" t="str">
        <f t="shared" si="266"/>
        <v/>
      </c>
      <c r="DF240" s="2">
        <v>2</v>
      </c>
      <c r="DG240" s="2">
        <v>33</v>
      </c>
      <c r="DH240" s="2">
        <v>1</v>
      </c>
      <c r="DI240" s="2">
        <v>2</v>
      </c>
      <c r="DJ240" s="2">
        <v>3</v>
      </c>
      <c r="DK240" s="2" t="s">
        <v>12</v>
      </c>
      <c r="DL240" s="2" t="s">
        <v>12</v>
      </c>
      <c r="DM240" s="2" t="s">
        <v>12</v>
      </c>
      <c r="DN240" s="2" t="s">
        <v>12</v>
      </c>
      <c r="DO240" s="2" t="s">
        <v>12</v>
      </c>
      <c r="DP240" s="2" t="s">
        <v>12</v>
      </c>
      <c r="DQ240" s="2">
        <v>2</v>
      </c>
      <c r="DR240" s="2">
        <v>38</v>
      </c>
      <c r="DS240" s="2">
        <v>2</v>
      </c>
      <c r="DT240" s="2">
        <v>88</v>
      </c>
      <c r="DU240" s="2">
        <v>83</v>
      </c>
      <c r="DV240" s="2">
        <v>2</v>
      </c>
      <c r="DW240" s="2">
        <v>2</v>
      </c>
      <c r="DX240" s="2">
        <v>2</v>
      </c>
      <c r="DY240" s="2">
        <v>1</v>
      </c>
      <c r="DZ240" s="2">
        <v>33.5</v>
      </c>
      <c r="EA240" s="2">
        <v>35</v>
      </c>
      <c r="EB240" s="2" t="s">
        <v>12</v>
      </c>
      <c r="EC240" s="2">
        <v>1</v>
      </c>
      <c r="ED240" s="2" t="s">
        <v>12</v>
      </c>
    </row>
    <row r="241" spans="3:134" x14ac:dyDescent="0.25">
      <c r="C241" s="8" t="s">
        <v>27</v>
      </c>
      <c r="D241" s="4">
        <v>2501034732</v>
      </c>
      <c r="E241" s="5">
        <v>7</v>
      </c>
      <c r="F241" s="2">
        <v>1</v>
      </c>
      <c r="G241" s="2">
        <v>38</v>
      </c>
      <c r="H241" s="2">
        <v>-0.26720231586725463</v>
      </c>
      <c r="I241" s="2">
        <v>56</v>
      </c>
      <c r="J241" s="2">
        <v>3.678695655033728</v>
      </c>
      <c r="K241" s="1">
        <v>4080</v>
      </c>
      <c r="L241" s="2">
        <v>1.718862432675915</v>
      </c>
      <c r="M241" s="2">
        <v>-0.52880000000000005</v>
      </c>
      <c r="N241" s="2">
        <f t="shared" si="203"/>
        <v>-0.1328988420663727</v>
      </c>
      <c r="O241" s="2">
        <f t="shared" si="204"/>
        <v>-0.52880000000000005</v>
      </c>
      <c r="P241" s="2">
        <v>70</v>
      </c>
      <c r="Q241" s="2">
        <v>1.87</v>
      </c>
      <c r="R241" s="5">
        <f t="shared" si="205"/>
        <v>-1.0643478275168641</v>
      </c>
      <c r="S241" s="5">
        <f t="shared" si="206"/>
        <v>1.87</v>
      </c>
      <c r="T241" s="1">
        <v>7900</v>
      </c>
      <c r="U241" s="2">
        <v>0.64</v>
      </c>
      <c r="V241" s="2">
        <f t="shared" si="207"/>
        <v>-0.6144312163379575</v>
      </c>
      <c r="W241" s="2">
        <f t="shared" si="208"/>
        <v>0.64</v>
      </c>
      <c r="X241" s="2">
        <v>-0.53300000000000003</v>
      </c>
      <c r="Y241" s="76">
        <f t="shared" si="244"/>
        <v>-0.2657976841327454</v>
      </c>
      <c r="Z241" s="76">
        <f t="shared" si="245"/>
        <v>-1</v>
      </c>
      <c r="AA241" s="2">
        <f t="shared" si="209"/>
        <v>-1.54175</v>
      </c>
      <c r="AB241" s="2">
        <f t="shared" si="210"/>
        <v>-0.53300000000000003</v>
      </c>
      <c r="AC241" s="2">
        <v>78</v>
      </c>
      <c r="AD241" s="2">
        <v>1.55</v>
      </c>
      <c r="AE241" s="79">
        <f t="shared" si="246"/>
        <v>-2.1286956550337282</v>
      </c>
      <c r="AF241" s="79">
        <f t="shared" si="247"/>
        <v>-2</v>
      </c>
      <c r="AG241" s="2">
        <f t="shared" si="265"/>
        <v>-2.5000000000000022E-2</v>
      </c>
      <c r="AH241" s="2">
        <f t="shared" si="211"/>
        <v>1.55</v>
      </c>
      <c r="AI241" s="2">
        <v>9500</v>
      </c>
      <c r="AJ241" s="2">
        <v>0.49</v>
      </c>
      <c r="AK241" s="76">
        <f t="shared" si="248"/>
        <v>-1.228862432675915</v>
      </c>
      <c r="AL241" s="76">
        <f t="shared" si="249"/>
        <v>-2</v>
      </c>
      <c r="AM241" s="2">
        <f t="shared" si="212"/>
        <v>-0.21500000000000002</v>
      </c>
      <c r="AN241" s="2">
        <f t="shared" si="213"/>
        <v>0.49</v>
      </c>
      <c r="AO241" s="2">
        <v>-1.2135</v>
      </c>
      <c r="AP241" s="2">
        <f t="shared" si="214"/>
        <v>-0.50451784696236146</v>
      </c>
      <c r="AQ241" s="2">
        <f t="shared" si="215"/>
        <v>-1.2135</v>
      </c>
      <c r="AR241" s="2">
        <v>86</v>
      </c>
      <c r="AS241" s="2">
        <v>1.82</v>
      </c>
      <c r="AT241" s="2">
        <f t="shared" si="216"/>
        <v>2.9158310466798509E-2</v>
      </c>
      <c r="AU241" s="2">
        <f t="shared" si="217"/>
        <v>1.82</v>
      </c>
      <c r="AV241" s="2">
        <v>10500</v>
      </c>
      <c r="AW241" s="2">
        <v>0.21</v>
      </c>
      <c r="AX241" s="2">
        <f t="shared" si="218"/>
        <v>-0.29696489070164367</v>
      </c>
      <c r="AY241" s="2">
        <f t="shared" si="219"/>
        <v>0.21</v>
      </c>
      <c r="AZ241" s="2">
        <v>-1.5420356939247231</v>
      </c>
      <c r="BA241" s="78">
        <f t="shared" si="250"/>
        <v>-1.0090356939247229</v>
      </c>
      <c r="BB241" s="78">
        <f t="shared" si="251"/>
        <v>-2</v>
      </c>
      <c r="BC241" s="2">
        <f t="shared" si="220"/>
        <v>-0.18353521256618599</v>
      </c>
      <c r="BD241" s="2">
        <f t="shared" si="221"/>
        <v>-1.5420356939247231</v>
      </c>
      <c r="BE241" s="67">
        <f t="shared" si="252"/>
        <v>7</v>
      </c>
      <c r="BF241" s="2">
        <v>91</v>
      </c>
      <c r="BG241" s="2">
        <v>1.6083166209335971</v>
      </c>
      <c r="BH241" s="2">
        <f t="shared" si="222"/>
        <v>-0.126061151083768</v>
      </c>
      <c r="BI241" s="2">
        <f t="shared" si="223"/>
        <v>1.6083166209335971</v>
      </c>
      <c r="BJ241" s="67">
        <f t="shared" si="224"/>
        <v>7</v>
      </c>
      <c r="BK241" s="2">
        <v>12000</v>
      </c>
      <c r="BL241" s="2">
        <v>-0.10392978140328731</v>
      </c>
      <c r="BM241" s="77">
        <f t="shared" si="253"/>
        <v>-0.59392978140328734</v>
      </c>
      <c r="BN241" s="77">
        <f t="shared" si="254"/>
        <v>-1</v>
      </c>
      <c r="BO241" s="2">
        <f t="shared" si="225"/>
        <v>-7.8245320482241934E-2</v>
      </c>
      <c r="BP241" s="2">
        <f t="shared" si="226"/>
        <v>-0.10392978140328731</v>
      </c>
      <c r="BQ241" s="67">
        <f t="shared" si="255"/>
        <v>7</v>
      </c>
      <c r="BR241" s="5">
        <v>-1.764105637698558</v>
      </c>
      <c r="BS241" s="75">
        <f t="shared" si="256"/>
        <v>-0.22206994377383493</v>
      </c>
      <c r="BT241" s="75">
        <f t="shared" si="257"/>
        <v>-1</v>
      </c>
      <c r="BU241" s="5" t="str">
        <f>IF(G248&gt;=36, IF(AND(NOT(ISBLANK(CM:CM)), NOT(ISBLANK(BD:BD))), (CM:CM-BD:BD)/2, ""), "UF")</f>
        <v/>
      </c>
      <c r="BV241" s="5">
        <f t="shared" si="227"/>
        <v>-1.764105637698558</v>
      </c>
      <c r="BW241" s="69">
        <f t="shared" si="228"/>
        <v>7</v>
      </c>
      <c r="BX241" s="2">
        <v>100</v>
      </c>
      <c r="BY241" s="5">
        <v>1.4418165467486961</v>
      </c>
      <c r="BZ241" s="74">
        <f t="shared" si="258"/>
        <v>1.5457463281519834</v>
      </c>
      <c r="CA241" s="74">
        <f t="shared" si="259"/>
        <v>2</v>
      </c>
      <c r="CB241" s="5" t="str">
        <f t="shared" si="229"/>
        <v/>
      </c>
      <c r="CC241" s="5">
        <f t="shared" si="230"/>
        <v>1.4418165467486961</v>
      </c>
      <c r="CD241" s="2">
        <f t="shared" si="231"/>
        <v>-0.16650007418490098</v>
      </c>
      <c r="CE241" s="69">
        <f t="shared" si="232"/>
        <v>7</v>
      </c>
      <c r="CF241" s="5">
        <v>13900</v>
      </c>
      <c r="CG241" s="5">
        <v>-2.4735961446725789E-2</v>
      </c>
      <c r="CH241" s="72">
        <f t="shared" si="260"/>
        <v>7.9193819956561523E-2</v>
      </c>
      <c r="CI241" s="72">
        <f t="shared" si="261"/>
        <v>1</v>
      </c>
      <c r="CJ241" s="5" t="str">
        <f t="shared" si="233"/>
        <v/>
      </c>
      <c r="CK241" s="5">
        <f t="shared" si="234"/>
        <v>-2.4735961446725789E-2</v>
      </c>
      <c r="CL241" s="69">
        <f t="shared" si="235"/>
        <v>7</v>
      </c>
      <c r="CN241" s="70" t="str">
        <f t="shared" si="236"/>
        <v/>
      </c>
      <c r="CO241" s="5" t="str">
        <f t="shared" si="237"/>
        <v>UF</v>
      </c>
      <c r="CP241" s="5" t="str">
        <f>IF(G241&lt;48,"UF", IF(NOT(ISBLANK(CM:CM)), CM:CM, IF(BW:BW=1, BV:BV+Sheet2!B362, IF(Sheet1!BW:BW=2, Sheet1!BV:BV+Sheet2!B363, IF(Sheet1!BW:BW=7, Sheet1!BV:BV+Sheet2!B364,"")))))</f>
        <v>UF</v>
      </c>
      <c r="CQ241" s="69" t="str">
        <f t="shared" si="262"/>
        <v/>
      </c>
      <c r="CR241" s="5" t="s">
        <v>12</v>
      </c>
      <c r="CT241" s="5" t="str">
        <f t="shared" si="238"/>
        <v/>
      </c>
      <c r="CU241" s="80" t="str">
        <f t="shared" si="239"/>
        <v>UF</v>
      </c>
      <c r="CV241" s="80" t="str">
        <f t="shared" si="240"/>
        <v>UF</v>
      </c>
      <c r="CW241" s="20" t="str">
        <f>IF(G241&lt;48,"UF", IF(NOT(ISBLANK(CS241)), CS241, IF(CE241=5, CC241+Sheet2!B351, IF(CE241=6, CC241+Sheet2!B352, IF(CE241=7, CC241+Sheet2!B353,"")))))</f>
        <v>UF</v>
      </c>
      <c r="CX241" s="68" t="str">
        <f t="shared" si="263"/>
        <v/>
      </c>
      <c r="CY241" s="5" t="s">
        <v>12</v>
      </c>
      <c r="DA241" s="5" t="str">
        <f t="shared" si="241"/>
        <v>UF</v>
      </c>
      <c r="DB241" s="73" t="str">
        <f t="shared" si="242"/>
        <v>UF</v>
      </c>
      <c r="DC241" s="73" t="str">
        <f t="shared" si="243"/>
        <v>UF</v>
      </c>
      <c r="DD241" s="5" t="str">
        <f>IF(G241&lt;48,"UF", IF(NOT(ISBLANK(CZ:CZ)), CZ:CZ, IF(CL:CL=3, CK:CK+Sheet2!B356, IF(CL:CL=4, CK:CK+Sheet2!B357, IF(CL:CL=7, CK:CK+Sheet2!B358,"")))))</f>
        <v>UF</v>
      </c>
      <c r="DE241" s="69" t="str">
        <f t="shared" si="266"/>
        <v/>
      </c>
      <c r="DF241" s="2">
        <v>1</v>
      </c>
      <c r="DG241" s="2">
        <v>27</v>
      </c>
      <c r="DH241" s="2">
        <v>2</v>
      </c>
      <c r="DI241" s="2">
        <v>2</v>
      </c>
      <c r="DJ241" s="2">
        <v>3</v>
      </c>
      <c r="DK241" s="2" t="s">
        <v>12</v>
      </c>
      <c r="DL241" s="2" t="s">
        <v>12</v>
      </c>
      <c r="DM241" s="2" t="s">
        <v>12</v>
      </c>
      <c r="DN241" s="2" t="s">
        <v>12</v>
      </c>
      <c r="DO241" s="2" t="s">
        <v>12</v>
      </c>
      <c r="DP241" s="2" t="s">
        <v>12</v>
      </c>
      <c r="DQ241" s="2">
        <v>2</v>
      </c>
      <c r="DR241" s="2">
        <v>39</v>
      </c>
      <c r="DS241" s="2">
        <v>3</v>
      </c>
      <c r="DT241" s="2" t="s">
        <v>12</v>
      </c>
      <c r="DU241" s="2" t="s">
        <v>12</v>
      </c>
      <c r="DV241" s="2">
        <v>2</v>
      </c>
      <c r="DW241" s="2">
        <v>2</v>
      </c>
      <c r="DX241" s="2">
        <v>2</v>
      </c>
      <c r="DY241" s="2">
        <v>2</v>
      </c>
      <c r="DZ241" s="2">
        <v>35.5</v>
      </c>
      <c r="EA241" s="2" t="s">
        <v>12</v>
      </c>
      <c r="EB241" s="2">
        <v>46.4</v>
      </c>
      <c r="EC241" s="2" t="s">
        <v>12</v>
      </c>
      <c r="ED241" s="2">
        <v>1</v>
      </c>
    </row>
    <row r="242" spans="3:134" x14ac:dyDescent="0.25">
      <c r="C242" s="5" t="s">
        <v>27</v>
      </c>
      <c r="D242" s="2">
        <v>2501034783</v>
      </c>
      <c r="E242" s="5" t="s">
        <v>528</v>
      </c>
      <c r="F242" s="2">
        <v>2</v>
      </c>
      <c r="G242" s="2">
        <v>38</v>
      </c>
      <c r="H242" s="2">
        <v>-1.2533240630246421</v>
      </c>
      <c r="I242" s="2">
        <v>51</v>
      </c>
      <c r="J242" s="2">
        <v>0.58940135287155082</v>
      </c>
      <c r="K242" s="5">
        <v>3100</v>
      </c>
      <c r="L242" s="2">
        <v>-0.51686178682742712</v>
      </c>
      <c r="M242" s="2">
        <v>-2.2294999999999998</v>
      </c>
      <c r="N242" s="2" t="str">
        <f t="shared" si="203"/>
        <v/>
      </c>
      <c r="O242" s="2">
        <f t="shared" si="204"/>
        <v>-2.2294999999999998</v>
      </c>
      <c r="P242" s="2">
        <v>67</v>
      </c>
      <c r="Q242" s="2">
        <v>-0.3</v>
      </c>
      <c r="R242" s="5" t="str">
        <f t="shared" si="205"/>
        <v/>
      </c>
      <c r="S242" s="5">
        <f t="shared" si="206"/>
        <v>-0.3</v>
      </c>
      <c r="T242" s="1">
        <v>6500</v>
      </c>
      <c r="U242" s="2">
        <v>-1.8</v>
      </c>
      <c r="V242" s="2" t="str">
        <f t="shared" si="207"/>
        <v/>
      </c>
      <c r="W242" s="2">
        <f t="shared" si="208"/>
        <v>-1.8</v>
      </c>
      <c r="Y242" s="76">
        <f t="shared" si="244"/>
        <v>-2.0334759369753579</v>
      </c>
      <c r="Z242" s="76">
        <f t="shared" si="245"/>
        <v>-2</v>
      </c>
      <c r="AA242" s="2">
        <f t="shared" si="209"/>
        <v>-1.0573000000000001</v>
      </c>
      <c r="AB242" s="2">
        <f t="shared" si="210"/>
        <v>-3.2867999999999999</v>
      </c>
      <c r="AC242" s="2" t="s">
        <v>12</v>
      </c>
      <c r="AE242" s="79">
        <f t="shared" si="246"/>
        <v>-1.4344013528715509</v>
      </c>
      <c r="AF242" s="79">
        <f t="shared" si="247"/>
        <v>-2</v>
      </c>
      <c r="AG242" s="2">
        <f t="shared" si="265"/>
        <v>-0.54499999999999993</v>
      </c>
      <c r="AH242" s="2">
        <f t="shared" si="211"/>
        <v>-0.84499999999999997</v>
      </c>
      <c r="AI242" s="2" t="s">
        <v>12</v>
      </c>
      <c r="AK242" s="76">
        <f t="shared" si="248"/>
        <v>-1.6231382131725729</v>
      </c>
      <c r="AL242" s="76">
        <f t="shared" si="249"/>
        <v>-2</v>
      </c>
      <c r="AM242" s="2">
        <f t="shared" si="212"/>
        <v>-0.33999999999999997</v>
      </c>
      <c r="AN242" s="2">
        <f t="shared" si="213"/>
        <v>-2.14</v>
      </c>
      <c r="AO242" s="2">
        <v>-2.4146000000000001</v>
      </c>
      <c r="AP242" s="2">
        <f t="shared" si="214"/>
        <v>0.10178725531222188</v>
      </c>
      <c r="AQ242" s="2">
        <f t="shared" si="215"/>
        <v>-2.4146000000000001</v>
      </c>
      <c r="AR242" s="2">
        <v>78.5</v>
      </c>
      <c r="AS242" s="2">
        <v>-1.39</v>
      </c>
      <c r="AT242" s="2">
        <f t="shared" si="216"/>
        <v>-0.27012564068848355</v>
      </c>
      <c r="AU242" s="2">
        <f t="shared" si="217"/>
        <v>-1.39</v>
      </c>
      <c r="AV242" s="2">
        <v>8300</v>
      </c>
      <c r="AW242" s="2">
        <v>-2.48</v>
      </c>
      <c r="AX242" s="2">
        <f t="shared" si="218"/>
        <v>-0.54400571660775388</v>
      </c>
      <c r="AY242" s="2">
        <f t="shared" si="219"/>
        <v>-2.48</v>
      </c>
      <c r="AZ242" s="2">
        <v>-3.0832254893755562</v>
      </c>
      <c r="BA242" s="78">
        <f t="shared" si="250"/>
        <v>0.20357451062444376</v>
      </c>
      <c r="BB242" s="78">
        <f t="shared" si="251"/>
        <v>1</v>
      </c>
      <c r="BC242" s="2">
        <f t="shared" si="220"/>
        <v>-2.0479871927802023E-2</v>
      </c>
      <c r="BD242" s="2">
        <f t="shared" si="221"/>
        <v>-3.0832254893755562</v>
      </c>
      <c r="BE242" s="67">
        <f t="shared" si="252"/>
        <v>1</v>
      </c>
      <c r="BF242" s="2">
        <v>82</v>
      </c>
      <c r="BG242" s="2">
        <v>-1.3852512813769671</v>
      </c>
      <c r="BH242" s="2">
        <f t="shared" si="222"/>
        <v>-0.34631936045278305</v>
      </c>
      <c r="BI242" s="2">
        <f t="shared" si="223"/>
        <v>-1.3852512813769671</v>
      </c>
      <c r="BJ242" s="67">
        <f t="shared" si="224"/>
        <v>7</v>
      </c>
      <c r="BK242" s="2">
        <v>9100</v>
      </c>
      <c r="BL242" s="2">
        <v>-3.2280114332155079</v>
      </c>
      <c r="BM242" s="77">
        <f t="shared" si="253"/>
        <v>-1.0880114332155078</v>
      </c>
      <c r="BN242" s="77">
        <f t="shared" si="254"/>
        <v>-2</v>
      </c>
      <c r="BO242" s="2">
        <f t="shared" si="225"/>
        <v>-0.31983993022344698</v>
      </c>
      <c r="BP242" s="2">
        <f t="shared" si="226"/>
        <v>-3.2280114332155079</v>
      </c>
      <c r="BQ242" s="67">
        <f t="shared" si="255"/>
        <v>3</v>
      </c>
      <c r="BR242" s="5">
        <v>-2.4760396157834061</v>
      </c>
      <c r="BS242" s="75">
        <f t="shared" si="256"/>
        <v>0.60718587359215004</v>
      </c>
      <c r="BT242" s="75">
        <f t="shared" si="257"/>
        <v>1</v>
      </c>
      <c r="BU242" s="5" t="str">
        <f>IF(G249&gt;=36, IF(AND(NOT(ISBLANK(CM:CM)), NOT(ISBLANK(BD:BD))), (CM:CM-BD:BD)/2, ""), "UF")</f>
        <v/>
      </c>
      <c r="BV242" s="5">
        <f t="shared" si="227"/>
        <v>-2.4760396157834061</v>
      </c>
      <c r="BW242" s="69">
        <f t="shared" si="228"/>
        <v>2</v>
      </c>
      <c r="BX242" s="2">
        <v>86.5</v>
      </c>
      <c r="BY242" s="5">
        <v>-2.4289580813583491</v>
      </c>
      <c r="BZ242" s="74">
        <f t="shared" si="258"/>
        <v>0.79905335185715876</v>
      </c>
      <c r="CA242" s="74">
        <f t="shared" si="259"/>
        <v>2</v>
      </c>
      <c r="CB242" s="5" t="str">
        <f t="shared" si="229"/>
        <v/>
      </c>
      <c r="CC242" s="5">
        <f t="shared" si="230"/>
        <v>-2.4289580813583491</v>
      </c>
      <c r="CD242" s="2">
        <f t="shared" si="231"/>
        <v>-1.043706799981382</v>
      </c>
      <c r="CE242" s="69">
        <f t="shared" si="232"/>
        <v>6</v>
      </c>
      <c r="CF242" s="5">
        <v>10200</v>
      </c>
      <c r="CG242" s="5">
        <v>-3.439519790670341</v>
      </c>
      <c r="CH242" s="72">
        <f t="shared" si="260"/>
        <v>-0.2115083574548331</v>
      </c>
      <c r="CI242" s="72">
        <f t="shared" si="261"/>
        <v>-1</v>
      </c>
      <c r="CJ242" s="5" t="str">
        <f t="shared" si="233"/>
        <v/>
      </c>
      <c r="CK242" s="5">
        <f t="shared" si="234"/>
        <v>-3.439519790670341</v>
      </c>
      <c r="CL242" s="69">
        <f t="shared" si="235"/>
        <v>3</v>
      </c>
      <c r="CN242" s="70" t="str">
        <f t="shared" si="236"/>
        <v/>
      </c>
      <c r="CO242" s="5" t="str">
        <f t="shared" si="237"/>
        <v>UF</v>
      </c>
      <c r="CP242" s="5" t="str">
        <f>IF(G242&lt;48,"UF", IF(NOT(ISBLANK(CM:CM)), CM:CM, IF(BW:BW=1, BV:BV+Sheet2!B49, IF(Sheet1!BW:BW=2, Sheet1!BV:BV+Sheet2!B50, IF(Sheet1!BW:BW=7, Sheet1!BV:BV+Sheet2!B51,"")))))</f>
        <v>UF</v>
      </c>
      <c r="CQ242" s="69" t="str">
        <f t="shared" si="262"/>
        <v/>
      </c>
      <c r="CR242" s="5" t="s">
        <v>12</v>
      </c>
      <c r="CT242" s="5" t="str">
        <f t="shared" si="238"/>
        <v/>
      </c>
      <c r="CU242" s="80" t="str">
        <f t="shared" si="239"/>
        <v>UF</v>
      </c>
      <c r="CV242" s="80" t="str">
        <f t="shared" si="240"/>
        <v>UF</v>
      </c>
      <c r="CW242" s="20" t="str">
        <f>IF(G242&lt;48,"UF", IF(NOT(ISBLANK(CS242)), CS242, IF(CE242=5, CC242+Sheet2!B38, IF(CE242=6, CC242+Sheet2!B39, IF(CE242=7, CC242+Sheet2!B40,"")))))</f>
        <v>UF</v>
      </c>
      <c r="CX242" s="68" t="str">
        <f t="shared" si="263"/>
        <v/>
      </c>
      <c r="CY242" s="5" t="s">
        <v>12</v>
      </c>
      <c r="DA242" s="5" t="str">
        <f t="shared" si="241"/>
        <v>UF</v>
      </c>
      <c r="DB242" s="73" t="str">
        <f t="shared" si="242"/>
        <v>UF</v>
      </c>
      <c r="DC242" s="73" t="str">
        <f t="shared" si="243"/>
        <v>UF</v>
      </c>
      <c r="DD242" s="5" t="str">
        <f>IF(G242&lt;48,"UF", IF(NOT(ISBLANK(CZ:CZ)), CZ:CZ, IF(CL:CL=3, CK:CK+Sheet2!B43, IF(CL:CL=4, CK:CK+Sheet2!B44, IF(CL:CL=7, CK:CK+Sheet2!B45,"")))))</f>
        <v>UF</v>
      </c>
      <c r="DE242" s="69" t="str">
        <f t="shared" si="266"/>
        <v/>
      </c>
      <c r="DF242" s="2">
        <v>2</v>
      </c>
      <c r="DG242" s="2">
        <v>21</v>
      </c>
      <c r="DH242" s="2">
        <v>1</v>
      </c>
      <c r="DI242" s="2">
        <v>1</v>
      </c>
      <c r="DJ242" s="2">
        <v>2</v>
      </c>
      <c r="DK242" s="2">
        <v>100</v>
      </c>
      <c r="DL242" s="2">
        <v>60</v>
      </c>
      <c r="DM242" s="2" t="s">
        <v>12</v>
      </c>
      <c r="DN242" s="2" t="s">
        <v>12</v>
      </c>
      <c r="DO242" s="2">
        <v>95</v>
      </c>
      <c r="DP242" s="2">
        <v>60</v>
      </c>
      <c r="DQ242" s="2">
        <v>2</v>
      </c>
      <c r="DR242" s="2">
        <v>39</v>
      </c>
      <c r="DS242" s="2">
        <v>2</v>
      </c>
      <c r="DT242" s="2">
        <v>85</v>
      </c>
      <c r="DU242" s="2">
        <v>80</v>
      </c>
      <c r="DV242" s="2">
        <v>2</v>
      </c>
      <c r="DW242" s="2">
        <v>2</v>
      </c>
      <c r="DX242" s="2">
        <v>2</v>
      </c>
      <c r="DY242" s="2">
        <v>1</v>
      </c>
      <c r="DZ242" s="2">
        <v>34</v>
      </c>
      <c r="EA242" s="2">
        <v>35.200000000000003</v>
      </c>
      <c r="EB242" s="2">
        <v>46</v>
      </c>
      <c r="EC242" s="2">
        <v>1</v>
      </c>
      <c r="ED242" s="2">
        <v>1</v>
      </c>
    </row>
    <row r="243" spans="3:134" x14ac:dyDescent="0.25">
      <c r="C243" s="5" t="s">
        <v>117</v>
      </c>
      <c r="D243" s="2">
        <v>2501034813</v>
      </c>
      <c r="E243" s="5" t="s">
        <v>538</v>
      </c>
      <c r="F243" s="2">
        <v>1</v>
      </c>
      <c r="G243" s="2">
        <v>39</v>
      </c>
      <c r="H243" s="2">
        <v>-1.400220112593147</v>
      </c>
      <c r="I243" s="2">
        <v>48</v>
      </c>
      <c r="J243" s="2">
        <v>-0.61614996855203885</v>
      </c>
      <c r="K243" s="5">
        <v>2700</v>
      </c>
      <c r="L243" s="2">
        <v>-1.2270493270806959</v>
      </c>
      <c r="M243" s="2">
        <v>-0.96660000000000001</v>
      </c>
      <c r="N243" s="2">
        <f t="shared" si="203"/>
        <v>0.13051005629657353</v>
      </c>
      <c r="O243" s="2">
        <f t="shared" si="204"/>
        <v>-0.96660000000000001</v>
      </c>
      <c r="P243" s="2">
        <v>65</v>
      </c>
      <c r="Q243" s="2">
        <v>-0.33</v>
      </c>
      <c r="R243" s="5">
        <f t="shared" si="205"/>
        <v>0.11307498427601942</v>
      </c>
      <c r="S243" s="5">
        <f t="shared" si="206"/>
        <v>-0.33</v>
      </c>
      <c r="T243" s="1">
        <v>6550</v>
      </c>
      <c r="U243" s="2">
        <v>-0.89</v>
      </c>
      <c r="V243" s="2">
        <f t="shared" si="207"/>
        <v>9.8524663540347945E-2</v>
      </c>
      <c r="W243" s="2">
        <f t="shared" si="208"/>
        <v>-0.89</v>
      </c>
      <c r="X243" s="2">
        <v>-1.1392</v>
      </c>
      <c r="Y243" s="76">
        <f t="shared" si="244"/>
        <v>0.26102011259314706</v>
      </c>
      <c r="Z243" s="76">
        <f t="shared" si="245"/>
        <v>1</v>
      </c>
      <c r="AA243" s="2">
        <f t="shared" si="209"/>
        <v>-0.31179999999999997</v>
      </c>
      <c r="AB243" s="2">
        <f t="shared" si="210"/>
        <v>-1.1392</v>
      </c>
      <c r="AC243" s="2">
        <v>73</v>
      </c>
      <c r="AD243" s="2">
        <v>-0.39</v>
      </c>
      <c r="AE243" s="79">
        <f t="shared" si="246"/>
        <v>0.22614996855203884</v>
      </c>
      <c r="AF243" s="79">
        <f t="shared" si="247"/>
        <v>1</v>
      </c>
      <c r="AG243" s="2">
        <f t="shared" si="265"/>
        <v>-0.47499999999999998</v>
      </c>
      <c r="AH243" s="2">
        <f t="shared" si="211"/>
        <v>-0.39</v>
      </c>
      <c r="AI243" s="2">
        <v>7900</v>
      </c>
      <c r="AJ243" s="2">
        <v>-1.03</v>
      </c>
      <c r="AK243" s="76">
        <f t="shared" si="248"/>
        <v>0.19704932708069589</v>
      </c>
      <c r="AL243" s="76">
        <f t="shared" si="249"/>
        <v>1</v>
      </c>
      <c r="AM243" s="2">
        <f t="shared" si="212"/>
        <v>-0.27499999999999997</v>
      </c>
      <c r="AN243" s="2">
        <f t="shared" si="213"/>
        <v>-1.03</v>
      </c>
      <c r="AO243" s="2">
        <v>-0.9536</v>
      </c>
      <c r="AP243" s="2">
        <f t="shared" si="214"/>
        <v>-0.69162735214782745</v>
      </c>
      <c r="AQ243" s="2">
        <f t="shared" si="215"/>
        <v>-0.9536</v>
      </c>
      <c r="AR243" s="2">
        <v>77</v>
      </c>
      <c r="AS243" s="2">
        <v>-1.28</v>
      </c>
      <c r="AT243" s="2">
        <f t="shared" si="216"/>
        <v>-0.14827350475836804</v>
      </c>
      <c r="AU243" s="2">
        <f t="shared" si="217"/>
        <v>-1.28</v>
      </c>
      <c r="AV243" s="2">
        <v>8600</v>
      </c>
      <c r="AW243" s="2">
        <v>-1.44</v>
      </c>
      <c r="AX243" s="2">
        <f t="shared" si="218"/>
        <v>-0.85185640682062858</v>
      </c>
      <c r="AY243" s="2">
        <f t="shared" si="219"/>
        <v>-1.44</v>
      </c>
      <c r="AZ243" s="2">
        <v>-2.5224547042956549</v>
      </c>
      <c r="BA243" s="78">
        <f t="shared" si="250"/>
        <v>-1.3832547042956549</v>
      </c>
      <c r="BB243" s="78">
        <f t="shared" si="251"/>
        <v>-2</v>
      </c>
      <c r="BC243" s="2" t="str">
        <f t="shared" si="220"/>
        <v/>
      </c>
      <c r="BD243" s="2">
        <f t="shared" si="221"/>
        <v>-2.5224547042956549</v>
      </c>
      <c r="BE243" s="67">
        <f t="shared" si="252"/>
        <v>2</v>
      </c>
      <c r="BF243" s="2">
        <v>83</v>
      </c>
      <c r="BG243" s="2">
        <v>-0.68654700951673608</v>
      </c>
      <c r="BH243" s="2" t="str">
        <f t="shared" si="222"/>
        <v/>
      </c>
      <c r="BI243" s="2">
        <f t="shared" si="223"/>
        <v>-0.68654700951673608</v>
      </c>
      <c r="BJ243" s="67">
        <f t="shared" si="224"/>
        <v>7</v>
      </c>
      <c r="BK243" s="2">
        <v>9300</v>
      </c>
      <c r="BL243" s="2">
        <v>-2.7337128136412572</v>
      </c>
      <c r="BM243" s="77">
        <f t="shared" si="253"/>
        <v>-1.7037128136412572</v>
      </c>
      <c r="BN243" s="77">
        <f t="shared" si="254"/>
        <v>-2</v>
      </c>
      <c r="BO243" s="2" t="str">
        <f t="shared" si="225"/>
        <v/>
      </c>
      <c r="BP243" s="2">
        <f t="shared" si="226"/>
        <v>-2.7337128136412572</v>
      </c>
      <c r="BQ243" s="67">
        <f t="shared" si="255"/>
        <v>4</v>
      </c>
      <c r="BS243" s="75" t="e">
        <f t="shared" si="256"/>
        <v>#VALUE!</v>
      </c>
      <c r="BT243" s="75" t="e">
        <f t="shared" si="257"/>
        <v>#VALUE!</v>
      </c>
      <c r="BU243" s="5" t="str">
        <f>IF(G251&gt;=36, IF(AND(NOT(ISBLANK(CM:CM)), NOT(ISBLANK(BD:BD))), (CM:CM-BD:BD)/2, ""), "UF")</f>
        <v/>
      </c>
      <c r="BV243" s="5" t="e">
        <f t="shared" si="227"/>
        <v>#VALUE!</v>
      </c>
      <c r="BW243" s="69" t="e">
        <f t="shared" si="228"/>
        <v>#VALUE!</v>
      </c>
      <c r="BX243" s="2" t="s">
        <v>12</v>
      </c>
      <c r="BZ243" s="74" t="e">
        <f t="shared" si="258"/>
        <v>#VALUE!</v>
      </c>
      <c r="CA243" s="74" t="e">
        <f t="shared" si="259"/>
        <v>#VALUE!</v>
      </c>
      <c r="CB243" s="5" t="str">
        <f t="shared" si="229"/>
        <v/>
      </c>
      <c r="CC243" s="5" t="e">
        <f t="shared" si="230"/>
        <v>#VALUE!</v>
      </c>
      <c r="CD243" s="2" t="e">
        <f t="shared" si="231"/>
        <v>#VALUE!</v>
      </c>
      <c r="CE243" s="69" t="e">
        <f t="shared" si="232"/>
        <v>#VALUE!</v>
      </c>
      <c r="CF243" s="5" t="s">
        <v>12</v>
      </c>
      <c r="CH243" s="72" t="e">
        <f t="shared" si="260"/>
        <v>#VALUE!</v>
      </c>
      <c r="CI243" s="72" t="e">
        <f t="shared" si="261"/>
        <v>#VALUE!</v>
      </c>
      <c r="CJ243" s="5" t="str">
        <f t="shared" si="233"/>
        <v/>
      </c>
      <c r="CK243" s="5" t="e">
        <f t="shared" si="234"/>
        <v>#VALUE!</v>
      </c>
      <c r="CL243" s="69" t="e">
        <f t="shared" si="235"/>
        <v>#VALUE!</v>
      </c>
      <c r="CN243" s="70" t="str">
        <f t="shared" si="236"/>
        <v/>
      </c>
      <c r="CO243" s="5" t="str">
        <f t="shared" si="237"/>
        <v>UF</v>
      </c>
      <c r="CP243" s="5" t="str">
        <f>IF(G243&lt;48,"UF", IF(NOT(ISBLANK(CM:CM)), CM:CM, IF(BW:BW=1, BV:BV+Sheet2!B153, IF(Sheet1!BW:BW=2, Sheet1!BV:BV+Sheet2!B154, IF(Sheet1!BW:BW=7, Sheet1!BV:BV+Sheet2!B155,"")))))</f>
        <v>UF</v>
      </c>
      <c r="CQ243" s="69" t="str">
        <f t="shared" si="262"/>
        <v/>
      </c>
      <c r="CR243" s="5" t="s">
        <v>12</v>
      </c>
      <c r="CT243" s="5" t="str">
        <f t="shared" si="238"/>
        <v/>
      </c>
      <c r="CU243" s="80" t="str">
        <f t="shared" si="239"/>
        <v>UF</v>
      </c>
      <c r="CV243" s="80" t="str">
        <f t="shared" si="240"/>
        <v>UF</v>
      </c>
      <c r="CW243" s="20" t="str">
        <f>IF(G243&lt;48,"UF", IF(NOT(ISBLANK(CS243)), CS243, IF(CE243=5, CC243+Sheet2!B142, IF(CE243=6, CC243+Sheet2!B143, IF(CE243=7, CC243+Sheet2!B144,"")))))</f>
        <v>UF</v>
      </c>
      <c r="CX243" s="68" t="str">
        <f t="shared" si="263"/>
        <v/>
      </c>
      <c r="CY243" s="5" t="s">
        <v>12</v>
      </c>
      <c r="DA243" s="5" t="str">
        <f t="shared" si="241"/>
        <v>UF</v>
      </c>
      <c r="DB243" s="73" t="str">
        <f t="shared" si="242"/>
        <v>UF</v>
      </c>
      <c r="DC243" s="73" t="str">
        <f t="shared" si="243"/>
        <v>UF</v>
      </c>
      <c r="DD243" s="5" t="str">
        <f>IF(G243&lt;48,"UF", IF(NOT(ISBLANK(CZ:CZ)), CZ:CZ, IF(CL:CL=3, CK:CK+Sheet2!B147, IF(CL:CL=4, CK:CK+Sheet2!B148, IF(CL:CL=7, CK:CK+Sheet2!B149,"")))))</f>
        <v>UF</v>
      </c>
      <c r="DE243" s="69" t="str">
        <f t="shared" si="266"/>
        <v/>
      </c>
      <c r="DF243" s="2">
        <v>3</v>
      </c>
      <c r="DG243" s="2">
        <v>38</v>
      </c>
      <c r="DH243" s="2">
        <v>2</v>
      </c>
      <c r="DI243" s="2">
        <v>2</v>
      </c>
      <c r="DJ243" s="2">
        <v>2</v>
      </c>
      <c r="DK243" s="2">
        <v>100</v>
      </c>
      <c r="DL243" s="2">
        <v>60</v>
      </c>
      <c r="DM243" s="2">
        <v>110</v>
      </c>
      <c r="DN243" s="2">
        <v>60</v>
      </c>
      <c r="DO243" s="2">
        <v>120</v>
      </c>
      <c r="DP243" s="2">
        <v>75</v>
      </c>
      <c r="DQ243" s="2">
        <v>2</v>
      </c>
      <c r="DR243" s="2">
        <v>39</v>
      </c>
      <c r="DS243" s="2">
        <v>1</v>
      </c>
      <c r="DT243" s="2">
        <v>81</v>
      </c>
      <c r="DU243" s="2">
        <v>93</v>
      </c>
      <c r="DV243" s="2">
        <v>2</v>
      </c>
      <c r="DW243" s="2">
        <v>2</v>
      </c>
      <c r="DX243" s="2">
        <v>2</v>
      </c>
      <c r="DY243" s="2">
        <v>2</v>
      </c>
      <c r="DZ243" s="2">
        <v>34</v>
      </c>
      <c r="EA243" s="2">
        <v>37</v>
      </c>
      <c r="EB243" s="2">
        <v>45</v>
      </c>
      <c r="EC243" s="2">
        <v>1</v>
      </c>
      <c r="ED243" s="2">
        <v>1</v>
      </c>
    </row>
    <row r="244" spans="3:134" x14ac:dyDescent="0.25">
      <c r="C244" s="8" t="s">
        <v>275</v>
      </c>
      <c r="D244" s="8">
        <v>2501035100</v>
      </c>
      <c r="E244" s="5">
        <v>7</v>
      </c>
      <c r="F244" s="2">
        <v>2</v>
      </c>
      <c r="G244" s="2">
        <v>38</v>
      </c>
      <c r="H244" s="2">
        <v>-0.94468306609431663</v>
      </c>
      <c r="I244" s="2">
        <v>53</v>
      </c>
      <c r="J244" s="2">
        <v>1.645866503279491</v>
      </c>
      <c r="K244" s="2">
        <v>3445</v>
      </c>
      <c r="L244" s="2">
        <v>0.19987861641296389</v>
      </c>
      <c r="M244" s="2">
        <v>-0.81810000000000005</v>
      </c>
      <c r="N244" s="2">
        <f t="shared" si="203"/>
        <v>-0.36585846695284163</v>
      </c>
      <c r="O244" s="2">
        <f t="shared" si="204"/>
        <v>-0.81810000000000005</v>
      </c>
      <c r="P244" s="2">
        <v>68</v>
      </c>
      <c r="Q244" s="2">
        <v>0.17</v>
      </c>
      <c r="R244" s="5">
        <f t="shared" si="205"/>
        <v>-0.13793325163974546</v>
      </c>
      <c r="S244" s="5">
        <f t="shared" si="206"/>
        <v>0.17</v>
      </c>
      <c r="T244" s="2">
        <v>7500</v>
      </c>
      <c r="U244" s="2">
        <v>-0.52</v>
      </c>
      <c r="V244" s="2">
        <f t="shared" si="207"/>
        <v>-0.31493930820648197</v>
      </c>
      <c r="W244" s="2">
        <f t="shared" si="208"/>
        <v>-0.52</v>
      </c>
      <c r="X244" s="2">
        <v>-1.6763999999999999</v>
      </c>
      <c r="Y244" s="76">
        <f t="shared" si="244"/>
        <v>-0.73171693390568326</v>
      </c>
      <c r="Z244" s="76">
        <f t="shared" si="245"/>
        <v>-2</v>
      </c>
      <c r="AA244" s="2">
        <f t="shared" si="209"/>
        <v>-0.75364999999999993</v>
      </c>
      <c r="AB244" s="2">
        <f t="shared" si="210"/>
        <v>-1.6763999999999999</v>
      </c>
      <c r="AC244" s="2">
        <v>79</v>
      </c>
      <c r="AD244" s="2">
        <v>1.37</v>
      </c>
      <c r="AE244" s="79">
        <f t="shared" si="246"/>
        <v>-0.27586650327949092</v>
      </c>
      <c r="AF244" s="79">
        <f t="shared" si="247"/>
        <v>-1</v>
      </c>
      <c r="AG244" s="2">
        <f t="shared" si="265"/>
        <v>0.51500000000000001</v>
      </c>
      <c r="AH244" s="2">
        <f t="shared" si="211"/>
        <v>1.37</v>
      </c>
      <c r="AI244" s="2">
        <v>9200</v>
      </c>
      <c r="AJ244" s="2">
        <v>-0.43</v>
      </c>
      <c r="AK244" s="76">
        <f t="shared" si="248"/>
        <v>-0.62987861641296394</v>
      </c>
      <c r="AL244" s="76">
        <f t="shared" si="249"/>
        <v>-1</v>
      </c>
      <c r="AM244" s="2">
        <f t="shared" si="212"/>
        <v>0.14000000000000001</v>
      </c>
      <c r="AN244" s="2">
        <f t="shared" si="213"/>
        <v>-0.43</v>
      </c>
      <c r="AO244" s="2">
        <v>-1.3372999999999999</v>
      </c>
      <c r="AP244" s="2">
        <f t="shared" si="214"/>
        <v>6.6358960118466426E-2</v>
      </c>
      <c r="AQ244" s="2">
        <f t="shared" si="215"/>
        <v>-1.3372999999999999</v>
      </c>
      <c r="AR244" s="2">
        <v>85.5</v>
      </c>
      <c r="AS244" s="2">
        <v>1.2</v>
      </c>
      <c r="AT244" s="2">
        <f t="shared" si="216"/>
        <v>-0.23772906485592643</v>
      </c>
      <c r="AU244" s="2">
        <f t="shared" si="217"/>
        <v>1.2</v>
      </c>
      <c r="AV244" s="2">
        <v>10650</v>
      </c>
      <c r="AW244" s="2">
        <v>-0.24</v>
      </c>
      <c r="AX244" s="2">
        <f t="shared" si="218"/>
        <v>-6.3978918309138405E-2</v>
      </c>
      <c r="AY244" s="2">
        <f t="shared" si="219"/>
        <v>-0.24</v>
      </c>
      <c r="AZ244" s="2">
        <v>-1.543682079763067</v>
      </c>
      <c r="BA244" s="78">
        <f t="shared" si="250"/>
        <v>0.13271792023693285</v>
      </c>
      <c r="BB244" s="78">
        <f t="shared" si="251"/>
        <v>1</v>
      </c>
      <c r="BC244" s="2">
        <f t="shared" si="220"/>
        <v>-0.27487310954719435</v>
      </c>
      <c r="BD244" s="2">
        <f t="shared" si="221"/>
        <v>-1.543682079763067</v>
      </c>
      <c r="BE244" s="67">
        <f t="shared" si="252"/>
        <v>7</v>
      </c>
      <c r="BF244" s="2">
        <v>90</v>
      </c>
      <c r="BG244" s="2">
        <v>0.89454187028814725</v>
      </c>
      <c r="BH244" s="2">
        <f t="shared" si="222"/>
        <v>-0.21089399680324852</v>
      </c>
      <c r="BI244" s="2">
        <f t="shared" si="223"/>
        <v>0.89454187028814725</v>
      </c>
      <c r="BJ244" s="67">
        <f t="shared" si="224"/>
        <v>7</v>
      </c>
      <c r="BK244" s="2">
        <v>12000</v>
      </c>
      <c r="BL244" s="2">
        <v>-0.5579578366182768</v>
      </c>
      <c r="BM244" s="77">
        <f t="shared" si="253"/>
        <v>-0.12795783661827681</v>
      </c>
      <c r="BN244" s="77">
        <f t="shared" si="254"/>
        <v>-1</v>
      </c>
      <c r="BO244" s="2">
        <f t="shared" si="225"/>
        <v>-0.18696260163812298</v>
      </c>
      <c r="BP244" s="2">
        <f t="shared" si="226"/>
        <v>-0.5579578366182768</v>
      </c>
      <c r="BQ244" s="67">
        <f t="shared" si="255"/>
        <v>7</v>
      </c>
      <c r="BR244" s="5">
        <v>-2.161919328641583</v>
      </c>
      <c r="BS244" s="75">
        <f t="shared" si="256"/>
        <v>-0.61823724887851594</v>
      </c>
      <c r="BT244" s="75">
        <f t="shared" si="257"/>
        <v>-1</v>
      </c>
      <c r="BU244" s="5" t="str">
        <f t="shared" ref="BU244:BU255" si="267">IF(G253&gt;=36, IF(AND(NOT(ISBLANK(CM:CM)), NOT(ISBLANK(BD:BD))), (CM:CM-BD:BD)/2, ""), "UF")</f>
        <v/>
      </c>
      <c r="BV244" s="5">
        <f t="shared" si="227"/>
        <v>-2.161919328641583</v>
      </c>
      <c r="BW244" s="69">
        <f t="shared" si="228"/>
        <v>2</v>
      </c>
      <c r="BX244" s="2">
        <v>97.5</v>
      </c>
      <c r="BY244" s="5">
        <v>0.56731800959025436</v>
      </c>
      <c r="BZ244" s="74">
        <f t="shared" si="258"/>
        <v>1.125275846208531</v>
      </c>
      <c r="CA244" s="74">
        <f t="shared" si="259"/>
        <v>2</v>
      </c>
      <c r="CB244" s="5" t="str">
        <f t="shared" si="229"/>
        <v/>
      </c>
      <c r="CC244" s="5">
        <f t="shared" si="230"/>
        <v>0.56731800959025436</v>
      </c>
      <c r="CD244" s="2">
        <f t="shared" si="231"/>
        <v>-0.32722386069789289</v>
      </c>
      <c r="CE244" s="69">
        <f t="shared" si="232"/>
        <v>7</v>
      </c>
      <c r="CF244" s="5">
        <v>13200</v>
      </c>
      <c r="CG244" s="5">
        <v>-0.80088780491436895</v>
      </c>
      <c r="CH244" s="72">
        <f t="shared" si="260"/>
        <v>-0.24292996829609215</v>
      </c>
      <c r="CI244" s="72">
        <f t="shared" si="261"/>
        <v>-1</v>
      </c>
      <c r="CJ244" s="5" t="str">
        <f t="shared" si="233"/>
        <v/>
      </c>
      <c r="CK244" s="5">
        <f t="shared" si="234"/>
        <v>-0.80088780491436895</v>
      </c>
      <c r="CL244" s="69">
        <f t="shared" si="235"/>
        <v>7</v>
      </c>
      <c r="CN244" s="70" t="str">
        <f t="shared" si="236"/>
        <v/>
      </c>
      <c r="CO244" s="5" t="str">
        <f t="shared" si="237"/>
        <v>UF</v>
      </c>
      <c r="CP244" s="5" t="str">
        <f>IF(G244&lt;48,"UF", IF(NOT(ISBLANK(CM:CM)), CM:CM, IF(BW:BW=1, BV:BV+Sheet2!B480, IF(Sheet1!BW:BW=2, Sheet1!BV:BV+Sheet2!B481, IF(Sheet1!BW:BW=7, Sheet1!BV:BV+Sheet2!B482,"")))))</f>
        <v>UF</v>
      </c>
      <c r="CQ244" s="69" t="str">
        <f t="shared" si="262"/>
        <v/>
      </c>
      <c r="CR244" s="5" t="s">
        <v>12</v>
      </c>
      <c r="CT244" s="5" t="str">
        <f t="shared" si="238"/>
        <v/>
      </c>
      <c r="CU244" s="80" t="str">
        <f t="shared" si="239"/>
        <v>UF</v>
      </c>
      <c r="CV244" s="80" t="str">
        <f t="shared" si="240"/>
        <v>UF</v>
      </c>
      <c r="CW244" s="20" t="str">
        <f>IF(G244&lt;48,"UF", IF(NOT(ISBLANK(CS244)), CS244, IF(CE244=5, CC244+Sheet2!B469, IF(CE244=6, CC244+Sheet2!B470, IF(CE244=7, CC244+Sheet2!B471,"")))))</f>
        <v>UF</v>
      </c>
      <c r="CX244" s="68" t="str">
        <f t="shared" si="263"/>
        <v/>
      </c>
      <c r="CY244" s="5" t="s">
        <v>12</v>
      </c>
      <c r="DA244" s="5" t="str">
        <f t="shared" si="241"/>
        <v>UF</v>
      </c>
      <c r="DB244" s="73" t="str">
        <f t="shared" si="242"/>
        <v>UF</v>
      </c>
      <c r="DC244" s="73" t="str">
        <f t="shared" si="243"/>
        <v>UF</v>
      </c>
      <c r="DD244" s="5" t="str">
        <f>IF(G244&lt;48,"UF", IF(NOT(ISBLANK(CZ:CZ)), CZ:CZ, IF(CL:CL=3, CK:CK+Sheet2!B474, IF(CL:CL=4, CK:CK+Sheet2!B475, IF(CL:CL=7, CK:CK+Sheet2!B476,"")))))</f>
        <v>UF</v>
      </c>
      <c r="DE244" s="69" t="str">
        <f t="shared" si="266"/>
        <v/>
      </c>
      <c r="DF244" s="2">
        <v>1</v>
      </c>
      <c r="DG244" s="2">
        <v>24</v>
      </c>
      <c r="DH244" s="2">
        <v>2</v>
      </c>
      <c r="DI244" s="2">
        <v>2</v>
      </c>
      <c r="DJ244" s="2">
        <v>2</v>
      </c>
      <c r="DK244" s="2">
        <v>116</v>
      </c>
      <c r="DL244" s="2">
        <v>59</v>
      </c>
      <c r="DM244" s="2">
        <v>111</v>
      </c>
      <c r="DN244" s="2">
        <v>62</v>
      </c>
      <c r="DO244" s="2">
        <v>110</v>
      </c>
      <c r="DP244" s="2">
        <v>57</v>
      </c>
      <c r="DQ244" s="2">
        <v>2</v>
      </c>
      <c r="DR244" s="2">
        <v>39</v>
      </c>
      <c r="DS244" s="2">
        <v>2</v>
      </c>
      <c r="DT244" s="2">
        <v>77</v>
      </c>
      <c r="DU244" s="2">
        <v>79</v>
      </c>
      <c r="DV244" s="2">
        <v>2</v>
      </c>
      <c r="DW244" s="2">
        <v>2</v>
      </c>
      <c r="DX244" s="2">
        <v>2</v>
      </c>
      <c r="DY244" s="2">
        <v>2</v>
      </c>
      <c r="DZ244" s="2">
        <v>35</v>
      </c>
      <c r="EA244" s="2" t="s">
        <v>12</v>
      </c>
      <c r="EB244" s="2">
        <v>45.8</v>
      </c>
      <c r="EC244" s="2" t="s">
        <v>12</v>
      </c>
      <c r="ED244" s="2">
        <v>1</v>
      </c>
    </row>
    <row r="245" spans="3:134" x14ac:dyDescent="0.25">
      <c r="C245" s="8" t="s">
        <v>274</v>
      </c>
      <c r="D245" s="8">
        <v>2501035356</v>
      </c>
      <c r="E245" s="5">
        <v>7</v>
      </c>
      <c r="F245" s="2">
        <v>2</v>
      </c>
      <c r="G245" s="2">
        <v>38</v>
      </c>
      <c r="H245" s="2">
        <v>-7.3119226061244172E-2</v>
      </c>
      <c r="I245" s="2">
        <v>52</v>
      </c>
      <c r="J245" s="2">
        <v>1.117633928075521</v>
      </c>
      <c r="K245" s="2">
        <v>3600</v>
      </c>
      <c r="L245" s="2">
        <v>0.50669087134292667</v>
      </c>
      <c r="M245" s="2">
        <v>1.2769999999999999</v>
      </c>
      <c r="N245" s="2">
        <f t="shared" si="203"/>
        <v>-0.11194038696937791</v>
      </c>
      <c r="O245" s="2">
        <f t="shared" si="204"/>
        <v>1.2769999999999999</v>
      </c>
      <c r="P245" s="2">
        <v>70</v>
      </c>
      <c r="Q245" s="2">
        <v>1.1000000000000001</v>
      </c>
      <c r="R245" s="5">
        <f t="shared" si="205"/>
        <v>0.33618303596223953</v>
      </c>
      <c r="S245" s="5">
        <f t="shared" si="206"/>
        <v>1.1000000000000001</v>
      </c>
      <c r="T245" s="2">
        <v>9450</v>
      </c>
      <c r="U245" s="2">
        <v>1.61</v>
      </c>
      <c r="V245" s="2">
        <f t="shared" si="207"/>
        <v>0.13665456432853668</v>
      </c>
      <c r="W245" s="2">
        <f t="shared" si="208"/>
        <v>1.61</v>
      </c>
      <c r="X245" s="2">
        <v>-0.29699999999999999</v>
      </c>
      <c r="Y245" s="76">
        <f t="shared" si="244"/>
        <v>-0.22388077393875583</v>
      </c>
      <c r="Z245" s="76">
        <f t="shared" si="245"/>
        <v>-1</v>
      </c>
      <c r="AA245" s="2">
        <f t="shared" si="209"/>
        <v>-0.68464999999999998</v>
      </c>
      <c r="AB245" s="2">
        <f t="shared" si="210"/>
        <v>-0.29699999999999999</v>
      </c>
      <c r="AC245" s="2">
        <v>80</v>
      </c>
      <c r="AD245" s="2">
        <v>1.79</v>
      </c>
      <c r="AE245" s="79">
        <f t="shared" si="246"/>
        <v>0.67236607192447906</v>
      </c>
      <c r="AF245" s="79">
        <f t="shared" si="247"/>
        <v>2</v>
      </c>
      <c r="AG245" s="2">
        <f t="shared" si="265"/>
        <v>-0.23000000000000004</v>
      </c>
      <c r="AH245" s="2">
        <f t="shared" si="211"/>
        <v>1.79</v>
      </c>
      <c r="AI245" s="2">
        <v>10500</v>
      </c>
      <c r="AJ245" s="2">
        <v>0.78</v>
      </c>
      <c r="AK245" s="76">
        <f t="shared" si="248"/>
        <v>0.27330912865707335</v>
      </c>
      <c r="AL245" s="76">
        <f t="shared" si="249"/>
        <v>1</v>
      </c>
      <c r="AM245" s="2">
        <f t="shared" si="212"/>
        <v>-0.72000000000000008</v>
      </c>
      <c r="AN245" s="2">
        <f t="shared" si="213"/>
        <v>0.78</v>
      </c>
      <c r="AO245" s="2">
        <v>-0.26929999999999998</v>
      </c>
      <c r="AP245" s="2">
        <f t="shared" si="214"/>
        <v>-4.7019395706419997E-2</v>
      </c>
      <c r="AQ245" s="2">
        <f t="shared" si="215"/>
        <v>-0.26929999999999998</v>
      </c>
      <c r="AR245" s="2">
        <v>84</v>
      </c>
      <c r="AS245" s="2">
        <v>0.64</v>
      </c>
      <c r="AT245" s="2">
        <f t="shared" si="216"/>
        <v>-0.87527953900144029</v>
      </c>
      <c r="AU245" s="2">
        <f t="shared" si="217"/>
        <v>0.64</v>
      </c>
      <c r="AV245" s="2">
        <v>11150</v>
      </c>
      <c r="AW245" s="2">
        <v>0.17</v>
      </c>
      <c r="AX245" s="2">
        <f t="shared" si="218"/>
        <v>-0.61088336428597079</v>
      </c>
      <c r="AY245" s="2">
        <f t="shared" si="219"/>
        <v>0.17</v>
      </c>
      <c r="AZ245" s="2">
        <v>-0.39103879141283998</v>
      </c>
      <c r="BA245" s="78">
        <f t="shared" si="250"/>
        <v>-9.4038791412839995E-2</v>
      </c>
      <c r="BB245" s="78">
        <f t="shared" si="251"/>
        <v>-1</v>
      </c>
      <c r="BC245" s="2">
        <f t="shared" si="220"/>
        <v>0.24900090668834299</v>
      </c>
      <c r="BD245" s="2">
        <f t="shared" si="221"/>
        <v>-0.39103879141283998</v>
      </c>
      <c r="BE245" s="67">
        <f t="shared" si="252"/>
        <v>7</v>
      </c>
      <c r="BF245" s="2">
        <v>87</v>
      </c>
      <c r="BG245" s="2">
        <v>3.9440921997119571E-2</v>
      </c>
      <c r="BH245" s="2">
        <f t="shared" si="222"/>
        <v>-6.6169812740271214E-2</v>
      </c>
      <c r="BI245" s="2">
        <f t="shared" si="223"/>
        <v>3.9440921997119571E-2</v>
      </c>
      <c r="BJ245" s="67">
        <f t="shared" si="224"/>
        <v>7</v>
      </c>
      <c r="BK245" s="2">
        <v>12150</v>
      </c>
      <c r="BL245" s="2">
        <v>-0.4417667285719416</v>
      </c>
      <c r="BM245" s="77">
        <f t="shared" si="253"/>
        <v>-1.2217667285719416</v>
      </c>
      <c r="BN245" s="77">
        <f t="shared" si="254"/>
        <v>-2</v>
      </c>
      <c r="BO245" s="2">
        <f t="shared" si="225"/>
        <v>0.1754724230391369</v>
      </c>
      <c r="BP245" s="2">
        <f t="shared" si="226"/>
        <v>-0.4417667285719416</v>
      </c>
      <c r="BQ245" s="67">
        <f t="shared" si="255"/>
        <v>7</v>
      </c>
      <c r="BR245" s="5">
        <v>0.47770272006502901</v>
      </c>
      <c r="BS245" s="75">
        <f t="shared" si="256"/>
        <v>0.86874151147786893</v>
      </c>
      <c r="BT245" s="75">
        <f t="shared" si="257"/>
        <v>2</v>
      </c>
      <c r="BU245" s="5" t="str">
        <f t="shared" si="267"/>
        <v/>
      </c>
      <c r="BV245" s="5">
        <f t="shared" si="227"/>
        <v>0.47770272006502901</v>
      </c>
      <c r="BW245" s="69">
        <f t="shared" si="228"/>
        <v>7</v>
      </c>
      <c r="BX245" s="2">
        <v>97</v>
      </c>
      <c r="BY245" s="5">
        <v>0.44149056177918639</v>
      </c>
      <c r="BZ245" s="74">
        <f t="shared" si="258"/>
        <v>0.88325729035112799</v>
      </c>
      <c r="CA245" s="74">
        <f t="shared" si="259"/>
        <v>2</v>
      </c>
      <c r="CB245" s="5" t="str">
        <f t="shared" si="229"/>
        <v/>
      </c>
      <c r="CC245" s="5">
        <f t="shared" si="230"/>
        <v>0.44149056177918639</v>
      </c>
      <c r="CD245" s="2">
        <f t="shared" si="231"/>
        <v>0.40204963978206681</v>
      </c>
      <c r="CE245" s="69">
        <f t="shared" si="232"/>
        <v>7</v>
      </c>
      <c r="CF245" s="5">
        <v>15600</v>
      </c>
      <c r="CG245" s="5">
        <v>0.69641726911741075</v>
      </c>
      <c r="CH245" s="72">
        <f t="shared" si="260"/>
        <v>1.1381839976893524</v>
      </c>
      <c r="CI245" s="72">
        <f t="shared" si="261"/>
        <v>2</v>
      </c>
      <c r="CJ245" s="5" t="str">
        <f t="shared" si="233"/>
        <v/>
      </c>
      <c r="CK245" s="5">
        <f t="shared" si="234"/>
        <v>0.69641726911741075</v>
      </c>
      <c r="CL245" s="69">
        <f t="shared" si="235"/>
        <v>7</v>
      </c>
      <c r="CN245" s="70" t="str">
        <f t="shared" si="236"/>
        <v/>
      </c>
      <c r="CO245" s="5" t="str">
        <f t="shared" si="237"/>
        <v>UF</v>
      </c>
      <c r="CP245" s="5" t="str">
        <f>IF(G245&lt;48,"UF", IF(NOT(ISBLANK(CM:CM)), CM:CM, IF(BW:BW=1, BV:BV+Sheet2!B479, IF(Sheet1!BW:BW=2, Sheet1!BV:BV+Sheet2!B480, IF(Sheet1!BW:BW=7, Sheet1!BV:BV+Sheet2!B481,"")))))</f>
        <v>UF</v>
      </c>
      <c r="CQ245" s="69" t="str">
        <f t="shared" si="262"/>
        <v/>
      </c>
      <c r="CR245" s="5" t="s">
        <v>12</v>
      </c>
      <c r="CT245" s="5" t="str">
        <f t="shared" si="238"/>
        <v/>
      </c>
      <c r="CU245" s="80" t="str">
        <f t="shared" si="239"/>
        <v>UF</v>
      </c>
      <c r="CV245" s="80" t="str">
        <f t="shared" si="240"/>
        <v>UF</v>
      </c>
      <c r="CW245" s="20" t="str">
        <f>IF(G245&lt;48,"UF", IF(NOT(ISBLANK(CS245)), CS245, IF(CE245=5, CC245+Sheet2!B468, IF(CE245=6, CC245+Sheet2!B469, IF(CE245=7, CC245+Sheet2!B470,"")))))</f>
        <v>UF</v>
      </c>
      <c r="CX245" s="68" t="str">
        <f t="shared" si="263"/>
        <v/>
      </c>
      <c r="CY245" s="5" t="s">
        <v>12</v>
      </c>
      <c r="DA245" s="5" t="str">
        <f t="shared" si="241"/>
        <v>UF</v>
      </c>
      <c r="DB245" s="73" t="str">
        <f t="shared" si="242"/>
        <v>UF</v>
      </c>
      <c r="DC245" s="73" t="str">
        <f t="shared" si="243"/>
        <v>UF</v>
      </c>
      <c r="DD245" s="5" t="str">
        <f>IF(G245&lt;48,"UF", IF(NOT(ISBLANK(CZ:CZ)), CZ:CZ, IF(CL:CL=3, CK:CK+Sheet2!B473, IF(CL:CL=4, CK:CK+Sheet2!B474, IF(CL:CL=7, CK:CK+Sheet2!B475,"")))))</f>
        <v>UF</v>
      </c>
      <c r="DE245" s="69" t="str">
        <f t="shared" si="266"/>
        <v/>
      </c>
      <c r="DF245" s="2">
        <v>1</v>
      </c>
      <c r="DG245" s="2">
        <v>25</v>
      </c>
      <c r="DH245" s="2">
        <v>2</v>
      </c>
      <c r="DI245" s="2">
        <v>2</v>
      </c>
      <c r="DJ245" s="2">
        <v>3</v>
      </c>
      <c r="DK245" s="2" t="s">
        <v>12</v>
      </c>
      <c r="DL245" s="2" t="s">
        <v>12</v>
      </c>
      <c r="DM245" s="2" t="s">
        <v>12</v>
      </c>
      <c r="DN245" s="2" t="s">
        <v>12</v>
      </c>
      <c r="DO245" s="2" t="s">
        <v>12</v>
      </c>
      <c r="DP245" s="2" t="s">
        <v>12</v>
      </c>
      <c r="DQ245" s="2">
        <v>2</v>
      </c>
      <c r="DR245" s="2">
        <v>39</v>
      </c>
      <c r="DS245" s="2">
        <v>2</v>
      </c>
      <c r="DT245" s="2" t="s">
        <v>12</v>
      </c>
      <c r="DU245" s="2" t="s">
        <v>12</v>
      </c>
      <c r="DV245" s="2">
        <v>2</v>
      </c>
      <c r="DW245" s="2">
        <v>2</v>
      </c>
      <c r="DX245" s="2">
        <v>2</v>
      </c>
      <c r="DY245" s="2">
        <v>2</v>
      </c>
      <c r="DZ245" s="2">
        <v>35</v>
      </c>
      <c r="EA245" s="2">
        <v>37</v>
      </c>
      <c r="EB245" s="2">
        <v>47.5</v>
      </c>
      <c r="EC245" s="2">
        <v>1</v>
      </c>
      <c r="ED245" s="2">
        <v>1</v>
      </c>
    </row>
    <row r="246" spans="3:134" x14ac:dyDescent="0.25">
      <c r="C246" s="5" t="s">
        <v>161</v>
      </c>
      <c r="D246" s="2">
        <v>2501035471</v>
      </c>
      <c r="E246" s="5">
        <v>6</v>
      </c>
      <c r="F246" s="2">
        <v>2</v>
      </c>
      <c r="G246" s="2">
        <v>37</v>
      </c>
      <c r="H246" s="2">
        <v>-0.22702231809997039</v>
      </c>
      <c r="I246" s="2">
        <v>50</v>
      </c>
      <c r="J246" s="2">
        <v>6.1168777667580831E-2</v>
      </c>
      <c r="K246" s="5">
        <v>3280</v>
      </c>
      <c r="L246" s="2">
        <v>-0.13677480954860369</v>
      </c>
      <c r="M246" s="2">
        <v>-1.2865</v>
      </c>
      <c r="N246" s="2">
        <f t="shared" si="203"/>
        <v>-0.23953884095001476</v>
      </c>
      <c r="O246" s="2">
        <f t="shared" si="204"/>
        <v>-1.2865</v>
      </c>
      <c r="P246" s="2">
        <v>62.5</v>
      </c>
      <c r="Q246" s="2">
        <v>-2.4</v>
      </c>
      <c r="R246" s="5">
        <f t="shared" si="205"/>
        <v>-0.71058438883379049</v>
      </c>
      <c r="S246" s="5">
        <f t="shared" si="206"/>
        <v>-2.4</v>
      </c>
      <c r="T246" s="1">
        <v>6100</v>
      </c>
      <c r="U246" s="2">
        <v>-2.37</v>
      </c>
      <c r="V246" s="2">
        <f t="shared" si="207"/>
        <v>-0.5866125952256982</v>
      </c>
      <c r="W246" s="2">
        <f t="shared" si="208"/>
        <v>-2.37</v>
      </c>
      <c r="X246" s="2">
        <v>-0.70609999999999995</v>
      </c>
      <c r="Y246" s="76">
        <f t="shared" si="244"/>
        <v>-0.47907768190002953</v>
      </c>
      <c r="Z246" s="76">
        <f t="shared" si="245"/>
        <v>-1</v>
      </c>
      <c r="AA246" s="2">
        <f t="shared" si="209"/>
        <v>1.15415</v>
      </c>
      <c r="AB246" s="2">
        <f t="shared" si="210"/>
        <v>-0.70609999999999995</v>
      </c>
      <c r="AC246" s="2">
        <v>72.5</v>
      </c>
      <c r="AD246" s="2">
        <v>-1.36</v>
      </c>
      <c r="AE246" s="79">
        <f t="shared" si="246"/>
        <v>-1.421168777667581</v>
      </c>
      <c r="AF246" s="79">
        <f t="shared" si="247"/>
        <v>-2</v>
      </c>
      <c r="AG246" s="2">
        <f t="shared" si="265"/>
        <v>0.22499999999999998</v>
      </c>
      <c r="AH246" s="2">
        <f t="shared" si="211"/>
        <v>-1.36</v>
      </c>
      <c r="AI246" s="2">
        <v>8350</v>
      </c>
      <c r="AJ246" s="2">
        <v>-1.31</v>
      </c>
      <c r="AK246" s="76">
        <f t="shared" si="248"/>
        <v>-1.1732251904513964</v>
      </c>
      <c r="AL246" s="76">
        <f t="shared" si="249"/>
        <v>-2</v>
      </c>
      <c r="AM246" s="2">
        <f t="shared" si="212"/>
        <v>0.55000000000000004</v>
      </c>
      <c r="AN246" s="2">
        <f t="shared" si="213"/>
        <v>-1.31</v>
      </c>
      <c r="AO246" s="2">
        <v>-9.1700000000000004E-2</v>
      </c>
      <c r="AP246" s="2">
        <f t="shared" si="214"/>
        <v>-0.31136877419125253</v>
      </c>
      <c r="AQ246" s="2">
        <f t="shared" si="215"/>
        <v>-9.1700000000000004E-2</v>
      </c>
      <c r="AR246" s="2">
        <v>77</v>
      </c>
      <c r="AS246" s="2">
        <v>-1.95</v>
      </c>
      <c r="AT246" s="2">
        <f t="shared" si="216"/>
        <v>0.12981912602383405</v>
      </c>
      <c r="AU246" s="2">
        <f t="shared" si="217"/>
        <v>-1.95</v>
      </c>
      <c r="AV246" s="2">
        <v>9500</v>
      </c>
      <c r="AW246" s="2">
        <v>-1.27</v>
      </c>
      <c r="AX246" s="2">
        <f t="shared" si="218"/>
        <v>-0.32788875185551092</v>
      </c>
      <c r="AY246" s="2">
        <f t="shared" si="219"/>
        <v>-1.27</v>
      </c>
      <c r="AZ246" s="2">
        <v>-1.328837548382505</v>
      </c>
      <c r="BA246" s="78">
        <f t="shared" si="250"/>
        <v>-0.62273754838250506</v>
      </c>
      <c r="BB246" s="78">
        <f t="shared" si="251"/>
        <v>-1</v>
      </c>
      <c r="BC246" s="2">
        <f t="shared" si="220"/>
        <v>-0.81662613697710162</v>
      </c>
      <c r="BD246" s="2">
        <f t="shared" si="221"/>
        <v>-1.328837548382505</v>
      </c>
      <c r="BE246" s="67">
        <f t="shared" si="252"/>
        <v>7</v>
      </c>
      <c r="BF246" s="2">
        <v>83</v>
      </c>
      <c r="BG246" s="2">
        <v>-1.100361747952332</v>
      </c>
      <c r="BH246" s="2">
        <f t="shared" si="222"/>
        <v>0.53903719564406494</v>
      </c>
      <c r="BI246" s="2">
        <f t="shared" si="223"/>
        <v>-1.100361747952332</v>
      </c>
      <c r="BJ246" s="67">
        <f t="shared" si="224"/>
        <v>7</v>
      </c>
      <c r="BK246" s="2">
        <v>10350</v>
      </c>
      <c r="BL246" s="2">
        <v>-1.9657775037110219</v>
      </c>
      <c r="BM246" s="77">
        <f t="shared" si="253"/>
        <v>-0.65577750371102184</v>
      </c>
      <c r="BN246" s="77">
        <f t="shared" si="254"/>
        <v>-1</v>
      </c>
      <c r="BO246" s="2">
        <f t="shared" si="225"/>
        <v>-0.15247199858070695</v>
      </c>
      <c r="BP246" s="2">
        <f t="shared" si="226"/>
        <v>-1.9657775037110219</v>
      </c>
      <c r="BQ246" s="67">
        <f t="shared" si="255"/>
        <v>7</v>
      </c>
      <c r="BR246" s="5">
        <v>-2.5415784109313049</v>
      </c>
      <c r="BS246" s="75">
        <f t="shared" si="256"/>
        <v>-1.2127408625487999</v>
      </c>
      <c r="BT246" s="75">
        <f t="shared" si="257"/>
        <v>-2</v>
      </c>
      <c r="BU246" s="5" t="str">
        <f t="shared" si="267"/>
        <v/>
      </c>
      <c r="BV246" s="5">
        <f t="shared" si="227"/>
        <v>-2.5415784109313049</v>
      </c>
      <c r="BW246" s="69">
        <f t="shared" si="228"/>
        <v>2</v>
      </c>
      <c r="BX246" s="2">
        <v>94</v>
      </c>
      <c r="BY246" s="5">
        <v>-0.33288841306780509</v>
      </c>
      <c r="BZ246" s="74">
        <f t="shared" si="258"/>
        <v>1.6328890906432167</v>
      </c>
      <c r="CA246" s="74">
        <f t="shared" si="259"/>
        <v>2</v>
      </c>
      <c r="CB246" s="5" t="str">
        <f t="shared" si="229"/>
        <v/>
      </c>
      <c r="CC246" s="5">
        <f t="shared" si="230"/>
        <v>-0.33288841306780509</v>
      </c>
      <c r="CD246" s="2">
        <f t="shared" si="231"/>
        <v>0.76747333488452685</v>
      </c>
      <c r="CE246" s="69">
        <f t="shared" si="232"/>
        <v>7</v>
      </c>
      <c r="CF246" s="5">
        <v>12000</v>
      </c>
      <c r="CG246" s="5">
        <v>-1.7274159957421209</v>
      </c>
      <c r="CH246" s="72">
        <f t="shared" si="260"/>
        <v>0.23836150796890099</v>
      </c>
      <c r="CI246" s="72">
        <f t="shared" si="261"/>
        <v>1</v>
      </c>
      <c r="CJ246" s="5" t="str">
        <f t="shared" si="233"/>
        <v/>
      </c>
      <c r="CK246" s="5">
        <f t="shared" si="234"/>
        <v>-1.7274159957421209</v>
      </c>
      <c r="CL246" s="69">
        <f t="shared" si="235"/>
        <v>7</v>
      </c>
      <c r="CN246" s="70" t="str">
        <f t="shared" si="236"/>
        <v/>
      </c>
      <c r="CO246" s="5" t="str">
        <f t="shared" si="237"/>
        <v>UF</v>
      </c>
      <c r="CP246" s="5" t="str">
        <f>IF(G246&lt;48,"UF", IF(NOT(ISBLANK(CM:CM)), CM:CM, IF(BW:BW=1, BV:BV+Sheet2!B309, IF(Sheet1!BW:BW=2, Sheet1!BV:BV+Sheet2!B310, IF(Sheet1!BW:BW=7, Sheet1!BV:BV+Sheet2!B311,"")))))</f>
        <v>UF</v>
      </c>
      <c r="CQ246" s="69" t="str">
        <f t="shared" si="262"/>
        <v/>
      </c>
      <c r="CR246" s="5" t="s">
        <v>12</v>
      </c>
      <c r="CT246" s="5" t="str">
        <f t="shared" si="238"/>
        <v/>
      </c>
      <c r="CU246" s="80" t="str">
        <f t="shared" si="239"/>
        <v>UF</v>
      </c>
      <c r="CV246" s="80" t="str">
        <f t="shared" si="240"/>
        <v>UF</v>
      </c>
      <c r="CW246" s="20" t="str">
        <f>IF(G246&lt;48,"UF", IF(NOT(ISBLANK(CS246)), CS246, IF(CE246=5, CC246+Sheet2!B298, IF(CE246=6, CC246+Sheet2!B299, IF(CE246=7, CC246+Sheet2!B300,"")))))</f>
        <v>UF</v>
      </c>
      <c r="CX246" s="68" t="str">
        <f t="shared" si="263"/>
        <v/>
      </c>
      <c r="CY246" s="5" t="s">
        <v>12</v>
      </c>
      <c r="DA246" s="5" t="str">
        <f t="shared" si="241"/>
        <v>UF</v>
      </c>
      <c r="DB246" s="73" t="str">
        <f t="shared" si="242"/>
        <v>UF</v>
      </c>
      <c r="DC246" s="73" t="str">
        <f t="shared" si="243"/>
        <v>UF</v>
      </c>
      <c r="DD246" s="5" t="str">
        <f>IF(G246&lt;48,"UF", IF(NOT(ISBLANK(CZ:CZ)), CZ:CZ, IF(CL:CL=3, CK:CK+Sheet2!B303, IF(CL:CL=4, CK:CK+Sheet2!B304, IF(CL:CL=7, CK:CK+Sheet2!B305,"")))))</f>
        <v>UF</v>
      </c>
      <c r="DE246" s="69" t="str">
        <f t="shared" si="266"/>
        <v/>
      </c>
      <c r="DF246" s="2">
        <v>1</v>
      </c>
      <c r="DG246" s="2">
        <v>35</v>
      </c>
      <c r="DH246" s="2">
        <v>2</v>
      </c>
      <c r="DI246" s="2">
        <v>2</v>
      </c>
      <c r="DJ246" s="2">
        <v>2</v>
      </c>
      <c r="DK246" s="2">
        <v>100</v>
      </c>
      <c r="DL246" s="2">
        <v>60</v>
      </c>
      <c r="DM246" s="2">
        <v>110</v>
      </c>
      <c r="DN246" s="2">
        <v>60</v>
      </c>
      <c r="DO246" s="2">
        <v>125</v>
      </c>
      <c r="DP246" s="2">
        <v>70</v>
      </c>
      <c r="DQ246" s="2">
        <v>2</v>
      </c>
      <c r="DR246" s="2">
        <v>39</v>
      </c>
      <c r="DS246" s="2">
        <v>2</v>
      </c>
      <c r="DT246" s="2">
        <v>80</v>
      </c>
      <c r="DU246" s="2">
        <v>75</v>
      </c>
      <c r="DV246" s="2">
        <v>2</v>
      </c>
      <c r="DW246" s="2">
        <v>2</v>
      </c>
      <c r="DX246" s="2">
        <v>2</v>
      </c>
      <c r="DY246" s="2">
        <v>3</v>
      </c>
      <c r="DZ246" s="2">
        <v>35</v>
      </c>
      <c r="EA246" s="2">
        <v>36.5</v>
      </c>
      <c r="EB246" s="2">
        <v>45.3</v>
      </c>
      <c r="EC246" s="2">
        <v>1</v>
      </c>
      <c r="ED246" s="2">
        <v>1</v>
      </c>
    </row>
    <row r="247" spans="3:134" x14ac:dyDescent="0.25">
      <c r="C247" s="8" t="s">
        <v>236</v>
      </c>
      <c r="D247" s="53">
        <v>2501035550</v>
      </c>
      <c r="E247" s="5">
        <v>7</v>
      </c>
      <c r="F247" s="2">
        <v>2</v>
      </c>
      <c r="G247" s="2">
        <v>37</v>
      </c>
      <c r="H247" s="2">
        <v>-1.1795019105887261</v>
      </c>
      <c r="I247" s="2">
        <v>50</v>
      </c>
      <c r="J247" s="2">
        <v>6.1168777667580831E-2</v>
      </c>
      <c r="K247" s="2">
        <v>3000</v>
      </c>
      <c r="L247" s="2">
        <v>-0.73426392472567259</v>
      </c>
      <c r="M247" s="2">
        <v>-1.6648000000000001</v>
      </c>
      <c r="N247" s="2">
        <f t="shared" si="203"/>
        <v>0.33705095529436307</v>
      </c>
      <c r="O247" s="2">
        <f t="shared" si="204"/>
        <v>-1.6648000000000001</v>
      </c>
      <c r="P247" s="2">
        <v>65</v>
      </c>
      <c r="Q247" s="2">
        <v>-1.23</v>
      </c>
      <c r="R247" s="5">
        <f t="shared" si="205"/>
        <v>-0.6055843888337904</v>
      </c>
      <c r="S247" s="5">
        <f t="shared" si="206"/>
        <v>-1.23</v>
      </c>
      <c r="T247" s="2">
        <v>6400</v>
      </c>
      <c r="U247" s="2">
        <v>-1.94</v>
      </c>
      <c r="V247" s="2">
        <f t="shared" si="207"/>
        <v>-0.15786803763716373</v>
      </c>
      <c r="W247" s="2">
        <f t="shared" si="208"/>
        <v>-1.94</v>
      </c>
      <c r="X247" s="2">
        <v>-0.50539999999999996</v>
      </c>
      <c r="Y247" s="76">
        <f t="shared" si="244"/>
        <v>0.67410191058872615</v>
      </c>
      <c r="Z247" s="76">
        <f t="shared" si="245"/>
        <v>2</v>
      </c>
      <c r="AA247" s="2">
        <f t="shared" si="209"/>
        <v>0.73360000000000003</v>
      </c>
      <c r="AB247" s="2">
        <f t="shared" si="210"/>
        <v>-0.50539999999999996</v>
      </c>
      <c r="AC247" s="2">
        <v>73</v>
      </c>
      <c r="AD247" s="2">
        <v>-1.1499999999999999</v>
      </c>
      <c r="AE247" s="79">
        <f t="shared" si="246"/>
        <v>-1.2111687776675808</v>
      </c>
      <c r="AF247" s="79">
        <f t="shared" si="247"/>
        <v>-2</v>
      </c>
      <c r="AG247" s="2">
        <f t="shared" si="265"/>
        <v>-0.36</v>
      </c>
      <c r="AH247" s="2">
        <f t="shared" si="211"/>
        <v>-1.1499999999999999</v>
      </c>
      <c r="AI247" s="2">
        <v>8600</v>
      </c>
      <c r="AJ247" s="2">
        <v>-1.05</v>
      </c>
      <c r="AK247" s="76">
        <f t="shared" si="248"/>
        <v>-0.31573607527432745</v>
      </c>
      <c r="AL247" s="76">
        <f t="shared" si="249"/>
        <v>-1</v>
      </c>
      <c r="AM247" s="2">
        <f t="shared" si="212"/>
        <v>0.45499999999999996</v>
      </c>
      <c r="AN247" s="2">
        <f t="shared" si="213"/>
        <v>-1.05</v>
      </c>
      <c r="AO247" s="2">
        <v>0.23719999999999999</v>
      </c>
      <c r="AP247" s="2">
        <f t="shared" si="214"/>
        <v>0.29339449188794364</v>
      </c>
      <c r="AQ247" s="2">
        <f t="shared" si="215"/>
        <v>0.23719999999999999</v>
      </c>
      <c r="AR247" s="2">
        <v>77</v>
      </c>
      <c r="AS247" s="2">
        <v>-1.95</v>
      </c>
      <c r="AT247" s="2">
        <f t="shared" si="216"/>
        <v>-0.11762564068848358</v>
      </c>
      <c r="AU247" s="2">
        <f t="shared" si="217"/>
        <v>-1.95</v>
      </c>
      <c r="AV247" s="2">
        <v>9750</v>
      </c>
      <c r="AW247" s="2">
        <v>-1.03</v>
      </c>
      <c r="AX247" s="2">
        <f t="shared" si="218"/>
        <v>-7.9492319461462957E-2</v>
      </c>
      <c r="AY247" s="2">
        <f t="shared" si="219"/>
        <v>-1.03</v>
      </c>
      <c r="AZ247" s="2">
        <v>8.138898377588738E-2</v>
      </c>
      <c r="BA247" s="78">
        <f t="shared" si="250"/>
        <v>0.58678898377588729</v>
      </c>
      <c r="BB247" s="78">
        <f t="shared" si="251"/>
        <v>1</v>
      </c>
      <c r="BC247" s="2">
        <f t="shared" si="220"/>
        <v>-0.43912492173775702</v>
      </c>
      <c r="BD247" s="2">
        <f t="shared" si="221"/>
        <v>8.138898377588738E-2</v>
      </c>
      <c r="BE247" s="67">
        <f t="shared" si="252"/>
        <v>7</v>
      </c>
      <c r="BF247" s="2">
        <v>82</v>
      </c>
      <c r="BG247" s="2">
        <v>-1.3852512813769671</v>
      </c>
      <c r="BH247" s="2">
        <f t="shared" si="222"/>
        <v>0.26919079990421696</v>
      </c>
      <c r="BI247" s="2">
        <f t="shared" si="223"/>
        <v>-1.3852512813769671</v>
      </c>
      <c r="BJ247" s="67">
        <f t="shared" si="224"/>
        <v>7</v>
      </c>
      <c r="BK247" s="2">
        <v>11200</v>
      </c>
      <c r="BL247" s="2">
        <v>-1.208984638922926</v>
      </c>
      <c r="BM247" s="77">
        <f t="shared" si="253"/>
        <v>-0.15898463892292591</v>
      </c>
      <c r="BN247" s="77">
        <f t="shared" si="254"/>
        <v>-1</v>
      </c>
      <c r="BO247" s="2">
        <f t="shared" si="225"/>
        <v>-0.15069455838970533</v>
      </c>
      <c r="BP247" s="2">
        <f t="shared" si="226"/>
        <v>-1.208984638922926</v>
      </c>
      <c r="BQ247" s="67">
        <f t="shared" si="255"/>
        <v>7</v>
      </c>
      <c r="BR247" s="5">
        <v>-1.0801747652132709</v>
      </c>
      <c r="BS247" s="75">
        <f t="shared" si="256"/>
        <v>-1.1615637489891584</v>
      </c>
      <c r="BT247" s="75">
        <f t="shared" si="257"/>
        <v>-2</v>
      </c>
      <c r="BU247" s="5" t="str">
        <f t="shared" si="267"/>
        <v/>
      </c>
      <c r="BV247" s="5">
        <f t="shared" si="227"/>
        <v>-1.0801747652132709</v>
      </c>
      <c r="BW247" s="69">
        <f t="shared" si="228"/>
        <v>7</v>
      </c>
      <c r="BX247" s="2">
        <v>91</v>
      </c>
      <c r="BY247" s="5">
        <v>-1.142427600287349</v>
      </c>
      <c r="BZ247" s="74">
        <f t="shared" si="258"/>
        <v>6.6557038635576937E-2</v>
      </c>
      <c r="CA247" s="74">
        <f t="shared" si="259"/>
        <v>1</v>
      </c>
      <c r="CB247" s="5" t="str">
        <f t="shared" si="229"/>
        <v/>
      </c>
      <c r="CC247" s="5">
        <f t="shared" si="230"/>
        <v>-1.142427600287349</v>
      </c>
      <c r="CD247" s="2">
        <f t="shared" si="231"/>
        <v>0.24282368108961805</v>
      </c>
      <c r="CE247" s="69">
        <f t="shared" si="232"/>
        <v>7</v>
      </c>
      <c r="CF247" s="5">
        <v>12300</v>
      </c>
      <c r="CG247" s="5">
        <v>-1.482083675169116</v>
      </c>
      <c r="CH247" s="72">
        <f t="shared" si="260"/>
        <v>-0.27309903624619003</v>
      </c>
      <c r="CI247" s="72">
        <f t="shared" si="261"/>
        <v>-1</v>
      </c>
      <c r="CJ247" s="5" t="str">
        <f t="shared" si="233"/>
        <v/>
      </c>
      <c r="CK247" s="5">
        <f t="shared" si="234"/>
        <v>-1.482083675169116</v>
      </c>
      <c r="CL247" s="69">
        <f t="shared" si="235"/>
        <v>7</v>
      </c>
      <c r="CN247" s="70" t="str">
        <f t="shared" si="236"/>
        <v/>
      </c>
      <c r="CO247" s="5" t="str">
        <f t="shared" si="237"/>
        <v>UF</v>
      </c>
      <c r="CP247" s="5" t="str">
        <f>IF(G247&lt;48,"UF", IF(NOT(ISBLANK(CM:CM)), CM:CM, IF(BW:BW=1, BV:BV+Sheet2!B420, IF(Sheet1!BW:BW=2, Sheet1!BV:BV+Sheet2!B421, IF(Sheet1!BW:BW=7, Sheet1!BV:BV+Sheet2!B422,"")))))</f>
        <v>UF</v>
      </c>
      <c r="CQ247" s="69" t="str">
        <f t="shared" si="262"/>
        <v/>
      </c>
      <c r="CR247" s="5" t="s">
        <v>12</v>
      </c>
      <c r="CT247" s="5" t="str">
        <f t="shared" si="238"/>
        <v/>
      </c>
      <c r="CU247" s="80" t="str">
        <f t="shared" si="239"/>
        <v>UF</v>
      </c>
      <c r="CV247" s="80" t="str">
        <f t="shared" si="240"/>
        <v>UF</v>
      </c>
      <c r="CW247" s="20" t="str">
        <f>IF(G247&lt;48,"UF", IF(NOT(ISBLANK(CS247)), CS247, IF(CE247=5, CC247+Sheet2!B409, IF(CE247=6, CC247+Sheet2!B410, IF(CE247=7, CC247+Sheet2!B411,"")))))</f>
        <v>UF</v>
      </c>
      <c r="CX247" s="68" t="str">
        <f t="shared" si="263"/>
        <v/>
      </c>
      <c r="CY247" s="5" t="s">
        <v>12</v>
      </c>
      <c r="DA247" s="5" t="str">
        <f t="shared" si="241"/>
        <v>UF</v>
      </c>
      <c r="DB247" s="73" t="str">
        <f t="shared" si="242"/>
        <v>UF</v>
      </c>
      <c r="DC247" s="73" t="str">
        <f t="shared" si="243"/>
        <v>UF</v>
      </c>
      <c r="DD247" s="5" t="str">
        <f>IF(G247&lt;48,"UF", IF(NOT(ISBLANK(CZ:CZ)), CZ:CZ, IF(CL:CL=3, CK:CK+Sheet2!B414, IF(CL:CL=4, CK:CK+Sheet2!B415, IF(CL:CL=7, CK:CK+Sheet2!B416,"")))))</f>
        <v>UF</v>
      </c>
      <c r="DE247" s="69" t="str">
        <f t="shared" si="266"/>
        <v/>
      </c>
      <c r="DF247" s="2">
        <v>2</v>
      </c>
      <c r="DG247" s="2">
        <v>40</v>
      </c>
      <c r="DH247" s="2">
        <v>2</v>
      </c>
      <c r="DI247" s="2">
        <v>2</v>
      </c>
      <c r="DJ247" s="2">
        <v>2</v>
      </c>
      <c r="DK247" s="2">
        <v>100</v>
      </c>
      <c r="DL247" s="2">
        <v>60</v>
      </c>
      <c r="DM247" s="2">
        <v>110</v>
      </c>
      <c r="DN247" s="2">
        <v>60</v>
      </c>
      <c r="DO247" s="2" t="s">
        <v>12</v>
      </c>
      <c r="DP247" s="2" t="s">
        <v>12</v>
      </c>
      <c r="DQ247" s="2">
        <v>2</v>
      </c>
      <c r="DR247" s="2">
        <v>37</v>
      </c>
      <c r="DS247" s="2">
        <v>1</v>
      </c>
      <c r="DT247" s="2">
        <v>84</v>
      </c>
      <c r="DU247" s="2">
        <v>63</v>
      </c>
      <c r="DV247" s="2">
        <v>2</v>
      </c>
      <c r="DW247" s="2">
        <v>2</v>
      </c>
      <c r="DX247" s="2">
        <v>2</v>
      </c>
      <c r="DY247" s="2">
        <v>3</v>
      </c>
      <c r="DZ247" s="2">
        <v>35</v>
      </c>
      <c r="EA247" s="2">
        <v>36</v>
      </c>
      <c r="EB247" s="2">
        <v>44</v>
      </c>
      <c r="EC247" s="2">
        <v>1</v>
      </c>
      <c r="ED247" s="2">
        <v>1</v>
      </c>
    </row>
    <row r="248" spans="3:134" x14ac:dyDescent="0.25">
      <c r="C248" s="5" t="s">
        <v>150</v>
      </c>
      <c r="D248" s="2">
        <v>2501035585</v>
      </c>
      <c r="E248" s="5">
        <v>6</v>
      </c>
      <c r="F248" s="2">
        <v>1</v>
      </c>
      <c r="G248" s="2">
        <v>41</v>
      </c>
      <c r="H248" s="2">
        <v>-0.87203706367568257</v>
      </c>
      <c r="I248" s="2">
        <v>51</v>
      </c>
      <c r="J248" s="2">
        <v>0.99441714029262385</v>
      </c>
      <c r="K248" s="5">
        <v>3200</v>
      </c>
      <c r="L248" s="2">
        <v>-7.0518060756779827E-2</v>
      </c>
      <c r="N248" s="2">
        <f t="shared" si="203"/>
        <v>0.82701853183784135</v>
      </c>
      <c r="O248" s="2">
        <f t="shared" si="204"/>
        <v>-4.5018531837841214E-2</v>
      </c>
      <c r="P248" s="2" t="s">
        <v>12</v>
      </c>
      <c r="R248" s="5">
        <f t="shared" si="205"/>
        <v>-0.11220857014631191</v>
      </c>
      <c r="S248" s="5">
        <f t="shared" si="206"/>
        <v>0.88220857014631193</v>
      </c>
      <c r="T248" s="1" t="s">
        <v>12</v>
      </c>
      <c r="V248" s="2">
        <f t="shared" si="207"/>
        <v>0.53525903037838996</v>
      </c>
      <c r="W248" s="2">
        <f t="shared" si="208"/>
        <v>0.46474096962161016</v>
      </c>
      <c r="X248" s="2">
        <v>0.78200000000000003</v>
      </c>
      <c r="Y248" s="76">
        <f t="shared" si="244"/>
        <v>1.6540370636756827</v>
      </c>
      <c r="Z248" s="76">
        <f t="shared" si="245"/>
        <v>2</v>
      </c>
      <c r="AA248" s="2">
        <f t="shared" si="209"/>
        <v>-4.604285073155967E-3</v>
      </c>
      <c r="AB248" s="2">
        <f t="shared" si="210"/>
        <v>0.78200000000000003</v>
      </c>
      <c r="AC248" s="2">
        <v>76</v>
      </c>
      <c r="AD248" s="2">
        <v>0.77</v>
      </c>
      <c r="AE248" s="79">
        <f t="shared" si="246"/>
        <v>-0.22441714029262383</v>
      </c>
      <c r="AF248" s="79">
        <f t="shared" si="247"/>
        <v>-1</v>
      </c>
      <c r="AG248" s="2">
        <f t="shared" si="265"/>
        <v>-0.73610428507315595</v>
      </c>
      <c r="AH248" s="2">
        <f t="shared" si="211"/>
        <v>0.77</v>
      </c>
      <c r="AI248" s="2">
        <v>10130</v>
      </c>
      <c r="AJ248" s="2">
        <v>1</v>
      </c>
      <c r="AK248" s="76">
        <f t="shared" si="248"/>
        <v>1.0705180607567799</v>
      </c>
      <c r="AL248" s="76">
        <f t="shared" si="249"/>
        <v>2</v>
      </c>
      <c r="AM248" s="2">
        <f t="shared" si="212"/>
        <v>-8.7370484810805088E-2</v>
      </c>
      <c r="AN248" s="2">
        <f t="shared" si="213"/>
        <v>1</v>
      </c>
      <c r="AO248" s="2">
        <v>0.873</v>
      </c>
      <c r="AP248" s="2" t="str">
        <f t="shared" si="214"/>
        <v/>
      </c>
      <c r="AQ248" s="2">
        <f t="shared" si="215"/>
        <v>0.873</v>
      </c>
      <c r="AR248" s="2">
        <v>79</v>
      </c>
      <c r="AS248" s="2">
        <v>-0.59</v>
      </c>
      <c r="AT248" s="2" t="str">
        <f t="shared" si="216"/>
        <v/>
      </c>
      <c r="AU248" s="2">
        <f t="shared" si="217"/>
        <v>-0.59</v>
      </c>
      <c r="AV248" s="2">
        <v>10600</v>
      </c>
      <c r="AW248" s="2">
        <v>0.28999999999999998</v>
      </c>
      <c r="AX248" s="2" t="str">
        <f t="shared" si="218"/>
        <v/>
      </c>
      <c r="AY248" s="2">
        <f t="shared" si="219"/>
        <v>0.28999999999999998</v>
      </c>
      <c r="BA248" s="78" t="e">
        <f t="shared" si="250"/>
        <v>#VALUE!</v>
      </c>
      <c r="BB248" s="78" t="e">
        <f t="shared" si="251"/>
        <v>#VALUE!</v>
      </c>
      <c r="BC248" s="2" t="str">
        <f t="shared" si="220"/>
        <v/>
      </c>
      <c r="BD248" s="2" t="e">
        <f t="shared" si="221"/>
        <v>#VALUE!</v>
      </c>
      <c r="BE248" s="67" t="e">
        <f t="shared" si="252"/>
        <v>#VALUE!</v>
      </c>
      <c r="BF248" s="2" t="s">
        <v>12</v>
      </c>
      <c r="BH248" s="2" t="str">
        <f t="shared" si="222"/>
        <v/>
      </c>
      <c r="BI248" s="2" t="e">
        <f t="shared" si="223"/>
        <v>#VALUE!</v>
      </c>
      <c r="BJ248" s="67" t="e">
        <f t="shared" si="224"/>
        <v>#VALUE!</v>
      </c>
      <c r="BK248" s="2" t="s">
        <v>12</v>
      </c>
      <c r="BM248" s="77" t="e">
        <f t="shared" si="253"/>
        <v>#VALUE!</v>
      </c>
      <c r="BN248" s="77" t="e">
        <f t="shared" si="254"/>
        <v>#VALUE!</v>
      </c>
      <c r="BO248" s="2" t="str">
        <f t="shared" si="225"/>
        <v/>
      </c>
      <c r="BP248" s="2" t="e">
        <f t="shared" si="226"/>
        <v>#VALUE!</v>
      </c>
      <c r="BQ248" s="67" t="e">
        <f t="shared" si="255"/>
        <v>#VALUE!</v>
      </c>
      <c r="BS248" s="75" t="e">
        <f t="shared" si="256"/>
        <v>#VALUE!</v>
      </c>
      <c r="BT248" s="75" t="e">
        <f t="shared" si="257"/>
        <v>#VALUE!</v>
      </c>
      <c r="BU248" s="5" t="str">
        <f t="shared" si="267"/>
        <v/>
      </c>
      <c r="BV248" s="5" t="e">
        <f t="shared" si="227"/>
        <v>#VALUE!</v>
      </c>
      <c r="BW248" s="69" t="e">
        <f t="shared" si="228"/>
        <v>#VALUE!</v>
      </c>
      <c r="BX248" s="2" t="s">
        <v>12</v>
      </c>
      <c r="BZ248" s="74" t="e">
        <f t="shared" si="258"/>
        <v>#VALUE!</v>
      </c>
      <c r="CA248" s="74" t="e">
        <f t="shared" si="259"/>
        <v>#VALUE!</v>
      </c>
      <c r="CB248" s="5" t="str">
        <f t="shared" si="229"/>
        <v/>
      </c>
      <c r="CC248" s="5" t="e">
        <f t="shared" si="230"/>
        <v>#VALUE!</v>
      </c>
      <c r="CD248" s="2" t="e">
        <f t="shared" si="231"/>
        <v>#VALUE!</v>
      </c>
      <c r="CE248" s="69" t="e">
        <f t="shared" si="232"/>
        <v>#VALUE!</v>
      </c>
      <c r="CF248" s="5" t="s">
        <v>12</v>
      </c>
      <c r="CH248" s="72" t="e">
        <f t="shared" si="260"/>
        <v>#VALUE!</v>
      </c>
      <c r="CI248" s="72" t="e">
        <f t="shared" si="261"/>
        <v>#VALUE!</v>
      </c>
      <c r="CJ248" s="5" t="str">
        <f t="shared" si="233"/>
        <v/>
      </c>
      <c r="CK248" s="5" t="e">
        <f t="shared" si="234"/>
        <v>#VALUE!</v>
      </c>
      <c r="CL248" s="69" t="e">
        <f t="shared" si="235"/>
        <v>#VALUE!</v>
      </c>
      <c r="CN248" s="70" t="str">
        <f t="shared" si="236"/>
        <v/>
      </c>
      <c r="CO248" s="5" t="str">
        <f t="shared" si="237"/>
        <v>UF</v>
      </c>
      <c r="CP248" s="5" t="str">
        <f>IF(G248&lt;48,"UF", IF(NOT(ISBLANK(CM:CM)), CM:CM, IF(BW:BW=1, BV:BV+Sheet2!B254, IF(Sheet1!BW:BW=2, Sheet1!BV:BV+Sheet2!B255, IF(Sheet1!BW:BW=7, Sheet1!BV:BV+Sheet2!B256,"")))))</f>
        <v>UF</v>
      </c>
      <c r="CQ248" s="69" t="str">
        <f t="shared" si="262"/>
        <v/>
      </c>
      <c r="CR248" s="5" t="s">
        <v>12</v>
      </c>
      <c r="CT248" s="5" t="str">
        <f t="shared" si="238"/>
        <v/>
      </c>
      <c r="CU248" s="80" t="str">
        <f t="shared" si="239"/>
        <v>UF</v>
      </c>
      <c r="CV248" s="80" t="str">
        <f t="shared" si="240"/>
        <v>UF</v>
      </c>
      <c r="CW248" s="20" t="str">
        <f>IF(G248&lt;48,"UF", IF(NOT(ISBLANK(CS248)), CS248, IF(CE248=5, CC248+Sheet2!B243, IF(CE248=6, CC248+Sheet2!B244, IF(CE248=7, CC248+Sheet2!B245,"")))))</f>
        <v>UF</v>
      </c>
      <c r="CX248" s="68" t="str">
        <f t="shared" si="263"/>
        <v/>
      </c>
      <c r="CY248" s="5" t="s">
        <v>12</v>
      </c>
      <c r="DA248" s="5" t="str">
        <f t="shared" si="241"/>
        <v>UF</v>
      </c>
      <c r="DB248" s="73" t="str">
        <f t="shared" si="242"/>
        <v>UF</v>
      </c>
      <c r="DC248" s="73" t="str">
        <f t="shared" si="243"/>
        <v>UF</v>
      </c>
      <c r="DD248" s="5" t="str">
        <f>IF(G248&lt;48,"UF", IF(NOT(ISBLANK(CZ:CZ)), CZ:CZ, IF(CL:CL=3, CK:CK+Sheet2!B248, IF(CL:CL=4, CK:CK+Sheet2!B249, IF(CL:CL=7, CK:CK+Sheet2!B250,"")))))</f>
        <v>UF</v>
      </c>
      <c r="DE248" s="69" t="str">
        <f t="shared" si="266"/>
        <v/>
      </c>
      <c r="DF248" s="2">
        <v>3</v>
      </c>
      <c r="DG248" s="2">
        <v>32</v>
      </c>
      <c r="DH248" s="2">
        <v>1</v>
      </c>
      <c r="DI248" s="2">
        <v>2</v>
      </c>
      <c r="DJ248" s="2">
        <v>2</v>
      </c>
      <c r="DK248" s="2">
        <v>105</v>
      </c>
      <c r="DL248" s="2">
        <v>60</v>
      </c>
      <c r="DM248" s="2">
        <v>110</v>
      </c>
      <c r="DN248" s="2">
        <v>70</v>
      </c>
      <c r="DO248" s="2">
        <v>90</v>
      </c>
      <c r="DP248" s="2">
        <v>60</v>
      </c>
      <c r="DQ248" s="2">
        <v>2</v>
      </c>
      <c r="DR248" s="2">
        <v>40</v>
      </c>
      <c r="DS248" s="2">
        <v>1</v>
      </c>
      <c r="DT248" s="2" t="s">
        <v>12</v>
      </c>
      <c r="DU248" s="2">
        <v>93</v>
      </c>
      <c r="DV248" s="2">
        <v>2</v>
      </c>
      <c r="DW248" s="2">
        <v>3</v>
      </c>
      <c r="DX248" s="2">
        <v>2</v>
      </c>
      <c r="DY248" s="2">
        <v>2</v>
      </c>
      <c r="DZ248" s="2">
        <v>35</v>
      </c>
      <c r="EA248" s="2">
        <v>37</v>
      </c>
      <c r="EB248" s="2">
        <v>48</v>
      </c>
      <c r="EC248" s="2">
        <v>1</v>
      </c>
      <c r="ED248" s="2">
        <v>1</v>
      </c>
    </row>
    <row r="249" spans="3:134" x14ac:dyDescent="0.25">
      <c r="C249" s="8" t="s">
        <v>186</v>
      </c>
      <c r="D249" s="4">
        <v>2501036042</v>
      </c>
      <c r="E249" s="5">
        <v>7</v>
      </c>
      <c r="F249" s="2">
        <v>2</v>
      </c>
      <c r="G249" s="2">
        <v>37</v>
      </c>
      <c r="H249" s="2">
        <v>-1.1663388002964821</v>
      </c>
      <c r="I249" s="2">
        <v>51</v>
      </c>
      <c r="J249" s="2">
        <v>0.58940135287155082</v>
      </c>
      <c r="K249" s="1">
        <v>3125</v>
      </c>
      <c r="L249" s="2">
        <v>-0.46322700594648092</v>
      </c>
      <c r="M249" s="2">
        <v>-1.2612000000000001</v>
      </c>
      <c r="N249" s="2">
        <f t="shared" si="203"/>
        <v>3.4019400148241008E-2</v>
      </c>
      <c r="O249" s="2">
        <f t="shared" si="204"/>
        <v>-1.2612000000000001</v>
      </c>
      <c r="P249" s="2">
        <v>69</v>
      </c>
      <c r="Q249" s="2">
        <v>0.63</v>
      </c>
      <c r="R249" s="5">
        <f t="shared" si="205"/>
        <v>-0.23970067643577542</v>
      </c>
      <c r="S249" s="5">
        <f t="shared" si="206"/>
        <v>0.63</v>
      </c>
      <c r="T249" s="1">
        <v>7450</v>
      </c>
      <c r="U249" s="2">
        <v>-0.57999999999999996</v>
      </c>
      <c r="V249" s="2">
        <f t="shared" si="207"/>
        <v>-0.13338649702675953</v>
      </c>
      <c r="W249" s="2">
        <f t="shared" si="208"/>
        <v>-0.57999999999999996</v>
      </c>
      <c r="X249" s="2">
        <v>-1.0983000000000001</v>
      </c>
      <c r="Y249" s="76">
        <f t="shared" si="244"/>
        <v>6.8038800296482016E-2</v>
      </c>
      <c r="Z249" s="76">
        <f t="shared" si="245"/>
        <v>1</v>
      </c>
      <c r="AA249" s="2">
        <f t="shared" si="209"/>
        <v>-1.1447499999999999</v>
      </c>
      <c r="AB249" s="2">
        <f t="shared" si="210"/>
        <v>-1.0983000000000001</v>
      </c>
      <c r="AC249" s="2">
        <v>76</v>
      </c>
      <c r="AD249" s="2">
        <v>0.11</v>
      </c>
      <c r="AE249" s="79">
        <f t="shared" si="246"/>
        <v>-0.47940135287155083</v>
      </c>
      <c r="AF249" s="79">
        <f t="shared" si="247"/>
        <v>-1</v>
      </c>
      <c r="AG249" s="2">
        <f t="shared" si="265"/>
        <v>-0.18</v>
      </c>
      <c r="AH249" s="2">
        <f t="shared" si="211"/>
        <v>0.11</v>
      </c>
      <c r="AI249" s="2">
        <v>8900</v>
      </c>
      <c r="AJ249" s="2">
        <v>-0.73</v>
      </c>
      <c r="AK249" s="76">
        <f t="shared" si="248"/>
        <v>-0.26677299405351906</v>
      </c>
      <c r="AL249" s="76">
        <f t="shared" si="249"/>
        <v>-1</v>
      </c>
      <c r="AM249" s="2">
        <f t="shared" si="212"/>
        <v>-0.20500000000000002</v>
      </c>
      <c r="AN249" s="2">
        <f t="shared" si="213"/>
        <v>-0.73</v>
      </c>
      <c r="AO249" s="2">
        <v>-1.6595</v>
      </c>
      <c r="AP249" s="2" t="str">
        <f t="shared" si="214"/>
        <v/>
      </c>
      <c r="AQ249" s="2">
        <f t="shared" si="215"/>
        <v>-1.6595</v>
      </c>
      <c r="AR249" s="2">
        <v>83</v>
      </c>
      <c r="AS249" s="2">
        <v>0.27</v>
      </c>
      <c r="AT249" s="2" t="str">
        <f t="shared" si="216"/>
        <v/>
      </c>
      <c r="AU249" s="2">
        <f t="shared" si="217"/>
        <v>0.27</v>
      </c>
      <c r="AV249" s="2">
        <v>9800</v>
      </c>
      <c r="AW249" s="2">
        <v>-0.99</v>
      </c>
      <c r="AX249" s="2" t="str">
        <f t="shared" si="218"/>
        <v/>
      </c>
      <c r="AY249" s="2">
        <f t="shared" si="219"/>
        <v>-0.99</v>
      </c>
      <c r="BA249" s="78">
        <f t="shared" si="250"/>
        <v>-0.51809712400000363</v>
      </c>
      <c r="BB249" s="78">
        <f t="shared" si="251"/>
        <v>-1</v>
      </c>
      <c r="BC249" s="2">
        <f t="shared" si="220"/>
        <v>4.3102875999996293E-2</v>
      </c>
      <c r="BD249" s="2">
        <f t="shared" si="221"/>
        <v>-1.6163971240000037</v>
      </c>
      <c r="BE249" s="67">
        <f t="shared" si="252"/>
        <v>7</v>
      </c>
      <c r="BF249" s="2" t="s">
        <v>12</v>
      </c>
      <c r="BH249" s="2">
        <f t="shared" si="222"/>
        <v>-2.7630588300427267E-2</v>
      </c>
      <c r="BI249" s="2">
        <f t="shared" si="223"/>
        <v>0.24236941169957274</v>
      </c>
      <c r="BJ249" s="67">
        <f t="shared" si="224"/>
        <v>7</v>
      </c>
      <c r="BK249" s="2" t="s">
        <v>12</v>
      </c>
      <c r="BM249" s="77">
        <f t="shared" si="253"/>
        <v>-0.17327920867085778</v>
      </c>
      <c r="BN249" s="77">
        <f t="shared" si="254"/>
        <v>-1</v>
      </c>
      <c r="BO249" s="2">
        <f t="shared" si="225"/>
        <v>8.6720791329142191E-2</v>
      </c>
      <c r="BP249" s="2">
        <f t="shared" si="226"/>
        <v>-0.90327920867085776</v>
      </c>
      <c r="BQ249" s="67">
        <f t="shared" si="255"/>
        <v>7</v>
      </c>
      <c r="BR249" s="5">
        <v>-1.5301913720000111</v>
      </c>
      <c r="BS249" s="75">
        <f t="shared" si="256"/>
        <v>8.6205751999992586E-2</v>
      </c>
      <c r="BT249" s="75">
        <f t="shared" si="257"/>
        <v>1</v>
      </c>
      <c r="BU249" s="5" t="str">
        <f t="shared" si="267"/>
        <v/>
      </c>
      <c r="BV249" s="5">
        <f t="shared" si="227"/>
        <v>-1.5301913720000111</v>
      </c>
      <c r="BW249" s="69">
        <f t="shared" si="228"/>
        <v>7</v>
      </c>
      <c r="BX249" s="2">
        <v>96</v>
      </c>
      <c r="BY249" s="5">
        <v>0.18710823509871821</v>
      </c>
      <c r="BZ249" s="74">
        <f t="shared" si="258"/>
        <v>1.090387443769576</v>
      </c>
      <c r="CA249" s="74">
        <f t="shared" si="259"/>
        <v>2</v>
      </c>
      <c r="CB249" s="5" t="str">
        <f t="shared" si="229"/>
        <v/>
      </c>
      <c r="CC249" s="5">
        <f t="shared" si="230"/>
        <v>0.18710823509871821</v>
      </c>
      <c r="CD249" s="2">
        <f t="shared" si="231"/>
        <v>-5.5261176600854528E-2</v>
      </c>
      <c r="CE249" s="69">
        <f t="shared" si="232"/>
        <v>7</v>
      </c>
      <c r="CF249" s="5">
        <v>13300</v>
      </c>
      <c r="CG249" s="5">
        <v>-0.7298376260125734</v>
      </c>
      <c r="CH249" s="72">
        <f t="shared" si="260"/>
        <v>0.17344158265828435</v>
      </c>
      <c r="CI249" s="72">
        <f t="shared" si="261"/>
        <v>1</v>
      </c>
      <c r="CJ249" s="5" t="str">
        <f t="shared" si="233"/>
        <v/>
      </c>
      <c r="CK249" s="5">
        <f t="shared" si="234"/>
        <v>-0.7298376260125734</v>
      </c>
      <c r="CL249" s="69">
        <f t="shared" si="235"/>
        <v>7</v>
      </c>
      <c r="CN249" s="70" t="str">
        <f t="shared" si="236"/>
        <v/>
      </c>
      <c r="CO249" s="5" t="str">
        <f t="shared" si="237"/>
        <v>UF</v>
      </c>
      <c r="CP249" s="5" t="str">
        <f>IF(G249&lt;48,"UF", IF(NOT(ISBLANK(CM:CM)), CM:CM, IF(BW:BW=1, BV:BV+Sheet2!B358, IF(Sheet1!BW:BW=2, Sheet1!BV:BV+Sheet2!B359, IF(Sheet1!BW:BW=7, Sheet1!BV:BV+Sheet2!B360,"")))))</f>
        <v>UF</v>
      </c>
      <c r="CQ249" s="69" t="str">
        <f t="shared" si="262"/>
        <v/>
      </c>
      <c r="CR249" s="5" t="s">
        <v>12</v>
      </c>
      <c r="CT249" s="5" t="str">
        <f t="shared" si="238"/>
        <v/>
      </c>
      <c r="CU249" s="80" t="str">
        <f t="shared" si="239"/>
        <v>UF</v>
      </c>
      <c r="CV249" s="80" t="str">
        <f t="shared" si="240"/>
        <v>UF</v>
      </c>
      <c r="CW249" s="20" t="str">
        <f>IF(G249&lt;48,"UF", IF(NOT(ISBLANK(CS249)), CS249, IF(CE249=5, CC249+Sheet2!B347, IF(CE249=6, CC249+Sheet2!B348, IF(CE249=7, CC249+Sheet2!B349,"")))))</f>
        <v>UF</v>
      </c>
      <c r="CX249" s="68" t="str">
        <f t="shared" si="263"/>
        <v/>
      </c>
      <c r="CY249" s="5" t="s">
        <v>12</v>
      </c>
      <c r="DA249" s="5" t="str">
        <f t="shared" si="241"/>
        <v>UF</v>
      </c>
      <c r="DB249" s="73" t="str">
        <f t="shared" si="242"/>
        <v>UF</v>
      </c>
      <c r="DC249" s="73" t="str">
        <f t="shared" si="243"/>
        <v>UF</v>
      </c>
      <c r="DD249" s="5" t="str">
        <f>IF(G249&lt;48,"UF", IF(NOT(ISBLANK(CZ:CZ)), CZ:CZ, IF(CL:CL=3, CK:CK+Sheet2!B352, IF(CL:CL=4, CK:CK+Sheet2!B353, IF(CL:CL=7, CK:CK+Sheet2!B354,"")))))</f>
        <v>UF</v>
      </c>
      <c r="DE249" s="69" t="str">
        <f t="shared" si="266"/>
        <v/>
      </c>
      <c r="DF249" s="2">
        <v>1</v>
      </c>
      <c r="DG249" s="2">
        <v>24</v>
      </c>
      <c r="DH249" s="2">
        <v>2</v>
      </c>
      <c r="DI249" s="2">
        <v>2</v>
      </c>
      <c r="DJ249" s="2">
        <v>2</v>
      </c>
      <c r="DK249" s="2">
        <v>100</v>
      </c>
      <c r="DL249" s="2">
        <v>70</v>
      </c>
      <c r="DM249" s="2">
        <v>100</v>
      </c>
      <c r="DN249" s="2">
        <v>50</v>
      </c>
      <c r="DO249" s="2" t="s">
        <v>12</v>
      </c>
      <c r="DP249" s="2" t="s">
        <v>12</v>
      </c>
      <c r="DQ249" s="2">
        <v>2</v>
      </c>
      <c r="DR249" s="2">
        <v>39</v>
      </c>
      <c r="DS249" s="2">
        <v>2</v>
      </c>
      <c r="DT249" s="2">
        <v>71</v>
      </c>
      <c r="DU249" s="2">
        <v>71</v>
      </c>
      <c r="DV249" s="2">
        <v>2</v>
      </c>
      <c r="DW249" s="2">
        <v>2</v>
      </c>
      <c r="DX249" s="2">
        <v>2</v>
      </c>
      <c r="DY249" s="2">
        <v>2</v>
      </c>
      <c r="DZ249" s="2">
        <v>33</v>
      </c>
      <c r="EA249" s="2">
        <v>35</v>
      </c>
      <c r="EB249" s="2">
        <v>44</v>
      </c>
      <c r="EC249" s="2">
        <v>1</v>
      </c>
      <c r="ED249" s="2">
        <v>4</v>
      </c>
    </row>
    <row r="250" spans="3:134" x14ac:dyDescent="0.25">
      <c r="C250" s="8" t="s">
        <v>233</v>
      </c>
      <c r="D250" s="8">
        <v>2501036077</v>
      </c>
      <c r="E250" s="5">
        <v>7</v>
      </c>
      <c r="F250" s="2">
        <v>1</v>
      </c>
      <c r="G250" s="2">
        <v>37</v>
      </c>
      <c r="H250" s="2">
        <v>-1.1733510188640861E-2</v>
      </c>
      <c r="I250" s="2">
        <v>51</v>
      </c>
      <c r="J250" s="2">
        <v>0.99441714029262385</v>
      </c>
      <c r="K250" s="2">
        <v>3465</v>
      </c>
      <c r="L250" s="2">
        <v>0.49734716736154011</v>
      </c>
      <c r="M250" s="2">
        <v>-0.2087</v>
      </c>
      <c r="N250" s="2">
        <f t="shared" si="203"/>
        <v>0.48711675509432045</v>
      </c>
      <c r="O250" s="2">
        <f t="shared" si="204"/>
        <v>-0.2087</v>
      </c>
      <c r="P250" s="2">
        <v>69</v>
      </c>
      <c r="Q250" s="2">
        <v>1.43</v>
      </c>
      <c r="R250" s="5">
        <f t="shared" si="205"/>
        <v>-0.69220857014631187</v>
      </c>
      <c r="S250" s="5">
        <f t="shared" si="206"/>
        <v>1.43</v>
      </c>
      <c r="T250" s="2">
        <v>7900</v>
      </c>
      <c r="U250" s="2">
        <v>0.64</v>
      </c>
      <c r="V250" s="2">
        <f t="shared" si="207"/>
        <v>-3.6735836807700595E-3</v>
      </c>
      <c r="W250" s="2">
        <f t="shared" si="208"/>
        <v>0.64</v>
      </c>
      <c r="X250" s="2">
        <v>0.96250000000000002</v>
      </c>
      <c r="Y250" s="76">
        <f t="shared" si="244"/>
        <v>0.97423351018864091</v>
      </c>
      <c r="Z250" s="76">
        <f t="shared" si="245"/>
        <v>2</v>
      </c>
      <c r="AA250" s="2">
        <f t="shared" si="209"/>
        <v>-0.18489999999999995</v>
      </c>
      <c r="AB250" s="2">
        <f t="shared" si="210"/>
        <v>0.96250000000000002</v>
      </c>
      <c r="AC250" s="2">
        <v>73</v>
      </c>
      <c r="AD250" s="2">
        <v>-0.39</v>
      </c>
      <c r="AE250" s="79">
        <f t="shared" si="246"/>
        <v>-1.3844171402926237</v>
      </c>
      <c r="AF250" s="79">
        <f t="shared" si="247"/>
        <v>-2</v>
      </c>
      <c r="AG250" s="2">
        <f t="shared" si="265"/>
        <v>-0.31999999999999995</v>
      </c>
      <c r="AH250" s="2">
        <f t="shared" si="211"/>
        <v>-0.39</v>
      </c>
      <c r="AI250" s="2">
        <v>9500</v>
      </c>
      <c r="AJ250" s="2">
        <v>0.49</v>
      </c>
      <c r="AK250" s="76">
        <f t="shared" si="248"/>
        <v>-7.347167361540119E-3</v>
      </c>
      <c r="AL250" s="76">
        <f t="shared" si="249"/>
        <v>-1</v>
      </c>
      <c r="AM250" s="2">
        <f t="shared" si="212"/>
        <v>0.27999999999999997</v>
      </c>
      <c r="AN250" s="2">
        <f t="shared" si="213"/>
        <v>0.49</v>
      </c>
      <c r="AO250" s="2">
        <v>1.0602</v>
      </c>
      <c r="AP250" s="2">
        <f t="shared" si="214"/>
        <v>-0.21185114917630854</v>
      </c>
      <c r="AQ250" s="2">
        <f t="shared" si="215"/>
        <v>1.0602</v>
      </c>
      <c r="AR250" s="2">
        <v>83</v>
      </c>
      <c r="AS250" s="2">
        <v>0.79</v>
      </c>
      <c r="AT250" s="2">
        <f t="shared" si="216"/>
        <v>0.42476593899243115</v>
      </c>
      <c r="AU250" s="2">
        <f t="shared" si="217"/>
        <v>0.79</v>
      </c>
      <c r="AV250" s="2">
        <v>11900</v>
      </c>
      <c r="AW250" s="2">
        <v>1.2</v>
      </c>
      <c r="AX250" s="2">
        <f t="shared" si="218"/>
        <v>6.6571185740214867E-2</v>
      </c>
      <c r="AY250" s="2">
        <f t="shared" si="219"/>
        <v>1.2</v>
      </c>
      <c r="AZ250" s="2">
        <v>0.53879770164738294</v>
      </c>
      <c r="BA250" s="78">
        <f t="shared" si="250"/>
        <v>-0.42370229835261708</v>
      </c>
      <c r="BB250" s="78">
        <f t="shared" si="251"/>
        <v>-1</v>
      </c>
      <c r="BC250" s="2">
        <f t="shared" si="220"/>
        <v>-0.64827975621444167</v>
      </c>
      <c r="BD250" s="2">
        <f t="shared" si="221"/>
        <v>0.53879770164738294</v>
      </c>
      <c r="BE250" s="67">
        <f t="shared" si="252"/>
        <v>7</v>
      </c>
      <c r="BF250" s="2">
        <v>87</v>
      </c>
      <c r="BG250" s="2">
        <v>0.45953187798486228</v>
      </c>
      <c r="BH250" s="2">
        <f t="shared" si="222"/>
        <v>-0.28130831543393781</v>
      </c>
      <c r="BI250" s="2">
        <f t="shared" si="223"/>
        <v>0.45953187798486228</v>
      </c>
      <c r="BJ250" s="67">
        <f t="shared" si="224"/>
        <v>7</v>
      </c>
      <c r="BK250" s="2">
        <v>13000</v>
      </c>
      <c r="BL250" s="2">
        <v>0.62314237148042972</v>
      </c>
      <c r="BM250" s="77">
        <f t="shared" si="253"/>
        <v>0.13314237148042973</v>
      </c>
      <c r="BN250" s="77">
        <f t="shared" si="254"/>
        <v>1</v>
      </c>
      <c r="BO250" s="2">
        <f t="shared" si="225"/>
        <v>-0.60211642637521556</v>
      </c>
      <c r="BP250" s="2">
        <f t="shared" si="226"/>
        <v>0.62314237148042972</v>
      </c>
      <c r="BQ250" s="67">
        <f t="shared" si="255"/>
        <v>7</v>
      </c>
      <c r="BR250" s="5">
        <v>-0.88463926864332476</v>
      </c>
      <c r="BS250" s="75">
        <f t="shared" si="256"/>
        <v>-1.4234369702907077</v>
      </c>
      <c r="BT250" s="75">
        <f t="shared" si="257"/>
        <v>-2</v>
      </c>
      <c r="BU250" s="5" t="str">
        <f t="shared" si="267"/>
        <v/>
      </c>
      <c r="BV250" s="5">
        <f t="shared" si="227"/>
        <v>-0.88463926864332476</v>
      </c>
      <c r="BW250" s="69">
        <f t="shared" si="228"/>
        <v>7</v>
      </c>
      <c r="BX250" s="2">
        <v>94</v>
      </c>
      <c r="BY250" s="5">
        <v>-5.3924946301813291E-2</v>
      </c>
      <c r="BZ250" s="74">
        <f t="shared" si="258"/>
        <v>-0.67706731778224305</v>
      </c>
      <c r="CA250" s="74">
        <f t="shared" si="259"/>
        <v>-2</v>
      </c>
      <c r="CB250" s="5" t="str">
        <f t="shared" si="229"/>
        <v/>
      </c>
      <c r="CC250" s="5">
        <f t="shared" si="230"/>
        <v>-5.3924946301813291E-2</v>
      </c>
      <c r="CD250" s="2">
        <f t="shared" si="231"/>
        <v>-0.51345682428667561</v>
      </c>
      <c r="CE250" s="69">
        <f t="shared" si="232"/>
        <v>7</v>
      </c>
      <c r="CF250" s="5">
        <v>13000</v>
      </c>
      <c r="CG250" s="5">
        <v>-0.60634927912564673</v>
      </c>
      <c r="CH250" s="72">
        <f t="shared" si="260"/>
        <v>-1.2294916506060765</v>
      </c>
      <c r="CI250" s="72">
        <f t="shared" si="261"/>
        <v>-2</v>
      </c>
      <c r="CJ250" s="5" t="str">
        <f t="shared" si="233"/>
        <v/>
      </c>
      <c r="CK250" s="5">
        <f t="shared" si="234"/>
        <v>-0.60634927912564673</v>
      </c>
      <c r="CL250" s="69">
        <f t="shared" si="235"/>
        <v>7</v>
      </c>
      <c r="CN250" s="70" t="str">
        <f t="shared" si="236"/>
        <v/>
      </c>
      <c r="CO250" s="5" t="str">
        <f t="shared" si="237"/>
        <v>UF</v>
      </c>
      <c r="CP250" s="5" t="str">
        <f>IF(G250&lt;48,"UF", IF(NOT(ISBLANK(CM:CM)), CM:CM, IF(BW:BW=1, BV:BV+Sheet2!B444, IF(Sheet1!BW:BW=2, Sheet1!BV:BV+Sheet2!B445, IF(Sheet1!BW:BW=7, Sheet1!BV:BV+Sheet2!B446,"")))))</f>
        <v>UF</v>
      </c>
      <c r="CQ250" s="69" t="str">
        <f t="shared" si="262"/>
        <v/>
      </c>
      <c r="CR250" s="5" t="s">
        <v>12</v>
      </c>
      <c r="CT250" s="5" t="str">
        <f t="shared" si="238"/>
        <v/>
      </c>
      <c r="CU250" s="80" t="str">
        <f t="shared" si="239"/>
        <v>UF</v>
      </c>
      <c r="CV250" s="80" t="str">
        <f t="shared" si="240"/>
        <v>UF</v>
      </c>
      <c r="CW250" s="20" t="str">
        <f>IF(G250&lt;48,"UF", IF(NOT(ISBLANK(CS250)), CS250, IF(CE250=5, CC250+Sheet2!B433, IF(CE250=6, CC250+Sheet2!B434, IF(CE250=7, CC250+Sheet2!B435,"")))))</f>
        <v>UF</v>
      </c>
      <c r="CX250" s="68" t="str">
        <f t="shared" si="263"/>
        <v/>
      </c>
      <c r="CY250" s="5" t="s">
        <v>12</v>
      </c>
      <c r="DA250" s="5" t="str">
        <f t="shared" si="241"/>
        <v>UF</v>
      </c>
      <c r="DB250" s="73" t="str">
        <f t="shared" si="242"/>
        <v>UF</v>
      </c>
      <c r="DC250" s="73" t="str">
        <f t="shared" si="243"/>
        <v>UF</v>
      </c>
      <c r="DD250" s="5" t="str">
        <f>IF(G250&lt;48,"UF", IF(NOT(ISBLANK(CZ:CZ)), CZ:CZ, IF(CL:CL=3, CK:CK+Sheet2!B438, IF(CL:CL=4, CK:CK+Sheet2!B439, IF(CL:CL=7, CK:CK+Sheet2!B440,"")))))</f>
        <v>UF</v>
      </c>
      <c r="DE250" s="69" t="str">
        <f t="shared" si="266"/>
        <v/>
      </c>
      <c r="DF250" s="2">
        <v>2</v>
      </c>
      <c r="DG250" s="2">
        <v>37</v>
      </c>
      <c r="DH250" s="2">
        <v>1</v>
      </c>
      <c r="DI250" s="2">
        <v>2</v>
      </c>
      <c r="DJ250" s="2">
        <v>2</v>
      </c>
      <c r="DK250" s="2">
        <v>100</v>
      </c>
      <c r="DL250" s="2">
        <v>70</v>
      </c>
      <c r="DM250" s="2">
        <v>100</v>
      </c>
      <c r="DN250" s="2">
        <v>60</v>
      </c>
      <c r="DO250" s="2">
        <v>100</v>
      </c>
      <c r="DP250" s="2">
        <v>60</v>
      </c>
      <c r="DQ250" s="2">
        <v>2</v>
      </c>
      <c r="DR250" s="2">
        <v>38</v>
      </c>
      <c r="DS250" s="2">
        <v>1</v>
      </c>
      <c r="DT250" s="2">
        <v>108</v>
      </c>
      <c r="DU250" s="2">
        <v>93</v>
      </c>
      <c r="DV250" s="2">
        <v>2</v>
      </c>
      <c r="DW250" s="2">
        <v>2</v>
      </c>
      <c r="DX250" s="2">
        <v>2</v>
      </c>
      <c r="DY250" s="2">
        <v>2</v>
      </c>
      <c r="DZ250" s="2">
        <v>35</v>
      </c>
      <c r="EA250" s="2">
        <v>36.5</v>
      </c>
      <c r="EB250" s="2">
        <v>46.1</v>
      </c>
      <c r="EC250" s="2">
        <v>1</v>
      </c>
      <c r="ED250" s="2">
        <v>1</v>
      </c>
    </row>
    <row r="251" spans="3:134" x14ac:dyDescent="0.25">
      <c r="C251" s="8" t="s">
        <v>349</v>
      </c>
      <c r="D251" s="2">
        <v>2501036204</v>
      </c>
      <c r="E251" s="5">
        <v>7</v>
      </c>
      <c r="F251" s="2">
        <v>1</v>
      </c>
      <c r="G251" s="2">
        <v>40</v>
      </c>
      <c r="H251" s="2">
        <v>-0.77091352268102975</v>
      </c>
      <c r="I251" s="2">
        <v>51</v>
      </c>
      <c r="J251" s="2">
        <v>0.99441714029262385</v>
      </c>
      <c r="K251" s="2">
        <v>3230</v>
      </c>
      <c r="L251" s="2">
        <v>-4.8039358491905474E-3</v>
      </c>
      <c r="M251" s="2">
        <v>-4.7199999999999999E-2</v>
      </c>
      <c r="N251" s="2" t="str">
        <f t="shared" si="203"/>
        <v/>
      </c>
      <c r="O251" s="2">
        <f t="shared" si="204"/>
        <v>-4.7199999999999999E-2</v>
      </c>
      <c r="P251" s="2">
        <v>70</v>
      </c>
      <c r="Q251" s="2">
        <v>1.87</v>
      </c>
      <c r="R251" s="5" t="str">
        <f t="shared" si="205"/>
        <v/>
      </c>
      <c r="S251" s="5">
        <f t="shared" si="206"/>
        <v>1.87</v>
      </c>
      <c r="T251" s="2">
        <v>8250</v>
      </c>
      <c r="U251" s="2">
        <v>1</v>
      </c>
      <c r="V251" s="2" t="str">
        <f t="shared" si="207"/>
        <v/>
      </c>
      <c r="W251" s="2">
        <f t="shared" si="208"/>
        <v>1</v>
      </c>
      <c r="Y251" s="76">
        <f t="shared" si="244"/>
        <v>0.10021352268102968</v>
      </c>
      <c r="Z251" s="76">
        <f t="shared" si="245"/>
        <v>1</v>
      </c>
      <c r="AA251" s="2">
        <f t="shared" si="209"/>
        <v>-0.62350000000000005</v>
      </c>
      <c r="AB251" s="2">
        <f t="shared" si="210"/>
        <v>-0.67070000000000007</v>
      </c>
      <c r="AC251" s="2" t="s">
        <v>12</v>
      </c>
      <c r="AE251" s="79">
        <f t="shared" si="246"/>
        <v>0.6805828597073762</v>
      </c>
      <c r="AF251" s="79">
        <f t="shared" si="247"/>
        <v>2</v>
      </c>
      <c r="AG251" s="2">
        <f t="shared" si="265"/>
        <v>-0.19500000000000006</v>
      </c>
      <c r="AH251" s="2">
        <f t="shared" si="211"/>
        <v>1.675</v>
      </c>
      <c r="AI251" s="2" t="s">
        <v>12</v>
      </c>
      <c r="AK251" s="76">
        <f t="shared" si="248"/>
        <v>1.1398039358491905</v>
      </c>
      <c r="AL251" s="76">
        <f t="shared" si="249"/>
        <v>2</v>
      </c>
      <c r="AM251" s="2">
        <f t="shared" si="212"/>
        <v>0.13500000000000001</v>
      </c>
      <c r="AN251" s="2">
        <f t="shared" si="213"/>
        <v>1.135</v>
      </c>
      <c r="AO251" s="2">
        <v>0.623</v>
      </c>
      <c r="AP251" s="2" t="str">
        <f t="shared" si="214"/>
        <v/>
      </c>
      <c r="AQ251" s="2">
        <f t="shared" si="215"/>
        <v>0.623</v>
      </c>
      <c r="AR251" s="2">
        <v>85</v>
      </c>
      <c r="AS251" s="2">
        <v>1.48</v>
      </c>
      <c r="AT251" s="2" t="str">
        <f t="shared" si="216"/>
        <v/>
      </c>
      <c r="AU251" s="2">
        <f t="shared" si="217"/>
        <v>1.48</v>
      </c>
      <c r="AV251" s="2">
        <v>12000</v>
      </c>
      <c r="AW251" s="2">
        <v>1.27</v>
      </c>
      <c r="AX251" s="2" t="str">
        <f t="shared" si="218"/>
        <v/>
      </c>
      <c r="AY251" s="2">
        <f t="shared" si="219"/>
        <v>1.27</v>
      </c>
      <c r="BA251" s="78">
        <f t="shared" si="250"/>
        <v>0.19758421926488268</v>
      </c>
      <c r="BB251" s="78">
        <f t="shared" si="251"/>
        <v>1</v>
      </c>
      <c r="BC251" s="2">
        <f t="shared" si="220"/>
        <v>-1.0961157807351174</v>
      </c>
      <c r="BD251" s="2">
        <f t="shared" si="221"/>
        <v>-0.4731157807351174</v>
      </c>
      <c r="BE251" s="67">
        <f t="shared" si="252"/>
        <v>7</v>
      </c>
      <c r="BF251" s="2" t="s">
        <v>12</v>
      </c>
      <c r="BH251" s="2">
        <f t="shared" si="222"/>
        <v>0.23141796566625805</v>
      </c>
      <c r="BI251" s="2">
        <f t="shared" si="223"/>
        <v>1.711417965666258</v>
      </c>
      <c r="BJ251" s="67">
        <f t="shared" si="224"/>
        <v>7</v>
      </c>
      <c r="BK251" s="2" t="s">
        <v>12</v>
      </c>
      <c r="BM251" s="77">
        <f t="shared" si="253"/>
        <v>-0.27659439139240538</v>
      </c>
      <c r="BN251" s="77">
        <f t="shared" si="254"/>
        <v>-1</v>
      </c>
      <c r="BO251" s="2">
        <f t="shared" si="225"/>
        <v>-0.41159439139240539</v>
      </c>
      <c r="BP251" s="2">
        <f t="shared" si="226"/>
        <v>0.85840560860759463</v>
      </c>
      <c r="BQ251" s="67">
        <f t="shared" si="255"/>
        <v>7</v>
      </c>
      <c r="BR251" s="5">
        <v>-2.6653473422053522</v>
      </c>
      <c r="BS251" s="75">
        <f t="shared" si="256"/>
        <v>-2.1922315614702348</v>
      </c>
      <c r="BT251" s="75">
        <f t="shared" si="257"/>
        <v>-2</v>
      </c>
      <c r="BU251" s="5" t="str">
        <f t="shared" si="267"/>
        <v/>
      </c>
      <c r="BV251" s="5">
        <f t="shared" si="227"/>
        <v>-2.6653473422053522</v>
      </c>
      <c r="BW251" s="69">
        <f t="shared" si="228"/>
        <v>2</v>
      </c>
      <c r="BX251" s="2">
        <v>103</v>
      </c>
      <c r="BY251" s="5">
        <v>2.1742538969987741</v>
      </c>
      <c r="BZ251" s="74">
        <f t="shared" si="258"/>
        <v>1.3158482883911795</v>
      </c>
      <c r="CA251" s="74">
        <f t="shared" si="259"/>
        <v>2</v>
      </c>
      <c r="CB251" s="5" t="str">
        <f t="shared" si="229"/>
        <v/>
      </c>
      <c r="CC251" s="5">
        <f t="shared" si="230"/>
        <v>2.1742538969987741</v>
      </c>
      <c r="CD251" s="2">
        <f t="shared" si="231"/>
        <v>0.4628359313325161</v>
      </c>
      <c r="CE251" s="69" t="str">
        <f t="shared" si="232"/>
        <v/>
      </c>
      <c r="CF251" s="5">
        <v>14000</v>
      </c>
      <c r="CG251" s="5">
        <v>3.5216825822783827E-2</v>
      </c>
      <c r="CH251" s="72">
        <f t="shared" si="260"/>
        <v>-0.82318878278481078</v>
      </c>
      <c r="CI251" s="72">
        <f t="shared" si="261"/>
        <v>-2</v>
      </c>
      <c r="CJ251" s="5" t="str">
        <f t="shared" si="233"/>
        <v/>
      </c>
      <c r="CK251" s="5">
        <f t="shared" si="234"/>
        <v>3.5216825822783827E-2</v>
      </c>
      <c r="CL251" s="69">
        <f t="shared" si="235"/>
        <v>7</v>
      </c>
      <c r="CN251" s="70" t="str">
        <f t="shared" si="236"/>
        <v/>
      </c>
      <c r="CO251" s="5" t="str">
        <f t="shared" si="237"/>
        <v>UF</v>
      </c>
      <c r="CP251" s="5" t="str">
        <f>IF(G251&lt;48,"UF", IF(NOT(ISBLANK(CM:CM)), CM:CM, IF(BW:BW=1, BV:BV+Sheet2!B581, IF(Sheet1!BW:BW=2, Sheet1!BV:BV+Sheet2!B582, IF(Sheet1!BW:BW=7, Sheet1!BV:BV+Sheet2!B583,"")))))</f>
        <v>UF</v>
      </c>
      <c r="CQ251" s="69" t="str">
        <f t="shared" si="262"/>
        <v/>
      </c>
      <c r="CR251" s="5" t="s">
        <v>12</v>
      </c>
      <c r="CT251" s="5" t="str">
        <f t="shared" si="238"/>
        <v/>
      </c>
      <c r="CU251" s="80" t="str">
        <f t="shared" si="239"/>
        <v>UF</v>
      </c>
      <c r="CV251" s="80" t="str">
        <f t="shared" si="240"/>
        <v>UF</v>
      </c>
      <c r="CW251" s="20" t="str">
        <f>IF(G251&lt;48,"UF", IF(NOT(ISBLANK(CS251)), CS251, IF(CE251=5, CC251+Sheet2!B570, IF(CE251=6, CC251+Sheet2!B571, IF(CE251=7, CC251+Sheet2!B572,"")))))</f>
        <v>UF</v>
      </c>
      <c r="CX251" s="68" t="str">
        <f t="shared" si="263"/>
        <v/>
      </c>
      <c r="CY251" s="5" t="s">
        <v>12</v>
      </c>
      <c r="DA251" s="5" t="str">
        <f t="shared" si="241"/>
        <v>UF</v>
      </c>
      <c r="DB251" s="73" t="str">
        <f t="shared" si="242"/>
        <v>UF</v>
      </c>
      <c r="DC251" s="73" t="str">
        <f t="shared" si="243"/>
        <v>UF</v>
      </c>
      <c r="DD251" s="5" t="str">
        <f>IF(G251&lt;48,"UF", IF(NOT(ISBLANK(CZ:CZ)), CZ:CZ, IF(CL:CL=3, CK:CK+Sheet2!B575, IF(CL:CL=4, CK:CK+Sheet2!B576, IF(CL:CL=7, CK:CK+Sheet2!B577,"")))))</f>
        <v>UF</v>
      </c>
      <c r="DE251" s="69" t="str">
        <f t="shared" si="266"/>
        <v/>
      </c>
      <c r="DF251" s="2">
        <v>2</v>
      </c>
      <c r="DG251" s="2">
        <v>25</v>
      </c>
      <c r="DH251" s="2">
        <v>2</v>
      </c>
      <c r="DI251" s="2">
        <v>2</v>
      </c>
      <c r="DJ251" s="2">
        <v>2</v>
      </c>
      <c r="DK251" s="2">
        <v>110</v>
      </c>
      <c r="DL251" s="2">
        <v>60</v>
      </c>
      <c r="DM251" s="2">
        <v>100</v>
      </c>
      <c r="DN251" s="2">
        <v>60</v>
      </c>
      <c r="DO251" s="2">
        <v>105</v>
      </c>
      <c r="DP251" s="2">
        <v>70</v>
      </c>
      <c r="DQ251" s="2">
        <v>2</v>
      </c>
      <c r="DR251" s="2">
        <v>39</v>
      </c>
      <c r="DS251" s="2">
        <v>2</v>
      </c>
      <c r="DT251" s="2">
        <v>70</v>
      </c>
      <c r="DU251" s="2">
        <v>77</v>
      </c>
      <c r="DV251" s="2">
        <v>3</v>
      </c>
      <c r="DW251" s="2">
        <v>2</v>
      </c>
      <c r="DX251" s="2">
        <v>2</v>
      </c>
      <c r="DY251" s="2">
        <v>3</v>
      </c>
      <c r="DZ251" s="2">
        <v>34</v>
      </c>
      <c r="EA251" s="2">
        <v>35</v>
      </c>
      <c r="EB251" s="2">
        <v>47</v>
      </c>
      <c r="EC251" s="2">
        <v>1</v>
      </c>
      <c r="ED251" s="2">
        <v>1</v>
      </c>
    </row>
    <row r="252" spans="3:134" x14ac:dyDescent="0.25">
      <c r="C252" s="8" t="s">
        <v>187</v>
      </c>
      <c r="D252" s="4">
        <v>2501036476</v>
      </c>
      <c r="E252" s="5">
        <v>7</v>
      </c>
      <c r="F252" s="2">
        <v>1</v>
      </c>
      <c r="G252" s="2">
        <v>36</v>
      </c>
      <c r="H252" s="2">
        <v>-1.913022407842949</v>
      </c>
      <c r="I252" s="2">
        <v>54</v>
      </c>
      <c r="J252" s="2">
        <v>2.604984249137289</v>
      </c>
      <c r="K252" s="1">
        <v>3260</v>
      </c>
      <c r="L252" s="2">
        <v>6.0533399906780902E-2</v>
      </c>
      <c r="M252" s="2">
        <v>0.78820000000000001</v>
      </c>
      <c r="N252" s="2">
        <f t="shared" si="203"/>
        <v>1.8722612039214743</v>
      </c>
      <c r="O252" s="2">
        <f t="shared" si="204"/>
        <v>0.78820000000000001</v>
      </c>
      <c r="P252" s="2">
        <v>70</v>
      </c>
      <c r="Q252" s="2">
        <v>1.87</v>
      </c>
      <c r="R252" s="5">
        <f t="shared" si="205"/>
        <v>-0.52749212456864447</v>
      </c>
      <c r="S252" s="5">
        <f t="shared" si="206"/>
        <v>1.87</v>
      </c>
      <c r="T252" s="1">
        <v>8900</v>
      </c>
      <c r="U252" s="2">
        <v>1.61</v>
      </c>
      <c r="V252" s="2">
        <f t="shared" si="207"/>
        <v>1.0497333000466096</v>
      </c>
      <c r="W252" s="2">
        <f t="shared" si="208"/>
        <v>1.61</v>
      </c>
      <c r="X252" s="2">
        <v>1.8314999999999999</v>
      </c>
      <c r="Y252" s="76">
        <f t="shared" si="244"/>
        <v>3.7445224078429487</v>
      </c>
      <c r="Z252" s="76">
        <f t="shared" si="245"/>
        <v>2</v>
      </c>
      <c r="AA252" s="2">
        <f t="shared" si="209"/>
        <v>0.68974999999999986</v>
      </c>
      <c r="AB252" s="2">
        <f t="shared" si="210"/>
        <v>1.8314999999999999</v>
      </c>
      <c r="AC252" s="2">
        <v>78</v>
      </c>
      <c r="AD252" s="2">
        <v>1.55</v>
      </c>
      <c r="AE252" s="79">
        <f t="shared" si="246"/>
        <v>-1.0549842491372889</v>
      </c>
      <c r="AF252" s="79">
        <f t="shared" si="247"/>
        <v>-2</v>
      </c>
      <c r="AG252" s="2">
        <f t="shared" si="265"/>
        <v>-0.19500000000000006</v>
      </c>
      <c r="AH252" s="2">
        <f t="shared" si="211"/>
        <v>1.55</v>
      </c>
      <c r="AI252" s="2">
        <v>11750</v>
      </c>
      <c r="AJ252" s="2">
        <v>2.16</v>
      </c>
      <c r="AK252" s="76">
        <f t="shared" si="248"/>
        <v>2.0994666000932192</v>
      </c>
      <c r="AL252" s="76">
        <f t="shared" si="249"/>
        <v>2</v>
      </c>
      <c r="AM252" s="2">
        <f t="shared" si="212"/>
        <v>0.76500000000000001</v>
      </c>
      <c r="AN252" s="2">
        <f t="shared" si="213"/>
        <v>2.16</v>
      </c>
      <c r="AO252" s="2">
        <v>3.2494999999999998</v>
      </c>
      <c r="AP252" s="2">
        <f t="shared" si="214"/>
        <v>2.9731342213570322E-3</v>
      </c>
      <c r="AQ252" s="2">
        <f t="shared" si="215"/>
        <v>3.2494999999999998</v>
      </c>
      <c r="AR252" s="2">
        <v>85</v>
      </c>
      <c r="AS252" s="2">
        <v>1.48</v>
      </c>
      <c r="AT252" s="2">
        <f t="shared" si="216"/>
        <v>-0.11456344429147303</v>
      </c>
      <c r="AU252" s="2">
        <f t="shared" si="217"/>
        <v>1.48</v>
      </c>
      <c r="AV252" s="2">
        <v>15350</v>
      </c>
      <c r="AW252" s="2">
        <v>3.14</v>
      </c>
      <c r="AX252" s="2">
        <f t="shared" si="218"/>
        <v>7.8645115419133438E-2</v>
      </c>
      <c r="AY252" s="2">
        <f t="shared" si="219"/>
        <v>3.14</v>
      </c>
      <c r="AZ252" s="2">
        <v>1.837446268442714</v>
      </c>
      <c r="BA252" s="78">
        <f t="shared" si="250"/>
        <v>5.9462684427140644E-3</v>
      </c>
      <c r="BB252" s="78">
        <f t="shared" si="251"/>
        <v>1</v>
      </c>
      <c r="BC252" s="2" t="str">
        <f t="shared" si="220"/>
        <v/>
      </c>
      <c r="BD252" s="2">
        <f t="shared" si="221"/>
        <v>1.837446268442714</v>
      </c>
      <c r="BE252" s="67">
        <f t="shared" si="252"/>
        <v>7</v>
      </c>
      <c r="BF252" s="2">
        <v>90</v>
      </c>
      <c r="BG252" s="2">
        <v>1.320873111417054</v>
      </c>
      <c r="BH252" s="2" t="str">
        <f t="shared" si="222"/>
        <v/>
      </c>
      <c r="BI252" s="2">
        <f t="shared" si="223"/>
        <v>1.320873111417054</v>
      </c>
      <c r="BJ252" s="67">
        <f t="shared" si="224"/>
        <v>7</v>
      </c>
      <c r="BK252" s="2">
        <v>16000</v>
      </c>
      <c r="BL252" s="2">
        <v>2.317290230838267</v>
      </c>
      <c r="BM252" s="77">
        <f t="shared" si="253"/>
        <v>0.15729023083826688</v>
      </c>
      <c r="BN252" s="77">
        <f t="shared" si="254"/>
        <v>1</v>
      </c>
      <c r="BO252" s="2" t="str">
        <f t="shared" si="225"/>
        <v/>
      </c>
      <c r="BP252" s="2">
        <f t="shared" si="226"/>
        <v>2.317290230838267</v>
      </c>
      <c r="BQ252" s="67" t="str">
        <f t="shared" si="255"/>
        <v/>
      </c>
      <c r="BS252" s="75" t="e">
        <f t="shared" si="256"/>
        <v>#VALUE!</v>
      </c>
      <c r="BT252" s="75" t="e">
        <f t="shared" si="257"/>
        <v>#VALUE!</v>
      </c>
      <c r="BU252" s="5" t="str">
        <f t="shared" si="267"/>
        <v>UF</v>
      </c>
      <c r="BV252" s="5" t="e">
        <f t="shared" si="227"/>
        <v>#VALUE!</v>
      </c>
      <c r="BW252" s="69" t="e">
        <f t="shared" si="228"/>
        <v>#VALUE!</v>
      </c>
      <c r="BX252" s="2" t="s">
        <v>12</v>
      </c>
      <c r="BZ252" s="74" t="e">
        <f t="shared" si="258"/>
        <v>#VALUE!</v>
      </c>
      <c r="CA252" s="74" t="e">
        <f t="shared" si="259"/>
        <v>#VALUE!</v>
      </c>
      <c r="CB252" s="5" t="str">
        <f t="shared" si="229"/>
        <v/>
      </c>
      <c r="CC252" s="5" t="e">
        <f t="shared" si="230"/>
        <v>#VALUE!</v>
      </c>
      <c r="CD252" s="2" t="e">
        <f t="shared" si="231"/>
        <v>#VALUE!</v>
      </c>
      <c r="CE252" s="69" t="e">
        <f t="shared" si="232"/>
        <v>#VALUE!</v>
      </c>
      <c r="CF252" s="5" t="s">
        <v>12</v>
      </c>
      <c r="CH252" s="72" t="e">
        <f t="shared" si="260"/>
        <v>#VALUE!</v>
      </c>
      <c r="CI252" s="72" t="e">
        <f t="shared" si="261"/>
        <v>#VALUE!</v>
      </c>
      <c r="CJ252" s="5" t="str">
        <f t="shared" si="233"/>
        <v/>
      </c>
      <c r="CK252" s="5" t="e">
        <f t="shared" si="234"/>
        <v>#VALUE!</v>
      </c>
      <c r="CL252" s="69" t="e">
        <f t="shared" si="235"/>
        <v>#VALUE!</v>
      </c>
      <c r="CN252" s="70" t="str">
        <f t="shared" si="236"/>
        <v/>
      </c>
      <c r="CO252" s="5" t="str">
        <f t="shared" si="237"/>
        <v>UF</v>
      </c>
      <c r="CP252" s="5" t="str">
        <f>IF(G252&lt;48,"UF", IF(NOT(ISBLANK(CM:CM)), CM:CM, IF(BW:BW=1, BV:BV+Sheet2!B359, IF(Sheet1!BW:BW=2, Sheet1!BV:BV+Sheet2!B360, IF(Sheet1!BW:BW=7, Sheet1!BV:BV+Sheet2!B361,"")))))</f>
        <v>UF</v>
      </c>
      <c r="CQ252" s="69" t="str">
        <f t="shared" si="262"/>
        <v/>
      </c>
      <c r="CR252" s="5" t="s">
        <v>12</v>
      </c>
      <c r="CT252" s="5" t="str">
        <f t="shared" si="238"/>
        <v/>
      </c>
      <c r="CU252" s="80" t="str">
        <f t="shared" si="239"/>
        <v>UF</v>
      </c>
      <c r="CV252" s="80" t="str">
        <f t="shared" si="240"/>
        <v>UF</v>
      </c>
      <c r="CW252" s="20" t="str">
        <f>IF(G252&lt;48,"UF", IF(NOT(ISBLANK(CS252)), CS252, IF(CE252=5, CC252+Sheet2!B348, IF(CE252=6, CC252+Sheet2!B349, IF(CE252=7, CC252+Sheet2!B350,"")))))</f>
        <v>UF</v>
      </c>
      <c r="CX252" s="68" t="str">
        <f t="shared" si="263"/>
        <v/>
      </c>
      <c r="CY252" s="5" t="s">
        <v>12</v>
      </c>
      <c r="DA252" s="5" t="str">
        <f t="shared" si="241"/>
        <v>UF</v>
      </c>
      <c r="DB252" s="73" t="str">
        <f t="shared" si="242"/>
        <v>UF</v>
      </c>
      <c r="DC252" s="73" t="str">
        <f t="shared" si="243"/>
        <v>UF</v>
      </c>
      <c r="DD252" s="5" t="str">
        <f>IF(G252&lt;48,"UF", IF(NOT(ISBLANK(CZ:CZ)), CZ:CZ, IF(CL:CL=3, CK:CK+Sheet2!B353, IF(CL:CL=4, CK:CK+Sheet2!B354, IF(CL:CL=7, CK:CK+Sheet2!B355,"")))))</f>
        <v>UF</v>
      </c>
      <c r="DE252" s="69" t="str">
        <f t="shared" si="266"/>
        <v/>
      </c>
      <c r="DF252" s="2">
        <v>3</v>
      </c>
      <c r="DG252" s="2">
        <v>33</v>
      </c>
      <c r="DH252" s="2">
        <v>2</v>
      </c>
      <c r="DI252" s="2">
        <v>2</v>
      </c>
      <c r="DJ252" s="2">
        <v>1</v>
      </c>
      <c r="DK252" s="2">
        <v>120</v>
      </c>
      <c r="DL252" s="2">
        <v>80</v>
      </c>
      <c r="DM252" s="2">
        <v>120</v>
      </c>
      <c r="DN252" s="2">
        <v>80</v>
      </c>
      <c r="DO252" s="2">
        <v>130</v>
      </c>
      <c r="DP252" s="2">
        <v>90</v>
      </c>
      <c r="DQ252" s="2">
        <v>2</v>
      </c>
      <c r="DR252" s="2">
        <v>39</v>
      </c>
      <c r="DS252" s="2">
        <v>1</v>
      </c>
      <c r="DT252" s="2">
        <v>80</v>
      </c>
      <c r="DU252" s="2">
        <v>92</v>
      </c>
      <c r="DV252" s="2">
        <v>2</v>
      </c>
      <c r="DW252" s="2">
        <v>2</v>
      </c>
      <c r="DX252" s="2">
        <v>2</v>
      </c>
      <c r="DY252" s="2">
        <v>2</v>
      </c>
      <c r="DZ252" s="2">
        <v>35</v>
      </c>
      <c r="EA252" s="2" t="s">
        <v>12</v>
      </c>
      <c r="EB252" s="2">
        <v>46</v>
      </c>
      <c r="EC252" s="2" t="s">
        <v>12</v>
      </c>
      <c r="ED252" s="2">
        <v>1</v>
      </c>
    </row>
    <row r="253" spans="3:134" x14ac:dyDescent="0.25">
      <c r="C253" s="10" t="s">
        <v>377</v>
      </c>
      <c r="D253" s="2">
        <v>2501036743</v>
      </c>
      <c r="E253" s="5">
        <v>2</v>
      </c>
      <c r="F253" s="2">
        <v>2</v>
      </c>
      <c r="G253" s="2">
        <v>48</v>
      </c>
      <c r="H253" s="2">
        <v>-2.7492456478879088</v>
      </c>
      <c r="I253" s="2">
        <v>47</v>
      </c>
      <c r="J253" s="2">
        <v>-1.5235289479443319</v>
      </c>
      <c r="K253" s="5">
        <v>2300</v>
      </c>
      <c r="L253" s="2">
        <v>-2.407174650982435</v>
      </c>
      <c r="M253" s="2">
        <v>-3.1151</v>
      </c>
      <c r="N253" s="2">
        <f t="shared" si="203"/>
        <v>0.27787282394395452</v>
      </c>
      <c r="O253" s="2">
        <f t="shared" si="204"/>
        <v>-3.1151</v>
      </c>
      <c r="P253" s="2">
        <v>68</v>
      </c>
      <c r="Q253" s="2">
        <v>0.17</v>
      </c>
      <c r="R253" s="5">
        <f t="shared" si="205"/>
        <v>-2.3235526027834075E-2</v>
      </c>
      <c r="S253" s="5">
        <f t="shared" si="206"/>
        <v>0.17</v>
      </c>
      <c r="T253" s="1">
        <v>6240</v>
      </c>
      <c r="U253" s="2">
        <v>-2.16</v>
      </c>
      <c r="V253" s="2">
        <f t="shared" si="207"/>
        <v>-3.1412674508782601E-2</v>
      </c>
      <c r="W253" s="2">
        <f t="shared" si="208"/>
        <v>-2.16</v>
      </c>
      <c r="X253" s="2">
        <v>-2.1934999999999998</v>
      </c>
      <c r="Y253" s="76">
        <f t="shared" si="244"/>
        <v>0.55574564788790903</v>
      </c>
      <c r="Z253" s="76">
        <f t="shared" si="245"/>
        <v>1</v>
      </c>
      <c r="AA253" s="2">
        <f t="shared" si="209"/>
        <v>-1.03505</v>
      </c>
      <c r="AB253" s="2">
        <f t="shared" si="210"/>
        <v>-2.1934999999999998</v>
      </c>
      <c r="AC253" s="2">
        <v>72</v>
      </c>
      <c r="AD253" s="2">
        <v>-1.57</v>
      </c>
      <c r="AE253" s="79">
        <f t="shared" si="246"/>
        <v>-4.6471052055668149E-2</v>
      </c>
      <c r="AF253" s="79">
        <f t="shared" si="247"/>
        <v>-1</v>
      </c>
      <c r="AG253" s="2">
        <f t="shared" si="265"/>
        <v>-1.155</v>
      </c>
      <c r="AH253" s="2">
        <f t="shared" si="211"/>
        <v>-1.57</v>
      </c>
      <c r="AI253" s="2">
        <v>7350</v>
      </c>
      <c r="AJ253" s="2">
        <v>-2.4700000000000002</v>
      </c>
      <c r="AK253" s="76">
        <f t="shared" si="248"/>
        <v>-6.2825349017565202E-2</v>
      </c>
      <c r="AL253" s="76">
        <f t="shared" si="249"/>
        <v>-1</v>
      </c>
      <c r="AM253" s="2">
        <f t="shared" si="212"/>
        <v>-0.22499999999999987</v>
      </c>
      <c r="AN253" s="2">
        <f t="shared" si="213"/>
        <v>-2.4700000000000002</v>
      </c>
      <c r="AO253" s="2">
        <v>-1.9000999999999999</v>
      </c>
      <c r="AP253" s="2">
        <f t="shared" si="214"/>
        <v>-7.5288485418480988E-3</v>
      </c>
      <c r="AQ253" s="2">
        <f t="shared" si="215"/>
        <v>-1.9000999999999999</v>
      </c>
      <c r="AR253" s="2">
        <v>76.5</v>
      </c>
      <c r="AS253" s="2">
        <v>-2.14</v>
      </c>
      <c r="AT253" s="2">
        <f t="shared" si="216"/>
        <v>-0.19247745727585097</v>
      </c>
      <c r="AU253" s="2">
        <f t="shared" si="217"/>
        <v>-2.14</v>
      </c>
      <c r="AV253" s="2">
        <v>8180</v>
      </c>
      <c r="AW253" s="2">
        <v>-2.61</v>
      </c>
      <c r="AX253" s="2">
        <f t="shared" si="218"/>
        <v>-0.37900571660775384</v>
      </c>
      <c r="AY253" s="2">
        <f t="shared" si="219"/>
        <v>-2.61</v>
      </c>
      <c r="AZ253" s="2">
        <v>-2.208557697083696</v>
      </c>
      <c r="BA253" s="78">
        <f t="shared" si="250"/>
        <v>-1.5057697083696198E-2</v>
      </c>
      <c r="BB253" s="78">
        <f t="shared" si="251"/>
        <v>-1</v>
      </c>
      <c r="BC253" s="2">
        <f t="shared" si="220"/>
        <v>-0.35652089217963739</v>
      </c>
      <c r="BD253" s="2">
        <f t="shared" si="221"/>
        <v>-2.208557697083696</v>
      </c>
      <c r="BE253" s="67">
        <f t="shared" si="252"/>
        <v>2</v>
      </c>
      <c r="BF253" s="2">
        <v>80</v>
      </c>
      <c r="BG253" s="2">
        <v>-1.954954914551702</v>
      </c>
      <c r="BH253" s="2">
        <f t="shared" si="222"/>
        <v>0.14565282618042538</v>
      </c>
      <c r="BI253" s="2">
        <f t="shared" si="223"/>
        <v>-1.954954914551702</v>
      </c>
      <c r="BJ253" s="67">
        <f t="shared" si="224"/>
        <v>7</v>
      </c>
      <c r="BK253" s="2">
        <v>9100</v>
      </c>
      <c r="BL253" s="2">
        <v>-3.2280114332155079</v>
      </c>
      <c r="BM253" s="77">
        <f t="shared" si="253"/>
        <v>-0.75801143321550768</v>
      </c>
      <c r="BN253" s="77">
        <f t="shared" si="254"/>
        <v>-2</v>
      </c>
      <c r="BO253" s="2">
        <f t="shared" si="225"/>
        <v>-0.17044617612158541</v>
      </c>
      <c r="BP253" s="2">
        <f t="shared" si="226"/>
        <v>-3.2280114332155079</v>
      </c>
      <c r="BQ253" s="67">
        <f t="shared" si="255"/>
        <v>3</v>
      </c>
      <c r="BR253" s="5">
        <v>-2.969662676538912</v>
      </c>
      <c r="BS253" s="75">
        <f t="shared" si="256"/>
        <v>-0.76110497945521605</v>
      </c>
      <c r="BT253" s="75">
        <f t="shared" si="257"/>
        <v>-2</v>
      </c>
      <c r="BU253" s="5" t="str">
        <f t="shared" si="267"/>
        <v/>
      </c>
      <c r="BV253" s="5">
        <f t="shared" si="227"/>
        <v>-2.969662676538912</v>
      </c>
      <c r="BW253" s="69">
        <f t="shared" si="228"/>
        <v>2</v>
      </c>
      <c r="BX253" s="2">
        <v>89</v>
      </c>
      <c r="BY253" s="5">
        <v>-1.703041521458724</v>
      </c>
      <c r="BZ253" s="74">
        <f t="shared" si="258"/>
        <v>1.5249699117567839</v>
      </c>
      <c r="CA253" s="74">
        <f t="shared" si="259"/>
        <v>2</v>
      </c>
      <c r="CB253" s="5" t="str">
        <f t="shared" si="229"/>
        <v/>
      </c>
      <c r="CC253" s="5">
        <f t="shared" si="230"/>
        <v>-1.703041521458724</v>
      </c>
      <c r="CD253" s="2">
        <f t="shared" si="231"/>
        <v>0.251913393092978</v>
      </c>
      <c r="CE253" s="69">
        <f t="shared" si="232"/>
        <v>7</v>
      </c>
      <c r="CF253" s="5">
        <v>10500</v>
      </c>
      <c r="CG253" s="5">
        <v>-3.1213385283647561</v>
      </c>
      <c r="CH253" s="72">
        <f t="shared" si="260"/>
        <v>0.10667290485075176</v>
      </c>
      <c r="CI253" s="72">
        <f t="shared" si="261"/>
        <v>1</v>
      </c>
      <c r="CJ253" s="5" t="str">
        <f t="shared" si="233"/>
        <v/>
      </c>
      <c r="CK253" s="5">
        <f t="shared" si="234"/>
        <v>-3.1213385283647561</v>
      </c>
      <c r="CL253" s="69">
        <f t="shared" si="235"/>
        <v>3</v>
      </c>
      <c r="CN253" s="70" t="str">
        <f t="shared" si="236"/>
        <v/>
      </c>
      <c r="CO253" s="5">
        <f t="shared" si="237"/>
        <v>0</v>
      </c>
      <c r="CP253" s="5">
        <f>IF(G253&lt;48,"UF", IF(NOT(ISBLANK(CM:CM)), CM:CM, IF(BW:BW=1, BV:BV+Sheet2!B40, IF(Sheet1!BW:BW=2, Sheet1!BV:BV+Sheet2!B41, IF(Sheet1!BW:BW=7, Sheet1!BV:BV+Sheet2!B42,"")))))</f>
        <v>-2.969662676538912</v>
      </c>
      <c r="CQ253" s="69">
        <f t="shared" si="262"/>
        <v>2</v>
      </c>
      <c r="CR253" s="5" t="s">
        <v>12</v>
      </c>
      <c r="CT253" s="5" t="str">
        <f t="shared" si="238"/>
        <v/>
      </c>
      <c r="CU253" s="80">
        <f t="shared" si="239"/>
        <v>0</v>
      </c>
      <c r="CV253" s="80">
        <f t="shared" si="240"/>
        <v>-1</v>
      </c>
      <c r="CW253" s="20">
        <f>IF(G253&lt;48,"UF", IF(NOT(ISBLANK(CS253)), CS253, IF(CE253=5, CC253+Sheet2!B29, IF(CE253=6, CC253+Sheet2!B30, IF(CE253=7, CC253+Sheet2!B31,"")))))</f>
        <v>-1.703041521458724</v>
      </c>
      <c r="CX253" s="68">
        <f t="shared" si="263"/>
        <v>7</v>
      </c>
      <c r="CY253" s="5" t="s">
        <v>12</v>
      </c>
      <c r="DA253" s="5" t="str">
        <f t="shared" si="241"/>
        <v/>
      </c>
      <c r="DB253" s="73">
        <f t="shared" si="242"/>
        <v>0</v>
      </c>
      <c r="DC253" s="73">
        <f t="shared" si="243"/>
        <v>-1</v>
      </c>
      <c r="DD253" s="5">
        <f>IF(G253&lt;48,"UF", IF(NOT(ISBLANK(CZ:CZ)), CZ:CZ, IF(CL:CL=3, CK:CK+Sheet2!B34, IF(CL:CL=4, CK:CK+Sheet2!B35, IF(CL:CL=7, CK:CK+Sheet2!B36,"")))))</f>
        <v>-3.1213385283647561</v>
      </c>
      <c r="DE253" s="69">
        <f t="shared" si="266"/>
        <v>3</v>
      </c>
      <c r="DF253" s="2">
        <v>3</v>
      </c>
      <c r="DG253" s="2">
        <v>29</v>
      </c>
      <c r="DH253" s="2">
        <v>2</v>
      </c>
      <c r="DI253" s="2">
        <v>2</v>
      </c>
      <c r="DJ253" s="2">
        <v>2</v>
      </c>
      <c r="DK253" s="2">
        <v>90</v>
      </c>
      <c r="DL253" s="2">
        <v>50</v>
      </c>
      <c r="DM253" s="2">
        <v>100</v>
      </c>
      <c r="DN253" s="2">
        <v>55</v>
      </c>
      <c r="DO253" s="2">
        <v>100</v>
      </c>
      <c r="DP253" s="2">
        <v>55</v>
      </c>
      <c r="DQ253" s="2">
        <v>2</v>
      </c>
      <c r="DR253" s="2">
        <v>37</v>
      </c>
      <c r="DS253" s="2">
        <v>2</v>
      </c>
      <c r="DT253" s="2">
        <v>83</v>
      </c>
      <c r="DU253" s="2">
        <v>75</v>
      </c>
      <c r="DV253" s="2">
        <v>2</v>
      </c>
      <c r="DW253" s="2">
        <v>2</v>
      </c>
      <c r="DX253" s="2">
        <v>2</v>
      </c>
      <c r="DY253" s="2">
        <v>2</v>
      </c>
      <c r="DZ253" s="2">
        <v>33</v>
      </c>
      <c r="EA253" s="2">
        <v>33.5</v>
      </c>
      <c r="EB253" s="2">
        <v>43</v>
      </c>
      <c r="EC253" s="2">
        <v>1</v>
      </c>
      <c r="ED253" s="2">
        <v>1</v>
      </c>
    </row>
    <row r="254" spans="3:134" x14ac:dyDescent="0.25">
      <c r="C254" s="8" t="s">
        <v>341</v>
      </c>
      <c r="D254" s="2">
        <v>2501036867</v>
      </c>
      <c r="E254" s="5">
        <v>7</v>
      </c>
      <c r="F254" s="2">
        <v>1</v>
      </c>
      <c r="G254" s="2">
        <v>40</v>
      </c>
      <c r="H254" s="2">
        <v>-1.457809558717148</v>
      </c>
      <c r="I254" s="2">
        <v>47</v>
      </c>
      <c r="J254" s="2">
        <v>-1.153005671500261</v>
      </c>
      <c r="K254" s="2">
        <v>2575</v>
      </c>
      <c r="L254" s="2">
        <v>-1.536593152243481</v>
      </c>
      <c r="M254" s="2">
        <v>-0.4617</v>
      </c>
      <c r="N254" s="2">
        <f t="shared" si="203"/>
        <v>0.81980477935857399</v>
      </c>
      <c r="O254" s="2">
        <f t="shared" si="204"/>
        <v>-0.4617</v>
      </c>
      <c r="P254" s="2">
        <v>68</v>
      </c>
      <c r="Q254" s="2">
        <v>0.99</v>
      </c>
      <c r="R254" s="5">
        <f t="shared" si="205"/>
        <v>0.77150283575013057</v>
      </c>
      <c r="S254" s="5">
        <f t="shared" si="206"/>
        <v>0.99</v>
      </c>
      <c r="T254" s="2">
        <v>7500</v>
      </c>
      <c r="U254" s="2">
        <v>0.22</v>
      </c>
      <c r="V254" s="2">
        <f t="shared" si="207"/>
        <v>0.94829657612174056</v>
      </c>
      <c r="W254" s="2">
        <f t="shared" si="208"/>
        <v>0.22</v>
      </c>
      <c r="X254" s="2">
        <v>0.18179999999999999</v>
      </c>
      <c r="Y254" s="76">
        <f t="shared" si="244"/>
        <v>1.639609558717148</v>
      </c>
      <c r="Z254" s="76">
        <f t="shared" si="245"/>
        <v>2</v>
      </c>
      <c r="AA254" s="2">
        <f t="shared" si="209"/>
        <v>-0.33994999999999997</v>
      </c>
      <c r="AB254" s="2">
        <f t="shared" si="210"/>
        <v>0.18179999999999999</v>
      </c>
      <c r="AC254" s="2">
        <v>75</v>
      </c>
      <c r="AD254" s="2">
        <v>0.39</v>
      </c>
      <c r="AE254" s="79">
        <f t="shared" si="246"/>
        <v>1.5430056715002611</v>
      </c>
      <c r="AF254" s="79">
        <f t="shared" si="247"/>
        <v>2</v>
      </c>
      <c r="AG254" s="2">
        <f t="shared" si="265"/>
        <v>6.9999999999999951E-2</v>
      </c>
      <c r="AH254" s="2">
        <f t="shared" si="211"/>
        <v>0.39</v>
      </c>
      <c r="AI254" s="2">
        <v>9350</v>
      </c>
      <c r="AJ254" s="2">
        <v>0.36</v>
      </c>
      <c r="AK254" s="76">
        <f t="shared" si="248"/>
        <v>1.8965931522434811</v>
      </c>
      <c r="AL254" s="76">
        <f t="shared" si="249"/>
        <v>2</v>
      </c>
      <c r="AM254" s="2">
        <f t="shared" si="212"/>
        <v>0.32500000000000001</v>
      </c>
      <c r="AN254" s="2">
        <f t="shared" si="213"/>
        <v>0.36</v>
      </c>
      <c r="AO254" s="2">
        <v>0.31009999999999999</v>
      </c>
      <c r="AP254" s="2" t="str">
        <f t="shared" si="214"/>
        <v/>
      </c>
      <c r="AQ254" s="2">
        <f t="shared" si="215"/>
        <v>0.31009999999999999</v>
      </c>
      <c r="AR254" s="2">
        <v>84</v>
      </c>
      <c r="AS254" s="2">
        <v>1.1299999999999999</v>
      </c>
      <c r="AT254" s="2" t="str">
        <f t="shared" si="216"/>
        <v/>
      </c>
      <c r="AU254" s="2">
        <f t="shared" si="217"/>
        <v>1.1299999999999999</v>
      </c>
      <c r="AV254" s="2">
        <v>11400</v>
      </c>
      <c r="AW254" s="2">
        <v>0.87</v>
      </c>
      <c r="AX254" s="2" t="str">
        <f t="shared" si="218"/>
        <v/>
      </c>
      <c r="AY254" s="2">
        <f t="shared" si="219"/>
        <v>0.87</v>
      </c>
      <c r="BA254" s="78" t="e">
        <f t="shared" si="250"/>
        <v>#VALUE!</v>
      </c>
      <c r="BB254" s="78" t="e">
        <f t="shared" si="251"/>
        <v>#VALUE!</v>
      </c>
      <c r="BC254" s="2" t="str">
        <f t="shared" si="220"/>
        <v/>
      </c>
      <c r="BD254" s="2" t="e">
        <f t="shared" si="221"/>
        <v>#VALUE!</v>
      </c>
      <c r="BE254" s="67" t="e">
        <f t="shared" si="252"/>
        <v>#VALUE!</v>
      </c>
      <c r="BF254" s="2" t="s">
        <v>12</v>
      </c>
      <c r="BH254" s="2" t="str">
        <f t="shared" si="222"/>
        <v/>
      </c>
      <c r="BI254" s="2" t="e">
        <f t="shared" si="223"/>
        <v>#VALUE!</v>
      </c>
      <c r="BJ254" s="67" t="e">
        <f t="shared" si="224"/>
        <v>#VALUE!</v>
      </c>
      <c r="BK254" s="2" t="s">
        <v>12</v>
      </c>
      <c r="BM254" s="77" t="e">
        <f t="shared" si="253"/>
        <v>#VALUE!</v>
      </c>
      <c r="BN254" s="77" t="e">
        <f t="shared" si="254"/>
        <v>#VALUE!</v>
      </c>
      <c r="BO254" s="2" t="str">
        <f t="shared" si="225"/>
        <v/>
      </c>
      <c r="BP254" s="2" t="e">
        <f t="shared" si="226"/>
        <v>#VALUE!</v>
      </c>
      <c r="BQ254" s="67" t="e">
        <f t="shared" si="255"/>
        <v>#VALUE!</v>
      </c>
      <c r="BS254" s="75" t="e">
        <f t="shared" si="256"/>
        <v>#VALUE!</v>
      </c>
      <c r="BT254" s="75" t="e">
        <f t="shared" si="257"/>
        <v>#VALUE!</v>
      </c>
      <c r="BU254" s="5" t="str">
        <f t="shared" si="267"/>
        <v/>
      </c>
      <c r="BV254" s="5" t="e">
        <f t="shared" si="227"/>
        <v>#VALUE!</v>
      </c>
      <c r="BW254" s="69" t="e">
        <f t="shared" si="228"/>
        <v>#VALUE!</v>
      </c>
      <c r="BX254" s="2" t="s">
        <v>12</v>
      </c>
      <c r="BZ254" s="74" t="e">
        <f t="shared" si="258"/>
        <v>#VALUE!</v>
      </c>
      <c r="CA254" s="74" t="e">
        <f t="shared" si="259"/>
        <v>#VALUE!</v>
      </c>
      <c r="CB254" s="5" t="str">
        <f t="shared" si="229"/>
        <v/>
      </c>
      <c r="CC254" s="5" t="e">
        <f t="shared" si="230"/>
        <v>#VALUE!</v>
      </c>
      <c r="CD254" s="2" t="e">
        <f t="shared" si="231"/>
        <v>#VALUE!</v>
      </c>
      <c r="CE254" s="69" t="e">
        <f t="shared" si="232"/>
        <v>#VALUE!</v>
      </c>
      <c r="CF254" s="5" t="s">
        <v>12</v>
      </c>
      <c r="CH254" s="72" t="e">
        <f t="shared" si="260"/>
        <v>#VALUE!</v>
      </c>
      <c r="CI254" s="72" t="e">
        <f t="shared" si="261"/>
        <v>#VALUE!</v>
      </c>
      <c r="CJ254" s="5" t="str">
        <f t="shared" si="233"/>
        <v/>
      </c>
      <c r="CK254" s="5" t="e">
        <f t="shared" si="234"/>
        <v>#VALUE!</v>
      </c>
      <c r="CL254" s="69" t="e">
        <f t="shared" si="235"/>
        <v>#VALUE!</v>
      </c>
      <c r="CN254" s="70" t="str">
        <f t="shared" si="236"/>
        <v/>
      </c>
      <c r="CO254" s="5" t="str">
        <f t="shared" si="237"/>
        <v>UF</v>
      </c>
      <c r="CP254" s="5" t="str">
        <f>IF(G254&lt;48,"UF", IF(NOT(ISBLANK(CM:CM)), CM:CM, IF(BW:BW=1, BV:BV+Sheet2!B572, IF(Sheet1!BW:BW=2, Sheet1!BV:BV+Sheet2!B573, IF(Sheet1!BW:BW=7, Sheet1!BV:BV+Sheet2!B574,"")))))</f>
        <v>UF</v>
      </c>
      <c r="CQ254" s="69" t="str">
        <f t="shared" si="262"/>
        <v/>
      </c>
      <c r="CR254" s="5" t="s">
        <v>12</v>
      </c>
      <c r="CT254" s="5" t="str">
        <f t="shared" si="238"/>
        <v/>
      </c>
      <c r="CU254" s="80" t="str">
        <f t="shared" si="239"/>
        <v>UF</v>
      </c>
      <c r="CV254" s="80" t="str">
        <f t="shared" si="240"/>
        <v>UF</v>
      </c>
      <c r="CW254" s="20" t="str">
        <f>IF(G254&lt;48,"UF", IF(NOT(ISBLANK(CS254)), CS254, IF(CE254=5, CC254+Sheet2!B561, IF(CE254=6, CC254+Sheet2!B562, IF(CE254=7, CC254+Sheet2!B563,"")))))</f>
        <v>UF</v>
      </c>
      <c r="CX254" s="68" t="str">
        <f t="shared" si="263"/>
        <v/>
      </c>
      <c r="CY254" s="5" t="s">
        <v>12</v>
      </c>
      <c r="DA254" s="5" t="str">
        <f t="shared" si="241"/>
        <v>UF</v>
      </c>
      <c r="DB254" s="73" t="str">
        <f t="shared" si="242"/>
        <v>UF</v>
      </c>
      <c r="DC254" s="73" t="str">
        <f t="shared" si="243"/>
        <v>UF</v>
      </c>
      <c r="DD254" s="5" t="str">
        <f>IF(G254&lt;48,"UF", IF(NOT(ISBLANK(CZ:CZ)), CZ:CZ, IF(CL:CL=3, CK:CK+Sheet2!B566, IF(CL:CL=4, CK:CK+Sheet2!B567, IF(CL:CL=7, CK:CK+Sheet2!B568,"")))))</f>
        <v>UF</v>
      </c>
      <c r="DE254" s="69" t="str">
        <f t="shared" si="266"/>
        <v/>
      </c>
      <c r="DF254" s="2">
        <v>2</v>
      </c>
      <c r="DG254" s="2">
        <v>40</v>
      </c>
      <c r="DH254" s="2">
        <v>1</v>
      </c>
      <c r="DI254" s="2">
        <v>2</v>
      </c>
      <c r="DJ254" s="2">
        <v>2</v>
      </c>
      <c r="DK254" s="2">
        <v>120.5</v>
      </c>
      <c r="DL254" s="2">
        <v>70</v>
      </c>
      <c r="DM254" s="2" t="s">
        <v>12</v>
      </c>
      <c r="DN254" s="2" t="s">
        <v>12</v>
      </c>
      <c r="DO254" s="2">
        <v>120.5</v>
      </c>
      <c r="DP254" s="2">
        <v>70</v>
      </c>
      <c r="DQ254" s="2">
        <v>2</v>
      </c>
      <c r="DR254" s="2">
        <v>38</v>
      </c>
      <c r="DS254" s="2">
        <v>1</v>
      </c>
      <c r="DT254" s="2">
        <v>86</v>
      </c>
      <c r="DU254" s="2">
        <v>100</v>
      </c>
      <c r="DV254" s="2">
        <v>3</v>
      </c>
      <c r="DW254" s="2">
        <v>2</v>
      </c>
      <c r="DX254" s="2">
        <v>2</v>
      </c>
      <c r="DY254" s="2">
        <v>2</v>
      </c>
      <c r="DZ254" s="2">
        <v>33</v>
      </c>
      <c r="EA254" s="2">
        <v>33</v>
      </c>
      <c r="EB254" s="2">
        <v>44</v>
      </c>
      <c r="EC254" s="2">
        <v>1</v>
      </c>
      <c r="ED254" s="2">
        <v>1</v>
      </c>
    </row>
    <row r="255" spans="3:134" x14ac:dyDescent="0.25">
      <c r="C255" s="8" t="s">
        <v>157</v>
      </c>
      <c r="D255" s="8">
        <v>2501036931</v>
      </c>
      <c r="E255" s="5">
        <v>7</v>
      </c>
      <c r="F255" s="2">
        <v>1</v>
      </c>
      <c r="G255" s="2">
        <v>38</v>
      </c>
      <c r="H255" s="2">
        <v>-0.78689164777190346</v>
      </c>
      <c r="I255" s="2">
        <v>50</v>
      </c>
      <c r="J255" s="2">
        <v>0.45756143734440202</v>
      </c>
      <c r="K255" s="2">
        <v>3100</v>
      </c>
      <c r="L255" s="2">
        <v>-0.29236112544414727</v>
      </c>
      <c r="M255" s="2">
        <v>0.90939999999999999</v>
      </c>
      <c r="N255" s="2">
        <f t="shared" si="203"/>
        <v>1.0716958238859517</v>
      </c>
      <c r="O255" s="2">
        <f t="shared" si="204"/>
        <v>0.90939999999999999</v>
      </c>
      <c r="P255" s="2">
        <v>66</v>
      </c>
      <c r="Q255" s="2">
        <v>0.11</v>
      </c>
      <c r="R255" s="5">
        <f t="shared" si="205"/>
        <v>-0.22878071867220101</v>
      </c>
      <c r="S255" s="5">
        <f t="shared" si="206"/>
        <v>0.11</v>
      </c>
      <c r="T255" s="2">
        <v>8000</v>
      </c>
      <c r="U255" s="2">
        <v>0.75</v>
      </c>
      <c r="V255" s="2">
        <f t="shared" si="207"/>
        <v>0.64118056272207369</v>
      </c>
      <c r="W255" s="2">
        <f t="shared" si="208"/>
        <v>0.75</v>
      </c>
      <c r="X255" s="2">
        <v>1.3565</v>
      </c>
      <c r="Y255" s="76">
        <f t="shared" si="244"/>
        <v>2.1433916477719035</v>
      </c>
      <c r="Z255" s="76">
        <f t="shared" si="245"/>
        <v>2</v>
      </c>
      <c r="AA255" s="2">
        <f t="shared" si="209"/>
        <v>0.48495000000000005</v>
      </c>
      <c r="AB255" s="2">
        <f t="shared" si="210"/>
        <v>1.3565</v>
      </c>
      <c r="AC255" s="2">
        <v>74</v>
      </c>
      <c r="AD255" s="2">
        <v>0</v>
      </c>
      <c r="AE255" s="79">
        <f t="shared" si="246"/>
        <v>-0.45756143734440202</v>
      </c>
      <c r="AF255" s="79">
        <f t="shared" si="247"/>
        <v>-1</v>
      </c>
      <c r="AG255" s="2">
        <f t="shared" si="265"/>
        <v>-0.35</v>
      </c>
      <c r="AH255" s="2">
        <f t="shared" si="211"/>
        <v>0</v>
      </c>
      <c r="AI255" s="2">
        <v>10120</v>
      </c>
      <c r="AJ255" s="2">
        <v>0.99</v>
      </c>
      <c r="AK255" s="76">
        <f t="shared" si="248"/>
        <v>1.2823611254441474</v>
      </c>
      <c r="AL255" s="76">
        <f t="shared" si="249"/>
        <v>2</v>
      </c>
      <c r="AM255" s="2">
        <f t="shared" si="212"/>
        <v>-0.155</v>
      </c>
      <c r="AN255" s="2">
        <f t="shared" si="213"/>
        <v>0.99</v>
      </c>
      <c r="AO255" s="2">
        <v>1.0799000000000001</v>
      </c>
      <c r="AP255" s="2">
        <f t="shared" si="214"/>
        <v>-0.3304372429141535</v>
      </c>
      <c r="AQ255" s="2">
        <f t="shared" si="215"/>
        <v>1.0799000000000001</v>
      </c>
      <c r="AR255" s="2">
        <v>79</v>
      </c>
      <c r="AS255" s="2">
        <v>-0.59</v>
      </c>
      <c r="AT255" s="2">
        <f t="shared" si="216"/>
        <v>-0.34327350475836804</v>
      </c>
      <c r="AU255" s="2">
        <f t="shared" si="217"/>
        <v>-0.59</v>
      </c>
      <c r="AV255" s="2">
        <v>10800</v>
      </c>
      <c r="AW255" s="2">
        <v>0.44</v>
      </c>
      <c r="AX255" s="2">
        <f t="shared" si="218"/>
        <v>-0.54696489070164367</v>
      </c>
      <c r="AY255" s="2">
        <f t="shared" si="219"/>
        <v>0.44</v>
      </c>
      <c r="AZ255" s="2">
        <v>0.69562551417169305</v>
      </c>
      <c r="BA255" s="78">
        <f t="shared" si="250"/>
        <v>-0.66087448582830699</v>
      </c>
      <c r="BB255" s="78">
        <f t="shared" si="251"/>
        <v>-1</v>
      </c>
      <c r="BC255" s="2">
        <f t="shared" si="220"/>
        <v>-0.12163979209062255</v>
      </c>
      <c r="BD255" s="2">
        <f t="shared" si="221"/>
        <v>0.69562551417169305</v>
      </c>
      <c r="BE255" s="67">
        <f t="shared" si="252"/>
        <v>7</v>
      </c>
      <c r="BF255" s="2">
        <v>83</v>
      </c>
      <c r="BG255" s="2">
        <v>-0.68654700951673608</v>
      </c>
      <c r="BH255" s="2">
        <f t="shared" si="222"/>
        <v>-0.16183228744261868</v>
      </c>
      <c r="BI255" s="2">
        <f t="shared" si="223"/>
        <v>-0.68654700951673608</v>
      </c>
      <c r="BJ255" s="67">
        <f t="shared" si="224"/>
        <v>7</v>
      </c>
      <c r="BK255" s="2">
        <v>12000</v>
      </c>
      <c r="BL255" s="2">
        <v>-0.10392978140328731</v>
      </c>
      <c r="BM255" s="77">
        <f t="shared" si="253"/>
        <v>-1.0939297814032873</v>
      </c>
      <c r="BN255" s="77">
        <f t="shared" si="254"/>
        <v>-2</v>
      </c>
      <c r="BO255" s="2">
        <f t="shared" si="225"/>
        <v>-0.23784670160398691</v>
      </c>
      <c r="BP255" s="2">
        <f t="shared" si="226"/>
        <v>-0.10392978140328731</v>
      </c>
      <c r="BQ255" s="67">
        <f t="shared" si="255"/>
        <v>7</v>
      </c>
      <c r="BR255" s="5">
        <v>0.71498062372813243</v>
      </c>
      <c r="BS255" s="75">
        <f t="shared" si="256"/>
        <v>1.9355109556439376E-2</v>
      </c>
      <c r="BT255" s="75">
        <f t="shared" si="257"/>
        <v>1</v>
      </c>
      <c r="BU255" s="5" t="str">
        <f t="shared" si="267"/>
        <v/>
      </c>
      <c r="BV255" s="5">
        <f t="shared" si="227"/>
        <v>0.71498062372813243</v>
      </c>
      <c r="BW255" s="69">
        <f t="shared" si="228"/>
        <v>7</v>
      </c>
      <c r="BX255" s="2">
        <v>90</v>
      </c>
      <c r="BY255" s="5">
        <v>-1.075496862327856</v>
      </c>
      <c r="BZ255" s="74">
        <f t="shared" si="258"/>
        <v>-0.97156708092456867</v>
      </c>
      <c r="CA255" s="74">
        <f t="shared" si="259"/>
        <v>-2</v>
      </c>
      <c r="CB255" s="5" t="str">
        <f t="shared" si="229"/>
        <v/>
      </c>
      <c r="CC255" s="5">
        <f t="shared" si="230"/>
        <v>-1.075496862327856</v>
      </c>
      <c r="CD255" s="2">
        <f t="shared" si="231"/>
        <v>-0.38894985281111993</v>
      </c>
      <c r="CE255" s="69">
        <f t="shared" si="232"/>
        <v>7</v>
      </c>
      <c r="CF255" s="5">
        <v>13500</v>
      </c>
      <c r="CG255" s="5">
        <v>-0.27354010481196073</v>
      </c>
      <c r="CH255" s="72">
        <f t="shared" si="260"/>
        <v>-0.16961032340867344</v>
      </c>
      <c r="CI255" s="72">
        <f t="shared" si="261"/>
        <v>-1</v>
      </c>
      <c r="CJ255" s="5" t="str">
        <f t="shared" si="233"/>
        <v/>
      </c>
      <c r="CK255" s="5">
        <f t="shared" si="234"/>
        <v>-0.27354010481196073</v>
      </c>
      <c r="CL255" s="69">
        <f t="shared" si="235"/>
        <v>7</v>
      </c>
      <c r="CN255" s="70" t="str">
        <f t="shared" si="236"/>
        <v/>
      </c>
      <c r="CO255" s="5" t="str">
        <f t="shared" si="237"/>
        <v>UF</v>
      </c>
      <c r="CP255" s="5" t="str">
        <f>IF(G255&lt;48,"UF", IF(NOT(ISBLANK(CM:CM)), CM:CM, IF(BW:BW=1, BV:BV+Sheet2!B536, IF(Sheet1!BW:BW=2, Sheet1!BV:BV+Sheet2!B537, IF(Sheet1!BW:BW=7, Sheet1!BV:BV+Sheet2!B538,"")))))</f>
        <v>UF</v>
      </c>
      <c r="CQ255" s="69" t="str">
        <f t="shared" si="262"/>
        <v/>
      </c>
      <c r="CR255" s="5" t="s">
        <v>12</v>
      </c>
      <c r="CT255" s="5" t="str">
        <f t="shared" si="238"/>
        <v/>
      </c>
      <c r="CU255" s="80" t="str">
        <f t="shared" si="239"/>
        <v>UF</v>
      </c>
      <c r="CV255" s="80" t="str">
        <f t="shared" si="240"/>
        <v>UF</v>
      </c>
      <c r="CW255" s="20" t="str">
        <f>IF(G255&lt;48,"UF", IF(NOT(ISBLANK(CS255)), CS255, IF(CE255=5, CC255+Sheet2!B525, IF(CE255=6, CC255+Sheet2!B526, IF(CE255=7, CC255+Sheet2!B527,"")))))</f>
        <v>UF</v>
      </c>
      <c r="CX255" s="68" t="str">
        <f t="shared" si="263"/>
        <v/>
      </c>
      <c r="CY255" s="5" t="s">
        <v>12</v>
      </c>
      <c r="DA255" s="5" t="str">
        <f t="shared" si="241"/>
        <v>UF</v>
      </c>
      <c r="DB255" s="73" t="str">
        <f t="shared" si="242"/>
        <v>UF</v>
      </c>
      <c r="DC255" s="73" t="str">
        <f t="shared" si="243"/>
        <v>UF</v>
      </c>
      <c r="DD255" s="5" t="str">
        <f>IF(G255&lt;48,"UF", IF(NOT(ISBLANK(CZ:CZ)), CZ:CZ, IF(CL:CL=3, CK:CK+Sheet2!B530, IF(CL:CL=4, CK:CK+Sheet2!B531, IF(CL:CL=7, CK:CK+Sheet2!B532,"")))))</f>
        <v>UF</v>
      </c>
      <c r="DE255" s="69" t="str">
        <f t="shared" si="266"/>
        <v/>
      </c>
      <c r="DF255" s="2">
        <v>2</v>
      </c>
      <c r="DG255" s="2">
        <v>31</v>
      </c>
      <c r="DH255" s="2">
        <v>2</v>
      </c>
      <c r="DI255" s="2">
        <v>2</v>
      </c>
      <c r="DJ255" s="2">
        <v>2</v>
      </c>
      <c r="DK255" s="2">
        <v>110</v>
      </c>
      <c r="DL255" s="2">
        <v>60</v>
      </c>
      <c r="DM255" s="2">
        <v>106</v>
      </c>
      <c r="DN255" s="2">
        <v>87</v>
      </c>
      <c r="DO255" s="2">
        <v>90</v>
      </c>
      <c r="DP255" s="2">
        <v>60</v>
      </c>
      <c r="DQ255" s="2">
        <v>1</v>
      </c>
      <c r="DR255" s="2">
        <v>38</v>
      </c>
      <c r="DS255" s="2">
        <v>2</v>
      </c>
      <c r="DT255" s="2">
        <v>88</v>
      </c>
      <c r="DU255" s="2">
        <v>75</v>
      </c>
      <c r="DV255" s="2">
        <v>3</v>
      </c>
      <c r="DW255" s="2">
        <v>2</v>
      </c>
      <c r="DX255" s="2">
        <v>2</v>
      </c>
      <c r="DY255" s="2">
        <v>2</v>
      </c>
      <c r="DZ255" s="2">
        <v>35</v>
      </c>
      <c r="EA255" s="2">
        <v>36</v>
      </c>
      <c r="EB255" s="2">
        <v>48</v>
      </c>
      <c r="EC255" s="2">
        <v>1</v>
      </c>
      <c r="ED255" s="2">
        <v>1</v>
      </c>
    </row>
    <row r="256" spans="3:134" x14ac:dyDescent="0.25">
      <c r="C256" s="8" t="s">
        <v>289</v>
      </c>
      <c r="D256" s="2">
        <v>2501037022</v>
      </c>
      <c r="E256" s="5">
        <v>7</v>
      </c>
      <c r="F256" s="2">
        <v>1</v>
      </c>
      <c r="G256" s="2">
        <v>40</v>
      </c>
      <c r="H256" s="2">
        <v>-1.7796250266849609</v>
      </c>
      <c r="I256" s="2">
        <v>47</v>
      </c>
      <c r="J256" s="2">
        <v>-1.153005671500261</v>
      </c>
      <c r="K256" s="2">
        <v>2500</v>
      </c>
      <c r="L256" s="2">
        <v>-1.7268064884432719</v>
      </c>
      <c r="M256" s="2">
        <v>1.0135000000000001</v>
      </c>
      <c r="N256" s="2">
        <f t="shared" si="203"/>
        <v>1.6886625133424804</v>
      </c>
      <c r="O256" s="2">
        <f t="shared" si="204"/>
        <v>1.0135000000000001</v>
      </c>
      <c r="P256" s="2">
        <v>68.5</v>
      </c>
      <c r="Q256" s="2">
        <v>1.21</v>
      </c>
      <c r="R256" s="5">
        <f t="shared" si="205"/>
        <v>1.2565028357501307</v>
      </c>
      <c r="S256" s="5">
        <f t="shared" si="206"/>
        <v>1.21</v>
      </c>
      <c r="T256" s="2">
        <v>8700</v>
      </c>
      <c r="U256" s="2">
        <v>1.43</v>
      </c>
      <c r="V256" s="2">
        <f t="shared" si="207"/>
        <v>1.808403244221636</v>
      </c>
      <c r="W256" s="2">
        <f t="shared" si="208"/>
        <v>1.43</v>
      </c>
      <c r="X256" s="2">
        <v>1.5976999999999999</v>
      </c>
      <c r="Y256" s="76">
        <f t="shared" si="244"/>
        <v>3.3773250266849608</v>
      </c>
      <c r="Z256" s="76">
        <f t="shared" si="245"/>
        <v>2</v>
      </c>
      <c r="AA256" s="2">
        <f t="shared" si="209"/>
        <v>0.86470000000000002</v>
      </c>
      <c r="AB256" s="2">
        <f t="shared" si="210"/>
        <v>1.5976999999999999</v>
      </c>
      <c r="AC256" s="2">
        <v>77.5</v>
      </c>
      <c r="AD256" s="2">
        <v>1.36</v>
      </c>
      <c r="AE256" s="79">
        <f t="shared" si="246"/>
        <v>2.5130056715002613</v>
      </c>
      <c r="AF256" s="79">
        <f t="shared" si="247"/>
        <v>2</v>
      </c>
      <c r="AG256" s="2">
        <f t="shared" si="265"/>
        <v>-0.86499999999999999</v>
      </c>
      <c r="AH256" s="2">
        <f t="shared" si="211"/>
        <v>1.36</v>
      </c>
      <c r="AI256" s="2">
        <v>11350</v>
      </c>
      <c r="AJ256" s="2">
        <v>1.89</v>
      </c>
      <c r="AK256" s="76">
        <f t="shared" si="248"/>
        <v>3.616806488443272</v>
      </c>
      <c r="AL256" s="76">
        <f t="shared" si="249"/>
        <v>2</v>
      </c>
      <c r="AM256" s="2">
        <f t="shared" si="212"/>
        <v>0.21500000000000008</v>
      </c>
      <c r="AN256" s="2">
        <f t="shared" si="213"/>
        <v>1.89</v>
      </c>
      <c r="AO256" s="2">
        <v>2.9394</v>
      </c>
      <c r="AP256" s="2">
        <f t="shared" si="214"/>
        <v>-0.61703918545832259</v>
      </c>
      <c r="AQ256" s="2">
        <f t="shared" si="215"/>
        <v>2.9394</v>
      </c>
      <c r="AR256" s="2">
        <v>85.5</v>
      </c>
      <c r="AS256" s="2">
        <v>-0.52</v>
      </c>
      <c r="AT256" s="2">
        <f t="shared" si="216"/>
        <v>-0.45023406100756891</v>
      </c>
      <c r="AU256" s="2">
        <f t="shared" si="217"/>
        <v>-0.52</v>
      </c>
      <c r="AV256" s="2">
        <v>12950</v>
      </c>
      <c r="AW256" s="2">
        <v>1.86</v>
      </c>
      <c r="AX256" s="2">
        <f t="shared" si="218"/>
        <v>-0.70214671743765711</v>
      </c>
      <c r="AY256" s="2">
        <f t="shared" si="219"/>
        <v>1.86</v>
      </c>
      <c r="AZ256" s="2">
        <v>0.36362162908335482</v>
      </c>
      <c r="BA256" s="78">
        <f t="shared" si="250"/>
        <v>-1.2340783709166452</v>
      </c>
      <c r="BB256" s="78">
        <f t="shared" si="251"/>
        <v>-2</v>
      </c>
      <c r="BC256" s="2">
        <f t="shared" si="220"/>
        <v>-0.65553902734376968</v>
      </c>
      <c r="BD256" s="2">
        <f t="shared" si="221"/>
        <v>0.36362162908335482</v>
      </c>
      <c r="BE256" s="67">
        <f t="shared" si="252"/>
        <v>7</v>
      </c>
      <c r="BF256" s="2">
        <v>87</v>
      </c>
      <c r="BG256" s="2">
        <v>0.45953187798486228</v>
      </c>
      <c r="BH256" s="2">
        <f t="shared" si="222"/>
        <v>0.23944616079810532</v>
      </c>
      <c r="BI256" s="2">
        <f t="shared" si="223"/>
        <v>0.45953187798486228</v>
      </c>
      <c r="BJ256" s="67">
        <f t="shared" si="224"/>
        <v>7</v>
      </c>
      <c r="BK256" s="2">
        <v>12800</v>
      </c>
      <c r="BL256" s="2">
        <v>0.48570656512468569</v>
      </c>
      <c r="BM256" s="77">
        <f t="shared" si="253"/>
        <v>-1.4042934348753142</v>
      </c>
      <c r="BN256" s="77">
        <f t="shared" si="254"/>
        <v>-2</v>
      </c>
      <c r="BO256" s="2">
        <f t="shared" si="225"/>
        <v>-0.3560443940848968</v>
      </c>
      <c r="BP256" s="2">
        <f t="shared" si="226"/>
        <v>0.48570656512468569</v>
      </c>
      <c r="BQ256" s="67">
        <f t="shared" si="255"/>
        <v>7</v>
      </c>
      <c r="BR256" s="5">
        <v>0.97278291796869087</v>
      </c>
      <c r="BS256" s="75">
        <f t="shared" si="256"/>
        <v>0.60916128888533605</v>
      </c>
      <c r="BT256" s="75">
        <f t="shared" si="257"/>
        <v>1</v>
      </c>
      <c r="BU256" s="5" t="e">
        <f>IF(#REF!&gt;=36, IF(AND(NOT(ISBLANK(CM:CM)), NOT(ISBLANK(BD:BD))), (CM:CM-BD:BD)/2, ""), "UF")</f>
        <v>#REF!</v>
      </c>
      <c r="BV256" s="5">
        <f t="shared" si="227"/>
        <v>0.97278291796869087</v>
      </c>
      <c r="BW256" s="69">
        <f t="shared" si="228"/>
        <v>7</v>
      </c>
      <c r="BX256" s="2">
        <v>95</v>
      </c>
      <c r="BY256" s="5">
        <v>0.19833848239431601</v>
      </c>
      <c r="BZ256" s="74">
        <f t="shared" si="258"/>
        <v>-0.28736808273036968</v>
      </c>
      <c r="CA256" s="74">
        <f t="shared" si="259"/>
        <v>-1</v>
      </c>
      <c r="CB256" s="5" t="str">
        <f t="shared" si="229"/>
        <v/>
      </c>
      <c r="CC256" s="5">
        <f t="shared" si="230"/>
        <v>0.19833848239431601</v>
      </c>
      <c r="CD256" s="2">
        <f t="shared" si="231"/>
        <v>-0.26119339559054627</v>
      </c>
      <c r="CE256" s="69">
        <f t="shared" si="232"/>
        <v>7</v>
      </c>
      <c r="CF256" s="5">
        <v>15400</v>
      </c>
      <c r="CG256" s="5">
        <v>0.79186681774530954</v>
      </c>
      <c r="CH256" s="72">
        <f t="shared" si="260"/>
        <v>0.30616025262062385</v>
      </c>
      <c r="CI256" s="72">
        <f t="shared" si="261"/>
        <v>1</v>
      </c>
      <c r="CJ256" s="5" t="str">
        <f t="shared" si="233"/>
        <v/>
      </c>
      <c r="CK256" s="5">
        <f t="shared" si="234"/>
        <v>0.79186681774530954</v>
      </c>
      <c r="CL256" s="69">
        <f t="shared" si="235"/>
        <v>7</v>
      </c>
      <c r="CN256" s="70" t="str">
        <f t="shared" si="236"/>
        <v/>
      </c>
      <c r="CO256" s="5" t="str">
        <f t="shared" si="237"/>
        <v>UF</v>
      </c>
      <c r="CP256" s="5" t="str">
        <f>IF(G256&lt;48,"UF", IF(NOT(ISBLANK(CM:CM)), CM:CM, IF(BW:BW=1, BV:BV+Sheet2!B588, IF(Sheet1!BW:BW=2, Sheet1!BV:BV+Sheet2!B589, IF(Sheet1!BW:BW=7, Sheet1!BV:BV+Sheet2!B590,"")))))</f>
        <v>UF</v>
      </c>
      <c r="CQ256" s="69" t="str">
        <f t="shared" si="262"/>
        <v/>
      </c>
      <c r="CR256" s="5" t="s">
        <v>12</v>
      </c>
      <c r="CT256" s="5" t="str">
        <f t="shared" si="238"/>
        <v/>
      </c>
      <c r="CU256" s="80" t="str">
        <f t="shared" si="239"/>
        <v>UF</v>
      </c>
      <c r="CV256" s="80" t="str">
        <f t="shared" si="240"/>
        <v>UF</v>
      </c>
      <c r="CW256" s="20" t="str">
        <f>IF(G256&lt;48,"UF", IF(NOT(ISBLANK(CS256)), CS256, IF(CE256=5, CC256+Sheet2!B577, IF(CE256=6, CC256+Sheet2!B578, IF(CE256=7, CC256+Sheet2!B579,"")))))</f>
        <v>UF</v>
      </c>
      <c r="CX256" s="68" t="str">
        <f t="shared" si="263"/>
        <v/>
      </c>
      <c r="CY256" s="5" t="s">
        <v>12</v>
      </c>
      <c r="DA256" s="5" t="str">
        <f t="shared" si="241"/>
        <v>UF</v>
      </c>
      <c r="DB256" s="73" t="str">
        <f t="shared" si="242"/>
        <v>UF</v>
      </c>
      <c r="DC256" s="73" t="str">
        <f t="shared" si="243"/>
        <v>UF</v>
      </c>
      <c r="DD256" s="5" t="str">
        <f>IF(G256&lt;48,"UF", IF(NOT(ISBLANK(CZ:CZ)), CZ:CZ, IF(CL:CL=3, CK:CK+Sheet2!B582, IF(CL:CL=4, CK:CK+Sheet2!B583, IF(CL:CL=7, CK:CK+Sheet2!B584,"")))))</f>
        <v>UF</v>
      </c>
      <c r="DE256" s="69" t="str">
        <f t="shared" si="266"/>
        <v/>
      </c>
      <c r="DF256" s="2">
        <v>3</v>
      </c>
      <c r="DG256" s="2">
        <v>32</v>
      </c>
      <c r="DH256" s="2">
        <v>2</v>
      </c>
      <c r="DI256" s="2">
        <v>2</v>
      </c>
      <c r="DJ256" s="2">
        <v>2</v>
      </c>
      <c r="DK256" s="2">
        <v>116</v>
      </c>
      <c r="DL256" s="2">
        <v>63</v>
      </c>
      <c r="DM256" s="2">
        <v>119</v>
      </c>
      <c r="DN256" s="2">
        <v>65</v>
      </c>
      <c r="DO256" s="2">
        <v>124</v>
      </c>
      <c r="DP256" s="2">
        <v>82</v>
      </c>
      <c r="DQ256" s="2">
        <v>2</v>
      </c>
      <c r="DR256" s="2">
        <v>37</v>
      </c>
      <c r="DS256" s="2">
        <v>2</v>
      </c>
      <c r="DT256" s="2">
        <v>93</v>
      </c>
      <c r="DU256" s="2">
        <v>82</v>
      </c>
      <c r="DV256" s="2">
        <v>2</v>
      </c>
      <c r="DW256" s="2">
        <v>2</v>
      </c>
      <c r="DX256" s="2">
        <v>2</v>
      </c>
      <c r="DY256" s="2">
        <v>1</v>
      </c>
      <c r="DZ256" s="2">
        <v>34</v>
      </c>
      <c r="EA256" s="2">
        <v>34.200000000000003</v>
      </c>
      <c r="EB256" s="2">
        <v>48</v>
      </c>
      <c r="EC256" s="2">
        <v>1</v>
      </c>
      <c r="ED256" s="2">
        <v>1</v>
      </c>
    </row>
    <row r="257" spans="2:134" x14ac:dyDescent="0.25">
      <c r="C257" s="8" t="s">
        <v>149</v>
      </c>
      <c r="D257" s="2">
        <v>2501037340</v>
      </c>
      <c r="E257" s="5">
        <v>7</v>
      </c>
      <c r="F257" s="2">
        <v>1</v>
      </c>
      <c r="G257" s="2">
        <v>40</v>
      </c>
      <c r="H257" s="2">
        <v>-1.971424328742017</v>
      </c>
      <c r="I257" s="2">
        <v>50</v>
      </c>
      <c r="J257" s="2">
        <v>0.45756143734440202</v>
      </c>
      <c r="K257" s="2">
        <v>2780</v>
      </c>
      <c r="L257" s="2">
        <v>-1.033573943789049</v>
      </c>
      <c r="M257" s="2">
        <v>2.9660000000000002</v>
      </c>
      <c r="N257" s="2">
        <f t="shared" si="203"/>
        <v>1.4305121643710086</v>
      </c>
      <c r="O257" s="2">
        <f t="shared" si="204"/>
        <v>2.9660000000000002</v>
      </c>
      <c r="P257" s="2">
        <v>60</v>
      </c>
      <c r="Q257" s="2">
        <v>-2.54</v>
      </c>
      <c r="R257" s="5">
        <f t="shared" si="205"/>
        <v>0.35121928132779895</v>
      </c>
      <c r="S257" s="5">
        <f t="shared" si="206"/>
        <v>-2.54</v>
      </c>
      <c r="T257" s="2">
        <v>8000</v>
      </c>
      <c r="U257" s="2">
        <v>0.75</v>
      </c>
      <c r="V257" s="2">
        <f t="shared" si="207"/>
        <v>1.1567869718945245</v>
      </c>
      <c r="W257" s="2">
        <f t="shared" si="208"/>
        <v>0.75</v>
      </c>
      <c r="X257" s="2">
        <v>0.88959999999999995</v>
      </c>
      <c r="Y257" s="76">
        <f t="shared" si="244"/>
        <v>2.8610243287420172</v>
      </c>
      <c r="Z257" s="76">
        <f t="shared" si="245"/>
        <v>2</v>
      </c>
      <c r="AA257" s="2">
        <f t="shared" si="209"/>
        <v>1.6823999999999999</v>
      </c>
      <c r="AB257" s="2">
        <f t="shared" si="210"/>
        <v>0.88959999999999995</v>
      </c>
      <c r="AC257" s="2">
        <v>77</v>
      </c>
      <c r="AD257" s="2">
        <v>1.1599999999999999</v>
      </c>
      <c r="AE257" s="79">
        <f t="shared" si="246"/>
        <v>0.7024385626555979</v>
      </c>
      <c r="AF257" s="79">
        <f t="shared" si="247"/>
        <v>2</v>
      </c>
      <c r="AG257" s="2">
        <f t="shared" si="265"/>
        <v>2.355</v>
      </c>
      <c r="AH257" s="2">
        <f t="shared" si="211"/>
        <v>1.1599999999999999</v>
      </c>
      <c r="AI257" s="2">
        <v>10500</v>
      </c>
      <c r="AJ257" s="2">
        <v>1.28</v>
      </c>
      <c r="AK257" s="76">
        <f t="shared" si="248"/>
        <v>2.313573943789049</v>
      </c>
      <c r="AL257" s="76">
        <f t="shared" si="249"/>
        <v>2</v>
      </c>
      <c r="AM257" s="2">
        <f t="shared" si="212"/>
        <v>0.51</v>
      </c>
      <c r="AN257" s="2">
        <f t="shared" si="213"/>
        <v>1.28</v>
      </c>
      <c r="AO257" s="2">
        <v>0.82479999999999998</v>
      </c>
      <c r="AP257" s="2" t="str">
        <f t="shared" si="214"/>
        <v/>
      </c>
      <c r="AQ257" s="2">
        <f t="shared" si="215"/>
        <v>0.82479999999999998</v>
      </c>
      <c r="AR257" s="2">
        <v>87</v>
      </c>
      <c r="AS257" s="2">
        <v>2.17</v>
      </c>
      <c r="AT257" s="2" t="str">
        <f t="shared" si="216"/>
        <v/>
      </c>
      <c r="AU257" s="2">
        <f t="shared" si="217"/>
        <v>2.17</v>
      </c>
      <c r="AV257" s="2">
        <v>12800</v>
      </c>
      <c r="AW257" s="2">
        <v>1.77</v>
      </c>
      <c r="AX257" s="2" t="str">
        <f t="shared" si="218"/>
        <v/>
      </c>
      <c r="AY257" s="2">
        <f t="shared" si="219"/>
        <v>1.77</v>
      </c>
      <c r="BA257" s="78">
        <f t="shared" si="250"/>
        <v>-0.30889461471985491</v>
      </c>
      <c r="BB257" s="78">
        <f t="shared" si="251"/>
        <v>-1</v>
      </c>
      <c r="BC257" s="2">
        <f t="shared" si="220"/>
        <v>-0.24409461471985491</v>
      </c>
      <c r="BD257" s="2">
        <f t="shared" si="221"/>
        <v>0.58070538528014504</v>
      </c>
      <c r="BE257" s="67">
        <f t="shared" si="252"/>
        <v>7</v>
      </c>
      <c r="BF257" s="2" t="s">
        <v>12</v>
      </c>
      <c r="BH257" s="2">
        <f t="shared" si="222"/>
        <v>-0.32485317607931802</v>
      </c>
      <c r="BI257" s="2">
        <f t="shared" si="223"/>
        <v>1.8451468239206819</v>
      </c>
      <c r="BJ257" s="67">
        <f t="shared" si="224"/>
        <v>7</v>
      </c>
      <c r="BK257" s="2" t="s">
        <v>12</v>
      </c>
      <c r="BM257" s="77">
        <f t="shared" si="253"/>
        <v>0.18020709325935202</v>
      </c>
      <c r="BN257" s="77">
        <f t="shared" si="254"/>
        <v>1</v>
      </c>
      <c r="BO257" s="2">
        <f t="shared" si="225"/>
        <v>-0.30979290674064791</v>
      </c>
      <c r="BP257" s="2">
        <f t="shared" si="226"/>
        <v>1.4602070932593521</v>
      </c>
      <c r="BQ257" s="67">
        <f t="shared" si="255"/>
        <v>7</v>
      </c>
      <c r="BR257" s="5">
        <v>9.2516155840435294E-2</v>
      </c>
      <c r="BS257" s="75">
        <f t="shared" si="256"/>
        <v>-0.48818922943970977</v>
      </c>
      <c r="BT257" s="75">
        <f t="shared" si="257"/>
        <v>-1</v>
      </c>
      <c r="BU257" s="5" t="str">
        <f>IF(G265&gt;=36, IF(AND(NOT(ISBLANK(CM:CM)), NOT(ISBLANK(BD:BD))), (CM:CM-BD:BD)/2, ""), "UF")</f>
        <v/>
      </c>
      <c r="BV257" s="5">
        <f t="shared" si="227"/>
        <v>9.2516155840435294E-2</v>
      </c>
      <c r="BW257" s="69">
        <f t="shared" si="228"/>
        <v>7</v>
      </c>
      <c r="BX257" s="2">
        <v>99</v>
      </c>
      <c r="BY257" s="5">
        <v>1.1954404717620459</v>
      </c>
      <c r="BZ257" s="74">
        <f t="shared" si="258"/>
        <v>-0.26476662149730612</v>
      </c>
      <c r="CA257" s="74">
        <f t="shared" si="259"/>
        <v>-1</v>
      </c>
      <c r="CB257" s="5" t="str">
        <f t="shared" si="229"/>
        <v/>
      </c>
      <c r="CC257" s="5">
        <f t="shared" si="230"/>
        <v>1.1954404717620459</v>
      </c>
      <c r="CD257" s="2">
        <f t="shared" si="231"/>
        <v>-0.64970635215863592</v>
      </c>
      <c r="CE257" s="69">
        <f t="shared" si="232"/>
        <v>7</v>
      </c>
      <c r="CF257" s="5">
        <v>15500</v>
      </c>
      <c r="CG257" s="5">
        <v>0.84062127977805623</v>
      </c>
      <c r="CH257" s="72">
        <f t="shared" si="260"/>
        <v>-0.61958581348129582</v>
      </c>
      <c r="CI257" s="72">
        <f t="shared" si="261"/>
        <v>-1</v>
      </c>
      <c r="CJ257" s="5" t="str">
        <f t="shared" si="233"/>
        <v/>
      </c>
      <c r="CK257" s="5">
        <f t="shared" si="234"/>
        <v>0.84062127977805623</v>
      </c>
      <c r="CL257" s="69">
        <f t="shared" si="235"/>
        <v>7</v>
      </c>
      <c r="CN257" s="70" t="str">
        <f t="shared" si="236"/>
        <v/>
      </c>
      <c r="CO257" s="5" t="str">
        <f t="shared" si="237"/>
        <v>UF</v>
      </c>
      <c r="CP257" s="5" t="str">
        <f>IF(G257&lt;48,"UF", IF(NOT(ISBLANK(CM:CM)), CM:CM, IF(BW:BW=1, BV:BV+Sheet2!B570, IF(Sheet1!BW:BW=2, Sheet1!BV:BV+Sheet2!B571, IF(Sheet1!BW:BW=7, Sheet1!BV:BV+Sheet2!B572,"")))))</f>
        <v>UF</v>
      </c>
      <c r="CQ257" s="69" t="str">
        <f t="shared" si="262"/>
        <v/>
      </c>
      <c r="CR257" s="5" t="s">
        <v>12</v>
      </c>
      <c r="CT257" s="5" t="str">
        <f t="shared" si="238"/>
        <v/>
      </c>
      <c r="CU257" s="80" t="str">
        <f t="shared" si="239"/>
        <v>UF</v>
      </c>
      <c r="CV257" s="80" t="str">
        <f t="shared" si="240"/>
        <v>UF</v>
      </c>
      <c r="CW257" s="20" t="str">
        <f>IF(G257&lt;48,"UF", IF(NOT(ISBLANK(CS257)), CS257, IF(CE257=5, CC257+Sheet2!B559, IF(CE257=6, CC257+Sheet2!B560, IF(CE257=7, CC257+Sheet2!B561,"")))))</f>
        <v>UF</v>
      </c>
      <c r="CX257" s="68" t="str">
        <f t="shared" si="263"/>
        <v/>
      </c>
      <c r="CY257" s="5" t="s">
        <v>12</v>
      </c>
      <c r="DA257" s="5" t="str">
        <f t="shared" si="241"/>
        <v>UF</v>
      </c>
      <c r="DB257" s="73" t="str">
        <f t="shared" si="242"/>
        <v>UF</v>
      </c>
      <c r="DC257" s="73" t="str">
        <f t="shared" si="243"/>
        <v>UF</v>
      </c>
      <c r="DD257" s="5" t="str">
        <f>IF(G257&lt;48,"UF", IF(NOT(ISBLANK(CZ:CZ)), CZ:CZ, IF(CL:CL=3, CK:CK+Sheet2!B564, IF(CL:CL=4, CK:CK+Sheet2!B565, IF(CL:CL=7, CK:CK+Sheet2!B566,"")))))</f>
        <v>UF</v>
      </c>
      <c r="DE257" s="69" t="str">
        <f t="shared" si="266"/>
        <v/>
      </c>
      <c r="DF257" s="2">
        <v>2</v>
      </c>
      <c r="DG257" s="2">
        <v>33</v>
      </c>
      <c r="DH257" s="2">
        <v>1</v>
      </c>
      <c r="DI257" s="2">
        <v>2</v>
      </c>
      <c r="DJ257" s="2">
        <v>2</v>
      </c>
      <c r="DK257" s="2">
        <v>100</v>
      </c>
      <c r="DL257" s="2">
        <v>80</v>
      </c>
      <c r="DM257" s="2" t="s">
        <v>12</v>
      </c>
      <c r="DN257" s="2" t="s">
        <v>12</v>
      </c>
      <c r="DO257" s="2" t="s">
        <v>12</v>
      </c>
      <c r="DP257" s="2" t="s">
        <v>12</v>
      </c>
      <c r="DQ257" s="2">
        <v>1</v>
      </c>
      <c r="DR257" s="2">
        <v>35</v>
      </c>
      <c r="DS257" s="2">
        <v>1</v>
      </c>
      <c r="DT257" s="2">
        <v>88</v>
      </c>
      <c r="DU257" s="2">
        <v>100</v>
      </c>
      <c r="DV257" s="2">
        <v>2</v>
      </c>
      <c r="DW257" s="2">
        <v>3</v>
      </c>
      <c r="DX257" s="2">
        <v>2</v>
      </c>
      <c r="DY257" s="2">
        <v>2</v>
      </c>
      <c r="DZ257" s="2">
        <v>34</v>
      </c>
      <c r="EA257" s="2">
        <v>34.5</v>
      </c>
      <c r="EB257" s="2">
        <v>46</v>
      </c>
      <c r="EC257" s="2">
        <v>1</v>
      </c>
      <c r="ED257" s="2">
        <v>1</v>
      </c>
    </row>
    <row r="258" spans="2:134" ht="15.75" thickBot="1" x14ac:dyDescent="0.3">
      <c r="C258" s="8" t="s">
        <v>257</v>
      </c>
      <c r="D258" s="8">
        <v>2501037456</v>
      </c>
      <c r="E258" s="5">
        <v>7</v>
      </c>
      <c r="F258" s="2">
        <v>2</v>
      </c>
      <c r="G258" s="2">
        <v>36</v>
      </c>
      <c r="H258" s="2">
        <v>-0.15793084150341641</v>
      </c>
      <c r="I258" s="2">
        <v>51</v>
      </c>
      <c r="J258" s="2">
        <v>0.58940135287155082</v>
      </c>
      <c r="K258" s="2">
        <v>3435</v>
      </c>
      <c r="L258" s="2">
        <v>0.17977810890127441</v>
      </c>
      <c r="N258" s="2">
        <f t="shared" ref="N258:N321" si="268">IF(AND(NOT(ISBLANK(H:H)), NOT(ISBLANK(X:X))), (X:X - H:H)/2, "")</f>
        <v>-0.28803457924829179</v>
      </c>
      <c r="O258" s="2">
        <f t="shared" ref="O258:O321" si="269">IF(NOT(ISBLANK(M:M)),M:M,IF(AND(NOT(ISBLANK(N:N)),NOT(ISBLANK(H:H))),H:H+N:N,""))</f>
        <v>-0.4459654207517082</v>
      </c>
      <c r="P258" s="2" t="s">
        <v>12</v>
      </c>
      <c r="R258" s="5">
        <f t="shared" ref="R258:R321" si="270">IF(AND(NOT(ISBLANK(J258)), NOT(ISBLANK(AD258))), (AD258 - J258)/2, "")</f>
        <v>0.81029932356422463</v>
      </c>
      <c r="S258" s="5">
        <f t="shared" ref="S258:S321" si="271">IF(NOT(ISBLANK(Q258)),Q258,IF(AND(NOT(ISBLANK(J258)),NOT(ISBLANK(R258))),J258+R258,""))</f>
        <v>1.3997006764357756</v>
      </c>
      <c r="T258" s="2" t="s">
        <v>12</v>
      </c>
      <c r="V258" s="2">
        <f t="shared" ref="V258:V321" si="272">IF(AND(NOT(ISBLANK(L258)), NOT(ISBLANK(AJ258))), (AJ258 - L258)/2, "")</f>
        <v>0.25511094554936276</v>
      </c>
      <c r="W258" s="2">
        <f t="shared" ref="W258:W321" si="273">IF(NOT(ISBLANK(U258)), U258, IF(AND(NOT(ISBLANK(L258)), NOT(ISBLANK(V258))), L258 + V258, ""))</f>
        <v>0.43488905445063719</v>
      </c>
      <c r="X258" s="2">
        <v>-0.73399999999999999</v>
      </c>
      <c r="Y258" s="76">
        <f t="shared" si="244"/>
        <v>-0.57606915849658358</v>
      </c>
      <c r="Z258" s="76">
        <f t="shared" si="245"/>
        <v>-1</v>
      </c>
      <c r="AA258" s="2">
        <f t="shared" ref="AA258:AA321" si="274">IF(AND(NOT(ISBLANK(S:S)), NOT(ISBLANK(AO:AO))), (AO:AO- S:S)/2, "")</f>
        <v>-0.67825033821788783</v>
      </c>
      <c r="AB258" s="2">
        <f t="shared" ref="AB258:AB321" si="275">IF(NOT(ISBLANK(X:X)),X:X,IF(AND(NOT(ISBLANK(O:O)),NOT(ISBLANK(AA:AA))),O:O+AA:AA,""))</f>
        <v>-0.73399999999999999</v>
      </c>
      <c r="AC258" s="2">
        <v>81</v>
      </c>
      <c r="AD258" s="2">
        <v>2.21</v>
      </c>
      <c r="AE258" s="79">
        <f t="shared" si="246"/>
        <v>1.6205986471284493</v>
      </c>
      <c r="AF258" s="79">
        <f t="shared" si="247"/>
        <v>2</v>
      </c>
      <c r="AG258" s="2">
        <f t="shared" si="265"/>
        <v>-0.19485033821788778</v>
      </c>
      <c r="AH258" s="2">
        <f t="shared" ref="AH258:AH321" si="276">IF(NOT(ISBLANK(AD258)), AD258, IF(AND(NOT(ISBLANK(S258)), NOT(ISBLANK(AG258))), S258 + AG258, ""))</f>
        <v>2.21</v>
      </c>
      <c r="AI258" s="2">
        <v>10400</v>
      </c>
      <c r="AJ258" s="2">
        <v>0.69</v>
      </c>
      <c r="AK258" s="76">
        <f t="shared" si="248"/>
        <v>0.51022189109872551</v>
      </c>
      <c r="AL258" s="76">
        <f t="shared" si="249"/>
        <v>1</v>
      </c>
      <c r="AM258" s="2">
        <f t="shared" ref="AM258:AM321" si="277">IF(AND(NOT(ISBLANK(W258)), NOT(ISBLANK(AW258))), (AW258 - W258)/2, "")</f>
        <v>8.2555472774681393E-2</v>
      </c>
      <c r="AN258" s="2">
        <f t="shared" ref="AN258:AN321" si="278">IF(NOT(ISBLANK(AJ258)), AJ258, IF(AND(NOT(ISBLANK(W258)), NOT(ISBLANK(AM258))), W258 + AM258, ""))</f>
        <v>0.69</v>
      </c>
      <c r="AO258" s="2">
        <v>4.3200000000000002E-2</v>
      </c>
      <c r="AP258" s="2">
        <f t="shared" ref="AP258:AP321" si="279">IF(AND(NOT(ISBLANK(AB:AB)), NOT(ISBLANK(AZ:AZ))), (AZ:AZ - AB:AB)/2, "")</f>
        <v>0.27237538463553312</v>
      </c>
      <c r="AQ258" s="2">
        <f t="shared" ref="AQ258:AQ321" si="280">IF(NOT(ISBLANK(AO:AO)),AO:AO,IF(AND(NOT(ISBLANK(AB:AB)),NOT(ISBLANK(AP:AP))),AP:AP+AB:AB,""))</f>
        <v>4.3200000000000002E-2</v>
      </c>
      <c r="AR258" s="2">
        <v>85</v>
      </c>
      <c r="AS258" s="2">
        <v>1.01</v>
      </c>
      <c r="AT258" s="2">
        <f t="shared" ref="AT258:AT321" si="281">IF(AND(NOT(ISBLANK(AH258)), NOT(ISBLANK(BG258))), (BG258 - AH258)/2, "")</f>
        <v>-0.51518923790135596</v>
      </c>
      <c r="AU258" s="2">
        <f t="shared" ref="AU258:AU321" si="282">IF(NOT(ISBLANK(AS258)), AS258, IF(AND(NOT(ISBLANK(AH258)), NOT(ISBLANK(AT258))), AH258 + AT258, ""))</f>
        <v>1.01</v>
      </c>
      <c r="AV258" s="2">
        <v>11700</v>
      </c>
      <c r="AW258" s="2">
        <v>0.6</v>
      </c>
      <c r="AX258" s="2">
        <f t="shared" ref="AX258:AX321" si="283">IF(AND(NOT(ISBLANK(AN258)), NOT(ISBLANK(BL258))), (BL258 - AN258)/2, "")</f>
        <v>-7.9383107635695338E-2</v>
      </c>
      <c r="AY258" s="2">
        <f t="shared" ref="AY258:AY321" si="284">IF(NOT(ISBLANK(AW258)), AW258, IF(AND(NOT(ISBLANK(AN258)), NOT(ISBLANK(AX258))),AN258 + AX258, ""))</f>
        <v>0.6</v>
      </c>
      <c r="AZ258" s="2">
        <v>-0.18924923072893379</v>
      </c>
      <c r="BA258" s="78">
        <f t="shared" si="250"/>
        <v>0.54475076927106625</v>
      </c>
      <c r="BB258" s="78">
        <f t="shared" si="251"/>
        <v>1</v>
      </c>
      <c r="BC258" s="2">
        <f t="shared" ref="BC258:BC321" si="285">IF(AND(NOT(ISBLANK(AQ:AQ)), NOT(ISBLANK(BR:BR))), (BR:BR - AQ:AQ)/3, "")</f>
        <v>-0.16352630559713557</v>
      </c>
      <c r="BD258" s="2">
        <f t="shared" ref="BD258:BD321" si="286">IF(NOT(ISBLANK(AZ:AZ)),AZ:AZ,IF(AND(NOT(ISBLANK(BC:BC)),NOT(ISBLANK(AQ:AQ))),AQ:AQ+BC:BC,""))</f>
        <v>-0.18924923072893379</v>
      </c>
      <c r="BE258" s="67">
        <f t="shared" si="252"/>
        <v>7</v>
      </c>
      <c r="BF258" s="2">
        <v>91</v>
      </c>
      <c r="BG258" s="2">
        <v>1.1796215241972881</v>
      </c>
      <c r="BH258" s="2">
        <f t="shared" ref="BH258:BH321" si="287">IF(AND(NOT(ISBLANK(AU258)), NOT(ISBLANK(BY258))), (BY258 - AU258)/3, "")</f>
        <v>5.7751650261663658E-2</v>
      </c>
      <c r="BI258" s="2">
        <f t="shared" ref="BI258:BI321" si="288">IF(NOT(ISBLANK(BG258)), BG258, IF(AND(NOT(ISBLANK(AU258)), NOT(ISBLANK(BH258))),AU258 + BH258, ""))</f>
        <v>1.1796215241972881</v>
      </c>
      <c r="BJ258" s="67">
        <f t="shared" ref="BJ258:BJ321" si="289">IF(BI:BI&lt;-3,5,IF(AND(BI:BI&gt;=-3,BI:BI&lt;-2),6,IF(AND(BI:BI&gt;=-2,BI:BI&lt;=2),7,"")))</f>
        <v>7</v>
      </c>
      <c r="BK258" s="2">
        <v>13500</v>
      </c>
      <c r="BL258" s="2">
        <v>0.53123378472860927</v>
      </c>
      <c r="BM258" s="77">
        <f t="shared" si="253"/>
        <v>-0.15876621527139068</v>
      </c>
      <c r="BN258" s="77">
        <f t="shared" si="254"/>
        <v>-1</v>
      </c>
      <c r="BO258" s="2">
        <f t="shared" ref="BO258:BO321" si="290">IF(AND(NOT(ISBLANK(AY258)), NOT(ISBLANK(CG258))), (CG258 - AY258)/3, "")</f>
        <v>1.3869135175837247E-2</v>
      </c>
      <c r="BP258" s="2">
        <f t="shared" ref="BP258:BP321" si="291">IF(NOT(ISBLANK(BL258)), BL258, IF(AND(NOT(ISBLANK(AY258)), NOT(ISBLANK(BO258))),AY258 + BO258, ""))</f>
        <v>0.53123378472860927</v>
      </c>
      <c r="BQ258" s="67">
        <f t="shared" si="255"/>
        <v>7</v>
      </c>
      <c r="BR258" s="5">
        <v>-0.44737891679140668</v>
      </c>
      <c r="BS258" s="75">
        <f t="shared" si="256"/>
        <v>-0.25812968606247289</v>
      </c>
      <c r="BT258" s="75">
        <f t="shared" si="257"/>
        <v>-1</v>
      </c>
      <c r="BU258" s="5" t="e">
        <f>IF(#REF!&gt;=36, IF(AND(NOT(ISBLANK(CM:CM)), NOT(ISBLANK(BD:BD))), (CM:CM-BD:BD)/2, ""), "UF")</f>
        <v>#REF!</v>
      </c>
      <c r="BV258" s="5">
        <f t="shared" ref="BV258:BV321" si="292">IF(G258&gt;=36, IF(NOT(ISBLANK(BR:BR)), BR:BR, IF(AND(NOT(ISBLANK(BD:BD)), NOT(ISBLANK(BU:BU))),BD:BD + BU:BU, "")), "UF")</f>
        <v>-0.44737891679140668</v>
      </c>
      <c r="BW258" s="69">
        <f t="shared" ref="BW258:BW321" si="293">IF(BV:BV&lt;-3,1,IF(AND(BV:BV&gt;=-3,BV:BV&lt;-2),2,IF(AND(BV:BV&gt;=-2,BV:BV&lt;=2),7,"")))</f>
        <v>7</v>
      </c>
      <c r="BX258" s="2">
        <v>100</v>
      </c>
      <c r="BY258" s="5">
        <v>1.183254950784991</v>
      </c>
      <c r="BZ258" s="74">
        <f t="shared" si="258"/>
        <v>0.65202116605638172</v>
      </c>
      <c r="CA258" s="74">
        <f t="shared" si="259"/>
        <v>1</v>
      </c>
      <c r="CB258" s="5" t="str">
        <f t="shared" ref="CB258:CB321" si="294">IF(G258&gt;=36, IF(AND(NOT(ISBLANK(BI258)), NOT(ISBLANK(CS258))), (CS258-BI258)/2, ""), "UF")</f>
        <v/>
      </c>
      <c r="CC258" s="5">
        <f t="shared" ref="CC258:CC321" si="295">IF(G258&gt;=36, IF(NOT(ISBLANK(BY258)), BY258, IF(AND(NOT(ISBLANK(CB258)), NOT(ISBLANK(BI258))),CB258 + BI258, "")), "UF")</f>
        <v>1.183254950784991</v>
      </c>
      <c r="CD258" s="2">
        <f t="shared" ref="CD258:CD321" si="296">IF(AND(NOT(ISBLANK(BI:BI)), NOT(ISBLANK(CC:CC))), CC:CC-BI:BI, "")</f>
        <v>3.633426587702937E-3</v>
      </c>
      <c r="CE258" s="69">
        <f t="shared" ref="CE258:CE321" si="297">IF(CC258&lt;-3,5,IF(AND(CC258&gt;=-3,CC258&lt;-2),6,IF(AND(CC258&gt;=-2,CC258&lt;=2),7,"")))</f>
        <v>7</v>
      </c>
      <c r="CF258" s="5">
        <v>15500</v>
      </c>
      <c r="CG258" s="5">
        <v>0.64160740552751172</v>
      </c>
      <c r="CH258" s="72">
        <f t="shared" si="260"/>
        <v>0.11037362079890245</v>
      </c>
      <c r="CI258" s="72">
        <f t="shared" si="261"/>
        <v>1</v>
      </c>
      <c r="CJ258" s="5" t="str">
        <f t="shared" ref="CJ258:CJ321" si="298">IF(G258&gt;=36, IF(AND(NOT(ISBLANK(BP258)), NOT(ISBLANK(CZ258))), (CZ258-BP258)/2, ""), "UF")</f>
        <v/>
      </c>
      <c r="CK258" s="5">
        <f t="shared" ref="CK258:CK321" si="299">IF(G258&gt;=36, IF(NOT(ISBLANK(CG258)), CG258, IF(AND(NOT(ISBLANK(BP258)), NOT(ISBLANK(CJ258))),BP258 + CJ258, "")), "UF")</f>
        <v>0.64160740552751172</v>
      </c>
      <c r="CL258" s="69">
        <f t="shared" ref="CL258:CL321" si="300">IF(CK:CK&lt;-3,3,IF(AND(CK:CK&gt;=-3,CK:CK&lt;-2),4,IF(AND(CK:CK&gt;=-2,CK:CK&lt;=2),7,"")))</f>
        <v>7</v>
      </c>
      <c r="CN258" s="70" t="str">
        <f t="shared" ref="CN258:CN321" si="301">IF(AND(NOT(ISBLANK(BV:BV)), NOT(ISBLANK(CM:CM))), CM:CM-BV:BV, "")</f>
        <v/>
      </c>
      <c r="CO258" s="5" t="str">
        <f t="shared" ref="CO258:CO321" si="302">IF(G258&lt;48,"UF",IF(AND(NOT(ISBLANK(BV:BV)),NOT(ISBLANK(CP:CP))),CP:CP-BV:BV,""))</f>
        <v>UF</v>
      </c>
      <c r="CP258" s="5" t="str">
        <f>IF(G258&lt;48,"UF", IF(NOT(ISBLANK(CM:CM)), CM:CM, IF(BW:BW=1, BV:BV+Sheet2!B453, IF(Sheet1!BW:BW=2, Sheet1!BV:BV+Sheet2!B454, IF(Sheet1!BW:BW=7, Sheet1!BV:BV+Sheet2!B455,"")))))</f>
        <v>UF</v>
      </c>
      <c r="CQ258" s="69" t="str">
        <f t="shared" si="262"/>
        <v/>
      </c>
      <c r="CR258" s="5" t="s">
        <v>12</v>
      </c>
      <c r="CT258" s="5" t="str">
        <f t="shared" ref="CT258:CT321" si="303">IF(AND(NOT(ISBLANK(CC258)), NOT(ISBLANK(CS258))), CS258-CC258, "")</f>
        <v/>
      </c>
      <c r="CU258" s="80" t="str">
        <f t="shared" ref="CU258:CU321" si="304">IF(G258&lt;48,"UF",IF(AND(NOT(ISBLANK(CW:CW)), NOT(ISBLANK(CC:CC))), CW:CW-CC:CC, ""))</f>
        <v>UF</v>
      </c>
      <c r="CV258" s="80" t="str">
        <f t="shared" ref="CV258:CV321" si="305">IF(CU:CU=""," ",IF(G258&lt;48,"UF",IF(CU:CU&gt;0.67,2,IF(AND(CU:CU&gt;0,CU:CU&lt;=0.67),1,IF(AND(CU:CU&gt;=-0.67,CU:CU&lt;=0),-1,IF(CU:CU&lt;-0.67,-2))))))</f>
        <v>UF</v>
      </c>
      <c r="CW258" s="20" t="str">
        <f>IF(G258&lt;48,"UF", IF(NOT(ISBLANK(CS258)), CS258, IF(CE258=5, CC258+Sheet2!B442, IF(CE258=6, CC258+Sheet2!B443, IF(CE258=7, CC258+Sheet2!B444,"")))))</f>
        <v>UF</v>
      </c>
      <c r="CX258" s="68" t="str">
        <f t="shared" si="263"/>
        <v/>
      </c>
      <c r="CY258" s="5" t="s">
        <v>12</v>
      </c>
      <c r="DA258" s="5" t="str">
        <f t="shared" ref="DA258:DA321" si="306">IF(G258&lt;48,"UF",IF(AND(NOT(ISBLANK(CZ:CZ)), NOT(ISBLANK(CK:CK))), CZ:CZ-CK:CK, ""))</f>
        <v>UF</v>
      </c>
      <c r="DB258" s="73" t="str">
        <f t="shared" ref="DB258:DB321" si="307">IF(G258&lt;48,"UF",IF(AND(NOT(ISBLANK(DD:DD)), NOT(ISBLANK(CK:CK))), DD:DD-CK:CK, ""))</f>
        <v>UF</v>
      </c>
      <c r="DC258" s="73" t="str">
        <f t="shared" ref="DC258:DC321" si="308">IF(DB:DB=""," ",IF(G258&lt;48,"UF",IF(DB:DB&gt;0.67,2,IF(AND(DB:DB&gt;0,DB:DB&lt;=0.67),1,IF(AND(DB:DB&gt;=-0.67,DB:DB&lt;=0),-1,IF(DB:DB&lt;-0.67,-2))))))</f>
        <v>UF</v>
      </c>
      <c r="DD258" s="5" t="str">
        <f>IF(G258&lt;48,"UF", IF(NOT(ISBLANK(CZ:CZ)), CZ:CZ, IF(CL:CL=3, CK:CK+Sheet2!B447, IF(CL:CL=4, CK:CK+Sheet2!B448, IF(CL:CL=7, CK:CK+Sheet2!B449,"")))))</f>
        <v>UF</v>
      </c>
      <c r="DE258" s="69" t="str">
        <f t="shared" si="266"/>
        <v/>
      </c>
      <c r="DF258" s="2">
        <v>3</v>
      </c>
      <c r="DG258" s="2">
        <v>30</v>
      </c>
      <c r="DH258" s="2">
        <v>1</v>
      </c>
      <c r="DI258" s="2">
        <v>2</v>
      </c>
      <c r="DJ258" s="2">
        <v>2</v>
      </c>
      <c r="DK258" s="2">
        <v>110</v>
      </c>
      <c r="DL258" s="2">
        <v>60</v>
      </c>
      <c r="DM258" s="2" t="s">
        <v>12</v>
      </c>
      <c r="DN258" s="2" t="s">
        <v>12</v>
      </c>
      <c r="DO258" s="2">
        <v>100</v>
      </c>
      <c r="DP258" s="2">
        <v>70</v>
      </c>
      <c r="DQ258" s="2">
        <v>2</v>
      </c>
      <c r="DR258" s="2">
        <v>38</v>
      </c>
      <c r="DS258" s="2">
        <v>2</v>
      </c>
      <c r="DT258" s="2" t="s">
        <v>12</v>
      </c>
      <c r="DU258" s="2">
        <v>77</v>
      </c>
      <c r="DV258" s="2">
        <v>2</v>
      </c>
      <c r="DW258" s="2">
        <v>2</v>
      </c>
      <c r="DX258" s="2">
        <v>2</v>
      </c>
      <c r="DY258" s="2">
        <v>2</v>
      </c>
      <c r="DZ258" s="2">
        <v>35.5</v>
      </c>
      <c r="EA258" s="2">
        <v>36</v>
      </c>
      <c r="EB258" s="2">
        <v>46</v>
      </c>
      <c r="EC258" s="2">
        <v>1</v>
      </c>
      <c r="ED258" s="2">
        <v>1</v>
      </c>
    </row>
    <row r="259" spans="2:134" ht="15.75" thickBot="1" x14ac:dyDescent="0.3">
      <c r="C259" s="8" t="s">
        <v>157</v>
      </c>
      <c r="D259" s="55">
        <v>2501037510</v>
      </c>
      <c r="E259" s="5">
        <v>7</v>
      </c>
      <c r="F259" s="2">
        <v>2</v>
      </c>
      <c r="G259" s="2">
        <v>38</v>
      </c>
      <c r="H259" s="2">
        <v>-1.314173175149506</v>
      </c>
      <c r="I259" s="2">
        <v>45</v>
      </c>
      <c r="J259" s="2">
        <v>-2.5799940983522691</v>
      </c>
      <c r="K259" s="2">
        <v>2400</v>
      </c>
      <c r="L259" s="2">
        <v>-2.14952703839145</v>
      </c>
      <c r="N259" s="2">
        <f t="shared" si="268"/>
        <v>0.92098658757475305</v>
      </c>
      <c r="O259" s="2">
        <f t="shared" si="269"/>
        <v>-0.393186587574753</v>
      </c>
      <c r="P259" s="2" t="s">
        <v>12</v>
      </c>
      <c r="R259" s="5">
        <f t="shared" si="270"/>
        <v>0.92499704917613457</v>
      </c>
      <c r="S259" s="5">
        <f t="shared" si="271"/>
        <v>-1.6549970491761345</v>
      </c>
      <c r="T259" s="2" t="s">
        <v>12</v>
      </c>
      <c r="V259" s="2">
        <f t="shared" si="272"/>
        <v>1.054763519195725</v>
      </c>
      <c r="W259" s="2">
        <f t="shared" si="273"/>
        <v>-1.094763519195725</v>
      </c>
      <c r="X259" s="2">
        <v>0.52780000000000005</v>
      </c>
      <c r="Y259" s="76">
        <f t="shared" ref="Y259:Y322" si="309" xml:space="preserve"> IF(AND(NOT(ISBLANK(AB:AB)), NOT(ISBLANK(H:H))), (AB:AB-H:H), "")</f>
        <v>1.8419731751495061</v>
      </c>
      <c r="Z259" s="76">
        <f t="shared" ref="Z259:Z322" si="310">IF(Y:Y&gt;0.67,2,IF(AND(Y:Y&gt;0,Y:Y&lt;=0.67),1,IF(AND(Y:Y&gt;=-0.67,Y:Y&lt;=0),-1,IF(Y:Y&lt;-0.67,-2))))</f>
        <v>2</v>
      </c>
      <c r="AA259" s="2">
        <f t="shared" si="274"/>
        <v>-0.90275147541193279</v>
      </c>
      <c r="AB259" s="2">
        <f t="shared" si="275"/>
        <v>0.52780000000000005</v>
      </c>
      <c r="AC259" s="2">
        <v>74</v>
      </c>
      <c r="AD259" s="2">
        <v>-0.73</v>
      </c>
      <c r="AE259" s="79">
        <f t="shared" ref="AE259:AE322" si="311" xml:space="preserve"> IF(AND(NOT(ISBLANK(AH:AH)), NOT(ISBLANK(J:J))), (AH:AH-J:J), "")</f>
        <v>1.8499940983522691</v>
      </c>
      <c r="AF259" s="79">
        <f t="shared" ref="AF259:AF322" si="312">IF(AE:AE&gt;0.67,2,IF(AND(AE:AE&gt;0,AE:AE&lt;=0.67),1,IF(AND(AE:AE&gt;=-0.67,AE:AE&lt;=0),-1,IF(AE:AE&lt;-0.67,-2))))</f>
        <v>2</v>
      </c>
      <c r="AG259" s="2">
        <f t="shared" si="265"/>
        <v>1.7074985245880674</v>
      </c>
      <c r="AH259" s="2">
        <f t="shared" si="276"/>
        <v>-0.73</v>
      </c>
      <c r="AI259" s="2">
        <v>9600</v>
      </c>
      <c r="AJ259" s="2">
        <v>-0.04</v>
      </c>
      <c r="AK259" s="76">
        <f t="shared" ref="AK259:AK322" si="313" xml:space="preserve"> IF(AND(NOT(ISBLANK(AN:AN)), NOT(ISBLANK(L:L))), (AN:AN-L:L), "")</f>
        <v>2.1095270383914499</v>
      </c>
      <c r="AL259" s="76">
        <f t="shared" ref="AL259:AL322" si="314">IF(AK:AK&gt;0.67,2,IF(AND(AK:AK&gt;0,AK:AK&lt;=0.67),1,IF(AND(AK:AK&gt;=-0.67,AK:AK&lt;=0),-1,IF(AK:AK&lt;-0.67,-2))))</f>
        <v>2</v>
      </c>
      <c r="AM259" s="2">
        <f t="shared" si="277"/>
        <v>-0.10761824040213752</v>
      </c>
      <c r="AN259" s="2">
        <f t="shared" si="278"/>
        <v>-0.04</v>
      </c>
      <c r="AO259" s="2">
        <v>-3.4605000000000001</v>
      </c>
      <c r="AP259" s="2">
        <f t="shared" si="279"/>
        <v>-0.36558388077807902</v>
      </c>
      <c r="AQ259" s="2">
        <f t="shared" si="280"/>
        <v>-3.4605000000000001</v>
      </c>
      <c r="AR259" s="2">
        <v>87</v>
      </c>
      <c r="AS259" s="2">
        <v>1.76</v>
      </c>
      <c r="AT259" s="2">
        <f t="shared" si="281"/>
        <v>-3.7697536763593609E-2</v>
      </c>
      <c r="AU259" s="2">
        <f t="shared" si="282"/>
        <v>1.76</v>
      </c>
      <c r="AV259" s="2">
        <v>11000</v>
      </c>
      <c r="AW259" s="2">
        <v>-1.31</v>
      </c>
      <c r="AX259" s="2">
        <f t="shared" si="283"/>
        <v>-0.45920338178308168</v>
      </c>
      <c r="AY259" s="2">
        <f t="shared" si="284"/>
        <v>-1.31</v>
      </c>
      <c r="AZ259" s="2">
        <v>-0.20336776155615799</v>
      </c>
      <c r="BA259" s="78">
        <f t="shared" ref="BA259:BA322" si="315" xml:space="preserve"> IF(AND(NOT(ISBLANK(BD:BD)), NOT(ISBLANK(AB:AB))), (BD:BD-AB:AB), "")</f>
        <v>-0.73116776155615804</v>
      </c>
      <c r="BB259" s="78">
        <f t="shared" ref="BB259:BB322" si="316">IF(BA:BA&gt;0.67,2,IF(AND(BA:BA&gt;0,BA:BA&lt;=0.67),1,IF(AND(BA:BA&gt;=-0.67,BA:BA&lt;=0),-1,IF(BA:BA&lt;-0.67,-2))))</f>
        <v>-2</v>
      </c>
      <c r="BC259" s="2">
        <f t="shared" si="285"/>
        <v>0.96891405131531405</v>
      </c>
      <c r="BD259" s="2">
        <f t="shared" si="286"/>
        <v>-0.20336776155615799</v>
      </c>
      <c r="BE259" s="67">
        <f t="shared" ref="BE259:BE322" si="317">IF(BD:BD&lt;-3,1,IF(AND(BD:BD&gt;=-3,BD:BD&lt;-2),2,IF(AND(BD:BD&gt;=-2,BD:BD&lt;=2),7,"")))</f>
        <v>7</v>
      </c>
      <c r="BF259" s="2">
        <v>87</v>
      </c>
      <c r="BG259" s="2">
        <v>-0.8053950735271872</v>
      </c>
      <c r="BH259" s="2">
        <f t="shared" si="287"/>
        <v>-0.91581303644127132</v>
      </c>
      <c r="BI259" s="2">
        <f t="shared" si="288"/>
        <v>-0.8053950735271872</v>
      </c>
      <c r="BJ259" s="67">
        <f t="shared" si="289"/>
        <v>7</v>
      </c>
      <c r="BK259" s="2">
        <v>11500</v>
      </c>
      <c r="BL259" s="2">
        <v>-0.95840676356616339</v>
      </c>
      <c r="BM259" s="77">
        <f t="shared" ref="BM259:BM322" si="318" xml:space="preserve"> IF(AND(NOT(ISBLANK(BP:BP)), NOT(ISBLANK(AN:AN))), (BP:BP-AN:AN), "")</f>
        <v>-0.91840676356616335</v>
      </c>
      <c r="BN259" s="77">
        <f t="shared" ref="BN259:BN322" si="319">IF(BM:BM&gt;0.67,2,IF(AND(BM:BM&gt;0,BM:BM&lt;=0.67),1,IF(AND(BM:BM&gt;=-0.67,BM:BM&lt;=0),-1,IF(BM:BM&lt;-0.67,-2))))</f>
        <v>-2</v>
      </c>
      <c r="BO259" s="2">
        <f t="shared" si="290"/>
        <v>9.6873974174711039E-2</v>
      </c>
      <c r="BP259" s="2">
        <f t="shared" si="291"/>
        <v>-0.95840676356616339</v>
      </c>
      <c r="BQ259" s="67">
        <f t="shared" ref="BQ259:BQ322" si="320">IF(BP:BP&lt;-3,3,IF(AND(BP:BP&gt;=-3,BP:BP&lt;-2),4,IF(AND(BP:BP&gt;=-2,BP:BP&lt;=2),7,"")))</f>
        <v>7</v>
      </c>
      <c r="BR259" s="5">
        <v>-0.55375784605405787</v>
      </c>
      <c r="BS259" s="75">
        <f t="shared" ref="BS259:BS322" si="321">IF(G259&gt;=36, IF(AND(NOT(ISBLANK(BV:BV)), NOT(ISBLANK(BD:BD))), (BV:BV-BD:BD), ""), "UF")</f>
        <v>-0.35039008449789988</v>
      </c>
      <c r="BT259" s="75">
        <f t="shared" ref="BT259:BT322" si="322">IF(G259&lt;36,"UF",IF(BS:BS&gt;0.67,2,IF(AND(BS:BS&gt;0,BS:BS&lt;=0.67),1,IF(AND(BS:BS&gt;=-0.67,BS:BS&lt;=0),-1,IF(BS:BS&lt;-0.67,-2)))))</f>
        <v>-1</v>
      </c>
      <c r="BU259" s="5" t="str">
        <f>IF(G266&gt;=36, IF(AND(NOT(ISBLANK(CM:CM)), NOT(ISBLANK(BD:BD))), (CM:CM-BD:BD)/2, ""), "UF")</f>
        <v/>
      </c>
      <c r="BV259" s="5">
        <f t="shared" si="292"/>
        <v>-0.55375784605405787</v>
      </c>
      <c r="BW259" s="69">
        <f t="shared" si="293"/>
        <v>7</v>
      </c>
      <c r="BX259" s="2">
        <v>95</v>
      </c>
      <c r="BY259" s="5">
        <v>-0.98743910932381385</v>
      </c>
      <c r="BZ259" s="74">
        <f t="shared" ref="BZ259:BZ322" si="323">IF(G259&gt;=36, IF(AND(NOT(ISBLANK(CC:CC)), NOT(ISBLANK(BP:BP))), (CC:CC-BP:BP), ""), "UF")</f>
        <v>-2.9032345757650457E-2</v>
      </c>
      <c r="CA259" s="74">
        <f t="shared" ref="CA259:CA322" si="324">IF(G259&lt;36,"UF",IF(BZ:BZ&gt;0.67,2,IF(AND(BZ:BZ&gt;0,BZ:BZ&lt;=0.67),1,IF(AND(BZ:BZ&gt;=-0.67,BZ:BZ&lt;=0),-1,IF(BZ:BZ&lt;-0.67,-2)))))</f>
        <v>-1</v>
      </c>
      <c r="CB259" s="5" t="str">
        <f t="shared" si="294"/>
        <v/>
      </c>
      <c r="CC259" s="5">
        <f t="shared" si="295"/>
        <v>-0.98743910932381385</v>
      </c>
      <c r="CD259" s="2">
        <f t="shared" si="296"/>
        <v>-0.18204403579662665</v>
      </c>
      <c r="CE259" s="69">
        <f t="shared" si="297"/>
        <v>7</v>
      </c>
      <c r="CF259" s="5">
        <v>12900</v>
      </c>
      <c r="CG259" s="5">
        <v>-1.019378077475867</v>
      </c>
      <c r="CH259" s="72">
        <f t="shared" ref="CH259:CH322" si="325">IF(G259&gt;=36, IF(AND(NOT(ISBLANK(CK:CK)), NOT(ISBLANK(BP:BP))), (CK:CK-BP:BP), ""), "UF")</f>
        <v>-6.0971313909703562E-2</v>
      </c>
      <c r="CI259" s="72">
        <f t="shared" ref="CI259:CI322" si="326">IF(G259&lt;36,"UF",IF(CH:CH&gt;0.67,2,IF(AND(CH:CH&gt;0,CH:CH&lt;=0.67),1,IF(AND(CH:CH&gt;=-0.67,CH:CH&lt;=0),-1,IF(CH:CH&lt;-0.67,-2)))))</f>
        <v>-1</v>
      </c>
      <c r="CJ259" s="5" t="str">
        <f t="shared" si="298"/>
        <v/>
      </c>
      <c r="CK259" s="5">
        <f t="shared" si="299"/>
        <v>-1.019378077475867</v>
      </c>
      <c r="CL259" s="69">
        <f t="shared" si="300"/>
        <v>7</v>
      </c>
      <c r="CN259" s="70" t="str">
        <f t="shared" si="301"/>
        <v/>
      </c>
      <c r="CO259" s="5" t="str">
        <f t="shared" si="302"/>
        <v>UF</v>
      </c>
      <c r="CP259" s="5" t="str">
        <f>IF(G259&lt;48,"UF", IF(NOT(ISBLANK(CM:CM)), CM:CM, IF(BW:BW=1, BV:BV+Sheet2!B535, IF(Sheet1!BW:BW=2, Sheet1!BV:BV+Sheet2!B536, IF(Sheet1!BW:BW=7, Sheet1!BV:BV+Sheet2!B537,"")))))</f>
        <v>UF</v>
      </c>
      <c r="CQ259" s="69" t="str">
        <f t="shared" ref="CQ259:CQ322" si="327">IF(CP:CP&lt;-3,1,IF(AND(CP:CP&gt;=-3,CP:CP&lt;-2),2,IF(AND(CP:CP&gt;=-2,CP:CP&lt;=2),7,"")))</f>
        <v/>
      </c>
      <c r="CR259" s="5" t="s">
        <v>12</v>
      </c>
      <c r="CT259" s="5" t="str">
        <f t="shared" si="303"/>
        <v/>
      </c>
      <c r="CU259" s="80" t="str">
        <f t="shared" si="304"/>
        <v>UF</v>
      </c>
      <c r="CV259" s="80" t="str">
        <f t="shared" si="305"/>
        <v>UF</v>
      </c>
      <c r="CW259" s="20" t="str">
        <f>IF(G259&lt;48,"UF", IF(NOT(ISBLANK(CS259)), CS259, IF(CE259=5, CC259+Sheet2!B524, IF(CE259=6, CC259+Sheet2!B525, IF(CE259=7, CC259+Sheet2!B526,"")))))</f>
        <v>UF</v>
      </c>
      <c r="CX259" s="68" t="str">
        <f t="shared" ref="CX259:CX322" si="328">IF(CW:CW&lt;-3,5,IF(AND(CW:CW&gt;=-3,CW:CW&lt;-2),6,IF(AND(CW:CW&gt;=-2,CW:CW&lt;=2),7,"")))</f>
        <v/>
      </c>
      <c r="CY259" s="5" t="s">
        <v>12</v>
      </c>
      <c r="DA259" s="5" t="str">
        <f t="shared" si="306"/>
        <v>UF</v>
      </c>
      <c r="DB259" s="73" t="str">
        <f t="shared" si="307"/>
        <v>UF</v>
      </c>
      <c r="DC259" s="73" t="str">
        <f t="shared" si="308"/>
        <v>UF</v>
      </c>
      <c r="DD259" s="5" t="str">
        <f>IF(G259&lt;48,"UF", IF(NOT(ISBLANK(CZ:CZ)), CZ:CZ, IF(CL:CL=3, CK:CK+Sheet2!B529, IF(CL:CL=4, CK:CK+Sheet2!B530, IF(CL:CL=7, CK:CK+Sheet2!B531,"")))))</f>
        <v>UF</v>
      </c>
      <c r="DE259" s="69" t="str">
        <f t="shared" si="266"/>
        <v/>
      </c>
      <c r="DF259" s="2">
        <v>4</v>
      </c>
      <c r="DG259" s="2">
        <v>38</v>
      </c>
      <c r="DH259" s="2">
        <v>1</v>
      </c>
      <c r="DI259" s="2">
        <v>2</v>
      </c>
      <c r="DJ259" s="2">
        <v>3</v>
      </c>
      <c r="DK259" s="2" t="s">
        <v>12</v>
      </c>
      <c r="DL259" s="2" t="s">
        <v>12</v>
      </c>
      <c r="DM259" s="2" t="s">
        <v>12</v>
      </c>
      <c r="DN259" s="2" t="s">
        <v>12</v>
      </c>
      <c r="DO259" s="2" t="s">
        <v>12</v>
      </c>
      <c r="DP259" s="2" t="s">
        <v>12</v>
      </c>
      <c r="DQ259" s="2">
        <v>2</v>
      </c>
      <c r="DR259" s="2">
        <v>37</v>
      </c>
      <c r="DS259" s="2">
        <v>3</v>
      </c>
      <c r="DT259" s="2" t="s">
        <v>12</v>
      </c>
      <c r="DU259" s="2" t="s">
        <v>12</v>
      </c>
      <c r="DV259" s="2">
        <v>2</v>
      </c>
      <c r="DW259" s="2">
        <v>2</v>
      </c>
      <c r="DX259" s="2">
        <v>2</v>
      </c>
      <c r="DY259" s="2">
        <v>2</v>
      </c>
      <c r="DZ259" s="2">
        <v>32</v>
      </c>
      <c r="EA259" s="2" t="s">
        <v>12</v>
      </c>
      <c r="EB259" s="2">
        <v>47</v>
      </c>
      <c r="EC259" s="2" t="s">
        <v>12</v>
      </c>
      <c r="ED259" s="2">
        <v>1</v>
      </c>
    </row>
    <row r="260" spans="2:134" x14ac:dyDescent="0.25">
      <c r="C260" s="8" t="s">
        <v>298</v>
      </c>
      <c r="D260" s="8">
        <v>2501037855</v>
      </c>
      <c r="E260" s="5">
        <v>7</v>
      </c>
      <c r="F260" s="2">
        <v>2</v>
      </c>
      <c r="G260" s="2">
        <v>37</v>
      </c>
      <c r="H260" s="2">
        <v>-2.038510606018678</v>
      </c>
      <c r="I260" s="2">
        <v>52</v>
      </c>
      <c r="J260" s="2">
        <v>1.117633928075521</v>
      </c>
      <c r="K260" s="2">
        <v>3000</v>
      </c>
      <c r="L260" s="2">
        <v>-0.73426392472567259</v>
      </c>
      <c r="M260" s="2">
        <v>1.0581</v>
      </c>
      <c r="N260" s="2">
        <f t="shared" si="268"/>
        <v>0.48760530300933902</v>
      </c>
      <c r="O260" s="2">
        <f t="shared" si="269"/>
        <v>1.0581</v>
      </c>
      <c r="P260" s="2">
        <v>65</v>
      </c>
      <c r="Q260" s="2">
        <v>-1.23</v>
      </c>
      <c r="R260" s="5">
        <f t="shared" si="270"/>
        <v>-8.3816964037760511E-2</v>
      </c>
      <c r="S260" s="5">
        <f t="shared" si="271"/>
        <v>-1.23</v>
      </c>
      <c r="T260" s="2">
        <v>8000</v>
      </c>
      <c r="U260" s="2">
        <v>7.0000000000000007E-2</v>
      </c>
      <c r="V260" s="2">
        <f t="shared" si="272"/>
        <v>0.2471319623628363</v>
      </c>
      <c r="W260" s="2">
        <f t="shared" si="273"/>
        <v>7.0000000000000007E-2</v>
      </c>
      <c r="X260" s="2">
        <v>-1.0632999999999999</v>
      </c>
      <c r="Y260" s="76">
        <f t="shared" si="309"/>
        <v>0.97521060601867804</v>
      </c>
      <c r="Z260" s="76">
        <f t="shared" si="310"/>
        <v>2</v>
      </c>
      <c r="AA260" s="2">
        <f t="shared" si="274"/>
        <v>1.0483</v>
      </c>
      <c r="AB260" s="2">
        <f t="shared" si="275"/>
        <v>-1.0632999999999999</v>
      </c>
      <c r="AC260" s="2">
        <v>78</v>
      </c>
      <c r="AD260" s="2">
        <v>0.95</v>
      </c>
      <c r="AE260" s="79">
        <f t="shared" si="311"/>
        <v>-0.16763392807552102</v>
      </c>
      <c r="AF260" s="79">
        <f t="shared" si="312"/>
        <v>-1</v>
      </c>
      <c r="AG260" s="2">
        <f t="shared" si="265"/>
        <v>1.1200000000000001</v>
      </c>
      <c r="AH260" s="2">
        <f t="shared" si="276"/>
        <v>0.95</v>
      </c>
      <c r="AI260" s="2">
        <v>9400</v>
      </c>
      <c r="AJ260" s="2">
        <v>-0.24</v>
      </c>
      <c r="AK260" s="76">
        <f t="shared" si="313"/>
        <v>0.4942639247256726</v>
      </c>
      <c r="AL260" s="76">
        <f t="shared" si="314"/>
        <v>1</v>
      </c>
      <c r="AM260" s="2">
        <f t="shared" si="277"/>
        <v>0.56499999999999995</v>
      </c>
      <c r="AN260" s="2">
        <f t="shared" si="278"/>
        <v>-0.24</v>
      </c>
      <c r="AO260" s="2">
        <v>0.86660000000000004</v>
      </c>
      <c r="AP260" s="2">
        <f t="shared" si="279"/>
        <v>0.79187116362323406</v>
      </c>
      <c r="AQ260" s="2">
        <f t="shared" si="280"/>
        <v>0.86660000000000004</v>
      </c>
      <c r="AR260" s="2">
        <v>85</v>
      </c>
      <c r="AS260" s="2">
        <v>1.01</v>
      </c>
      <c r="AT260" s="2">
        <f t="shared" si="281"/>
        <v>-2.7729064855926355E-2</v>
      </c>
      <c r="AU260" s="2">
        <f t="shared" si="282"/>
        <v>1.01</v>
      </c>
      <c r="AV260" s="2">
        <v>12500</v>
      </c>
      <c r="AW260" s="2">
        <v>1.2</v>
      </c>
      <c r="AX260" s="2">
        <f t="shared" si="283"/>
        <v>0.5509839680536569</v>
      </c>
      <c r="AY260" s="2">
        <f t="shared" si="284"/>
        <v>1.2</v>
      </c>
      <c r="AZ260" s="2">
        <v>0.52044232724646833</v>
      </c>
      <c r="BA260" s="78">
        <f t="shared" si="315"/>
        <v>1.5837423272464681</v>
      </c>
      <c r="BB260" s="78">
        <f t="shared" si="316"/>
        <v>2</v>
      </c>
      <c r="BC260" s="2">
        <f t="shared" si="285"/>
        <v>-5.7117460372887598E-2</v>
      </c>
      <c r="BD260" s="2">
        <f t="shared" si="286"/>
        <v>0.52044232724646833</v>
      </c>
      <c r="BE260" s="67">
        <f t="shared" si="317"/>
        <v>7</v>
      </c>
      <c r="BF260" s="2">
        <v>90</v>
      </c>
      <c r="BG260" s="2">
        <v>0.89454187028814725</v>
      </c>
      <c r="BH260" s="2">
        <f t="shared" si="287"/>
        <v>0.137888288036872</v>
      </c>
      <c r="BI260" s="2">
        <f t="shared" si="288"/>
        <v>0.89454187028814725</v>
      </c>
      <c r="BJ260" s="67">
        <f t="shared" si="289"/>
        <v>7</v>
      </c>
      <c r="BK260" s="2">
        <v>14000</v>
      </c>
      <c r="BL260" s="2">
        <v>0.86196793610731381</v>
      </c>
      <c r="BM260" s="77">
        <f t="shared" si="318"/>
        <v>1.1019679361073138</v>
      </c>
      <c r="BN260" s="77">
        <f t="shared" si="319"/>
        <v>2</v>
      </c>
      <c r="BO260" s="2">
        <f t="shared" si="290"/>
        <v>0.10074329974020631</v>
      </c>
      <c r="BP260" s="2">
        <f t="shared" si="291"/>
        <v>0.86196793610731381</v>
      </c>
      <c r="BQ260" s="67">
        <f t="shared" si="320"/>
        <v>7</v>
      </c>
      <c r="BR260" s="5">
        <v>0.69524761888133724</v>
      </c>
      <c r="BS260" s="75">
        <f t="shared" si="321"/>
        <v>0.17480529163486891</v>
      </c>
      <c r="BT260" s="75">
        <f t="shared" si="322"/>
        <v>1</v>
      </c>
      <c r="BU260" s="5" t="e">
        <f>IF(#REF!&gt;=36, IF(AND(NOT(ISBLANK(CM:CM)), NOT(ISBLANK(BD:BD))), (CM:CM-BD:BD)/2, ""), "UF")</f>
        <v>#REF!</v>
      </c>
      <c r="BV260" s="5">
        <f t="shared" si="292"/>
        <v>0.69524761888133724</v>
      </c>
      <c r="BW260" s="69">
        <f t="shared" si="293"/>
        <v>7</v>
      </c>
      <c r="BX260" s="2">
        <v>101</v>
      </c>
      <c r="BY260" s="5">
        <v>1.423664864110616</v>
      </c>
      <c r="BZ260" s="74">
        <f t="shared" si="323"/>
        <v>0.56169692800330218</v>
      </c>
      <c r="CA260" s="74">
        <f t="shared" si="324"/>
        <v>1</v>
      </c>
      <c r="CB260" s="5" t="str">
        <f t="shared" si="294"/>
        <v/>
      </c>
      <c r="CC260" s="5">
        <f t="shared" si="295"/>
        <v>1.423664864110616</v>
      </c>
      <c r="CD260" s="2">
        <f t="shared" si="296"/>
        <v>0.52912299382246875</v>
      </c>
      <c r="CE260" s="69">
        <f t="shared" si="297"/>
        <v>7</v>
      </c>
      <c r="CF260" s="5">
        <v>17200</v>
      </c>
      <c r="CG260" s="5">
        <v>1.5022298992206189</v>
      </c>
      <c r="CH260" s="72">
        <f t="shared" si="325"/>
        <v>0.64026196311330508</v>
      </c>
      <c r="CI260" s="72">
        <f t="shared" si="326"/>
        <v>1</v>
      </c>
      <c r="CJ260" s="5" t="str">
        <f t="shared" si="298"/>
        <v/>
      </c>
      <c r="CK260" s="5">
        <f t="shared" si="299"/>
        <v>1.5022298992206189</v>
      </c>
      <c r="CL260" s="69">
        <f t="shared" si="300"/>
        <v>7</v>
      </c>
      <c r="CN260" s="70" t="str">
        <f t="shared" si="301"/>
        <v/>
      </c>
      <c r="CO260" s="5" t="str">
        <f t="shared" si="302"/>
        <v>UF</v>
      </c>
      <c r="CP260" s="5" t="str">
        <f>IF(G260&lt;48,"UF", IF(NOT(ISBLANK(CM:CM)), CM:CM, IF(BW:BW=1, BV:BV+Sheet2!B510, IF(Sheet1!BW:BW=2, Sheet1!BV:BV+Sheet2!B511, IF(Sheet1!BW:BW=7, Sheet1!BV:BV+Sheet2!B512,"")))))</f>
        <v>UF</v>
      </c>
      <c r="CQ260" s="69" t="str">
        <f t="shared" si="327"/>
        <v/>
      </c>
      <c r="CR260" s="5" t="s">
        <v>12</v>
      </c>
      <c r="CT260" s="5" t="str">
        <f t="shared" si="303"/>
        <v/>
      </c>
      <c r="CU260" s="80" t="str">
        <f t="shared" si="304"/>
        <v>UF</v>
      </c>
      <c r="CV260" s="80" t="str">
        <f t="shared" si="305"/>
        <v>UF</v>
      </c>
      <c r="CW260" s="20" t="str">
        <f>IF(G260&lt;48,"UF", IF(NOT(ISBLANK(CS260)), CS260, IF(CE260=5, CC260+Sheet2!B499, IF(CE260=6, CC260+Sheet2!B500, IF(CE260=7, CC260+Sheet2!B501,"")))))</f>
        <v>UF</v>
      </c>
      <c r="CX260" s="68" t="str">
        <f t="shared" si="328"/>
        <v/>
      </c>
      <c r="CY260" s="5" t="s">
        <v>12</v>
      </c>
      <c r="DA260" s="5" t="str">
        <f t="shared" si="306"/>
        <v>UF</v>
      </c>
      <c r="DB260" s="73" t="str">
        <f t="shared" si="307"/>
        <v>UF</v>
      </c>
      <c r="DC260" s="73" t="str">
        <f t="shared" si="308"/>
        <v>UF</v>
      </c>
      <c r="DD260" s="5" t="str">
        <f>IF(G260&lt;48,"UF", IF(NOT(ISBLANK(CZ:CZ)), CZ:CZ, IF(CL:CL=3, CK:CK+Sheet2!B504, IF(CL:CL=4, CK:CK+Sheet2!B505, IF(CL:CL=7, CK:CK+Sheet2!B506,"")))))</f>
        <v>UF</v>
      </c>
      <c r="DE260" s="69" t="str">
        <f t="shared" si="266"/>
        <v/>
      </c>
      <c r="DF260" s="2">
        <v>2</v>
      </c>
      <c r="DG260" s="2">
        <v>30</v>
      </c>
      <c r="DH260" s="2">
        <v>1</v>
      </c>
      <c r="DI260" s="2">
        <v>2</v>
      </c>
      <c r="DJ260" s="2">
        <v>2</v>
      </c>
      <c r="DK260" s="2">
        <v>120</v>
      </c>
      <c r="DL260" s="2">
        <v>60</v>
      </c>
      <c r="DM260" s="2">
        <v>110</v>
      </c>
      <c r="DN260" s="2">
        <v>59</v>
      </c>
      <c r="DO260" s="2">
        <v>105</v>
      </c>
      <c r="DP260" s="2">
        <v>59</v>
      </c>
      <c r="DQ260" s="2">
        <v>1</v>
      </c>
      <c r="DR260" s="2">
        <v>40</v>
      </c>
      <c r="DS260" s="2">
        <v>2</v>
      </c>
      <c r="DT260" s="2">
        <v>91</v>
      </c>
      <c r="DU260" s="2">
        <v>90</v>
      </c>
      <c r="DV260" s="2">
        <v>2</v>
      </c>
      <c r="DW260" s="2">
        <v>2</v>
      </c>
      <c r="DX260" s="2">
        <v>2</v>
      </c>
      <c r="DY260" s="2">
        <v>2</v>
      </c>
      <c r="DZ260" s="2">
        <v>35</v>
      </c>
      <c r="EA260" s="2">
        <v>37.799999999999997</v>
      </c>
      <c r="EB260" s="2">
        <v>46.6</v>
      </c>
      <c r="EC260" s="2">
        <v>1</v>
      </c>
      <c r="ED260" s="2">
        <v>1</v>
      </c>
    </row>
    <row r="261" spans="2:134" x14ac:dyDescent="0.25">
      <c r="C261" s="8" t="s">
        <v>195</v>
      </c>
      <c r="D261" s="4">
        <v>2501038096</v>
      </c>
      <c r="E261" s="5">
        <v>7</v>
      </c>
      <c r="F261" s="2">
        <v>1</v>
      </c>
      <c r="G261" s="2">
        <v>35</v>
      </c>
      <c r="H261" s="2">
        <v>1.2473694212354169</v>
      </c>
      <c r="I261" s="2">
        <v>52</v>
      </c>
      <c r="J261" s="2">
        <v>1.531272843240846</v>
      </c>
      <c r="K261" s="1">
        <v>4050</v>
      </c>
      <c r="L261" s="2">
        <v>1.662031537937861</v>
      </c>
      <c r="M261" s="2">
        <v>1.1516999999999999</v>
      </c>
      <c r="N261" s="2">
        <f t="shared" si="268"/>
        <v>-3.5584710617708515E-2</v>
      </c>
      <c r="O261" s="2">
        <f t="shared" si="269"/>
        <v>1.1516999999999999</v>
      </c>
      <c r="P261" s="2">
        <v>69</v>
      </c>
      <c r="Q261" s="2">
        <v>1.43</v>
      </c>
      <c r="R261" s="5">
        <f t="shared" si="270"/>
        <v>-0.86563642162042298</v>
      </c>
      <c r="S261" s="5">
        <f t="shared" si="271"/>
        <v>1.43</v>
      </c>
      <c r="T261" s="1">
        <v>8940</v>
      </c>
      <c r="U261" s="2">
        <v>1.65</v>
      </c>
      <c r="V261" s="2">
        <f t="shared" si="272"/>
        <v>-0.45601576896893048</v>
      </c>
      <c r="W261" s="2">
        <f t="shared" si="273"/>
        <v>1.65</v>
      </c>
      <c r="X261" s="2">
        <v>1.1761999999999999</v>
      </c>
      <c r="Y261" s="76">
        <f t="shared" si="309"/>
        <v>-7.116942123541703E-2</v>
      </c>
      <c r="Z261" s="76">
        <f t="shared" si="310"/>
        <v>-1</v>
      </c>
      <c r="AA261" s="2">
        <f t="shared" si="274"/>
        <v>-0.82479999999999998</v>
      </c>
      <c r="AB261" s="2">
        <f t="shared" si="275"/>
        <v>1.1761999999999999</v>
      </c>
      <c r="AC261" s="2">
        <v>73.5</v>
      </c>
      <c r="AD261" s="2">
        <v>-0.2</v>
      </c>
      <c r="AE261" s="79">
        <f t="shared" si="311"/>
        <v>-1.731272843240846</v>
      </c>
      <c r="AF261" s="79">
        <f t="shared" si="312"/>
        <v>-2</v>
      </c>
      <c r="AG261" s="2">
        <f t="shared" si="265"/>
        <v>-0.75</v>
      </c>
      <c r="AH261" s="2">
        <f t="shared" si="276"/>
        <v>-0.2</v>
      </c>
      <c r="AI261" s="2">
        <v>9820</v>
      </c>
      <c r="AJ261" s="2">
        <v>0.75</v>
      </c>
      <c r="AK261" s="76">
        <f t="shared" si="313"/>
        <v>-0.91203153793786096</v>
      </c>
      <c r="AL261" s="76">
        <f t="shared" si="314"/>
        <v>-2</v>
      </c>
      <c r="AM261" s="2">
        <f t="shared" si="277"/>
        <v>-0.91999999999999993</v>
      </c>
      <c r="AN261" s="2">
        <f t="shared" si="278"/>
        <v>0.75</v>
      </c>
      <c r="AO261" s="2">
        <v>-0.21959999999999999</v>
      </c>
      <c r="AP261" s="2" t="str">
        <f t="shared" si="279"/>
        <v/>
      </c>
      <c r="AQ261" s="2">
        <f t="shared" si="280"/>
        <v>-0.21959999999999999</v>
      </c>
      <c r="AR261" s="2">
        <v>80.5</v>
      </c>
      <c r="AS261" s="2">
        <v>-7.0000000000000007E-2</v>
      </c>
      <c r="AT261" s="2" t="str">
        <f t="shared" si="281"/>
        <v/>
      </c>
      <c r="AU261" s="2">
        <f t="shared" si="282"/>
        <v>-7.0000000000000007E-2</v>
      </c>
      <c r="AV261" s="2">
        <v>10000</v>
      </c>
      <c r="AW261" s="2">
        <v>-0.19</v>
      </c>
      <c r="AX261" s="2" t="str">
        <f t="shared" si="283"/>
        <v/>
      </c>
      <c r="AY261" s="2">
        <f t="shared" si="284"/>
        <v>-0.19</v>
      </c>
      <c r="BA261" s="78" t="e">
        <f t="shared" si="315"/>
        <v>#VALUE!</v>
      </c>
      <c r="BB261" s="78" t="e">
        <f t="shared" si="316"/>
        <v>#VALUE!</v>
      </c>
      <c r="BC261" s="2" t="str">
        <f t="shared" si="285"/>
        <v/>
      </c>
      <c r="BD261" s="2" t="e">
        <f t="shared" si="286"/>
        <v>#VALUE!</v>
      </c>
      <c r="BE261" s="67" t="e">
        <f t="shared" si="317"/>
        <v>#VALUE!</v>
      </c>
      <c r="BF261" s="2" t="s">
        <v>12</v>
      </c>
      <c r="BH261" s="2" t="str">
        <f t="shared" si="287"/>
        <v/>
      </c>
      <c r="BI261" s="2" t="e">
        <f t="shared" si="288"/>
        <v>#VALUE!</v>
      </c>
      <c r="BJ261" s="67" t="e">
        <f t="shared" si="289"/>
        <v>#VALUE!</v>
      </c>
      <c r="BK261" s="2" t="s">
        <v>12</v>
      </c>
      <c r="BM261" s="77" t="e">
        <f t="shared" si="318"/>
        <v>#VALUE!</v>
      </c>
      <c r="BN261" s="77" t="e">
        <f t="shared" si="319"/>
        <v>#VALUE!</v>
      </c>
      <c r="BO261" s="2" t="str">
        <f t="shared" si="290"/>
        <v/>
      </c>
      <c r="BP261" s="2" t="e">
        <f t="shared" si="291"/>
        <v>#VALUE!</v>
      </c>
      <c r="BQ261" s="67" t="e">
        <f t="shared" si="320"/>
        <v>#VALUE!</v>
      </c>
      <c r="BS261" s="75" t="str">
        <f t="shared" si="321"/>
        <v>UF</v>
      </c>
      <c r="BT261" s="75" t="str">
        <f t="shared" si="322"/>
        <v>UF</v>
      </c>
      <c r="BU261" s="5" t="str">
        <f>IF(G267&gt;=36, IF(AND(NOT(ISBLANK(CM:CM)), NOT(ISBLANK(BD:BD))), (CM:CM-BD:BD)/2, ""), "UF")</f>
        <v/>
      </c>
      <c r="BV261" s="5" t="str">
        <f t="shared" si="292"/>
        <v>UF</v>
      </c>
      <c r="BW261" s="69" t="str">
        <f t="shared" si="293"/>
        <v/>
      </c>
      <c r="BX261" s="2" t="s">
        <v>12</v>
      </c>
      <c r="BZ261" s="74" t="str">
        <f t="shared" si="323"/>
        <v>UF</v>
      </c>
      <c r="CA261" s="74" t="str">
        <f t="shared" si="324"/>
        <v>UF</v>
      </c>
      <c r="CB261" s="5" t="str">
        <f t="shared" si="294"/>
        <v>UF</v>
      </c>
      <c r="CC261" s="5" t="str">
        <f t="shared" si="295"/>
        <v>UF</v>
      </c>
      <c r="CD261" s="2" t="e">
        <f t="shared" si="296"/>
        <v>#VALUE!</v>
      </c>
      <c r="CE261" s="69" t="str">
        <f t="shared" si="297"/>
        <v/>
      </c>
      <c r="CF261" s="5" t="s">
        <v>12</v>
      </c>
      <c r="CH261" s="72" t="str">
        <f t="shared" si="325"/>
        <v>UF</v>
      </c>
      <c r="CI261" s="72" t="str">
        <f t="shared" si="326"/>
        <v>UF</v>
      </c>
      <c r="CJ261" s="5" t="str">
        <f t="shared" si="298"/>
        <v>UF</v>
      </c>
      <c r="CK261" s="5" t="str">
        <f t="shared" si="299"/>
        <v>UF</v>
      </c>
      <c r="CL261" s="69" t="str">
        <f t="shared" si="300"/>
        <v/>
      </c>
      <c r="CN261" s="70" t="str">
        <f t="shared" si="301"/>
        <v/>
      </c>
      <c r="CO261" s="5" t="str">
        <f t="shared" si="302"/>
        <v>UF</v>
      </c>
      <c r="CP261" s="5" t="str">
        <f>IF(G261&lt;48,"UF", IF(NOT(ISBLANK(CM:CM)), CM:CM, IF(BW:BW=1, BV:BV+Sheet2!B369, IF(Sheet1!BW:BW=2, Sheet1!BV:BV+Sheet2!B370, IF(Sheet1!BW:BW=7, Sheet1!BV:BV+Sheet2!B371,"")))))</f>
        <v>UF</v>
      </c>
      <c r="CQ261" s="69" t="str">
        <f t="shared" si="327"/>
        <v/>
      </c>
      <c r="CR261" s="5" t="s">
        <v>12</v>
      </c>
      <c r="CT261" s="5" t="str">
        <f t="shared" si="303"/>
        <v/>
      </c>
      <c r="CU261" s="80" t="str">
        <f t="shared" si="304"/>
        <v>UF</v>
      </c>
      <c r="CV261" s="80" t="str">
        <f t="shared" si="305"/>
        <v>UF</v>
      </c>
      <c r="CW261" s="20" t="str">
        <f>IF(G261&lt;48,"UF", IF(NOT(ISBLANK(CS261)), CS261, IF(CE261=5, CC261+Sheet2!B358, IF(CE261=6, CC261+Sheet2!B359, IF(CE261=7, CC261+Sheet2!B360,"")))))</f>
        <v>UF</v>
      </c>
      <c r="CX261" s="68" t="str">
        <f t="shared" si="328"/>
        <v/>
      </c>
      <c r="CY261" s="5" t="s">
        <v>12</v>
      </c>
      <c r="DA261" s="5" t="str">
        <f t="shared" si="306"/>
        <v>UF</v>
      </c>
      <c r="DB261" s="73" t="str">
        <f t="shared" si="307"/>
        <v>UF</v>
      </c>
      <c r="DC261" s="73" t="str">
        <f t="shared" si="308"/>
        <v>UF</v>
      </c>
      <c r="DD261" s="5" t="str">
        <f>IF(G261&lt;48,"UF", IF(NOT(ISBLANK(CZ:CZ)), CZ:CZ, IF(CL:CL=3, CK:CK+Sheet2!B363, IF(CL:CL=4, CK:CK+Sheet2!B364, IF(CL:CL=7, CK:CK+Sheet2!B365,"")))))</f>
        <v>UF</v>
      </c>
      <c r="DE261" s="69" t="str">
        <f t="shared" si="266"/>
        <v/>
      </c>
      <c r="DF261" s="2">
        <v>2</v>
      </c>
      <c r="DG261" s="2">
        <v>32</v>
      </c>
      <c r="DH261" s="2">
        <v>1</v>
      </c>
      <c r="DI261" s="2">
        <v>2</v>
      </c>
      <c r="DJ261" s="2">
        <v>2</v>
      </c>
      <c r="DK261" s="2">
        <v>120</v>
      </c>
      <c r="DL261" s="2">
        <v>70</v>
      </c>
      <c r="DM261" s="2">
        <v>120</v>
      </c>
      <c r="DN261" s="2">
        <v>66</v>
      </c>
      <c r="DO261" s="2">
        <v>121</v>
      </c>
      <c r="DP261" s="2">
        <v>76</v>
      </c>
      <c r="DQ261" s="2">
        <v>2</v>
      </c>
      <c r="DR261" s="2">
        <v>38</v>
      </c>
      <c r="DS261" s="2">
        <v>1</v>
      </c>
      <c r="DT261" s="2">
        <v>121</v>
      </c>
      <c r="DU261" s="2">
        <v>94</v>
      </c>
      <c r="DV261" s="2">
        <v>2</v>
      </c>
      <c r="DW261" s="2">
        <v>2</v>
      </c>
      <c r="DX261" s="2">
        <v>2</v>
      </c>
      <c r="DY261" s="2">
        <v>3</v>
      </c>
      <c r="DZ261" s="2">
        <v>36</v>
      </c>
      <c r="EA261" s="2" t="s">
        <v>12</v>
      </c>
      <c r="EB261" s="2">
        <v>47</v>
      </c>
      <c r="EC261" s="2" t="s">
        <v>12</v>
      </c>
      <c r="ED261" s="2">
        <v>1</v>
      </c>
    </row>
    <row r="262" spans="2:134" x14ac:dyDescent="0.25">
      <c r="C262" s="8" t="s">
        <v>255</v>
      </c>
      <c r="D262" s="4">
        <v>2501038436</v>
      </c>
      <c r="E262" s="5">
        <v>7</v>
      </c>
      <c r="F262" s="2">
        <v>2</v>
      </c>
      <c r="G262" s="2">
        <v>36</v>
      </c>
      <c r="H262" s="2">
        <v>9.3888710621249219E-2</v>
      </c>
      <c r="I262" s="2">
        <v>53</v>
      </c>
      <c r="J262" s="2">
        <v>1.645866503279491</v>
      </c>
      <c r="K262" s="2">
        <v>3800</v>
      </c>
      <c r="L262" s="2">
        <v>0.89011943685057737</v>
      </c>
      <c r="M262" s="2">
        <v>-1.1274999999999999</v>
      </c>
      <c r="N262" s="2">
        <f t="shared" si="268"/>
        <v>-0.31159435531062463</v>
      </c>
      <c r="O262" s="2">
        <f t="shared" si="269"/>
        <v>-1.1274999999999999</v>
      </c>
      <c r="P262" s="2">
        <v>72</v>
      </c>
      <c r="Q262" s="2">
        <v>2.0299999999999998</v>
      </c>
      <c r="R262" s="5">
        <f t="shared" si="270"/>
        <v>-0.34793325163974553</v>
      </c>
      <c r="S262" s="5">
        <f t="shared" si="271"/>
        <v>2.0299999999999998</v>
      </c>
      <c r="T262" s="2">
        <v>8200</v>
      </c>
      <c r="U262" s="2">
        <v>0.3</v>
      </c>
      <c r="V262" s="2">
        <f t="shared" si="272"/>
        <v>-0.37005971842528868</v>
      </c>
      <c r="W262" s="2">
        <f t="shared" si="273"/>
        <v>0.3</v>
      </c>
      <c r="X262" s="2">
        <v>-0.52929999999999999</v>
      </c>
      <c r="Y262" s="76">
        <f t="shared" si="309"/>
        <v>-0.62318871062124925</v>
      </c>
      <c r="Z262" s="76">
        <f t="shared" si="310"/>
        <v>-1</v>
      </c>
      <c r="AA262" s="2" t="str">
        <f t="shared" si="274"/>
        <v/>
      </c>
      <c r="AB262" s="2">
        <f t="shared" si="275"/>
        <v>-0.52929999999999999</v>
      </c>
      <c r="AC262" s="2">
        <v>78</v>
      </c>
      <c r="AD262" s="2">
        <v>0.95</v>
      </c>
      <c r="AE262" s="79">
        <f t="shared" si="311"/>
        <v>-0.69586650327949107</v>
      </c>
      <c r="AF262" s="79">
        <f t="shared" si="312"/>
        <v>-2</v>
      </c>
      <c r="AG262" s="2" t="str">
        <f t="shared" si="265"/>
        <v/>
      </c>
      <c r="AH262" s="2">
        <f t="shared" si="276"/>
        <v>0.95</v>
      </c>
      <c r="AI262" s="2">
        <v>9800</v>
      </c>
      <c r="AJ262" s="2">
        <v>0.15</v>
      </c>
      <c r="AK262" s="76">
        <f t="shared" si="313"/>
        <v>-0.74011943685057735</v>
      </c>
      <c r="AL262" s="76">
        <f t="shared" si="314"/>
        <v>-2</v>
      </c>
      <c r="AM262" s="2" t="str">
        <f t="shared" si="277"/>
        <v/>
      </c>
      <c r="AN262" s="2">
        <f t="shared" si="278"/>
        <v>0.15</v>
      </c>
      <c r="AP262" s="2">
        <f t="shared" si="279"/>
        <v>-0.33734468400610601</v>
      </c>
      <c r="AQ262" s="2">
        <f t="shared" si="280"/>
        <v>-0.86664468400610595</v>
      </c>
      <c r="AR262" s="2" t="s">
        <v>12</v>
      </c>
      <c r="AT262" s="2">
        <f t="shared" si="281"/>
        <v>-0.17025747606636493</v>
      </c>
      <c r="AU262" s="2">
        <f t="shared" si="282"/>
        <v>0.77974252393363508</v>
      </c>
      <c r="AV262" s="2" t="s">
        <v>12</v>
      </c>
      <c r="AX262" s="2">
        <f t="shared" si="283"/>
        <v>-0.35397891830913841</v>
      </c>
      <c r="AY262" s="2">
        <f t="shared" si="284"/>
        <v>-0.20397891830913842</v>
      </c>
      <c r="AZ262" s="2">
        <v>-1.203989368012212</v>
      </c>
      <c r="BA262" s="78">
        <f t="shared" si="315"/>
        <v>-0.67468936801221202</v>
      </c>
      <c r="BB262" s="78">
        <f t="shared" si="316"/>
        <v>-2</v>
      </c>
      <c r="BC262" s="2" t="str">
        <f t="shared" si="285"/>
        <v/>
      </c>
      <c r="BD262" s="2">
        <f t="shared" si="286"/>
        <v>-1.203989368012212</v>
      </c>
      <c r="BE262" s="67">
        <f t="shared" si="317"/>
        <v>7</v>
      </c>
      <c r="BF262" s="2">
        <v>89</v>
      </c>
      <c r="BG262" s="2">
        <v>0.60948504786727009</v>
      </c>
      <c r="BH262" s="2" t="str">
        <f t="shared" si="287"/>
        <v/>
      </c>
      <c r="BI262" s="2">
        <f t="shared" si="288"/>
        <v>0.60948504786727009</v>
      </c>
      <c r="BJ262" s="67">
        <f t="shared" si="289"/>
        <v>7</v>
      </c>
      <c r="BK262" s="2">
        <v>12000</v>
      </c>
      <c r="BL262" s="2">
        <v>-0.5579578366182768</v>
      </c>
      <c r="BM262" s="77">
        <f t="shared" si="318"/>
        <v>-0.70795783661827683</v>
      </c>
      <c r="BN262" s="77">
        <f t="shared" si="319"/>
        <v>-2</v>
      </c>
      <c r="BO262" s="2" t="str">
        <f t="shared" si="290"/>
        <v/>
      </c>
      <c r="BP262" s="2">
        <f t="shared" si="291"/>
        <v>-0.5579578366182768</v>
      </c>
      <c r="BQ262" s="67">
        <f t="shared" si="320"/>
        <v>7</v>
      </c>
      <c r="BS262" s="75" t="e">
        <f t="shared" si="321"/>
        <v>#VALUE!</v>
      </c>
      <c r="BT262" s="75" t="e">
        <f t="shared" si="322"/>
        <v>#VALUE!</v>
      </c>
      <c r="BU262" s="5" t="str">
        <f>IF(G268&gt;=36, IF(AND(NOT(ISBLANK(CM:CM)), NOT(ISBLANK(BD:BD))), (CM:CM-BD:BD)/2, ""), "UF")</f>
        <v>UF</v>
      </c>
      <c r="BV262" s="5" t="e">
        <f t="shared" si="292"/>
        <v>#VALUE!</v>
      </c>
      <c r="BW262" s="69" t="e">
        <f t="shared" si="293"/>
        <v>#VALUE!</v>
      </c>
      <c r="BX262" s="2" t="s">
        <v>12</v>
      </c>
      <c r="BZ262" s="74" t="e">
        <f t="shared" si="323"/>
        <v>#VALUE!</v>
      </c>
      <c r="CA262" s="74" t="e">
        <f t="shared" si="324"/>
        <v>#VALUE!</v>
      </c>
      <c r="CB262" s="5" t="str">
        <f t="shared" si="294"/>
        <v/>
      </c>
      <c r="CC262" s="5" t="e">
        <f t="shared" si="295"/>
        <v>#VALUE!</v>
      </c>
      <c r="CD262" s="2" t="e">
        <f t="shared" si="296"/>
        <v>#VALUE!</v>
      </c>
      <c r="CE262" s="69" t="e">
        <f t="shared" si="297"/>
        <v>#VALUE!</v>
      </c>
      <c r="CF262" s="5" t="s">
        <v>12</v>
      </c>
      <c r="CH262" s="72" t="e">
        <f t="shared" si="325"/>
        <v>#VALUE!</v>
      </c>
      <c r="CI262" s="72" t="e">
        <f t="shared" si="326"/>
        <v>#VALUE!</v>
      </c>
      <c r="CJ262" s="5" t="str">
        <f t="shared" si="298"/>
        <v/>
      </c>
      <c r="CK262" s="5" t="e">
        <f t="shared" si="299"/>
        <v>#VALUE!</v>
      </c>
      <c r="CL262" s="69" t="e">
        <f t="shared" si="300"/>
        <v>#VALUE!</v>
      </c>
      <c r="CN262" s="70" t="str">
        <f t="shared" si="301"/>
        <v/>
      </c>
      <c r="CO262" s="5" t="str">
        <f t="shared" si="302"/>
        <v>UF</v>
      </c>
      <c r="CP262" s="5" t="str">
        <f>IF(G262&lt;48,"UF", IF(NOT(ISBLANK(CM:CM)), CM:CM, IF(BW:BW=1, BV:BV+Sheet2!B450, IF(Sheet1!BW:BW=2, Sheet1!BV:BV+Sheet2!B451, IF(Sheet1!BW:BW=7, Sheet1!BV:BV+Sheet2!B452,"")))))</f>
        <v>UF</v>
      </c>
      <c r="CQ262" s="69" t="str">
        <f t="shared" si="327"/>
        <v/>
      </c>
      <c r="CR262" s="5" t="s">
        <v>12</v>
      </c>
      <c r="CT262" s="5" t="str">
        <f t="shared" si="303"/>
        <v/>
      </c>
      <c r="CU262" s="80" t="str">
        <f t="shared" si="304"/>
        <v>UF</v>
      </c>
      <c r="CV262" s="80" t="str">
        <f t="shared" si="305"/>
        <v>UF</v>
      </c>
      <c r="CW262" s="20" t="str">
        <f>IF(G262&lt;48,"UF", IF(NOT(ISBLANK(CS262)), CS262, IF(CE262=5, CC262+Sheet2!B439, IF(CE262=6, CC262+Sheet2!B440, IF(CE262=7, CC262+Sheet2!B441,"")))))</f>
        <v>UF</v>
      </c>
      <c r="CX262" s="68" t="str">
        <f t="shared" si="328"/>
        <v/>
      </c>
      <c r="CY262" s="5" t="s">
        <v>12</v>
      </c>
      <c r="DA262" s="5" t="str">
        <f t="shared" si="306"/>
        <v>UF</v>
      </c>
      <c r="DB262" s="73" t="str">
        <f t="shared" si="307"/>
        <v>UF</v>
      </c>
      <c r="DC262" s="73" t="str">
        <f t="shared" si="308"/>
        <v>UF</v>
      </c>
      <c r="DD262" s="5" t="str">
        <f>IF(G262&lt;48,"UF", IF(NOT(ISBLANK(CZ:CZ)), CZ:CZ, IF(CL:CL=3, CK:CK+Sheet2!B444, IF(CL:CL=4, CK:CK+Sheet2!B445, IF(CL:CL=7, CK:CK+Sheet2!B446,"")))))</f>
        <v>UF</v>
      </c>
      <c r="DE262" s="69" t="str">
        <f t="shared" si="266"/>
        <v/>
      </c>
      <c r="DF262" s="2">
        <v>2</v>
      </c>
      <c r="DG262" s="2">
        <v>23</v>
      </c>
      <c r="DH262" s="2">
        <v>1</v>
      </c>
      <c r="DI262" s="2">
        <v>1</v>
      </c>
      <c r="DJ262" s="2">
        <v>2</v>
      </c>
      <c r="DK262" s="2">
        <v>110</v>
      </c>
      <c r="DL262" s="2">
        <v>60</v>
      </c>
      <c r="DM262" s="2">
        <v>110</v>
      </c>
      <c r="DN262" s="2">
        <v>60</v>
      </c>
      <c r="DO262" s="2">
        <v>110</v>
      </c>
      <c r="DP262" s="2">
        <v>60</v>
      </c>
      <c r="DQ262" s="2">
        <v>1</v>
      </c>
      <c r="DR262" s="2">
        <v>37</v>
      </c>
      <c r="DS262" s="2">
        <v>2</v>
      </c>
      <c r="DT262" s="2">
        <v>89</v>
      </c>
      <c r="DU262" s="2">
        <v>64</v>
      </c>
      <c r="DV262" s="2">
        <v>2</v>
      </c>
      <c r="DW262" s="2">
        <v>2</v>
      </c>
      <c r="DX262" s="2">
        <v>2</v>
      </c>
      <c r="DY262" s="2">
        <v>3</v>
      </c>
      <c r="DZ262" s="2">
        <v>35.5</v>
      </c>
      <c r="EA262" s="2">
        <v>35.5</v>
      </c>
      <c r="EB262" s="2">
        <v>45.5</v>
      </c>
      <c r="EC262" s="2">
        <v>4</v>
      </c>
      <c r="ED262" s="2">
        <v>1</v>
      </c>
    </row>
    <row r="263" spans="2:134" x14ac:dyDescent="0.25">
      <c r="C263" s="8" t="s">
        <v>342</v>
      </c>
      <c r="D263" s="2">
        <v>2501038460</v>
      </c>
      <c r="E263" s="5">
        <v>7</v>
      </c>
      <c r="F263" s="2">
        <v>1</v>
      </c>
      <c r="G263" s="2">
        <v>39</v>
      </c>
      <c r="H263" s="2">
        <v>7.8030319759640102E-2</v>
      </c>
      <c r="I263" s="2">
        <v>48</v>
      </c>
      <c r="J263" s="2">
        <v>-0.61614996855203885</v>
      </c>
      <c r="K263" s="2">
        <v>3095</v>
      </c>
      <c r="L263" s="2">
        <v>-0.30356882768449761</v>
      </c>
      <c r="M263" s="2">
        <v>0.20019999999999999</v>
      </c>
      <c r="N263" s="2">
        <f t="shared" si="268"/>
        <v>0.4173848401201799</v>
      </c>
      <c r="O263" s="2">
        <f t="shared" si="269"/>
        <v>0.20019999999999999</v>
      </c>
      <c r="P263" s="2">
        <v>66</v>
      </c>
      <c r="Q263" s="2">
        <v>0.11</v>
      </c>
      <c r="R263" s="5">
        <f t="shared" si="270"/>
        <v>-8.1925015723980588E-2</v>
      </c>
      <c r="S263" s="5">
        <f t="shared" si="271"/>
        <v>0.11</v>
      </c>
      <c r="T263" s="2">
        <v>7500</v>
      </c>
      <c r="U263" s="2">
        <v>0.22</v>
      </c>
      <c r="V263" s="2">
        <f t="shared" si="272"/>
        <v>0.26678441384224882</v>
      </c>
      <c r="W263" s="2">
        <f t="shared" si="273"/>
        <v>0.22</v>
      </c>
      <c r="X263" s="2">
        <v>0.91279999999999994</v>
      </c>
      <c r="Y263" s="76">
        <f t="shared" si="309"/>
        <v>0.8347696802403598</v>
      </c>
      <c r="Z263" s="76">
        <f t="shared" si="310"/>
        <v>2</v>
      </c>
      <c r="AA263" s="2">
        <f t="shared" si="274"/>
        <v>0.16550000000000001</v>
      </c>
      <c r="AB263" s="2">
        <f t="shared" si="275"/>
        <v>0.91279999999999994</v>
      </c>
      <c r="AC263" s="2">
        <v>72</v>
      </c>
      <c r="AD263" s="2">
        <v>-0.78</v>
      </c>
      <c r="AE263" s="79">
        <f t="shared" si="311"/>
        <v>-0.16385003144796118</v>
      </c>
      <c r="AF263" s="79">
        <f t="shared" si="312"/>
        <v>-1</v>
      </c>
      <c r="AG263" s="2">
        <f t="shared" si="265"/>
        <v>-0.35</v>
      </c>
      <c r="AH263" s="2">
        <f t="shared" si="276"/>
        <v>-0.78</v>
      </c>
      <c r="AI263" s="2">
        <v>9200</v>
      </c>
      <c r="AJ263" s="2">
        <v>0.23</v>
      </c>
      <c r="AK263" s="76">
        <f t="shared" si="313"/>
        <v>0.53356882768449765</v>
      </c>
      <c r="AL263" s="76">
        <f t="shared" si="314"/>
        <v>1</v>
      </c>
      <c r="AM263" s="2">
        <f t="shared" si="277"/>
        <v>-0.125</v>
      </c>
      <c r="AN263" s="2">
        <f t="shared" si="278"/>
        <v>0.23</v>
      </c>
      <c r="AO263" s="2">
        <v>0.441</v>
      </c>
      <c r="AP263" s="2">
        <f t="shared" si="279"/>
        <v>-0.61133355424726454</v>
      </c>
      <c r="AQ263" s="2">
        <f t="shared" si="280"/>
        <v>0.441</v>
      </c>
      <c r="AR263" s="2">
        <v>79</v>
      </c>
      <c r="AS263" s="2">
        <v>-0.59</v>
      </c>
      <c r="AT263" s="2">
        <f t="shared" si="281"/>
        <v>4.6726495241631971E-2</v>
      </c>
      <c r="AU263" s="2">
        <f t="shared" si="282"/>
        <v>-0.59</v>
      </c>
      <c r="AV263" s="2">
        <v>10200</v>
      </c>
      <c r="AW263" s="2">
        <v>-0.03</v>
      </c>
      <c r="AX263" s="2">
        <f t="shared" si="283"/>
        <v>-0.58778864706458922</v>
      </c>
      <c r="AY263" s="2">
        <f t="shared" si="284"/>
        <v>-0.03</v>
      </c>
      <c r="AZ263" s="2">
        <v>-0.30986710849452909</v>
      </c>
      <c r="BA263" s="78">
        <f t="shared" si="315"/>
        <v>-1.2226671084945291</v>
      </c>
      <c r="BB263" s="78">
        <f t="shared" si="316"/>
        <v>-2</v>
      </c>
      <c r="BC263" s="2">
        <f t="shared" si="285"/>
        <v>-0.24203375141752945</v>
      </c>
      <c r="BD263" s="2">
        <f t="shared" si="286"/>
        <v>-0.30986710849452909</v>
      </c>
      <c r="BE263" s="67">
        <f t="shared" si="317"/>
        <v>7</v>
      </c>
      <c r="BF263" s="2">
        <v>83</v>
      </c>
      <c r="BG263" s="2">
        <v>-0.68654700951673608</v>
      </c>
      <c r="BH263" s="2">
        <f t="shared" si="287"/>
        <v>9.2774174856052518E-3</v>
      </c>
      <c r="BI263" s="2">
        <f t="shared" si="288"/>
        <v>-0.68654700951673608</v>
      </c>
      <c r="BJ263" s="67">
        <f t="shared" si="289"/>
        <v>7</v>
      </c>
      <c r="BK263" s="2">
        <v>11000</v>
      </c>
      <c r="BL263" s="2">
        <v>-0.94557729412917846</v>
      </c>
      <c r="BM263" s="77">
        <f t="shared" si="318"/>
        <v>-1.1755772941291784</v>
      </c>
      <c r="BN263" s="77">
        <f t="shared" si="319"/>
        <v>-2</v>
      </c>
      <c r="BO263" s="2">
        <f t="shared" si="290"/>
        <v>-0.19211642637521556</v>
      </c>
      <c r="BP263" s="2">
        <f t="shared" si="291"/>
        <v>-0.94557729412917846</v>
      </c>
      <c r="BQ263" s="67">
        <f t="shared" si="320"/>
        <v>7</v>
      </c>
      <c r="BR263" s="5">
        <v>-0.28510125425258831</v>
      </c>
      <c r="BS263" s="75">
        <f t="shared" si="321"/>
        <v>2.4765854241940777E-2</v>
      </c>
      <c r="BT263" s="75">
        <f t="shared" si="322"/>
        <v>1</v>
      </c>
      <c r="BU263" s="5" t="str">
        <f>IF(G269&gt;=36, IF(AND(NOT(ISBLANK(CM:CM)), NOT(ISBLANK(BD:BD))), (CM:CM-BD:BD)/2, ""), "UF")</f>
        <v/>
      </c>
      <c r="BV263" s="5">
        <f t="shared" si="292"/>
        <v>-0.28510125425258831</v>
      </c>
      <c r="BW263" s="69">
        <f t="shared" si="293"/>
        <v>7</v>
      </c>
      <c r="BX263" s="2">
        <v>92</v>
      </c>
      <c r="BY263" s="5">
        <v>-0.56216774754318422</v>
      </c>
      <c r="BZ263" s="74">
        <f t="shared" si="323"/>
        <v>0.38340954658599424</v>
      </c>
      <c r="CA263" s="74">
        <f t="shared" si="324"/>
        <v>1</v>
      </c>
      <c r="CB263" s="5" t="str">
        <f t="shared" si="294"/>
        <v/>
      </c>
      <c r="CC263" s="5">
        <f t="shared" si="295"/>
        <v>-0.56216774754318422</v>
      </c>
      <c r="CD263" s="2">
        <f t="shared" si="296"/>
        <v>0.12437926197355187</v>
      </c>
      <c r="CE263" s="69">
        <f t="shared" si="297"/>
        <v>7</v>
      </c>
      <c r="CF263" s="5">
        <v>13000</v>
      </c>
      <c r="CG263" s="5">
        <v>-0.60634927912564673</v>
      </c>
      <c r="CH263" s="72">
        <f t="shared" si="325"/>
        <v>0.33922801500353172</v>
      </c>
      <c r="CI263" s="72">
        <f t="shared" si="326"/>
        <v>1</v>
      </c>
      <c r="CJ263" s="5" t="str">
        <f t="shared" si="298"/>
        <v/>
      </c>
      <c r="CK263" s="5">
        <f t="shared" si="299"/>
        <v>-0.60634927912564673</v>
      </c>
      <c r="CL263" s="69">
        <f t="shared" si="300"/>
        <v>7</v>
      </c>
      <c r="CN263" s="70" t="str">
        <f t="shared" si="301"/>
        <v/>
      </c>
      <c r="CO263" s="5" t="str">
        <f t="shared" si="302"/>
        <v>UF</v>
      </c>
      <c r="CP263" s="5" t="str">
        <f>IF(G263&lt;48,"UF", IF(NOT(ISBLANK(CM:CM)), CM:CM, IF(BW:BW=1, BV:BV+Sheet2!B573, IF(Sheet1!BW:BW=2, Sheet1!BV:BV+Sheet2!B574, IF(Sheet1!BW:BW=7, Sheet1!BV:BV+Sheet2!B575,"")))))</f>
        <v>UF</v>
      </c>
      <c r="CQ263" s="69" t="str">
        <f t="shared" si="327"/>
        <v/>
      </c>
      <c r="CR263" s="5" t="s">
        <v>12</v>
      </c>
      <c r="CT263" s="5" t="str">
        <f t="shared" si="303"/>
        <v/>
      </c>
      <c r="CU263" s="80" t="str">
        <f t="shared" si="304"/>
        <v>UF</v>
      </c>
      <c r="CV263" s="80" t="str">
        <f t="shared" si="305"/>
        <v>UF</v>
      </c>
      <c r="CW263" s="20" t="str">
        <f>IF(G263&lt;48,"UF", IF(NOT(ISBLANK(CS263)), CS263, IF(CE263=5, CC263+Sheet2!B562, IF(CE263=6, CC263+Sheet2!B563, IF(CE263=7, CC263+Sheet2!B564,"")))))</f>
        <v>UF</v>
      </c>
      <c r="CX263" s="68" t="str">
        <f t="shared" si="328"/>
        <v/>
      </c>
      <c r="CY263" s="5" t="s">
        <v>12</v>
      </c>
      <c r="DA263" s="5" t="str">
        <f t="shared" si="306"/>
        <v>UF</v>
      </c>
      <c r="DB263" s="73" t="str">
        <f t="shared" si="307"/>
        <v>UF</v>
      </c>
      <c r="DC263" s="73" t="str">
        <f t="shared" si="308"/>
        <v>UF</v>
      </c>
      <c r="DD263" s="5" t="str">
        <f>IF(G263&lt;48,"UF", IF(NOT(ISBLANK(CZ:CZ)), CZ:CZ, IF(CL:CL=3, CK:CK+Sheet2!B567, IF(CL:CL=4, CK:CK+Sheet2!B568, IF(CL:CL=7, CK:CK+Sheet2!B569,"")))))</f>
        <v>UF</v>
      </c>
      <c r="DE263" s="69" t="str">
        <f t="shared" si="266"/>
        <v/>
      </c>
      <c r="DF263" s="2">
        <v>2</v>
      </c>
      <c r="DG263" s="2">
        <v>29</v>
      </c>
      <c r="DH263" s="2">
        <v>2</v>
      </c>
      <c r="DI263" s="2">
        <v>2</v>
      </c>
      <c r="DJ263" s="2">
        <v>2</v>
      </c>
      <c r="DK263" s="2">
        <v>100</v>
      </c>
      <c r="DL263" s="2">
        <v>60</v>
      </c>
      <c r="DM263" s="2">
        <v>130</v>
      </c>
      <c r="DN263" s="2">
        <v>80</v>
      </c>
      <c r="DO263" s="2">
        <v>110</v>
      </c>
      <c r="DP263" s="2">
        <v>60</v>
      </c>
      <c r="DQ263" s="2">
        <v>2</v>
      </c>
      <c r="DR263" s="2">
        <v>39</v>
      </c>
      <c r="DS263" s="2">
        <v>1</v>
      </c>
      <c r="DT263" s="2">
        <v>79</v>
      </c>
      <c r="DU263" s="2">
        <v>100</v>
      </c>
      <c r="DV263" s="2">
        <v>2</v>
      </c>
      <c r="DW263" s="2">
        <v>3</v>
      </c>
      <c r="DX263" s="2">
        <v>3</v>
      </c>
      <c r="DY263" s="2">
        <v>2</v>
      </c>
      <c r="DZ263" s="2">
        <v>35</v>
      </c>
      <c r="EA263" s="2">
        <v>36</v>
      </c>
      <c r="EB263" s="2">
        <v>44</v>
      </c>
      <c r="EC263" s="2">
        <v>1</v>
      </c>
      <c r="ED263" s="2">
        <v>1</v>
      </c>
    </row>
    <row r="264" spans="2:134" ht="15.75" thickBot="1" x14ac:dyDescent="0.3">
      <c r="C264" s="8" t="s">
        <v>46</v>
      </c>
      <c r="D264" s="4">
        <v>2501038584</v>
      </c>
      <c r="E264" s="2" t="s">
        <v>528</v>
      </c>
      <c r="F264" s="2">
        <v>2</v>
      </c>
      <c r="G264" s="2">
        <v>36</v>
      </c>
      <c r="H264" s="2">
        <v>-3.2123698801936058</v>
      </c>
      <c r="I264" s="2">
        <v>48</v>
      </c>
      <c r="J264" s="2">
        <v>-0.99529637274036198</v>
      </c>
      <c r="K264" s="5">
        <v>2300</v>
      </c>
      <c r="L264" s="2">
        <v>-2.407174650982435</v>
      </c>
      <c r="M264" s="2">
        <v>-2.7368000000000001</v>
      </c>
      <c r="N264" s="2">
        <f t="shared" si="268"/>
        <v>0.35208494009680291</v>
      </c>
      <c r="O264" s="2">
        <f t="shared" si="269"/>
        <v>-2.7368000000000001</v>
      </c>
      <c r="P264" s="2">
        <v>67.3</v>
      </c>
      <c r="Q264" s="2">
        <v>-0.16</v>
      </c>
      <c r="R264" s="5">
        <f t="shared" si="270"/>
        <v>0.55264818637018098</v>
      </c>
      <c r="S264" s="5">
        <f t="shared" si="271"/>
        <v>-0.16</v>
      </c>
      <c r="T264" s="1">
        <v>6300</v>
      </c>
      <c r="U264" s="2">
        <v>-2.08</v>
      </c>
      <c r="V264" s="2">
        <f t="shared" si="272"/>
        <v>0.35358732549121752</v>
      </c>
      <c r="W264" s="2">
        <f t="shared" si="273"/>
        <v>-2.08</v>
      </c>
      <c r="X264" s="2">
        <v>-2.5082</v>
      </c>
      <c r="Y264" s="76">
        <f t="shared" si="309"/>
        <v>0.70416988019360582</v>
      </c>
      <c r="Z264" s="76">
        <f t="shared" si="310"/>
        <v>2</v>
      </c>
      <c r="AA264" s="2">
        <f t="shared" si="274"/>
        <v>-1.08555</v>
      </c>
      <c r="AB264" s="2">
        <f t="shared" si="275"/>
        <v>-2.5082</v>
      </c>
      <c r="AC264" s="2">
        <v>76</v>
      </c>
      <c r="AD264" s="2">
        <v>0.11</v>
      </c>
      <c r="AE264" s="79">
        <f t="shared" si="311"/>
        <v>1.105296372740362</v>
      </c>
      <c r="AF264" s="79">
        <f t="shared" si="312"/>
        <v>2</v>
      </c>
      <c r="AG264" s="2">
        <f t="shared" si="265"/>
        <v>-6.0000000000000012E-2</v>
      </c>
      <c r="AH264" s="2">
        <f t="shared" si="276"/>
        <v>0.11</v>
      </c>
      <c r="AI264" s="2">
        <v>8000</v>
      </c>
      <c r="AJ264" s="2">
        <v>-1.7</v>
      </c>
      <c r="AK264" s="76">
        <f t="shared" si="313"/>
        <v>0.70717465098243504</v>
      </c>
      <c r="AL264" s="76">
        <f t="shared" si="314"/>
        <v>2</v>
      </c>
      <c r="AM264" s="2">
        <f t="shared" si="277"/>
        <v>0.16500000000000004</v>
      </c>
      <c r="AN264" s="2">
        <f t="shared" si="278"/>
        <v>-1.7</v>
      </c>
      <c r="AO264" s="2">
        <v>-2.3311000000000002</v>
      </c>
      <c r="AP264" s="2">
        <f t="shared" si="279"/>
        <v>-0.14873755853363702</v>
      </c>
      <c r="AQ264" s="2">
        <f t="shared" si="280"/>
        <v>-2.3311000000000002</v>
      </c>
      <c r="AR264" s="2">
        <v>81.5</v>
      </c>
      <c r="AS264" s="2">
        <v>-0.28000000000000003</v>
      </c>
      <c r="AT264" s="2">
        <f t="shared" si="281"/>
        <v>-3.5279539001440215E-2</v>
      </c>
      <c r="AU264" s="2">
        <f t="shared" si="282"/>
        <v>-0.28000000000000003</v>
      </c>
      <c r="AV264" s="2">
        <v>9000</v>
      </c>
      <c r="AW264" s="2">
        <v>-1.75</v>
      </c>
      <c r="AX264" s="2">
        <f t="shared" si="283"/>
        <v>-0.10959810762633748</v>
      </c>
      <c r="AY264" s="2">
        <f t="shared" si="284"/>
        <v>-1.75</v>
      </c>
      <c r="AZ264" s="2">
        <v>-2.805675117067274</v>
      </c>
      <c r="BA264" s="78">
        <f t="shared" si="315"/>
        <v>-0.29747511706727403</v>
      </c>
      <c r="BB264" s="78">
        <f t="shared" si="316"/>
        <v>-1</v>
      </c>
      <c r="BC264" s="2" t="str">
        <f t="shared" si="285"/>
        <v/>
      </c>
      <c r="BD264" s="2">
        <f t="shared" si="286"/>
        <v>-2.805675117067274</v>
      </c>
      <c r="BE264" s="67">
        <f t="shared" si="317"/>
        <v>2</v>
      </c>
      <c r="BF264" s="2">
        <v>87</v>
      </c>
      <c r="BG264" s="2">
        <v>3.9440921997119571E-2</v>
      </c>
      <c r="BH264" s="2" t="str">
        <f t="shared" si="287"/>
        <v/>
      </c>
      <c r="BI264" s="2">
        <f t="shared" si="288"/>
        <v>3.9440921997119571E-2</v>
      </c>
      <c r="BJ264" s="67">
        <f t="shared" si="289"/>
        <v>7</v>
      </c>
      <c r="BK264" s="2">
        <v>10400</v>
      </c>
      <c r="BL264" s="2">
        <v>-1.9191962152526749</v>
      </c>
      <c r="BM264" s="77">
        <f t="shared" si="318"/>
        <v>-0.21919621525267496</v>
      </c>
      <c r="BN264" s="77">
        <f t="shared" si="319"/>
        <v>-1</v>
      </c>
      <c r="BO264" s="2" t="str">
        <f t="shared" si="290"/>
        <v/>
      </c>
      <c r="BP264" s="2">
        <f t="shared" si="291"/>
        <v>-1.9191962152526749</v>
      </c>
      <c r="BQ264" s="67">
        <f t="shared" si="320"/>
        <v>7</v>
      </c>
      <c r="BS264" s="75" t="e">
        <f t="shared" si="321"/>
        <v>#VALUE!</v>
      </c>
      <c r="BT264" s="75" t="e">
        <f t="shared" si="322"/>
        <v>#VALUE!</v>
      </c>
      <c r="BU264" s="5" t="str">
        <f>IF(G270&gt;=36, IF(AND(NOT(ISBLANK(CM:CM)), NOT(ISBLANK(BD:BD))), (CM:CM-BD:BD)/2, ""), "UF")</f>
        <v>UF</v>
      </c>
      <c r="BV264" s="5" t="e">
        <f t="shared" si="292"/>
        <v>#VALUE!</v>
      </c>
      <c r="BW264" s="69" t="e">
        <f t="shared" si="293"/>
        <v>#VALUE!</v>
      </c>
      <c r="BX264" s="2" t="s">
        <v>12</v>
      </c>
      <c r="BZ264" s="74" t="e">
        <f t="shared" si="323"/>
        <v>#VALUE!</v>
      </c>
      <c r="CA264" s="74" t="e">
        <f t="shared" si="324"/>
        <v>#VALUE!</v>
      </c>
      <c r="CB264" s="5" t="str">
        <f t="shared" si="294"/>
        <v/>
      </c>
      <c r="CC264" s="5" t="e">
        <f t="shared" si="295"/>
        <v>#VALUE!</v>
      </c>
      <c r="CD264" s="2" t="e">
        <f t="shared" si="296"/>
        <v>#VALUE!</v>
      </c>
      <c r="CE264" s="69" t="e">
        <f t="shared" si="297"/>
        <v>#VALUE!</v>
      </c>
      <c r="CF264" s="5" t="s">
        <v>12</v>
      </c>
      <c r="CH264" s="72" t="e">
        <f t="shared" si="325"/>
        <v>#VALUE!</v>
      </c>
      <c r="CI264" s="72" t="e">
        <f t="shared" si="326"/>
        <v>#VALUE!</v>
      </c>
      <c r="CJ264" s="5" t="str">
        <f t="shared" si="298"/>
        <v/>
      </c>
      <c r="CK264" s="5" t="e">
        <f t="shared" si="299"/>
        <v>#VALUE!</v>
      </c>
      <c r="CL264" s="69" t="e">
        <f t="shared" si="300"/>
        <v>#VALUE!</v>
      </c>
      <c r="CN264" s="70" t="str">
        <f t="shared" si="301"/>
        <v/>
      </c>
      <c r="CO264" s="5" t="str">
        <f t="shared" si="302"/>
        <v>UF</v>
      </c>
      <c r="CP264" s="5" t="str">
        <f>IF(G264&lt;48,"UF", IF(NOT(ISBLANK(CM:CM)), CM:CM, IF(BW:BW=1, BV:BV+Sheet2!B70, IF(Sheet1!BW:BW=2, Sheet1!BV:BV+Sheet2!B71, IF(Sheet1!BW:BW=7, Sheet1!BV:BV+Sheet2!B72,"")))))</f>
        <v>UF</v>
      </c>
      <c r="CQ264" s="69" t="str">
        <f t="shared" si="327"/>
        <v/>
      </c>
      <c r="CR264" s="5" t="s">
        <v>12</v>
      </c>
      <c r="CT264" s="5" t="str">
        <f t="shared" si="303"/>
        <v/>
      </c>
      <c r="CU264" s="80" t="str">
        <f t="shared" si="304"/>
        <v>UF</v>
      </c>
      <c r="CV264" s="80" t="str">
        <f t="shared" si="305"/>
        <v>UF</v>
      </c>
      <c r="CW264" s="20" t="str">
        <f>IF(G264&lt;48,"UF", IF(NOT(ISBLANK(CS264)), CS264, IF(CE264=5, CC264+Sheet2!B59, IF(CE264=6, CC264+Sheet2!B60, IF(CE264=7, CC264+Sheet2!B61,"")))))</f>
        <v>UF</v>
      </c>
      <c r="CX264" s="68" t="str">
        <f t="shared" si="328"/>
        <v/>
      </c>
      <c r="CY264" s="5" t="s">
        <v>12</v>
      </c>
      <c r="DA264" s="5" t="str">
        <f t="shared" si="306"/>
        <v>UF</v>
      </c>
      <c r="DB264" s="73" t="str">
        <f t="shared" si="307"/>
        <v>UF</v>
      </c>
      <c r="DC264" s="73" t="str">
        <f t="shared" si="308"/>
        <v>UF</v>
      </c>
      <c r="DD264" s="5" t="str">
        <f>IF(G264&lt;48,"UF", IF(NOT(ISBLANK(CZ:CZ)), CZ:CZ, IF(CL:CL=3, CK:CK+Sheet2!B64, IF(CL:CL=4, CK:CK+Sheet2!B65, IF(CL:CL=7, CK:CK+Sheet2!B66,"")))))</f>
        <v>UF</v>
      </c>
      <c r="DE264" s="69" t="str">
        <f t="shared" si="266"/>
        <v/>
      </c>
      <c r="DF264" s="2">
        <v>1</v>
      </c>
      <c r="DG264" s="2">
        <v>28</v>
      </c>
      <c r="DH264" s="2">
        <v>1</v>
      </c>
      <c r="DI264" s="2">
        <v>2</v>
      </c>
      <c r="DJ264" s="2">
        <v>2</v>
      </c>
      <c r="DK264" s="2">
        <v>107</v>
      </c>
      <c r="DL264" s="2">
        <v>54</v>
      </c>
      <c r="DM264" s="2">
        <v>95</v>
      </c>
      <c r="DN264" s="2">
        <v>62</v>
      </c>
      <c r="DO264" s="2" t="s">
        <v>12</v>
      </c>
      <c r="DP264" s="2" t="s">
        <v>12</v>
      </c>
      <c r="DQ264" s="2">
        <v>2</v>
      </c>
      <c r="DR264" s="2">
        <v>37</v>
      </c>
      <c r="DS264" s="2">
        <v>2</v>
      </c>
      <c r="DT264" s="2">
        <v>88</v>
      </c>
      <c r="DU264" s="2">
        <v>75</v>
      </c>
      <c r="DV264" s="2">
        <v>4</v>
      </c>
      <c r="DW264" s="2">
        <v>2</v>
      </c>
      <c r="DX264" s="2">
        <v>2</v>
      </c>
      <c r="DY264" s="2">
        <v>2</v>
      </c>
      <c r="DZ264" s="2">
        <v>33.5</v>
      </c>
      <c r="EA264" s="2">
        <v>34.299999999999997</v>
      </c>
      <c r="EB264" s="2">
        <v>45</v>
      </c>
      <c r="EC264" s="2">
        <v>1</v>
      </c>
      <c r="ED264" s="2">
        <v>1</v>
      </c>
    </row>
    <row r="265" spans="2:134" ht="15.75" thickBot="1" x14ac:dyDescent="0.3">
      <c r="C265" s="9" t="s">
        <v>360</v>
      </c>
      <c r="D265" s="54">
        <v>2501038630</v>
      </c>
      <c r="E265" s="2" t="s">
        <v>527</v>
      </c>
      <c r="F265" s="2">
        <v>2</v>
      </c>
      <c r="G265" s="2">
        <v>36</v>
      </c>
      <c r="H265" s="2">
        <v>-3.194077944070072</v>
      </c>
      <c r="I265" s="2">
        <v>50</v>
      </c>
      <c r="J265" s="2">
        <v>6.1168777667580831E-2</v>
      </c>
      <c r="K265" s="5">
        <v>2500</v>
      </c>
      <c r="L265" s="2">
        <v>-1.8987799312803511</v>
      </c>
      <c r="N265" s="2">
        <f t="shared" si="268"/>
        <v>1.103988972035036</v>
      </c>
      <c r="O265" s="2">
        <f t="shared" si="269"/>
        <v>-2.0900889720350362</v>
      </c>
      <c r="P265" s="2" t="s">
        <v>12</v>
      </c>
      <c r="R265" s="5">
        <f t="shared" si="270"/>
        <v>-1.4505843888337904</v>
      </c>
      <c r="S265" s="5">
        <f t="shared" si="271"/>
        <v>-1.3894156111662095</v>
      </c>
      <c r="T265" s="1" t="s">
        <v>12</v>
      </c>
      <c r="V265" s="2">
        <f t="shared" si="272"/>
        <v>-0.25561003435982455</v>
      </c>
      <c r="W265" s="2">
        <f t="shared" si="273"/>
        <v>-2.1543899656401755</v>
      </c>
      <c r="X265" s="2">
        <v>-0.98609999999999998</v>
      </c>
      <c r="Y265" s="76">
        <f t="shared" si="309"/>
        <v>2.207977944070072</v>
      </c>
      <c r="Z265" s="76">
        <f t="shared" si="310"/>
        <v>2</v>
      </c>
      <c r="AA265" s="2">
        <f t="shared" si="274"/>
        <v>0.1114078055831047</v>
      </c>
      <c r="AB265" s="2">
        <f t="shared" si="275"/>
        <v>-0.98609999999999998</v>
      </c>
      <c r="AC265" s="2">
        <v>69</v>
      </c>
      <c r="AD265" s="2">
        <v>-2.84</v>
      </c>
      <c r="AE265" s="79">
        <f t="shared" si="311"/>
        <v>-2.9011687776675807</v>
      </c>
      <c r="AF265" s="79">
        <f t="shared" si="312"/>
        <v>-2</v>
      </c>
      <c r="AG265" s="2">
        <f t="shared" si="265"/>
        <v>-0.65029219441689523</v>
      </c>
      <c r="AH265" s="2">
        <f t="shared" si="276"/>
        <v>-2.84</v>
      </c>
      <c r="AI265" s="2">
        <v>7400</v>
      </c>
      <c r="AJ265" s="2">
        <v>-2.41</v>
      </c>
      <c r="AK265" s="76">
        <f t="shared" si="313"/>
        <v>-0.51122006871964909</v>
      </c>
      <c r="AL265" s="76">
        <f t="shared" si="314"/>
        <v>-1</v>
      </c>
      <c r="AM265" s="2">
        <f t="shared" si="277"/>
        <v>-0.16280501717991225</v>
      </c>
      <c r="AN265" s="2">
        <f t="shared" si="278"/>
        <v>-2.41</v>
      </c>
      <c r="AO265" s="2">
        <v>-1.1666000000000001</v>
      </c>
      <c r="AP265" s="2">
        <f t="shared" si="279"/>
        <v>-0.67677450977591347</v>
      </c>
      <c r="AQ265" s="2">
        <f t="shared" si="280"/>
        <v>-1.1666000000000001</v>
      </c>
      <c r="AR265" s="2">
        <v>75</v>
      </c>
      <c r="AS265" s="2">
        <v>-2.69</v>
      </c>
      <c r="AT265" s="2">
        <f t="shared" si="281"/>
        <v>0.86981912602383393</v>
      </c>
      <c r="AU265" s="2">
        <f t="shared" si="282"/>
        <v>-2.69</v>
      </c>
      <c r="AV265" s="2">
        <v>8300</v>
      </c>
      <c r="AW265" s="2">
        <v>-2.48</v>
      </c>
      <c r="AX265" s="2">
        <f t="shared" si="283"/>
        <v>-8.3625024999065989E-2</v>
      </c>
      <c r="AY265" s="2">
        <f t="shared" si="284"/>
        <v>-2.48</v>
      </c>
      <c r="AZ265" s="2">
        <v>-2.3396490195518269</v>
      </c>
      <c r="BA265" s="78">
        <f t="shared" si="315"/>
        <v>-1.3535490195518269</v>
      </c>
      <c r="BB265" s="78">
        <f t="shared" si="316"/>
        <v>-2</v>
      </c>
      <c r="BC265" s="2">
        <f t="shared" si="285"/>
        <v>-0.20634895487403529</v>
      </c>
      <c r="BD265" s="2">
        <f t="shared" si="286"/>
        <v>-2.3396490195518269</v>
      </c>
      <c r="BE265" s="67">
        <f t="shared" si="317"/>
        <v>2</v>
      </c>
      <c r="BF265" s="2">
        <v>83</v>
      </c>
      <c r="BG265" s="2">
        <v>-1.100361747952332</v>
      </c>
      <c r="BH265" s="2">
        <f t="shared" si="287"/>
        <v>0.23334535141048462</v>
      </c>
      <c r="BI265" s="2">
        <f t="shared" si="288"/>
        <v>-1.100361747952332</v>
      </c>
      <c r="BJ265" s="67">
        <f t="shared" si="289"/>
        <v>7</v>
      </c>
      <c r="BK265" s="2">
        <v>9720</v>
      </c>
      <c r="BL265" s="2">
        <v>-2.5772500499981321</v>
      </c>
      <c r="BM265" s="77">
        <f t="shared" si="318"/>
        <v>-0.16725004999813198</v>
      </c>
      <c r="BN265" s="77">
        <f t="shared" si="319"/>
        <v>-1</v>
      </c>
      <c r="BO265" s="2">
        <f t="shared" si="290"/>
        <v>-4.7513369751670677E-2</v>
      </c>
      <c r="BP265" s="2">
        <f t="shared" si="291"/>
        <v>-2.5772500499981321</v>
      </c>
      <c r="BQ265" s="67">
        <f t="shared" si="320"/>
        <v>4</v>
      </c>
      <c r="BR265" s="5">
        <v>-1.785646864622106</v>
      </c>
      <c r="BS265" s="75">
        <f t="shared" si="321"/>
        <v>0.55400215492972094</v>
      </c>
      <c r="BT265" s="75">
        <f t="shared" si="322"/>
        <v>1</v>
      </c>
      <c r="BU265" s="5" t="str">
        <f>IF(G272&gt;=36, IF(AND(NOT(ISBLANK(CM:CM)), NOT(ISBLANK(BD:BD))), (CM:CM-BD:BD)/2, ""), "UF")</f>
        <v/>
      </c>
      <c r="BV265" s="5">
        <f t="shared" si="292"/>
        <v>-1.785646864622106</v>
      </c>
      <c r="BW265" s="69">
        <f t="shared" si="293"/>
        <v>7</v>
      </c>
      <c r="BX265" s="2">
        <v>88</v>
      </c>
      <c r="BY265" s="5">
        <v>-1.9899639457685461</v>
      </c>
      <c r="BZ265" s="74">
        <f t="shared" si="323"/>
        <v>0.58728610422958605</v>
      </c>
      <c r="CA265" s="74">
        <f t="shared" si="324"/>
        <v>1</v>
      </c>
      <c r="CB265" s="5" t="str">
        <f t="shared" si="294"/>
        <v/>
      </c>
      <c r="CC265" s="5">
        <f t="shared" si="295"/>
        <v>-1.9899639457685461</v>
      </c>
      <c r="CD265" s="2">
        <f t="shared" si="296"/>
        <v>-0.88960219781621408</v>
      </c>
      <c r="CE265" s="69">
        <f t="shared" si="297"/>
        <v>7</v>
      </c>
      <c r="CF265" s="5">
        <v>11000</v>
      </c>
      <c r="CG265" s="5">
        <v>-2.622540109255012</v>
      </c>
      <c r="CH265" s="72">
        <f t="shared" si="325"/>
        <v>-4.52900592568799E-2</v>
      </c>
      <c r="CI265" s="72">
        <f t="shared" si="326"/>
        <v>-1</v>
      </c>
      <c r="CJ265" s="5" t="str">
        <f t="shared" si="298"/>
        <v/>
      </c>
      <c r="CK265" s="5">
        <f t="shared" si="299"/>
        <v>-2.622540109255012</v>
      </c>
      <c r="CL265" s="69">
        <f t="shared" si="300"/>
        <v>4</v>
      </c>
      <c r="CN265" s="70" t="str">
        <f t="shared" si="301"/>
        <v/>
      </c>
      <c r="CO265" s="5" t="str">
        <f t="shared" si="302"/>
        <v>UF</v>
      </c>
      <c r="CP265" s="5" t="str">
        <f>IF(G265&lt;48,"UF", IF(NOT(ISBLANK(CM:CM)), CM:CM, IF(BW:BW=1, BV:BV+Sheet2!B225, IF(Sheet1!BW:BW=2, Sheet1!BV:BV+Sheet2!B226, IF(Sheet1!BW:BW=7, Sheet1!BV:BV+Sheet2!B227,"")))))</f>
        <v>UF</v>
      </c>
      <c r="CQ265" s="69" t="str">
        <f t="shared" si="327"/>
        <v/>
      </c>
      <c r="CR265" s="5" t="s">
        <v>12</v>
      </c>
      <c r="CT265" s="5" t="str">
        <f t="shared" si="303"/>
        <v/>
      </c>
      <c r="CU265" s="80" t="str">
        <f t="shared" si="304"/>
        <v>UF</v>
      </c>
      <c r="CV265" s="80" t="str">
        <f t="shared" si="305"/>
        <v>UF</v>
      </c>
      <c r="CW265" s="20" t="str">
        <f>IF(G265&lt;48,"UF", IF(NOT(ISBLANK(CS265)), CS265, IF(CE265=5, CC265+Sheet2!B214, IF(CE265=6, CC265+Sheet2!B215, IF(CE265=7, CC265+Sheet2!B216,"")))))</f>
        <v>UF</v>
      </c>
      <c r="CX265" s="68" t="str">
        <f t="shared" si="328"/>
        <v/>
      </c>
      <c r="CY265" s="5" t="s">
        <v>12</v>
      </c>
      <c r="DA265" s="5" t="str">
        <f t="shared" si="306"/>
        <v>UF</v>
      </c>
      <c r="DB265" s="73" t="str">
        <f t="shared" si="307"/>
        <v>UF</v>
      </c>
      <c r="DC265" s="73" t="str">
        <f t="shared" si="308"/>
        <v>UF</v>
      </c>
      <c r="DD265" s="5" t="str">
        <f>IF(G265&lt;48,"UF", IF(NOT(ISBLANK(CZ:CZ)), CZ:CZ, IF(CL:CL=3, CK:CK+Sheet2!B219, IF(CL:CL=4, CK:CK+Sheet2!B220, IF(CL:CL=7, CK:CK+Sheet2!B221,"")))))</f>
        <v>UF</v>
      </c>
      <c r="DE265" s="69" t="str">
        <f t="shared" si="266"/>
        <v/>
      </c>
      <c r="DF265" s="2">
        <v>2</v>
      </c>
      <c r="DG265" s="2">
        <v>29</v>
      </c>
      <c r="DH265" s="2">
        <v>2</v>
      </c>
      <c r="DI265" s="2">
        <v>2</v>
      </c>
      <c r="DJ265" s="2">
        <v>2</v>
      </c>
      <c r="DK265" s="2">
        <v>114</v>
      </c>
      <c r="DL265" s="2">
        <v>64</v>
      </c>
      <c r="DM265" s="2">
        <v>100</v>
      </c>
      <c r="DN265" s="2">
        <v>60</v>
      </c>
      <c r="DO265" s="2">
        <v>110</v>
      </c>
      <c r="DP265" s="2">
        <v>60</v>
      </c>
      <c r="DQ265" s="2">
        <v>2</v>
      </c>
      <c r="DR265" s="2">
        <v>42</v>
      </c>
      <c r="DS265" s="2">
        <v>2</v>
      </c>
      <c r="DT265" s="2">
        <v>90</v>
      </c>
      <c r="DU265" s="2">
        <v>84</v>
      </c>
      <c r="DV265" s="2">
        <v>4</v>
      </c>
      <c r="DW265" s="2">
        <v>2</v>
      </c>
      <c r="DX265" s="2">
        <v>4</v>
      </c>
      <c r="DY265" s="2">
        <v>3</v>
      </c>
      <c r="DZ265" s="2">
        <v>34</v>
      </c>
      <c r="EA265" s="2">
        <v>34</v>
      </c>
      <c r="EB265" s="2">
        <v>45</v>
      </c>
      <c r="EC265" s="2">
        <v>1</v>
      </c>
      <c r="ED265" s="2">
        <v>1</v>
      </c>
    </row>
    <row r="266" spans="2:134" x14ac:dyDescent="0.25">
      <c r="C266" s="5" t="s">
        <v>138</v>
      </c>
      <c r="D266" s="2">
        <v>2501038649</v>
      </c>
      <c r="E266" s="2" t="s">
        <v>527</v>
      </c>
      <c r="F266" s="2">
        <v>1</v>
      </c>
      <c r="G266" s="2">
        <v>38</v>
      </c>
      <c r="H266" s="2">
        <v>-1.7796250266849609</v>
      </c>
      <c r="I266" s="2">
        <v>47</v>
      </c>
      <c r="J266" s="2">
        <v>-1.153005671500261</v>
      </c>
      <c r="K266" s="5">
        <v>2500</v>
      </c>
      <c r="L266" s="2">
        <v>-1.7268064884432719</v>
      </c>
      <c r="M266" s="2">
        <v>-0.5272</v>
      </c>
      <c r="N266" s="2">
        <f t="shared" si="268"/>
        <v>0.67421251334248045</v>
      </c>
      <c r="O266" s="2">
        <f t="shared" si="269"/>
        <v>-0.5272</v>
      </c>
      <c r="P266" s="2">
        <v>61</v>
      </c>
      <c r="Q266" s="2">
        <v>-2.1</v>
      </c>
      <c r="R266" s="5">
        <f t="shared" si="270"/>
        <v>-0.39349716424986947</v>
      </c>
      <c r="S266" s="5">
        <f t="shared" si="271"/>
        <v>-2.1</v>
      </c>
      <c r="T266" s="1">
        <v>6000</v>
      </c>
      <c r="U266" s="2">
        <v>-1.62</v>
      </c>
      <c r="V266" s="2">
        <f t="shared" si="272"/>
        <v>0.13340324422163596</v>
      </c>
      <c r="W266" s="2">
        <f t="shared" si="273"/>
        <v>-1.62</v>
      </c>
      <c r="X266" s="2">
        <v>-0.43120000000000003</v>
      </c>
      <c r="Y266" s="76">
        <f t="shared" si="309"/>
        <v>1.3484250266849609</v>
      </c>
      <c r="Z266" s="76">
        <f t="shared" si="310"/>
        <v>2</v>
      </c>
      <c r="AA266" s="2">
        <f t="shared" si="274"/>
        <v>0.61624999999999996</v>
      </c>
      <c r="AB266" s="2">
        <f t="shared" si="275"/>
        <v>-0.43120000000000003</v>
      </c>
      <c r="AC266" s="2">
        <v>69</v>
      </c>
      <c r="AD266" s="2">
        <v>-1.94</v>
      </c>
      <c r="AE266" s="79">
        <f t="shared" si="311"/>
        <v>-0.78699432849973894</v>
      </c>
      <c r="AF266" s="79">
        <f t="shared" si="312"/>
        <v>-2</v>
      </c>
      <c r="AG266" s="2">
        <f t="shared" si="265"/>
        <v>-0.10499999999999998</v>
      </c>
      <c r="AH266" s="2">
        <f t="shared" si="276"/>
        <v>-1.94</v>
      </c>
      <c r="AI266" s="2">
        <v>7500</v>
      </c>
      <c r="AJ266" s="2">
        <v>-1.46</v>
      </c>
      <c r="AK266" s="76">
        <f t="shared" si="313"/>
        <v>0.26680648844327193</v>
      </c>
      <c r="AL266" s="76">
        <f t="shared" si="314"/>
        <v>1</v>
      </c>
      <c r="AM266" s="2">
        <f t="shared" si="277"/>
        <v>-0.22499999999999987</v>
      </c>
      <c r="AN266" s="2">
        <f t="shared" si="278"/>
        <v>-1.46</v>
      </c>
      <c r="AO266" s="2">
        <v>-0.86750000000000005</v>
      </c>
      <c r="AP266" s="2" t="str">
        <f t="shared" si="279"/>
        <v/>
      </c>
      <c r="AQ266" s="2">
        <f t="shared" si="280"/>
        <v>-0.86750000000000005</v>
      </c>
      <c r="AR266" s="2">
        <v>74</v>
      </c>
      <c r="AS266" s="2">
        <v>-2.31</v>
      </c>
      <c r="AT266" s="2" t="str">
        <f t="shared" si="281"/>
        <v/>
      </c>
      <c r="AU266" s="2">
        <f t="shared" si="282"/>
        <v>-2.31</v>
      </c>
      <c r="AV266" s="2">
        <v>8000</v>
      </c>
      <c r="AW266" s="2">
        <v>-2.0699999999999998</v>
      </c>
      <c r="AX266" s="2" t="str">
        <f t="shared" si="283"/>
        <v/>
      </c>
      <c r="AY266" s="2">
        <f t="shared" si="284"/>
        <v>-2.0699999999999998</v>
      </c>
      <c r="BA266" s="78" t="e">
        <f t="shared" si="315"/>
        <v>#VALUE!</v>
      </c>
      <c r="BB266" s="78" t="e">
        <f t="shared" si="316"/>
        <v>#VALUE!</v>
      </c>
      <c r="BC266" s="2" t="str">
        <f t="shared" si="285"/>
        <v/>
      </c>
      <c r="BD266" s="2" t="e">
        <f t="shared" si="286"/>
        <v>#VALUE!</v>
      </c>
      <c r="BE266" s="67" t="e">
        <f t="shared" si="317"/>
        <v>#VALUE!</v>
      </c>
      <c r="BF266" s="2" t="s">
        <v>12</v>
      </c>
      <c r="BH266" s="2" t="str">
        <f t="shared" si="287"/>
        <v/>
      </c>
      <c r="BI266" s="2" t="e">
        <f t="shared" si="288"/>
        <v>#VALUE!</v>
      </c>
      <c r="BJ266" s="67" t="e">
        <f t="shared" si="289"/>
        <v>#VALUE!</v>
      </c>
      <c r="BK266" s="2" t="s">
        <v>12</v>
      </c>
      <c r="BM266" s="77" t="e">
        <f t="shared" si="318"/>
        <v>#VALUE!</v>
      </c>
      <c r="BN266" s="77" t="e">
        <f t="shared" si="319"/>
        <v>#VALUE!</v>
      </c>
      <c r="BO266" s="2" t="str">
        <f t="shared" si="290"/>
        <v/>
      </c>
      <c r="BP266" s="2" t="e">
        <f t="shared" si="291"/>
        <v>#VALUE!</v>
      </c>
      <c r="BQ266" s="67" t="e">
        <f t="shared" si="320"/>
        <v>#VALUE!</v>
      </c>
      <c r="BS266" s="75" t="e">
        <f t="shared" si="321"/>
        <v>#VALUE!</v>
      </c>
      <c r="BT266" s="75" t="e">
        <f t="shared" si="322"/>
        <v>#VALUE!</v>
      </c>
      <c r="BU266" s="5" t="str">
        <f>IF(G274&gt;=36, IF(AND(NOT(ISBLANK(CM:CM)), NOT(ISBLANK(BD:BD))), (CM:CM-BD:BD)/2, ""), "UF")</f>
        <v/>
      </c>
      <c r="BV266" s="5" t="e">
        <f t="shared" si="292"/>
        <v>#VALUE!</v>
      </c>
      <c r="BW266" s="69" t="e">
        <f t="shared" si="293"/>
        <v>#VALUE!</v>
      </c>
      <c r="BX266" s="2" t="s">
        <v>12</v>
      </c>
      <c r="BZ266" s="74" t="e">
        <f t="shared" si="323"/>
        <v>#VALUE!</v>
      </c>
      <c r="CA266" s="74" t="e">
        <f t="shared" si="324"/>
        <v>#VALUE!</v>
      </c>
      <c r="CB266" s="5" t="str">
        <f t="shared" si="294"/>
        <v/>
      </c>
      <c r="CC266" s="5" t="e">
        <f t="shared" si="295"/>
        <v>#VALUE!</v>
      </c>
      <c r="CD266" s="2" t="e">
        <f t="shared" si="296"/>
        <v>#VALUE!</v>
      </c>
      <c r="CE266" s="69" t="e">
        <f t="shared" si="297"/>
        <v>#VALUE!</v>
      </c>
      <c r="CF266" s="5" t="s">
        <v>12</v>
      </c>
      <c r="CH266" s="72" t="e">
        <f t="shared" si="325"/>
        <v>#VALUE!</v>
      </c>
      <c r="CI266" s="72" t="e">
        <f t="shared" si="326"/>
        <v>#VALUE!</v>
      </c>
      <c r="CJ266" s="5" t="str">
        <f t="shared" si="298"/>
        <v/>
      </c>
      <c r="CK266" s="5" t="e">
        <f t="shared" si="299"/>
        <v>#VALUE!</v>
      </c>
      <c r="CL266" s="69" t="e">
        <f t="shared" si="300"/>
        <v>#VALUE!</v>
      </c>
      <c r="CN266" s="70" t="str">
        <f t="shared" si="301"/>
        <v/>
      </c>
      <c r="CO266" s="5" t="str">
        <f t="shared" si="302"/>
        <v>UF</v>
      </c>
      <c r="CP266" s="5" t="str">
        <f>IF(G266&lt;48,"UF", IF(NOT(ISBLANK(CM:CM)), CM:CM, IF(BW:BW=1, BV:BV+Sheet2!B203, IF(Sheet1!BW:BW=2, Sheet1!BV:BV+Sheet2!B204, IF(Sheet1!BW:BW=7, Sheet1!BV:BV+Sheet2!B205,"")))))</f>
        <v>UF</v>
      </c>
      <c r="CQ266" s="69" t="str">
        <f t="shared" si="327"/>
        <v/>
      </c>
      <c r="CR266" s="5" t="s">
        <v>12</v>
      </c>
      <c r="CT266" s="5" t="str">
        <f t="shared" si="303"/>
        <v/>
      </c>
      <c r="CU266" s="80" t="str">
        <f t="shared" si="304"/>
        <v>UF</v>
      </c>
      <c r="CV266" s="80" t="str">
        <f t="shared" si="305"/>
        <v>UF</v>
      </c>
      <c r="CW266" s="20" t="str">
        <f>IF(G266&lt;48,"UF", IF(NOT(ISBLANK(CS266)), CS266, IF(CE266=5, CC266+Sheet2!B192, IF(CE266=6, CC266+Sheet2!B193, IF(CE266=7, CC266+Sheet2!B194,"")))))</f>
        <v>UF</v>
      </c>
      <c r="CX266" s="68" t="str">
        <f t="shared" si="328"/>
        <v/>
      </c>
      <c r="CY266" s="5" t="s">
        <v>12</v>
      </c>
      <c r="DA266" s="5" t="str">
        <f t="shared" si="306"/>
        <v>UF</v>
      </c>
      <c r="DB266" s="73" t="str">
        <f t="shared" si="307"/>
        <v>UF</v>
      </c>
      <c r="DC266" s="73" t="str">
        <f t="shared" si="308"/>
        <v>UF</v>
      </c>
      <c r="DD266" s="5" t="str">
        <f>IF(G266&lt;48,"UF", IF(NOT(ISBLANK(CZ:CZ)), CZ:CZ, IF(CL:CL=3, CK:CK+Sheet2!B197, IF(CL:CL=4, CK:CK+Sheet2!B198, IF(CL:CL=7, CK:CK+Sheet2!B199,"")))))</f>
        <v>UF</v>
      </c>
      <c r="DE266" s="69" t="str">
        <f t="shared" si="266"/>
        <v/>
      </c>
      <c r="DF266" s="2">
        <v>2</v>
      </c>
      <c r="DG266" s="2">
        <v>32</v>
      </c>
      <c r="DH266" s="2">
        <v>1</v>
      </c>
      <c r="DI266" s="2">
        <v>2</v>
      </c>
      <c r="DJ266" s="2">
        <v>2</v>
      </c>
      <c r="DK266" s="2">
        <v>100</v>
      </c>
      <c r="DL266" s="2">
        <v>60</v>
      </c>
      <c r="DM266" s="2">
        <v>110</v>
      </c>
      <c r="DN266" s="2">
        <v>70</v>
      </c>
      <c r="DO266" s="2" t="s">
        <v>12</v>
      </c>
      <c r="DP266" s="2" t="s">
        <v>12</v>
      </c>
      <c r="DQ266" s="2">
        <v>1</v>
      </c>
      <c r="DR266" s="2">
        <v>39</v>
      </c>
      <c r="DS266" s="2">
        <v>2</v>
      </c>
      <c r="DT266" s="2">
        <v>91</v>
      </c>
      <c r="DU266" s="2">
        <v>80</v>
      </c>
      <c r="DV266" s="2">
        <v>2</v>
      </c>
      <c r="DW266" s="2">
        <v>2</v>
      </c>
      <c r="DX266" s="2">
        <v>2</v>
      </c>
      <c r="DY266" s="2">
        <v>2</v>
      </c>
      <c r="DZ266" s="2">
        <v>32</v>
      </c>
      <c r="EA266" s="2">
        <v>34</v>
      </c>
      <c r="EB266" s="2">
        <v>43.5</v>
      </c>
      <c r="EC266" s="2">
        <v>1</v>
      </c>
      <c r="ED266" s="2">
        <v>1</v>
      </c>
    </row>
    <row r="267" spans="2:134" x14ac:dyDescent="0.25">
      <c r="B267" s="2"/>
      <c r="C267" s="2" t="s">
        <v>360</v>
      </c>
      <c r="D267" s="2">
        <v>2501038800</v>
      </c>
      <c r="E267" s="5">
        <v>2</v>
      </c>
      <c r="F267" s="2">
        <v>2</v>
      </c>
      <c r="G267" s="2">
        <v>40</v>
      </c>
      <c r="H267">
        <v>-3.3508141372343561</v>
      </c>
      <c r="I267" s="2">
        <v>55</v>
      </c>
      <c r="J267">
        <v>2.7023316536874251</v>
      </c>
      <c r="K267" s="5">
        <v>2980</v>
      </c>
      <c r="L267" s="2">
        <v>-0.77830861845235999</v>
      </c>
      <c r="M267" s="2">
        <v>-1.091761895380601</v>
      </c>
      <c r="N267" s="2">
        <f t="shared" si="268"/>
        <v>0.88242682602716449</v>
      </c>
      <c r="O267" s="2">
        <f t="shared" si="269"/>
        <v>-1.091761895380601</v>
      </c>
      <c r="P267" s="2">
        <v>71</v>
      </c>
      <c r="Q267" s="2">
        <v>1.221127843356588</v>
      </c>
      <c r="R267" s="5">
        <f t="shared" si="270"/>
        <v>-1.0013536850114828</v>
      </c>
      <c r="S267" s="5">
        <f t="shared" si="271"/>
        <v>1.221127843356588</v>
      </c>
      <c r="T267" s="1">
        <v>8000</v>
      </c>
      <c r="U267" s="2">
        <v>-0.12715240459380839</v>
      </c>
      <c r="V267" s="2">
        <f t="shared" si="272"/>
        <v>1.9974807346383128E-2</v>
      </c>
      <c r="W267" s="2">
        <f t="shared" si="273"/>
        <v>-0.12715240459380839</v>
      </c>
      <c r="X267" s="2">
        <v>-1.5859604851800271</v>
      </c>
      <c r="Y267" s="76">
        <f t="shared" si="309"/>
        <v>1.764853652054329</v>
      </c>
      <c r="Z267" s="76">
        <f t="shared" si="310"/>
        <v>2</v>
      </c>
      <c r="AA267" s="2">
        <f t="shared" si="274"/>
        <v>-1.2604983589344845</v>
      </c>
      <c r="AB267" s="2">
        <f t="shared" si="275"/>
        <v>-1.5859604851800271</v>
      </c>
      <c r="AC267" s="2">
        <v>78</v>
      </c>
      <c r="AD267" s="2">
        <v>0.6996242836644595</v>
      </c>
      <c r="AE267" s="79">
        <f t="shared" si="311"/>
        <v>-2.0027073700229656</v>
      </c>
      <c r="AF267" s="79">
        <f t="shared" si="312"/>
        <v>-2</v>
      </c>
      <c r="AG267" s="2">
        <f t="shared" si="265"/>
        <v>-0.74239657335334241</v>
      </c>
      <c r="AH267" s="2">
        <f t="shared" si="276"/>
        <v>0.6996242836644595</v>
      </c>
      <c r="AI267" s="2">
        <v>9000</v>
      </c>
      <c r="AJ267" s="2">
        <v>-0.73835900375959373</v>
      </c>
      <c r="AK267" s="76">
        <f t="shared" si="313"/>
        <v>3.9949614692766255E-2</v>
      </c>
      <c r="AL267" s="76">
        <f t="shared" si="314"/>
        <v>1</v>
      </c>
      <c r="AM267" s="2">
        <f t="shared" si="277"/>
        <v>-0.46804977571479578</v>
      </c>
      <c r="AN267" s="2">
        <f t="shared" si="278"/>
        <v>-0.73835900375959373</v>
      </c>
      <c r="AO267" s="2">
        <v>-1.299868874512381</v>
      </c>
      <c r="AP267" s="2">
        <f t="shared" si="279"/>
        <v>-1.3633756248941231</v>
      </c>
      <c r="AQ267" s="2">
        <f t="shared" si="280"/>
        <v>-1.299868874512381</v>
      </c>
      <c r="AR267" s="2">
        <v>82</v>
      </c>
      <c r="AS267" s="2">
        <v>-0.26366530335009691</v>
      </c>
      <c r="AT267" s="2">
        <f t="shared" si="281"/>
        <v>0.52511202589223527</v>
      </c>
      <c r="AU267" s="2">
        <f t="shared" si="282"/>
        <v>-0.26366530335009691</v>
      </c>
      <c r="AV267" s="2">
        <v>9800</v>
      </c>
      <c r="AW267" s="2">
        <v>-1.0632519560233999</v>
      </c>
      <c r="AX267" s="2">
        <f t="shared" si="283"/>
        <v>-0.32112921750521417</v>
      </c>
      <c r="AY267" s="2">
        <f t="shared" si="284"/>
        <v>-1.0632519560233999</v>
      </c>
      <c r="AZ267" s="2">
        <v>-4.3127117349682731</v>
      </c>
      <c r="BA267" s="78">
        <f t="shared" si="315"/>
        <v>-2.7267512497882462</v>
      </c>
      <c r="BB267" s="78">
        <f t="shared" si="316"/>
        <v>-2</v>
      </c>
      <c r="BC267" s="2">
        <f t="shared" si="285"/>
        <v>-0.7681801666075101</v>
      </c>
      <c r="BD267" s="2">
        <f t="shared" si="286"/>
        <v>-4.3127117349682731</v>
      </c>
      <c r="BE267" s="67">
        <f t="shared" si="317"/>
        <v>1</v>
      </c>
      <c r="BF267" s="2">
        <v>93</v>
      </c>
      <c r="BG267" s="2">
        <v>1.74984833544893</v>
      </c>
      <c r="BH267" s="2">
        <f t="shared" si="287"/>
        <v>0.31863881034407254</v>
      </c>
      <c r="BI267" s="2">
        <f t="shared" si="288"/>
        <v>1.74984833544893</v>
      </c>
      <c r="BJ267" s="67">
        <f t="shared" si="289"/>
        <v>7</v>
      </c>
      <c r="BK267" s="2">
        <v>11000</v>
      </c>
      <c r="BL267" s="2">
        <v>-1.3806174387700221</v>
      </c>
      <c r="BM267" s="77">
        <f t="shared" si="318"/>
        <v>-0.64225843501042834</v>
      </c>
      <c r="BN267" s="77">
        <f t="shared" si="319"/>
        <v>-1</v>
      </c>
      <c r="BO267" s="2">
        <f t="shared" si="290"/>
        <v>-0.13961057304857202</v>
      </c>
      <c r="BP267" s="2">
        <f t="shared" si="291"/>
        <v>-1.3806174387700221</v>
      </c>
      <c r="BQ267" s="67">
        <f t="shared" si="320"/>
        <v>7</v>
      </c>
      <c r="BR267" s="2">
        <v>-3.604409374334911</v>
      </c>
      <c r="BS267" s="75">
        <f t="shared" si="321"/>
        <v>0.70830236063336205</v>
      </c>
      <c r="BT267" s="75">
        <f t="shared" si="322"/>
        <v>2</v>
      </c>
      <c r="BU267" s="5" t="str">
        <f>IF(G276&gt;=36, IF(AND(NOT(ISBLANK(CM:CM)), NOT(ISBLANK(BD:BD))), (CM:CM-BD:BD)/2, ""), "UF")</f>
        <v>UF</v>
      </c>
      <c r="BV267" s="5">
        <f t="shared" si="292"/>
        <v>-3.604409374334911</v>
      </c>
      <c r="BW267" s="69">
        <f t="shared" si="293"/>
        <v>1</v>
      </c>
      <c r="BX267" s="2">
        <v>98</v>
      </c>
      <c r="BY267" s="2">
        <v>0.69225112768212071</v>
      </c>
      <c r="BZ267" s="74">
        <f t="shared" si="323"/>
        <v>2.0728685664521427</v>
      </c>
      <c r="CA267" s="74">
        <f t="shared" si="324"/>
        <v>2</v>
      </c>
      <c r="CB267" s="5" t="str">
        <f t="shared" si="294"/>
        <v/>
      </c>
      <c r="CC267" s="5">
        <f t="shared" si="295"/>
        <v>0.69225112768212071</v>
      </c>
      <c r="CD267" s="2">
        <f t="shared" si="296"/>
        <v>-1.0575972077668094</v>
      </c>
      <c r="CE267" s="69">
        <f t="shared" si="297"/>
        <v>7</v>
      </c>
      <c r="CF267" s="5">
        <v>12300</v>
      </c>
      <c r="CG267" s="2">
        <v>-1.482083675169116</v>
      </c>
      <c r="CH267" s="72">
        <f t="shared" si="325"/>
        <v>-0.10146623639909391</v>
      </c>
      <c r="CI267" s="72">
        <f t="shared" si="326"/>
        <v>-1</v>
      </c>
      <c r="CJ267" s="5" t="str">
        <f t="shared" si="298"/>
        <v/>
      </c>
      <c r="CK267" s="5">
        <f t="shared" si="299"/>
        <v>-1.482083675169116</v>
      </c>
      <c r="CL267" s="69">
        <f t="shared" si="300"/>
        <v>7</v>
      </c>
      <c r="CM267" s="2"/>
      <c r="CN267" s="70" t="str">
        <f t="shared" si="301"/>
        <v/>
      </c>
      <c r="CO267" s="5" t="str">
        <f t="shared" si="302"/>
        <v>UF</v>
      </c>
      <c r="CP267" s="5" t="str">
        <f>IF(G267&lt;48,"UF", IF(NOT(ISBLANK(CM:CM)), CM:CM, IF(BW:BW=1, BV:BV+Sheet2!B617, IF(Sheet1!BW:BW=2, Sheet1!BV:BV+Sheet2!B618, IF(Sheet1!BW:BW=7, Sheet1!BV:BV+Sheet2!B619,"")))))</f>
        <v>UF</v>
      </c>
      <c r="CQ267" s="69" t="str">
        <f t="shared" si="327"/>
        <v/>
      </c>
      <c r="CR267" s="5" t="s">
        <v>12</v>
      </c>
      <c r="CS267" s="2"/>
      <c r="CT267" s="5" t="str">
        <f t="shared" si="303"/>
        <v/>
      </c>
      <c r="CU267" s="80" t="str">
        <f t="shared" si="304"/>
        <v>UF</v>
      </c>
      <c r="CV267" s="80" t="str">
        <f t="shared" si="305"/>
        <v>UF</v>
      </c>
      <c r="CW267" s="20" t="str">
        <f>IF(G267&lt;48,"UF", IF(NOT(ISBLANK(CS267)), CS267, IF(CE267=5, CC267+Sheet2!B606, IF(CE267=6, CC267+Sheet2!B607, IF(CE267=7, CC267+Sheet2!B608,"")))))</f>
        <v>UF</v>
      </c>
      <c r="CX267" s="68" t="str">
        <f t="shared" si="328"/>
        <v/>
      </c>
      <c r="CY267" s="5" t="s">
        <v>12</v>
      </c>
      <c r="DA267" s="5" t="str">
        <f t="shared" si="306"/>
        <v>UF</v>
      </c>
      <c r="DB267" s="73" t="str">
        <f t="shared" si="307"/>
        <v>UF</v>
      </c>
      <c r="DC267" s="73" t="str">
        <f t="shared" si="308"/>
        <v>UF</v>
      </c>
      <c r="DD267" s="5" t="str">
        <f>IF(G267&lt;48,"UF", IF(NOT(ISBLANK(CZ:CZ)), CZ:CZ, IF(CL:CL=3, CK:CK+Sheet2!B611, IF(CL:CL=4, CK:CK+Sheet2!B612, IF(CL:CL=7, CK:CK+Sheet2!B613,"")))))</f>
        <v>UF</v>
      </c>
      <c r="DE267" s="69" t="str">
        <f t="shared" si="266"/>
        <v/>
      </c>
      <c r="DF267" s="2">
        <v>3</v>
      </c>
      <c r="DG267" s="2">
        <v>31</v>
      </c>
      <c r="DH267" s="2">
        <v>2</v>
      </c>
      <c r="DI267" s="2">
        <v>2</v>
      </c>
      <c r="DJ267" s="2">
        <v>2</v>
      </c>
      <c r="DK267" s="2">
        <v>110</v>
      </c>
      <c r="DL267" s="2">
        <v>60</v>
      </c>
      <c r="DM267" s="2">
        <v>120</v>
      </c>
      <c r="DN267" s="2">
        <v>80</v>
      </c>
      <c r="DO267" s="2" t="s">
        <v>12</v>
      </c>
      <c r="DP267" s="2" t="s">
        <v>12</v>
      </c>
      <c r="DQ267" s="2">
        <v>2</v>
      </c>
      <c r="DR267" s="2">
        <v>38</v>
      </c>
      <c r="DS267" s="2">
        <v>2</v>
      </c>
      <c r="DT267" s="2">
        <v>87</v>
      </c>
      <c r="DU267" s="2" t="s">
        <v>12</v>
      </c>
      <c r="DV267" s="2">
        <v>2</v>
      </c>
      <c r="DW267" s="2">
        <v>2</v>
      </c>
      <c r="DX267" s="2">
        <v>2</v>
      </c>
      <c r="DY267" s="2">
        <v>1</v>
      </c>
      <c r="DZ267" s="2">
        <v>35</v>
      </c>
      <c r="EA267" s="2">
        <v>36</v>
      </c>
      <c r="EB267" s="2">
        <v>45</v>
      </c>
      <c r="EC267" s="2">
        <v>1</v>
      </c>
      <c r="ED267" s="2">
        <v>1</v>
      </c>
    </row>
    <row r="268" spans="2:134" x14ac:dyDescent="0.25">
      <c r="C268" s="8" t="s">
        <v>267</v>
      </c>
      <c r="D268" s="8">
        <v>2501038967</v>
      </c>
      <c r="E268" s="5">
        <v>7</v>
      </c>
      <c r="F268" s="2">
        <v>1</v>
      </c>
      <c r="G268" s="2">
        <v>35</v>
      </c>
      <c r="H268" s="2">
        <v>-1.3251069448677979</v>
      </c>
      <c r="I268" s="2">
        <v>50</v>
      </c>
      <c r="J268" s="2">
        <v>0.45756143734440202</v>
      </c>
      <c r="K268" s="2">
        <v>2950</v>
      </c>
      <c r="L268" s="2">
        <v>-0.63359365535275136</v>
      </c>
      <c r="M268" s="2">
        <v>0.1179</v>
      </c>
      <c r="N268" s="2">
        <f t="shared" si="268"/>
        <v>0.44005347243389892</v>
      </c>
      <c r="O268" s="2">
        <f t="shared" si="269"/>
        <v>0.1179</v>
      </c>
      <c r="P268" s="2">
        <v>64</v>
      </c>
      <c r="Q268" s="2">
        <v>-0.77</v>
      </c>
      <c r="R268" s="5">
        <f t="shared" si="270"/>
        <v>-0.32878071867220104</v>
      </c>
      <c r="S268" s="5">
        <f t="shared" si="271"/>
        <v>-0.77</v>
      </c>
      <c r="T268" s="2">
        <v>7000</v>
      </c>
      <c r="U268" s="2">
        <v>-0.35</v>
      </c>
      <c r="V268" s="2">
        <f t="shared" si="272"/>
        <v>0.10679682767637569</v>
      </c>
      <c r="W268" s="2">
        <f t="shared" si="273"/>
        <v>-0.35</v>
      </c>
      <c r="X268" s="2">
        <v>-0.44500000000000001</v>
      </c>
      <c r="Y268" s="76">
        <f t="shared" si="309"/>
        <v>0.88010694486779784</v>
      </c>
      <c r="Z268" s="76">
        <f t="shared" si="310"/>
        <v>2</v>
      </c>
      <c r="AA268" s="2">
        <f t="shared" si="274"/>
        <v>0.23170000000000002</v>
      </c>
      <c r="AB268" s="2">
        <f t="shared" si="275"/>
        <v>-0.44500000000000001</v>
      </c>
      <c r="AC268" s="2">
        <v>73.5</v>
      </c>
      <c r="AD268" s="2">
        <v>-0.2</v>
      </c>
      <c r="AE268" s="79">
        <f t="shared" si="311"/>
        <v>-0.65756143734440209</v>
      </c>
      <c r="AF268" s="79">
        <f t="shared" si="312"/>
        <v>-1</v>
      </c>
      <c r="AG268" s="2">
        <f t="shared" si="265"/>
        <v>0.4</v>
      </c>
      <c r="AH268" s="2">
        <f t="shared" si="276"/>
        <v>-0.2</v>
      </c>
      <c r="AI268" s="2">
        <v>8500</v>
      </c>
      <c r="AJ268" s="2">
        <v>-0.42</v>
      </c>
      <c r="AK268" s="76">
        <f t="shared" si="313"/>
        <v>0.21359365535275138</v>
      </c>
      <c r="AL268" s="76">
        <f t="shared" si="314"/>
        <v>1</v>
      </c>
      <c r="AM268" s="2">
        <f t="shared" si="277"/>
        <v>7.9999999999999988E-2</v>
      </c>
      <c r="AN268" s="2">
        <f t="shared" si="278"/>
        <v>-0.42</v>
      </c>
      <c r="AO268" s="2">
        <v>-0.30659999999999998</v>
      </c>
      <c r="AP268" s="2">
        <f t="shared" si="279"/>
        <v>-0.63738737522685252</v>
      </c>
      <c r="AQ268" s="2">
        <f t="shared" si="280"/>
        <v>-0.30659999999999998</v>
      </c>
      <c r="AR268" s="2">
        <v>80.8</v>
      </c>
      <c r="AS268" s="2">
        <v>0.03</v>
      </c>
      <c r="AT268" s="2">
        <f t="shared" si="281"/>
        <v>0.25806080629326889</v>
      </c>
      <c r="AU268" s="2">
        <f t="shared" si="282"/>
        <v>0.03</v>
      </c>
      <c r="AV268" s="2">
        <v>10000</v>
      </c>
      <c r="AW268" s="2">
        <v>-0.19</v>
      </c>
      <c r="AX268" s="2">
        <f t="shared" si="283"/>
        <v>-0.40239420215428101</v>
      </c>
      <c r="AY268" s="2">
        <f t="shared" si="284"/>
        <v>-0.19</v>
      </c>
      <c r="AZ268" s="2">
        <v>-1.7197747504537051</v>
      </c>
      <c r="BA268" s="78">
        <f t="shared" si="315"/>
        <v>-1.274774750453705</v>
      </c>
      <c r="BB268" s="78">
        <f t="shared" si="316"/>
        <v>-2</v>
      </c>
      <c r="BC268" s="2" t="str">
        <f t="shared" si="285"/>
        <v/>
      </c>
      <c r="BD268" s="2">
        <f t="shared" si="286"/>
        <v>-1.7197747504537051</v>
      </c>
      <c r="BE268" s="67">
        <f t="shared" si="317"/>
        <v>7</v>
      </c>
      <c r="BF268" s="2">
        <v>86.5</v>
      </c>
      <c r="BG268" s="2">
        <v>0.31612161258653781</v>
      </c>
      <c r="BH268" s="2" t="str">
        <f t="shared" si="287"/>
        <v/>
      </c>
      <c r="BI268" s="2">
        <f t="shared" si="288"/>
        <v>0.31612161258653781</v>
      </c>
      <c r="BJ268" s="67">
        <f t="shared" si="289"/>
        <v>7</v>
      </c>
      <c r="BK268" s="2">
        <v>10700</v>
      </c>
      <c r="BL268" s="2">
        <v>-1.224788404308562</v>
      </c>
      <c r="BM268" s="77">
        <f t="shared" si="318"/>
        <v>-0.80478840430856202</v>
      </c>
      <c r="BN268" s="77">
        <f t="shared" si="319"/>
        <v>-2</v>
      </c>
      <c r="BO268" s="2" t="str">
        <f t="shared" si="290"/>
        <v/>
      </c>
      <c r="BP268" s="2">
        <f t="shared" si="291"/>
        <v>-1.224788404308562</v>
      </c>
      <c r="BQ268" s="67">
        <f t="shared" si="320"/>
        <v>7</v>
      </c>
      <c r="BS268" s="75" t="str">
        <f t="shared" si="321"/>
        <v>UF</v>
      </c>
      <c r="BT268" s="75" t="str">
        <f t="shared" si="322"/>
        <v>UF</v>
      </c>
      <c r="BU268" s="5" t="str">
        <f>IF(G277&gt;=36, IF(AND(NOT(ISBLANK(CM:CM)), NOT(ISBLANK(BD:BD))), (CM:CM-BD:BD)/2, ""), "UF")</f>
        <v/>
      </c>
      <c r="BV268" s="5" t="str">
        <f t="shared" si="292"/>
        <v>UF</v>
      </c>
      <c r="BW268" s="69" t="str">
        <f t="shared" si="293"/>
        <v/>
      </c>
      <c r="BX268" s="2" t="s">
        <v>12</v>
      </c>
      <c r="BZ268" s="74" t="str">
        <f t="shared" si="323"/>
        <v>UF</v>
      </c>
      <c r="CA268" s="74" t="str">
        <f t="shared" si="324"/>
        <v>UF</v>
      </c>
      <c r="CB268" s="5" t="str">
        <f t="shared" si="294"/>
        <v>UF</v>
      </c>
      <c r="CC268" s="5" t="str">
        <f t="shared" si="295"/>
        <v>UF</v>
      </c>
      <c r="CD268" s="2" t="e">
        <f t="shared" si="296"/>
        <v>#VALUE!</v>
      </c>
      <c r="CE268" s="69" t="str">
        <f t="shared" si="297"/>
        <v/>
      </c>
      <c r="CF268" s="5" t="s">
        <v>12</v>
      </c>
      <c r="CH268" s="72" t="str">
        <f t="shared" si="325"/>
        <v>UF</v>
      </c>
      <c r="CI268" s="72" t="str">
        <f t="shared" si="326"/>
        <v>UF</v>
      </c>
      <c r="CJ268" s="5" t="str">
        <f t="shared" si="298"/>
        <v>UF</v>
      </c>
      <c r="CK268" s="5" t="str">
        <f t="shared" si="299"/>
        <v>UF</v>
      </c>
      <c r="CL268" s="69" t="str">
        <f t="shared" si="300"/>
        <v/>
      </c>
      <c r="CN268" s="70" t="str">
        <f t="shared" si="301"/>
        <v/>
      </c>
      <c r="CO268" s="5" t="str">
        <f t="shared" si="302"/>
        <v>UF</v>
      </c>
      <c r="CP268" s="5" t="str">
        <f>IF(G268&lt;48,"UF", IF(NOT(ISBLANK(CM:CM)), CM:CM, IF(BW:BW=1, BV:BV+Sheet2!B470, IF(Sheet1!BW:BW=2, Sheet1!BV:BV+Sheet2!B471, IF(Sheet1!BW:BW=7, Sheet1!BV:BV+Sheet2!B472,"")))))</f>
        <v>UF</v>
      </c>
      <c r="CQ268" s="69" t="str">
        <f t="shared" si="327"/>
        <v/>
      </c>
      <c r="CR268" s="5" t="s">
        <v>12</v>
      </c>
      <c r="CT268" s="5" t="str">
        <f t="shared" si="303"/>
        <v/>
      </c>
      <c r="CU268" s="80" t="str">
        <f t="shared" si="304"/>
        <v>UF</v>
      </c>
      <c r="CV268" s="80" t="str">
        <f t="shared" si="305"/>
        <v>UF</v>
      </c>
      <c r="CW268" s="20" t="str">
        <f>IF(G268&lt;48,"UF", IF(NOT(ISBLANK(CS268)), CS268, IF(CE268=5, CC268+Sheet2!B459, IF(CE268=6, CC268+Sheet2!B460, IF(CE268=7, CC268+Sheet2!B461,"")))))</f>
        <v>UF</v>
      </c>
      <c r="CX268" s="68" t="str">
        <f t="shared" si="328"/>
        <v/>
      </c>
      <c r="CY268" s="5" t="s">
        <v>12</v>
      </c>
      <c r="DA268" s="5" t="str">
        <f t="shared" si="306"/>
        <v>UF</v>
      </c>
      <c r="DB268" s="73" t="str">
        <f t="shared" si="307"/>
        <v>UF</v>
      </c>
      <c r="DC268" s="73" t="str">
        <f t="shared" si="308"/>
        <v>UF</v>
      </c>
      <c r="DD268" s="5" t="str">
        <f>IF(G268&lt;48,"UF", IF(NOT(ISBLANK(CZ:CZ)), CZ:CZ, IF(CL:CL=3, CK:CK+Sheet2!B464, IF(CL:CL=4, CK:CK+Sheet2!B465, IF(CL:CL=7, CK:CK+Sheet2!B466,"")))))</f>
        <v>UF</v>
      </c>
      <c r="DE268" s="69" t="str">
        <f t="shared" si="266"/>
        <v/>
      </c>
      <c r="DF268" s="2">
        <v>2</v>
      </c>
      <c r="DG268" s="2">
        <v>30</v>
      </c>
      <c r="DH268" s="2">
        <v>2</v>
      </c>
      <c r="DI268" s="2">
        <v>2</v>
      </c>
      <c r="DJ268" s="2">
        <v>2</v>
      </c>
      <c r="DK268" s="2">
        <v>85</v>
      </c>
      <c r="DL268" s="2">
        <v>60</v>
      </c>
      <c r="DM268" s="2">
        <v>100</v>
      </c>
      <c r="DN268" s="2">
        <v>60</v>
      </c>
      <c r="DO268" s="2">
        <v>85</v>
      </c>
      <c r="DP268" s="2">
        <v>60</v>
      </c>
      <c r="DQ268" s="2">
        <v>2</v>
      </c>
      <c r="DR268" s="2">
        <v>39</v>
      </c>
      <c r="DS268" s="2">
        <v>2</v>
      </c>
      <c r="DT268" s="2">
        <v>87</v>
      </c>
      <c r="DU268" s="2">
        <v>79</v>
      </c>
      <c r="DV268" s="2">
        <v>2</v>
      </c>
      <c r="DW268" s="2">
        <v>2</v>
      </c>
      <c r="DX268" s="2">
        <v>2</v>
      </c>
      <c r="DY268" s="2">
        <v>2</v>
      </c>
      <c r="DZ268" s="2">
        <v>34</v>
      </c>
      <c r="EA268" s="2">
        <v>35</v>
      </c>
      <c r="EB268" s="2">
        <v>44</v>
      </c>
      <c r="EC268" s="2">
        <v>1</v>
      </c>
      <c r="ED268" s="2">
        <v>1</v>
      </c>
    </row>
    <row r="269" spans="2:134" x14ac:dyDescent="0.25">
      <c r="B269" s="2"/>
      <c r="C269" t="s">
        <v>422</v>
      </c>
      <c r="D269" s="3">
        <v>2501039041</v>
      </c>
      <c r="E269" s="3">
        <v>7</v>
      </c>
      <c r="F269" s="2">
        <v>1</v>
      </c>
      <c r="G269" s="2">
        <v>39</v>
      </c>
      <c r="H269">
        <v>-1.8110790890640389</v>
      </c>
      <c r="I269" s="2">
        <v>48</v>
      </c>
      <c r="J269">
        <v>-0.61614996855203885</v>
      </c>
      <c r="K269" s="2">
        <v>2600</v>
      </c>
      <c r="L269" s="2">
        <v>-1.473952090495636</v>
      </c>
      <c r="M269" s="2">
        <v>-0.71108339665795028</v>
      </c>
      <c r="N269" s="2">
        <f t="shared" si="268"/>
        <v>0.68172031787596998</v>
      </c>
      <c r="O269" s="2">
        <f t="shared" si="269"/>
        <v>-0.71108339665795028</v>
      </c>
      <c r="P269" s="2">
        <v>64</v>
      </c>
      <c r="Q269" s="2">
        <v>-1.083257084809599</v>
      </c>
      <c r="R269" s="5">
        <f t="shared" si="270"/>
        <v>-0.38437999820311453</v>
      </c>
      <c r="S269" s="5">
        <f t="shared" si="271"/>
        <v>-1.083257084809599</v>
      </c>
      <c r="T269" s="2">
        <v>6500</v>
      </c>
      <c r="U269" s="2">
        <v>-1.1435694685451021</v>
      </c>
      <c r="V269" s="2">
        <f t="shared" si="272"/>
        <v>0.17259264295377252</v>
      </c>
      <c r="W269" s="2">
        <f t="shared" si="273"/>
        <v>-1.1435694685451021</v>
      </c>
      <c r="X269" s="2">
        <v>-0.44763845331209889</v>
      </c>
      <c r="Y269" s="76">
        <f t="shared" si="309"/>
        <v>1.36344063575194</v>
      </c>
      <c r="Z269" s="76">
        <f t="shared" si="310"/>
        <v>2</v>
      </c>
      <c r="AA269" s="2">
        <f t="shared" si="274"/>
        <v>0.19555121631716804</v>
      </c>
      <c r="AB269" s="2">
        <f t="shared" si="275"/>
        <v>-0.44763845331209889</v>
      </c>
      <c r="AC269" s="2">
        <v>71</v>
      </c>
      <c r="AD269" s="2">
        <v>-1.3849099649582679</v>
      </c>
      <c r="AE269" s="79">
        <f t="shared" si="311"/>
        <v>-0.76875999640622905</v>
      </c>
      <c r="AF269" s="79">
        <f t="shared" si="312"/>
        <v>-2</v>
      </c>
      <c r="AG269" s="2">
        <f t="shared" si="265"/>
        <v>-1.2073866248589749E-3</v>
      </c>
      <c r="AH269" s="2">
        <f t="shared" si="276"/>
        <v>-1.3849099649582679</v>
      </c>
      <c r="AI269" s="2">
        <v>7900</v>
      </c>
      <c r="AJ269" s="2">
        <v>-1.128766804588091</v>
      </c>
      <c r="AK269" s="76">
        <f t="shared" si="313"/>
        <v>0.34518528590754505</v>
      </c>
      <c r="AL269" s="76">
        <f t="shared" si="314"/>
        <v>1</v>
      </c>
      <c r="AM269" s="2">
        <f t="shared" si="277"/>
        <v>2.4079415959959993E-3</v>
      </c>
      <c r="AN269" s="2">
        <f t="shared" si="278"/>
        <v>-1.128766804588091</v>
      </c>
      <c r="AO269" s="2">
        <v>-0.69215465217526295</v>
      </c>
      <c r="AP269" s="2">
        <f t="shared" si="279"/>
        <v>-0.535760545948887</v>
      </c>
      <c r="AQ269" s="2">
        <f t="shared" si="280"/>
        <v>-0.69215465217526295</v>
      </c>
      <c r="AR269" s="2">
        <v>78</v>
      </c>
      <c r="AS269" s="2">
        <v>-1.085671858059317</v>
      </c>
      <c r="AT269" s="2">
        <f t="shared" si="281"/>
        <v>0.34918147772076591</v>
      </c>
      <c r="AU269" s="2">
        <f t="shared" si="282"/>
        <v>-1.085671858059317</v>
      </c>
      <c r="AV269" s="2">
        <v>9000</v>
      </c>
      <c r="AW269" s="2">
        <v>-1.1387535853531101</v>
      </c>
      <c r="AX269" s="2">
        <f t="shared" si="283"/>
        <v>-0.40210090906745855</v>
      </c>
      <c r="AY269" s="2">
        <f t="shared" si="284"/>
        <v>-1.1387535853531101</v>
      </c>
      <c r="AZ269" s="2">
        <v>-1.519159545209873</v>
      </c>
      <c r="BA269" s="78">
        <f t="shared" si="315"/>
        <v>-1.071521091897774</v>
      </c>
      <c r="BB269" s="78">
        <f t="shared" si="316"/>
        <v>-2</v>
      </c>
      <c r="BC269" s="2">
        <f t="shared" si="285"/>
        <v>-0.48762449355175291</v>
      </c>
      <c r="BD269" s="2">
        <f t="shared" si="286"/>
        <v>-1.519159545209873</v>
      </c>
      <c r="BE269" s="67">
        <f t="shared" si="317"/>
        <v>7</v>
      </c>
      <c r="BF269" s="2">
        <v>83</v>
      </c>
      <c r="BG269" s="2">
        <v>-0.68654700951673608</v>
      </c>
      <c r="BH269" s="2">
        <f t="shared" si="287"/>
        <v>0.34391563725250124</v>
      </c>
      <c r="BI269" s="2">
        <f t="shared" si="288"/>
        <v>-0.68654700951673608</v>
      </c>
      <c r="BJ269" s="67">
        <f t="shared" si="289"/>
        <v>7</v>
      </c>
      <c r="BK269" s="2">
        <v>10000</v>
      </c>
      <c r="BL269" s="2">
        <v>-1.9329686227230081</v>
      </c>
      <c r="BM269" s="77">
        <f t="shared" si="318"/>
        <v>-0.80420181813491709</v>
      </c>
      <c r="BN269" s="77">
        <f t="shared" si="319"/>
        <v>-2</v>
      </c>
      <c r="BO269" s="2">
        <f t="shared" si="290"/>
        <v>-7.2501329702438611E-2</v>
      </c>
      <c r="BP269" s="2">
        <f t="shared" si="291"/>
        <v>-1.9329686227230081</v>
      </c>
      <c r="BQ269" s="67">
        <f t="shared" si="320"/>
        <v>7</v>
      </c>
      <c r="BR269" s="2">
        <v>-2.1550281328305219</v>
      </c>
      <c r="BS269" s="75">
        <f t="shared" si="321"/>
        <v>-0.63586858762064891</v>
      </c>
      <c r="BT269" s="75">
        <f t="shared" si="322"/>
        <v>-1</v>
      </c>
      <c r="BU269" s="5" t="e">
        <f>IF(#REF!&gt;=36, IF(AND(NOT(ISBLANK(CM:CM)), NOT(ISBLANK(BD:BD))), (CM:CM-BD:BD)/2, ""), "UF")</f>
        <v>#REF!</v>
      </c>
      <c r="BV269" s="5">
        <f t="shared" si="292"/>
        <v>-2.1550281328305219</v>
      </c>
      <c r="BW269" s="69">
        <f t="shared" si="293"/>
        <v>2</v>
      </c>
      <c r="BX269" s="2">
        <v>94</v>
      </c>
      <c r="BY269" s="2">
        <v>-5.3924946301813291E-2</v>
      </c>
      <c r="BZ269" s="74">
        <f t="shared" si="323"/>
        <v>1.8790436764211949</v>
      </c>
      <c r="CA269" s="74">
        <f t="shared" si="324"/>
        <v>2</v>
      </c>
      <c r="CB269" s="5" t="str">
        <f t="shared" si="294"/>
        <v/>
      </c>
      <c r="CC269" s="5">
        <f t="shared" si="295"/>
        <v>-5.3924946301813291E-2</v>
      </c>
      <c r="CD269" s="2">
        <f t="shared" si="296"/>
        <v>0.63262206321492276</v>
      </c>
      <c r="CE269" s="69">
        <f t="shared" si="297"/>
        <v>7</v>
      </c>
      <c r="CF269" s="5">
        <v>12000</v>
      </c>
      <c r="CG269" s="2">
        <v>-1.3562575744604259</v>
      </c>
      <c r="CH269" s="72">
        <f t="shared" si="325"/>
        <v>0.57671104826258213</v>
      </c>
      <c r="CI269" s="72">
        <f t="shared" si="326"/>
        <v>1</v>
      </c>
      <c r="CJ269" s="5" t="str">
        <f t="shared" si="298"/>
        <v/>
      </c>
      <c r="CK269" s="5">
        <f t="shared" si="299"/>
        <v>-1.3562575744604259</v>
      </c>
      <c r="CL269" s="69">
        <f t="shared" si="300"/>
        <v>7</v>
      </c>
      <c r="CM269" s="2"/>
      <c r="CN269" s="70" t="str">
        <f t="shared" si="301"/>
        <v/>
      </c>
      <c r="CO269" s="5" t="str">
        <f t="shared" si="302"/>
        <v>UF</v>
      </c>
      <c r="CP269" s="5" t="str">
        <f>IF(G269&lt;48,"UF", IF(NOT(ISBLANK(CM:CM)), CM:CM, IF(BW:BW=1, BV:BV+Sheet2!B640, IF(Sheet1!BW:BW=2, Sheet1!BV:BV+Sheet2!B641, IF(Sheet1!BW:BW=7, Sheet1!BV:BV+Sheet2!B642,"")))))</f>
        <v>UF</v>
      </c>
      <c r="CQ269" s="69" t="str">
        <f t="shared" si="327"/>
        <v/>
      </c>
      <c r="CR269" s="5" t="s">
        <v>12</v>
      </c>
      <c r="CS269" s="2"/>
      <c r="CT269" s="5" t="str">
        <f t="shared" si="303"/>
        <v/>
      </c>
      <c r="CU269" s="80" t="str">
        <f t="shared" si="304"/>
        <v>UF</v>
      </c>
      <c r="CV269" s="80" t="str">
        <f t="shared" si="305"/>
        <v>UF</v>
      </c>
      <c r="CW269" s="20" t="str">
        <f>IF(G269&lt;48,"UF", IF(NOT(ISBLANK(CS269)), CS269, IF(CE269=5, CC269+Sheet2!B629, IF(CE269=6, CC269+Sheet2!B630, IF(CE269=7, CC269+Sheet2!B631,"")))))</f>
        <v>UF</v>
      </c>
      <c r="CX269" s="68" t="str">
        <f t="shared" si="328"/>
        <v/>
      </c>
      <c r="CY269" s="5" t="s">
        <v>12</v>
      </c>
      <c r="DA269" s="5" t="str">
        <f t="shared" si="306"/>
        <v>UF</v>
      </c>
      <c r="DB269" s="73" t="str">
        <f t="shared" si="307"/>
        <v>UF</v>
      </c>
      <c r="DC269" s="73" t="str">
        <f t="shared" si="308"/>
        <v>UF</v>
      </c>
      <c r="DD269" s="5" t="str">
        <f>IF(G269&lt;48,"UF", IF(NOT(ISBLANK(CZ:CZ)), CZ:CZ, IF(CL:CL=3, CK:CK+Sheet2!B634, IF(CL:CL=4, CK:CK+Sheet2!B635, IF(CL:CL=7, CK:CK+Sheet2!B636,"")))))</f>
        <v>UF</v>
      </c>
      <c r="DE269" s="69" t="str">
        <f t="shared" si="266"/>
        <v/>
      </c>
      <c r="DF269" s="2">
        <v>1</v>
      </c>
      <c r="DG269" s="2">
        <v>25</v>
      </c>
      <c r="DH269" s="2">
        <v>2</v>
      </c>
      <c r="DI269" s="2">
        <v>2</v>
      </c>
      <c r="DJ269" s="2">
        <v>2</v>
      </c>
      <c r="DK269" s="2">
        <v>89</v>
      </c>
      <c r="DL269" s="2">
        <v>53</v>
      </c>
      <c r="DM269" s="2">
        <v>94</v>
      </c>
      <c r="DN269" s="2">
        <v>56</v>
      </c>
      <c r="DO269" s="2">
        <v>105</v>
      </c>
      <c r="DP269" s="2">
        <v>54</v>
      </c>
      <c r="DQ269" s="2">
        <v>2</v>
      </c>
      <c r="DR269" s="2">
        <v>38</v>
      </c>
      <c r="DS269" s="2">
        <v>1</v>
      </c>
      <c r="DT269" s="2">
        <v>93</v>
      </c>
      <c r="DU269" s="2">
        <v>64</v>
      </c>
      <c r="DV269" s="2">
        <v>2</v>
      </c>
      <c r="DW269" s="2">
        <v>2</v>
      </c>
      <c r="DX269" s="2">
        <v>2</v>
      </c>
      <c r="DY269" s="2">
        <v>3</v>
      </c>
      <c r="DZ269" s="2">
        <v>35</v>
      </c>
      <c r="EA269" s="2" t="s">
        <v>12</v>
      </c>
      <c r="EB269" s="2">
        <v>46</v>
      </c>
      <c r="EC269" s="2">
        <v>3</v>
      </c>
      <c r="ED269" s="2">
        <v>1</v>
      </c>
    </row>
    <row r="270" spans="2:134" x14ac:dyDescent="0.25">
      <c r="C270" s="8" t="s">
        <v>127</v>
      </c>
      <c r="D270" s="2">
        <v>2501039378</v>
      </c>
      <c r="E270" s="5">
        <v>7</v>
      </c>
      <c r="F270" s="2">
        <v>2</v>
      </c>
      <c r="G270" s="2">
        <v>33</v>
      </c>
      <c r="H270" s="2">
        <v>1.8732587273867309</v>
      </c>
      <c r="I270" s="2">
        <v>54</v>
      </c>
      <c r="J270" s="2">
        <v>2.1740990784834611</v>
      </c>
      <c r="K270" s="2">
        <v>4700</v>
      </c>
      <c r="L270" s="2">
        <v>2.4696091406520591</v>
      </c>
      <c r="M270" s="2">
        <v>2.1865000000000001</v>
      </c>
      <c r="N270" s="2">
        <f t="shared" si="268"/>
        <v>6.8370636306634425E-2</v>
      </c>
      <c r="O270" s="2">
        <f t="shared" si="269"/>
        <v>2.1865000000000001</v>
      </c>
      <c r="P270" s="2">
        <v>71</v>
      </c>
      <c r="Q270" s="2">
        <v>1.57</v>
      </c>
      <c r="R270" s="5">
        <f t="shared" si="270"/>
        <v>-0.19204953924173052</v>
      </c>
      <c r="S270" s="5">
        <f t="shared" si="271"/>
        <v>1.57</v>
      </c>
      <c r="T270" s="2">
        <v>10500</v>
      </c>
      <c r="U270" s="2">
        <v>2.6</v>
      </c>
      <c r="V270" s="2">
        <f t="shared" si="272"/>
        <v>3.5195429673970491E-2</v>
      </c>
      <c r="W270" s="2">
        <f t="shared" si="273"/>
        <v>2.6</v>
      </c>
      <c r="X270" s="2">
        <v>2.0099999999999998</v>
      </c>
      <c r="Y270" s="76">
        <f t="shared" si="309"/>
        <v>0.13674127261326885</v>
      </c>
      <c r="Z270" s="76">
        <f t="shared" si="310"/>
        <v>1</v>
      </c>
      <c r="AA270" s="2">
        <f t="shared" si="274"/>
        <v>-2.8950000000000031E-2</v>
      </c>
      <c r="AB270" s="2">
        <f t="shared" si="275"/>
        <v>2.0099999999999998</v>
      </c>
      <c r="AC270" s="2">
        <v>80</v>
      </c>
      <c r="AD270" s="2">
        <v>1.79</v>
      </c>
      <c r="AE270" s="79">
        <f t="shared" si="311"/>
        <v>-0.38409907848346103</v>
      </c>
      <c r="AF270" s="79">
        <f t="shared" si="312"/>
        <v>-1</v>
      </c>
      <c r="AG270" s="2">
        <f t="shared" si="265"/>
        <v>-9.000000000000008E-2</v>
      </c>
      <c r="AH270" s="2">
        <f t="shared" si="276"/>
        <v>1.79</v>
      </c>
      <c r="AI270" s="2">
        <v>12700</v>
      </c>
      <c r="AJ270" s="2">
        <v>2.54</v>
      </c>
      <c r="AK270" s="76">
        <f t="shared" si="313"/>
        <v>7.0390859347940982E-2</v>
      </c>
      <c r="AL270" s="76">
        <f t="shared" si="314"/>
        <v>1</v>
      </c>
      <c r="AM270" s="2">
        <f t="shared" si="277"/>
        <v>-0.35000000000000009</v>
      </c>
      <c r="AN270" s="2">
        <f t="shared" si="278"/>
        <v>2.54</v>
      </c>
      <c r="AO270" s="2">
        <v>1.5121</v>
      </c>
      <c r="AP270" s="2">
        <f t="shared" si="279"/>
        <v>-0.87147444359687165</v>
      </c>
      <c r="AQ270" s="2">
        <f t="shared" si="280"/>
        <v>1.5121</v>
      </c>
      <c r="AR270" s="2">
        <v>86</v>
      </c>
      <c r="AS270" s="2">
        <v>1.39</v>
      </c>
      <c r="AT270" s="2">
        <f t="shared" si="281"/>
        <v>-0.4477290648559264</v>
      </c>
      <c r="AU270" s="2">
        <f t="shared" si="282"/>
        <v>1.39</v>
      </c>
      <c r="AV270" s="2">
        <v>13500</v>
      </c>
      <c r="AW270" s="2">
        <v>1.9</v>
      </c>
      <c r="AX270" s="2">
        <f t="shared" si="283"/>
        <v>-0.93735604037800624</v>
      </c>
      <c r="AY270" s="2">
        <f t="shared" si="284"/>
        <v>1.9</v>
      </c>
      <c r="AZ270" s="2">
        <v>0.26705111280625649</v>
      </c>
      <c r="BA270" s="78">
        <f t="shared" si="315"/>
        <v>-1.7429488871937433</v>
      </c>
      <c r="BB270" s="78">
        <f t="shared" si="316"/>
        <v>-2</v>
      </c>
      <c r="BC270" s="2" t="str">
        <f t="shared" si="285"/>
        <v/>
      </c>
      <c r="BD270" s="2">
        <f t="shared" si="286"/>
        <v>0.26705111280625649</v>
      </c>
      <c r="BE270" s="67">
        <f t="shared" si="317"/>
        <v>7</v>
      </c>
      <c r="BF270" s="2">
        <v>90</v>
      </c>
      <c r="BG270" s="2">
        <v>0.89454187028814725</v>
      </c>
      <c r="BH270" s="2" t="str">
        <f t="shared" si="287"/>
        <v/>
      </c>
      <c r="BI270" s="2">
        <f t="shared" si="288"/>
        <v>0.89454187028814725</v>
      </c>
      <c r="BJ270" s="67">
        <f t="shared" si="289"/>
        <v>7</v>
      </c>
      <c r="BK270" s="2">
        <v>13700</v>
      </c>
      <c r="BL270" s="2">
        <v>0.66528791924398756</v>
      </c>
      <c r="BM270" s="77">
        <f t="shared" si="318"/>
        <v>-1.8747120807560125</v>
      </c>
      <c r="BN270" s="77">
        <f t="shared" si="319"/>
        <v>-2</v>
      </c>
      <c r="BO270" s="2" t="str">
        <f t="shared" si="290"/>
        <v/>
      </c>
      <c r="BP270" s="2">
        <f t="shared" si="291"/>
        <v>0.66528791924398756</v>
      </c>
      <c r="BQ270" s="67">
        <f t="shared" si="320"/>
        <v>7</v>
      </c>
      <c r="BS270" s="75" t="str">
        <f t="shared" si="321"/>
        <v>UF</v>
      </c>
      <c r="BT270" s="75" t="str">
        <f t="shared" si="322"/>
        <v>UF</v>
      </c>
      <c r="BU270" s="5" t="str">
        <f>IF(G278&gt;=36, IF(AND(NOT(ISBLANK(CM:CM)), NOT(ISBLANK(BD:BD))), (CM:CM-BD:BD)/2, ""), "UF")</f>
        <v/>
      </c>
      <c r="BV270" s="5" t="str">
        <f t="shared" si="292"/>
        <v>UF</v>
      </c>
      <c r="BW270" s="69" t="str">
        <f t="shared" si="293"/>
        <v/>
      </c>
      <c r="BX270" s="2" t="s">
        <v>12</v>
      </c>
      <c r="BZ270" s="74" t="str">
        <f t="shared" si="323"/>
        <v>UF</v>
      </c>
      <c r="CA270" s="74" t="str">
        <f t="shared" si="324"/>
        <v>UF</v>
      </c>
      <c r="CB270" s="5" t="str">
        <f t="shared" si="294"/>
        <v>UF</v>
      </c>
      <c r="CC270" s="5" t="str">
        <f t="shared" si="295"/>
        <v>UF</v>
      </c>
      <c r="CD270" s="2" t="e">
        <f t="shared" si="296"/>
        <v>#VALUE!</v>
      </c>
      <c r="CE270" s="69" t="str">
        <f t="shared" si="297"/>
        <v/>
      </c>
      <c r="CF270" s="5" t="s">
        <v>12</v>
      </c>
      <c r="CH270" s="72" t="str">
        <f t="shared" si="325"/>
        <v>UF</v>
      </c>
      <c r="CI270" s="72" t="str">
        <f t="shared" si="326"/>
        <v>UF</v>
      </c>
      <c r="CJ270" s="5" t="str">
        <f t="shared" si="298"/>
        <v>UF</v>
      </c>
      <c r="CK270" s="5" t="str">
        <f t="shared" si="299"/>
        <v>UF</v>
      </c>
      <c r="CL270" s="69" t="str">
        <f t="shared" si="300"/>
        <v/>
      </c>
      <c r="CN270" s="70" t="str">
        <f t="shared" si="301"/>
        <v/>
      </c>
      <c r="CO270" s="5" t="str">
        <f t="shared" si="302"/>
        <v>UF</v>
      </c>
      <c r="CP270" s="5" t="str">
        <f>IF(G270&lt;48,"UF", IF(NOT(ISBLANK(CM:CM)), CM:CM, IF(BW:BW=1, BV:BV+Sheet2!B568, IF(Sheet1!BW:BW=2, Sheet1!BV:BV+Sheet2!B569, IF(Sheet1!BW:BW=7, Sheet1!BV:BV+Sheet2!B570,"")))))</f>
        <v>UF</v>
      </c>
      <c r="CQ270" s="69" t="str">
        <f t="shared" si="327"/>
        <v/>
      </c>
      <c r="CR270" s="5" t="s">
        <v>12</v>
      </c>
      <c r="CT270" s="5" t="str">
        <f t="shared" si="303"/>
        <v/>
      </c>
      <c r="CU270" s="80" t="str">
        <f t="shared" si="304"/>
        <v>UF</v>
      </c>
      <c r="CV270" s="80" t="str">
        <f t="shared" si="305"/>
        <v>UF</v>
      </c>
      <c r="CW270" s="20" t="str">
        <f>IF(G270&lt;48,"UF", IF(NOT(ISBLANK(CS270)), CS270, IF(CE270=5, CC270+Sheet2!B557, IF(CE270=6, CC270+Sheet2!B558, IF(CE270=7, CC270+Sheet2!B559,"")))))</f>
        <v>UF</v>
      </c>
      <c r="CX270" s="68" t="str">
        <f t="shared" si="328"/>
        <v/>
      </c>
      <c r="CY270" s="5" t="s">
        <v>12</v>
      </c>
      <c r="DA270" s="5" t="str">
        <f t="shared" si="306"/>
        <v>UF</v>
      </c>
      <c r="DB270" s="73" t="str">
        <f t="shared" si="307"/>
        <v>UF</v>
      </c>
      <c r="DC270" s="73" t="str">
        <f t="shared" si="308"/>
        <v>UF</v>
      </c>
      <c r="DD270" s="5" t="str">
        <f>IF(G270&lt;48,"UF", IF(NOT(ISBLANK(CZ:CZ)), CZ:CZ, IF(CL:CL=3, CK:CK+Sheet2!B562, IF(CL:CL=4, CK:CK+Sheet2!B563, IF(CL:CL=7, CK:CK+Sheet2!B564,"")))))</f>
        <v>UF</v>
      </c>
      <c r="DE270" s="69" t="str">
        <f t="shared" si="266"/>
        <v/>
      </c>
      <c r="DF270" s="2">
        <v>7</v>
      </c>
      <c r="DG270" s="2">
        <v>35</v>
      </c>
      <c r="DH270" s="2">
        <v>2</v>
      </c>
      <c r="DI270" s="2">
        <v>2</v>
      </c>
      <c r="DJ270" s="2">
        <v>2</v>
      </c>
      <c r="DK270" s="2">
        <v>115</v>
      </c>
      <c r="DL270" s="2">
        <v>80</v>
      </c>
      <c r="DM270" s="2">
        <v>100</v>
      </c>
      <c r="DN270" s="2">
        <v>60</v>
      </c>
      <c r="DO270" s="2">
        <v>100</v>
      </c>
      <c r="DP270" s="2">
        <v>70</v>
      </c>
      <c r="DQ270" s="2">
        <v>1</v>
      </c>
      <c r="DR270" s="2">
        <v>40</v>
      </c>
      <c r="DS270" s="2">
        <v>1</v>
      </c>
      <c r="DT270" s="2">
        <v>97</v>
      </c>
      <c r="DU270" s="2">
        <v>81</v>
      </c>
      <c r="DV270" s="2">
        <v>3</v>
      </c>
      <c r="DW270" s="2">
        <v>3</v>
      </c>
      <c r="DX270" s="2">
        <v>3</v>
      </c>
      <c r="DY270" s="2">
        <v>2</v>
      </c>
      <c r="DZ270" s="2">
        <v>37</v>
      </c>
      <c r="EA270" s="2">
        <v>36.5</v>
      </c>
      <c r="EB270" s="2">
        <v>47.5</v>
      </c>
      <c r="EC270" s="2">
        <v>1</v>
      </c>
      <c r="ED270" s="2">
        <v>1</v>
      </c>
    </row>
    <row r="271" spans="2:134" x14ac:dyDescent="0.25">
      <c r="D271" s="2">
        <v>2501039408</v>
      </c>
      <c r="E271" s="5">
        <v>7</v>
      </c>
      <c r="F271" s="2">
        <v>2</v>
      </c>
      <c r="G271" s="2">
        <v>38</v>
      </c>
      <c r="H271" s="2">
        <v>-2.0973688752001141</v>
      </c>
      <c r="I271" s="2">
        <v>53</v>
      </c>
      <c r="J271" s="2">
        <v>1.645866503279491</v>
      </c>
      <c r="K271" s="2">
        <v>3100</v>
      </c>
      <c r="L271" s="2">
        <v>-0.51686178682742712</v>
      </c>
      <c r="M271" s="2">
        <v>0.20860000000000001</v>
      </c>
      <c r="N271" s="2">
        <f t="shared" si="268"/>
        <v>1.8841844376000569</v>
      </c>
      <c r="O271" s="2">
        <f t="shared" si="269"/>
        <v>0.20860000000000001</v>
      </c>
      <c r="P271" s="2">
        <v>69</v>
      </c>
      <c r="Q271" s="2">
        <v>0.63</v>
      </c>
      <c r="R271" s="5">
        <f t="shared" si="270"/>
        <v>-1.0829332516397456</v>
      </c>
      <c r="S271" s="5">
        <f t="shared" si="271"/>
        <v>0.63</v>
      </c>
      <c r="T271" s="2">
        <v>8400</v>
      </c>
      <c r="U271" s="2">
        <v>0.52</v>
      </c>
      <c r="V271" s="2">
        <f t="shared" si="272"/>
        <v>0.73343089341371348</v>
      </c>
      <c r="W271" s="2">
        <f t="shared" si="273"/>
        <v>0.52</v>
      </c>
      <c r="X271" s="2">
        <v>1.671</v>
      </c>
      <c r="Y271" s="76">
        <f t="shared" si="309"/>
        <v>3.7683688752001139</v>
      </c>
      <c r="Z271" s="76">
        <f t="shared" si="310"/>
        <v>2</v>
      </c>
      <c r="AA271" s="2">
        <f t="shared" si="274"/>
        <v>0.11104999999999998</v>
      </c>
      <c r="AB271" s="2">
        <f t="shared" si="275"/>
        <v>1.671</v>
      </c>
      <c r="AC271" s="2">
        <v>74.5</v>
      </c>
      <c r="AD271" s="2">
        <v>-0.52</v>
      </c>
      <c r="AE271" s="79">
        <f t="shared" si="311"/>
        <v>-2.1658665032794913</v>
      </c>
      <c r="AF271" s="79">
        <f t="shared" si="312"/>
        <v>-2</v>
      </c>
      <c r="AG271" s="2">
        <f t="shared" si="265"/>
        <v>-0.47499999999999998</v>
      </c>
      <c r="AH271" s="2">
        <f t="shared" si="276"/>
        <v>-0.52</v>
      </c>
      <c r="AI271" s="2">
        <v>10700</v>
      </c>
      <c r="AJ271" s="2">
        <v>0.95</v>
      </c>
      <c r="AK271" s="76">
        <f t="shared" si="313"/>
        <v>1.466861786827427</v>
      </c>
      <c r="AL271" s="76">
        <f t="shared" si="314"/>
        <v>2</v>
      </c>
      <c r="AM271" s="2">
        <f t="shared" si="277"/>
        <v>-5.5000000000000021E-2</v>
      </c>
      <c r="AN271" s="2">
        <f t="shared" si="278"/>
        <v>0.95</v>
      </c>
      <c r="AO271" s="2">
        <v>0.85209999999999997</v>
      </c>
      <c r="AP271" s="2">
        <f t="shared" si="279"/>
        <v>-0.6129042853022304</v>
      </c>
      <c r="AQ271" s="2">
        <f t="shared" si="280"/>
        <v>0.85209999999999997</v>
      </c>
      <c r="AR271" s="2">
        <v>81.400000000000006</v>
      </c>
      <c r="AS271" s="2">
        <v>-0.32</v>
      </c>
      <c r="AT271" s="2">
        <f t="shared" si="281"/>
        <v>0.13722707270927487</v>
      </c>
      <c r="AU271" s="2">
        <f t="shared" si="282"/>
        <v>-0.32</v>
      </c>
      <c r="AV271" s="2">
        <v>11450</v>
      </c>
      <c r="AW271" s="2">
        <v>0.41</v>
      </c>
      <c r="AX271" s="2">
        <f t="shared" si="283"/>
        <v>-0.49010176002432199</v>
      </c>
      <c r="AY271" s="2">
        <f t="shared" si="284"/>
        <v>0.41</v>
      </c>
      <c r="AZ271" s="2">
        <v>0.44519142939553918</v>
      </c>
      <c r="BA271" s="78">
        <f t="shared" si="315"/>
        <v>-1.2258085706044608</v>
      </c>
      <c r="BB271" s="78">
        <f t="shared" si="316"/>
        <v>-2</v>
      </c>
      <c r="BC271" s="2">
        <f t="shared" si="285"/>
        <v>-0.52453788407044033</v>
      </c>
      <c r="BD271" s="2">
        <f t="shared" si="286"/>
        <v>0.44519142939553918</v>
      </c>
      <c r="BE271" s="67">
        <f t="shared" si="317"/>
        <v>7</v>
      </c>
      <c r="BF271" s="2">
        <v>86</v>
      </c>
      <c r="BG271" s="2">
        <v>-0.24554585458145031</v>
      </c>
      <c r="BH271" s="2">
        <f t="shared" si="287"/>
        <v>-0.11077765438749233</v>
      </c>
      <c r="BI271" s="2">
        <f t="shared" si="288"/>
        <v>-0.24554585458145031</v>
      </c>
      <c r="BJ271" s="67">
        <f t="shared" si="289"/>
        <v>7</v>
      </c>
      <c r="BK271" s="2">
        <v>12700</v>
      </c>
      <c r="BL271" s="2">
        <v>-3.0203520048644041E-2</v>
      </c>
      <c r="BM271" s="77">
        <f t="shared" si="318"/>
        <v>-0.98020352004864397</v>
      </c>
      <c r="BN271" s="77">
        <f t="shared" si="319"/>
        <v>-2</v>
      </c>
      <c r="BO271" s="2">
        <f t="shared" si="290"/>
        <v>-0.42760535681867945</v>
      </c>
      <c r="BP271" s="2">
        <f t="shared" si="291"/>
        <v>-3.0203520048644041E-2</v>
      </c>
      <c r="BQ271" s="67">
        <f t="shared" si="320"/>
        <v>7</v>
      </c>
      <c r="BR271" s="5">
        <v>-0.7215136522113208</v>
      </c>
      <c r="BS271" s="75">
        <f t="shared" si="321"/>
        <v>-1.16670508160686</v>
      </c>
      <c r="BT271" s="75">
        <f t="shared" si="322"/>
        <v>-2</v>
      </c>
      <c r="BU271" s="5" t="e">
        <f>IF(#REF!&gt;=36, IF(AND(NOT(ISBLANK(CM:CM)), NOT(ISBLANK(BD:BD))), (CM:CM-BD:BD)/2, ""), "UF")</f>
        <v>#REF!</v>
      </c>
      <c r="BV271" s="5">
        <f t="shared" si="292"/>
        <v>-0.7215136522113208</v>
      </c>
      <c r="BW271" s="69">
        <f t="shared" si="293"/>
        <v>7</v>
      </c>
      <c r="BX271" s="2">
        <v>92.8</v>
      </c>
      <c r="BY271" s="5">
        <v>-0.65233296316247702</v>
      </c>
      <c r="BZ271" s="74">
        <f t="shared" si="323"/>
        <v>-0.622129443113833</v>
      </c>
      <c r="CA271" s="74">
        <f t="shared" si="324"/>
        <v>-1</v>
      </c>
      <c r="CB271" s="5" t="str">
        <f t="shared" si="294"/>
        <v/>
      </c>
      <c r="CC271" s="5">
        <f t="shared" si="295"/>
        <v>-0.65233296316247702</v>
      </c>
      <c r="CD271" s="2">
        <f t="shared" si="296"/>
        <v>-0.40678710858102674</v>
      </c>
      <c r="CE271" s="69">
        <f t="shared" si="297"/>
        <v>7</v>
      </c>
      <c r="CF271" s="5">
        <v>13100</v>
      </c>
      <c r="CG271" s="5">
        <v>-0.87281607045603837</v>
      </c>
      <c r="CH271" s="72">
        <f t="shared" si="325"/>
        <v>-0.84261255040739436</v>
      </c>
      <c r="CI271" s="72">
        <f t="shared" si="326"/>
        <v>-2</v>
      </c>
      <c r="CJ271" s="5" t="str">
        <f t="shared" si="298"/>
        <v/>
      </c>
      <c r="CK271" s="5">
        <f t="shared" si="299"/>
        <v>-0.87281607045603837</v>
      </c>
      <c r="CL271" s="69">
        <f t="shared" si="300"/>
        <v>7</v>
      </c>
      <c r="CN271" s="70" t="str">
        <f t="shared" si="301"/>
        <v/>
      </c>
      <c r="CO271" s="5" t="str">
        <f t="shared" si="302"/>
        <v>UF</v>
      </c>
      <c r="CP271" s="5" t="str">
        <f>IF(G271&lt;48,"UF", IF(NOT(ISBLANK(CM:CM)), CM:CM, IF(BW:BW=1, BV:BV+Sheet2!B587, IF(Sheet1!BW:BW=2, Sheet1!BV:BV+Sheet2!B588, IF(Sheet1!BW:BW=7, Sheet1!BV:BV+Sheet2!B589,"")))))</f>
        <v>UF</v>
      </c>
      <c r="CQ271" s="69" t="str">
        <f t="shared" si="327"/>
        <v/>
      </c>
      <c r="CR271" s="5" t="s">
        <v>12</v>
      </c>
      <c r="CT271" s="5" t="str">
        <f t="shared" si="303"/>
        <v/>
      </c>
      <c r="CU271" s="80" t="str">
        <f t="shared" si="304"/>
        <v>UF</v>
      </c>
      <c r="CV271" s="80" t="str">
        <f t="shared" si="305"/>
        <v>UF</v>
      </c>
      <c r="CW271" s="20" t="str">
        <f>IF(G271&lt;48,"UF", IF(NOT(ISBLANK(CS271)), CS271, IF(CE271=5, CC271+Sheet2!B576, IF(CE271=6, CC271+Sheet2!B577, IF(CE271=7, CC271+Sheet2!B578,"")))))</f>
        <v>UF</v>
      </c>
      <c r="CX271" s="68" t="str">
        <f t="shared" si="328"/>
        <v/>
      </c>
      <c r="CY271" s="5" t="s">
        <v>12</v>
      </c>
      <c r="DA271" s="5" t="str">
        <f t="shared" si="306"/>
        <v>UF</v>
      </c>
      <c r="DB271" s="73" t="str">
        <f t="shared" si="307"/>
        <v>UF</v>
      </c>
      <c r="DC271" s="73" t="str">
        <f t="shared" si="308"/>
        <v>UF</v>
      </c>
      <c r="DD271" s="5" t="str">
        <f>IF(G271&lt;48,"UF", IF(NOT(ISBLANK(CZ:CZ)), CZ:CZ, IF(CL:CL=3, CK:CK+Sheet2!B581, IF(CL:CL=4, CK:CK+Sheet2!B582, IF(CL:CL=7, CK:CK+Sheet2!B583,"")))))</f>
        <v>UF</v>
      </c>
      <c r="DE271" s="69" t="str">
        <f t="shared" si="266"/>
        <v/>
      </c>
      <c r="DF271" s="2">
        <v>2</v>
      </c>
      <c r="DG271" s="2">
        <v>30</v>
      </c>
      <c r="DH271" s="2">
        <v>2</v>
      </c>
      <c r="DI271" s="2">
        <v>2</v>
      </c>
      <c r="DJ271" s="2">
        <v>2</v>
      </c>
      <c r="DK271" s="2" t="s">
        <v>12</v>
      </c>
      <c r="DL271" s="2" t="s">
        <v>12</v>
      </c>
      <c r="DM271" s="2">
        <v>111</v>
      </c>
      <c r="DN271" s="2">
        <v>61</v>
      </c>
      <c r="DO271" s="2">
        <v>117</v>
      </c>
      <c r="DP271" s="2">
        <v>71</v>
      </c>
      <c r="DQ271" s="2">
        <v>1</v>
      </c>
      <c r="DR271" s="2">
        <v>39</v>
      </c>
      <c r="DS271" s="2">
        <v>2</v>
      </c>
      <c r="DT271" s="2">
        <v>59</v>
      </c>
      <c r="DU271" s="2">
        <v>68</v>
      </c>
      <c r="DV271" s="2">
        <v>2</v>
      </c>
      <c r="DW271" s="2">
        <v>2</v>
      </c>
      <c r="DX271" s="2">
        <v>2</v>
      </c>
      <c r="DY271" s="2">
        <v>2</v>
      </c>
      <c r="DZ271" s="2">
        <v>34.5</v>
      </c>
      <c r="EA271" s="2">
        <v>35.799999999999997</v>
      </c>
      <c r="EB271" s="2">
        <v>47.4</v>
      </c>
      <c r="EC271" s="2">
        <v>1</v>
      </c>
      <c r="ED271" s="2">
        <v>1</v>
      </c>
    </row>
    <row r="272" spans="2:134" x14ac:dyDescent="0.25">
      <c r="C272" s="5" t="s">
        <v>26</v>
      </c>
      <c r="D272" s="2">
        <v>2501039785</v>
      </c>
      <c r="E272" s="5">
        <v>2</v>
      </c>
      <c r="F272" s="2">
        <v>2</v>
      </c>
      <c r="G272" s="2">
        <v>59</v>
      </c>
      <c r="H272" s="2">
        <v>-2.05318186915403</v>
      </c>
      <c r="I272" s="2">
        <v>50</v>
      </c>
      <c r="J272" s="2">
        <v>6.1168777667580831E-2</v>
      </c>
      <c r="K272" s="5">
        <v>2770</v>
      </c>
      <c r="L272" s="2">
        <v>-1.2528561583243161</v>
      </c>
      <c r="M272" s="2">
        <v>-1.3043</v>
      </c>
      <c r="N272" s="2">
        <f t="shared" si="268"/>
        <v>-0.22750906542298499</v>
      </c>
      <c r="O272" s="2">
        <f t="shared" si="269"/>
        <v>-1.3043</v>
      </c>
      <c r="P272" s="2">
        <v>67</v>
      </c>
      <c r="Q272" s="2">
        <v>-0.3</v>
      </c>
      <c r="R272" s="5">
        <f t="shared" si="270"/>
        <v>2.4415611166209585E-2</v>
      </c>
      <c r="S272" s="5">
        <f t="shared" si="271"/>
        <v>-0.3</v>
      </c>
      <c r="T272" s="1">
        <v>7000</v>
      </c>
      <c r="U272" s="2">
        <v>-1.1399999999999999</v>
      </c>
      <c r="V272" s="2">
        <f t="shared" si="272"/>
        <v>-0.22357192083784194</v>
      </c>
      <c r="W272" s="2">
        <f t="shared" si="273"/>
        <v>-1.1399999999999999</v>
      </c>
      <c r="X272" s="2">
        <v>-2.5082</v>
      </c>
      <c r="Y272" s="76">
        <f t="shared" si="309"/>
        <v>-0.45501813084596998</v>
      </c>
      <c r="Z272" s="76">
        <f t="shared" si="310"/>
        <v>-1</v>
      </c>
      <c r="AA272" s="2">
        <f t="shared" si="274"/>
        <v>-1.2604500000000001</v>
      </c>
      <c r="AB272" s="2">
        <f t="shared" si="275"/>
        <v>-2.5082</v>
      </c>
      <c r="AC272" s="2">
        <v>76</v>
      </c>
      <c r="AD272" s="2">
        <v>0.11</v>
      </c>
      <c r="AE272" s="79">
        <f t="shared" si="311"/>
        <v>4.8831222332419169E-2</v>
      </c>
      <c r="AF272" s="79">
        <f t="shared" si="312"/>
        <v>1</v>
      </c>
      <c r="AG272" s="2">
        <f t="shared" si="265"/>
        <v>9.9999999999999992E-2</v>
      </c>
      <c r="AH272" s="2">
        <f t="shared" si="276"/>
        <v>0.11</v>
      </c>
      <c r="AI272" s="2">
        <v>8000</v>
      </c>
      <c r="AJ272" s="2">
        <v>-1.7</v>
      </c>
      <c r="AK272" s="76">
        <f t="shared" si="313"/>
        <v>-0.44714384167568388</v>
      </c>
      <c r="AL272" s="76">
        <f t="shared" si="314"/>
        <v>-1</v>
      </c>
      <c r="AM272" s="2">
        <f t="shared" si="277"/>
        <v>-0.40500000000000003</v>
      </c>
      <c r="AN272" s="2">
        <f t="shared" si="278"/>
        <v>-1.7</v>
      </c>
      <c r="AO272" s="2">
        <v>-2.8209</v>
      </c>
      <c r="AP272" s="2" t="str">
        <f t="shared" si="279"/>
        <v/>
      </c>
      <c r="AQ272" s="2">
        <f t="shared" si="280"/>
        <v>-2.8209</v>
      </c>
      <c r="AR272" s="2">
        <v>82</v>
      </c>
      <c r="AS272" s="2">
        <v>-0.1</v>
      </c>
      <c r="AT272" s="2" t="str">
        <f t="shared" si="281"/>
        <v/>
      </c>
      <c r="AU272" s="2">
        <f t="shared" si="282"/>
        <v>-0.1</v>
      </c>
      <c r="AV272" s="2">
        <v>8800</v>
      </c>
      <c r="AW272" s="2">
        <v>-1.95</v>
      </c>
      <c r="AX272" s="2" t="str">
        <f t="shared" si="283"/>
        <v/>
      </c>
      <c r="AY272" s="2">
        <f t="shared" si="284"/>
        <v>-1.95</v>
      </c>
      <c r="BA272" s="78" t="e">
        <f t="shared" si="315"/>
        <v>#VALUE!</v>
      </c>
      <c r="BB272" s="78" t="e">
        <f t="shared" si="316"/>
        <v>#VALUE!</v>
      </c>
      <c r="BC272" s="2" t="str">
        <f t="shared" si="285"/>
        <v/>
      </c>
      <c r="BD272" s="2" t="e">
        <f t="shared" si="286"/>
        <v>#VALUE!</v>
      </c>
      <c r="BE272" s="67" t="e">
        <f t="shared" si="317"/>
        <v>#VALUE!</v>
      </c>
      <c r="BF272" s="2" t="s">
        <v>12</v>
      </c>
      <c r="BH272" s="2" t="str">
        <f t="shared" si="287"/>
        <v/>
      </c>
      <c r="BI272" s="2" t="e">
        <f t="shared" si="288"/>
        <v>#VALUE!</v>
      </c>
      <c r="BJ272" s="67" t="e">
        <f t="shared" si="289"/>
        <v>#VALUE!</v>
      </c>
      <c r="BK272" s="2" t="s">
        <v>12</v>
      </c>
      <c r="BM272" s="77" t="e">
        <f t="shared" si="318"/>
        <v>#VALUE!</v>
      </c>
      <c r="BN272" s="77" t="e">
        <f t="shared" si="319"/>
        <v>#VALUE!</v>
      </c>
      <c r="BO272" s="2" t="str">
        <f t="shared" si="290"/>
        <v/>
      </c>
      <c r="BP272" s="2" t="e">
        <f t="shared" si="291"/>
        <v>#VALUE!</v>
      </c>
      <c r="BQ272" s="67" t="e">
        <f t="shared" si="320"/>
        <v>#VALUE!</v>
      </c>
      <c r="BS272" s="75" t="e">
        <f t="shared" si="321"/>
        <v>#VALUE!</v>
      </c>
      <c r="BT272" s="75" t="e">
        <f t="shared" si="322"/>
        <v>#VALUE!</v>
      </c>
      <c r="BU272" s="5" t="e">
        <f>IF(#REF!&gt;=36, IF(AND(NOT(ISBLANK(CM:CM)), NOT(ISBLANK(BD:BD))), (CM:CM-BD:BD)/2, ""), "UF")</f>
        <v>#REF!</v>
      </c>
      <c r="BV272" s="5" t="e">
        <f t="shared" si="292"/>
        <v>#VALUE!</v>
      </c>
      <c r="BW272" s="69" t="e">
        <f t="shared" si="293"/>
        <v>#VALUE!</v>
      </c>
      <c r="BX272" s="2" t="s">
        <v>12</v>
      </c>
      <c r="BZ272" s="74" t="e">
        <f t="shared" si="323"/>
        <v>#VALUE!</v>
      </c>
      <c r="CA272" s="74" t="e">
        <f t="shared" si="324"/>
        <v>#VALUE!</v>
      </c>
      <c r="CB272" s="5" t="str">
        <f t="shared" si="294"/>
        <v/>
      </c>
      <c r="CC272" s="5" t="e">
        <f t="shared" si="295"/>
        <v>#VALUE!</v>
      </c>
      <c r="CD272" s="2" t="e">
        <f t="shared" si="296"/>
        <v>#VALUE!</v>
      </c>
      <c r="CE272" s="69" t="e">
        <f t="shared" si="297"/>
        <v>#VALUE!</v>
      </c>
      <c r="CF272" s="5" t="s">
        <v>12</v>
      </c>
      <c r="CH272" s="72" t="e">
        <f t="shared" si="325"/>
        <v>#VALUE!</v>
      </c>
      <c r="CI272" s="72" t="e">
        <f t="shared" si="326"/>
        <v>#VALUE!</v>
      </c>
      <c r="CJ272" s="5" t="str">
        <f t="shared" si="298"/>
        <v/>
      </c>
      <c r="CK272" s="5" t="e">
        <f t="shared" si="299"/>
        <v>#VALUE!</v>
      </c>
      <c r="CL272" s="69" t="e">
        <f t="shared" si="300"/>
        <v>#VALUE!</v>
      </c>
      <c r="CN272" s="70" t="str">
        <f t="shared" si="301"/>
        <v/>
      </c>
      <c r="CO272" s="5" t="e">
        <f t="shared" si="302"/>
        <v>#VALUE!</v>
      </c>
      <c r="CP272" s="5" t="e">
        <f>IF(G272&lt;48,"UF", IF(NOT(ISBLANK(CM:CM)), CM:CM, IF(BW:BW=1, BV:BV+Sheet2!B48, IF(Sheet1!BW:BW=2, Sheet1!BV:BV+Sheet2!B49, IF(Sheet1!BW:BW=7, Sheet1!BV:BV+Sheet2!B50,"")))))</f>
        <v>#VALUE!</v>
      </c>
      <c r="CQ272" s="69" t="e">
        <f t="shared" si="327"/>
        <v>#VALUE!</v>
      </c>
      <c r="CR272" s="5" t="s">
        <v>12</v>
      </c>
      <c r="CT272" s="5" t="str">
        <f t="shared" si="303"/>
        <v/>
      </c>
      <c r="CU272" s="80" t="e">
        <f t="shared" si="304"/>
        <v>#VALUE!</v>
      </c>
      <c r="CV272" s="80" t="e">
        <f t="shared" si="305"/>
        <v>#VALUE!</v>
      </c>
      <c r="CW272" s="20" t="e">
        <f>IF(G272&lt;48,"UF", IF(NOT(ISBLANK(CS272)), CS272, IF(CE272=5, CC272+Sheet2!B37, IF(CE272=6, CC272+Sheet2!B38, IF(CE272=7, CC272+Sheet2!B39,"")))))</f>
        <v>#VALUE!</v>
      </c>
      <c r="CX272" s="68" t="e">
        <f t="shared" si="328"/>
        <v>#VALUE!</v>
      </c>
      <c r="CY272" s="5" t="s">
        <v>12</v>
      </c>
      <c r="DA272" s="5" t="str">
        <f t="shared" si="306"/>
        <v/>
      </c>
      <c r="DB272" s="73" t="e">
        <f t="shared" si="307"/>
        <v>#VALUE!</v>
      </c>
      <c r="DC272" s="73" t="e">
        <f t="shared" si="308"/>
        <v>#VALUE!</v>
      </c>
      <c r="DD272" s="5" t="e">
        <f>IF(G272&lt;48,"UF", IF(NOT(ISBLANK(CZ:CZ)), CZ:CZ, IF(CL:CL=3, CK:CK+Sheet2!B42, IF(CL:CL=4, CK:CK+Sheet2!B43, IF(CL:CL=7, CK:CK+Sheet2!B44,"")))))</f>
        <v>#VALUE!</v>
      </c>
      <c r="DE272" s="69" t="e">
        <f t="shared" si="266"/>
        <v>#VALUE!</v>
      </c>
      <c r="DF272" s="2">
        <v>1</v>
      </c>
      <c r="DG272" s="2">
        <v>20</v>
      </c>
      <c r="DH272" s="2">
        <v>2</v>
      </c>
      <c r="DI272" s="2">
        <v>2</v>
      </c>
      <c r="DJ272" s="2">
        <v>2</v>
      </c>
      <c r="DK272" s="2">
        <v>100</v>
      </c>
      <c r="DL272" s="2">
        <v>60</v>
      </c>
      <c r="DM272" s="2">
        <v>100</v>
      </c>
      <c r="DN272" s="2">
        <v>80</v>
      </c>
      <c r="DO272" s="2">
        <v>110</v>
      </c>
      <c r="DP272" s="2">
        <v>70</v>
      </c>
      <c r="DQ272" s="2">
        <v>2</v>
      </c>
      <c r="DR272" s="2">
        <v>40</v>
      </c>
      <c r="DS272" s="2">
        <v>2</v>
      </c>
      <c r="DT272" s="2">
        <v>67</v>
      </c>
      <c r="DU272" s="2">
        <v>78</v>
      </c>
      <c r="DV272" s="2">
        <v>2</v>
      </c>
      <c r="DW272" s="2">
        <v>2</v>
      </c>
      <c r="DX272" s="2">
        <v>2</v>
      </c>
      <c r="DY272" s="2">
        <v>2</v>
      </c>
      <c r="DZ272" s="2">
        <v>34</v>
      </c>
      <c r="EA272" s="2">
        <v>33</v>
      </c>
      <c r="EB272" s="2">
        <v>43</v>
      </c>
      <c r="EC272" s="2">
        <v>1</v>
      </c>
      <c r="ED272" s="2">
        <v>1</v>
      </c>
    </row>
    <row r="273" spans="1:134" x14ac:dyDescent="0.25">
      <c r="C273" s="8" t="s">
        <v>305</v>
      </c>
      <c r="D273" s="8">
        <v>2501040252</v>
      </c>
      <c r="E273" s="5">
        <v>7</v>
      </c>
      <c r="F273" s="2">
        <v>2</v>
      </c>
      <c r="G273" s="2">
        <v>35</v>
      </c>
      <c r="H273" s="2">
        <v>-0.26572167397563862</v>
      </c>
      <c r="I273" s="2">
        <v>51</v>
      </c>
      <c r="J273" s="2">
        <v>0.58940135287155082</v>
      </c>
      <c r="K273" s="2">
        <v>3400</v>
      </c>
      <c r="L273" s="2">
        <v>0.1091247039083435</v>
      </c>
      <c r="N273" s="2">
        <f t="shared" si="268"/>
        <v>-0.5642391630121808</v>
      </c>
      <c r="O273" s="2">
        <f t="shared" si="269"/>
        <v>-0.82996083698781942</v>
      </c>
      <c r="P273" s="2" t="s">
        <v>12</v>
      </c>
      <c r="R273" s="5">
        <f t="shared" si="270"/>
        <v>0.39029932356422464</v>
      </c>
      <c r="S273" s="5">
        <f t="shared" si="271"/>
        <v>0.97970067643577541</v>
      </c>
      <c r="T273" s="2" t="s">
        <v>12</v>
      </c>
      <c r="V273" s="2">
        <f t="shared" si="272"/>
        <v>-0.17456235195417175</v>
      </c>
      <c r="W273" s="2">
        <f t="shared" si="273"/>
        <v>-6.5437648045828245E-2</v>
      </c>
      <c r="X273" s="2">
        <v>-1.3942000000000001</v>
      </c>
      <c r="Y273" s="76">
        <f t="shared" si="309"/>
        <v>-1.1284783260243616</v>
      </c>
      <c r="Z273" s="76">
        <f t="shared" si="310"/>
        <v>-2</v>
      </c>
      <c r="AA273" s="2">
        <f t="shared" si="274"/>
        <v>-1.2108503382178877</v>
      </c>
      <c r="AB273" s="2">
        <f t="shared" si="275"/>
        <v>-1.3942000000000001</v>
      </c>
      <c r="AC273" s="2">
        <v>79</v>
      </c>
      <c r="AD273" s="2">
        <v>1.37</v>
      </c>
      <c r="AE273" s="79">
        <f t="shared" si="311"/>
        <v>0.78059864712844929</v>
      </c>
      <c r="AF273" s="79">
        <f t="shared" si="312"/>
        <v>2</v>
      </c>
      <c r="AG273" s="2">
        <f t="shared" si="265"/>
        <v>-0.1698503382178877</v>
      </c>
      <c r="AH273" s="2">
        <f t="shared" si="276"/>
        <v>1.37</v>
      </c>
      <c r="AI273" s="2">
        <v>9400</v>
      </c>
      <c r="AJ273" s="2">
        <v>-0.24</v>
      </c>
      <c r="AK273" s="76">
        <f t="shared" si="313"/>
        <v>-0.34912470390834349</v>
      </c>
      <c r="AL273" s="76">
        <f t="shared" si="314"/>
        <v>-1</v>
      </c>
      <c r="AM273" s="2">
        <f t="shared" si="277"/>
        <v>-0.28228117597708591</v>
      </c>
      <c r="AN273" s="2">
        <f t="shared" si="278"/>
        <v>-0.24</v>
      </c>
      <c r="AO273" s="2">
        <v>-1.4419999999999999</v>
      </c>
      <c r="AP273" s="2" t="str">
        <f t="shared" si="279"/>
        <v/>
      </c>
      <c r="AQ273" s="2">
        <f t="shared" si="280"/>
        <v>-1.4419999999999999</v>
      </c>
      <c r="AR273" s="2">
        <v>84</v>
      </c>
      <c r="AS273" s="2">
        <v>0.64</v>
      </c>
      <c r="AT273" s="2" t="str">
        <f t="shared" si="281"/>
        <v/>
      </c>
      <c r="AU273" s="2">
        <f t="shared" si="282"/>
        <v>0.64</v>
      </c>
      <c r="AV273" s="2">
        <v>10200</v>
      </c>
      <c r="AW273" s="2">
        <v>-0.63</v>
      </c>
      <c r="AX273" s="2" t="str">
        <f t="shared" si="283"/>
        <v/>
      </c>
      <c r="AY273" s="2">
        <f t="shared" si="284"/>
        <v>-0.63</v>
      </c>
      <c r="BA273" s="78" t="e">
        <f t="shared" si="315"/>
        <v>#VALUE!</v>
      </c>
      <c r="BB273" s="78" t="e">
        <f t="shared" si="316"/>
        <v>#VALUE!</v>
      </c>
      <c r="BC273" s="2" t="str">
        <f t="shared" si="285"/>
        <v/>
      </c>
      <c r="BD273" s="2" t="e">
        <f t="shared" si="286"/>
        <v>#VALUE!</v>
      </c>
      <c r="BE273" s="67" t="e">
        <f t="shared" si="317"/>
        <v>#VALUE!</v>
      </c>
      <c r="BF273" s="2" t="s">
        <v>12</v>
      </c>
      <c r="BH273" s="2" t="str">
        <f t="shared" si="287"/>
        <v/>
      </c>
      <c r="BI273" s="2" t="e">
        <f t="shared" si="288"/>
        <v>#VALUE!</v>
      </c>
      <c r="BJ273" s="67" t="e">
        <f t="shared" si="289"/>
        <v>#VALUE!</v>
      </c>
      <c r="BK273" s="2" t="s">
        <v>12</v>
      </c>
      <c r="BM273" s="77" t="e">
        <f t="shared" si="318"/>
        <v>#VALUE!</v>
      </c>
      <c r="BN273" s="77" t="e">
        <f t="shared" si="319"/>
        <v>#VALUE!</v>
      </c>
      <c r="BO273" s="2" t="str">
        <f t="shared" si="290"/>
        <v/>
      </c>
      <c r="BP273" s="2" t="e">
        <f t="shared" si="291"/>
        <v>#VALUE!</v>
      </c>
      <c r="BQ273" s="67" t="e">
        <f t="shared" si="320"/>
        <v>#VALUE!</v>
      </c>
      <c r="BS273" s="75" t="str">
        <f t="shared" si="321"/>
        <v>UF</v>
      </c>
      <c r="BT273" s="75" t="str">
        <f t="shared" si="322"/>
        <v>UF</v>
      </c>
      <c r="BU273" s="5" t="str">
        <f>IF(G279&gt;=36, IF(AND(NOT(ISBLANK(CM:CM)), NOT(ISBLANK(BD:BD))), (CM:CM-BD:BD)/2, ""), "UF")</f>
        <v>UF</v>
      </c>
      <c r="BV273" s="5" t="str">
        <f t="shared" si="292"/>
        <v>UF</v>
      </c>
      <c r="BW273" s="69" t="str">
        <f t="shared" si="293"/>
        <v/>
      </c>
      <c r="BX273" s="2" t="s">
        <v>12</v>
      </c>
      <c r="BZ273" s="74" t="str">
        <f t="shared" si="323"/>
        <v>UF</v>
      </c>
      <c r="CA273" s="74" t="str">
        <f t="shared" si="324"/>
        <v>UF</v>
      </c>
      <c r="CB273" s="5" t="str">
        <f t="shared" si="294"/>
        <v>UF</v>
      </c>
      <c r="CC273" s="5" t="str">
        <f t="shared" si="295"/>
        <v>UF</v>
      </c>
      <c r="CD273" s="2" t="e">
        <f t="shared" si="296"/>
        <v>#VALUE!</v>
      </c>
      <c r="CE273" s="69" t="str">
        <f t="shared" si="297"/>
        <v/>
      </c>
      <c r="CF273" s="5" t="s">
        <v>12</v>
      </c>
      <c r="CH273" s="72" t="str">
        <f t="shared" si="325"/>
        <v>UF</v>
      </c>
      <c r="CI273" s="72" t="str">
        <f t="shared" si="326"/>
        <v>UF</v>
      </c>
      <c r="CJ273" s="5" t="str">
        <f t="shared" si="298"/>
        <v>UF</v>
      </c>
      <c r="CK273" s="5" t="str">
        <f t="shared" si="299"/>
        <v>UF</v>
      </c>
      <c r="CL273" s="69" t="str">
        <f t="shared" si="300"/>
        <v/>
      </c>
      <c r="CN273" s="70" t="str">
        <f t="shared" si="301"/>
        <v/>
      </c>
      <c r="CO273" s="5" t="str">
        <f t="shared" si="302"/>
        <v>UF</v>
      </c>
      <c r="CP273" s="5" t="str">
        <f>IF(G273&lt;48,"UF", IF(NOT(ISBLANK(CM:CM)), CM:CM, IF(BW:BW=1, BV:BV+Sheet2!B520, IF(Sheet1!BW:BW=2, Sheet1!BV:BV+Sheet2!B521, IF(Sheet1!BW:BW=7, Sheet1!BV:BV+Sheet2!B522,"")))))</f>
        <v>UF</v>
      </c>
      <c r="CQ273" s="69" t="str">
        <f t="shared" si="327"/>
        <v/>
      </c>
      <c r="CR273" s="5" t="s">
        <v>12</v>
      </c>
      <c r="CT273" s="5" t="str">
        <f t="shared" si="303"/>
        <v/>
      </c>
      <c r="CU273" s="80" t="str">
        <f t="shared" si="304"/>
        <v>UF</v>
      </c>
      <c r="CV273" s="80" t="str">
        <f t="shared" si="305"/>
        <v>UF</v>
      </c>
      <c r="CW273" s="20" t="str">
        <f>IF(G273&lt;48,"UF", IF(NOT(ISBLANK(CS273)), CS273, IF(CE273=5, CC273+Sheet2!B509, IF(CE273=6, CC273+Sheet2!B510, IF(CE273=7, CC273+Sheet2!B511,"")))))</f>
        <v>UF</v>
      </c>
      <c r="CX273" s="68" t="str">
        <f t="shared" si="328"/>
        <v/>
      </c>
      <c r="CY273" s="5" t="s">
        <v>12</v>
      </c>
      <c r="DA273" s="5" t="str">
        <f t="shared" si="306"/>
        <v>UF</v>
      </c>
      <c r="DB273" s="73" t="str">
        <f t="shared" si="307"/>
        <v>UF</v>
      </c>
      <c r="DC273" s="73" t="str">
        <f t="shared" si="308"/>
        <v>UF</v>
      </c>
      <c r="DD273" s="5" t="str">
        <f>IF(G273&lt;48,"UF", IF(NOT(ISBLANK(CZ:CZ)), CZ:CZ, IF(CL:CL=3, CK:CK+Sheet2!B514, IF(CL:CL=4, CK:CK+Sheet2!B515, IF(CL:CL=7, CK:CK+Sheet2!B516,"")))))</f>
        <v>UF</v>
      </c>
      <c r="DE273" s="69" t="str">
        <f t="shared" si="266"/>
        <v/>
      </c>
      <c r="DF273" s="2">
        <v>2</v>
      </c>
      <c r="DG273" s="2">
        <v>29</v>
      </c>
      <c r="DH273" s="2">
        <v>1</v>
      </c>
      <c r="DI273" s="2">
        <v>2</v>
      </c>
      <c r="DJ273" s="2">
        <v>2</v>
      </c>
      <c r="DK273" s="2">
        <v>110</v>
      </c>
      <c r="DL273" s="2">
        <v>80</v>
      </c>
      <c r="DM273" s="2">
        <v>110</v>
      </c>
      <c r="DN273" s="2">
        <v>80</v>
      </c>
      <c r="DO273" s="2">
        <v>110</v>
      </c>
      <c r="DP273" s="2">
        <v>60</v>
      </c>
      <c r="DQ273" s="2">
        <v>2</v>
      </c>
      <c r="DR273" s="2">
        <v>40</v>
      </c>
      <c r="DS273" s="2">
        <v>2</v>
      </c>
      <c r="DT273" s="2">
        <v>86</v>
      </c>
      <c r="DU273" s="2">
        <v>80</v>
      </c>
      <c r="DV273" s="2">
        <v>2</v>
      </c>
      <c r="DW273" s="2">
        <v>2</v>
      </c>
      <c r="DX273" s="2">
        <v>2</v>
      </c>
      <c r="DY273" s="2">
        <v>3</v>
      </c>
      <c r="DZ273" s="2">
        <v>35</v>
      </c>
      <c r="EA273" s="2">
        <v>36.5</v>
      </c>
      <c r="EB273" s="2">
        <v>45.4</v>
      </c>
      <c r="EC273" s="2">
        <v>1</v>
      </c>
      <c r="ED273" s="2">
        <v>4</v>
      </c>
    </row>
    <row r="274" spans="1:134" x14ac:dyDescent="0.25">
      <c r="A274" t="s">
        <v>75</v>
      </c>
      <c r="C274" s="8" t="s">
        <v>76</v>
      </c>
      <c r="D274" s="8">
        <v>2501040422</v>
      </c>
      <c r="E274" s="2">
        <v>2</v>
      </c>
      <c r="F274" s="2">
        <v>2</v>
      </c>
      <c r="G274" s="2">
        <v>36</v>
      </c>
      <c r="H274" s="2">
        <v>-2.8058100220660971</v>
      </c>
      <c r="I274" s="2">
        <v>50</v>
      </c>
      <c r="J274" s="2">
        <v>6.1168777667580831E-2</v>
      </c>
      <c r="K274" s="5">
        <v>2590</v>
      </c>
      <c r="L274" s="2">
        <v>-1.6786344532755579</v>
      </c>
      <c r="M274" s="2">
        <v>-2.0453000000000001</v>
      </c>
      <c r="N274" s="2">
        <f t="shared" si="268"/>
        <v>-0.17004498896695153</v>
      </c>
      <c r="O274" s="2">
        <f t="shared" si="269"/>
        <v>-2.0453000000000001</v>
      </c>
      <c r="P274" s="2">
        <v>70</v>
      </c>
      <c r="Q274" s="2">
        <v>1.1000000000000001</v>
      </c>
      <c r="R274" s="5">
        <f t="shared" si="270"/>
        <v>1.4994156111662096</v>
      </c>
      <c r="S274" s="5">
        <f t="shared" si="271"/>
        <v>1.1000000000000001</v>
      </c>
      <c r="T274" s="2">
        <v>7200</v>
      </c>
      <c r="U274" s="2">
        <v>-0.89</v>
      </c>
      <c r="V274" s="2">
        <f t="shared" si="272"/>
        <v>0.57431722663777895</v>
      </c>
      <c r="W274" s="2">
        <f t="shared" si="273"/>
        <v>-0.89</v>
      </c>
      <c r="X274" s="2">
        <v>-3.1459000000000001</v>
      </c>
      <c r="Y274" s="76">
        <f t="shared" si="309"/>
        <v>-0.34008997793390305</v>
      </c>
      <c r="Z274" s="76">
        <f t="shared" si="310"/>
        <v>-1</v>
      </c>
      <c r="AA274" s="2">
        <f t="shared" si="274"/>
        <v>-1.9149500000000002</v>
      </c>
      <c r="AB274" s="2">
        <f t="shared" si="275"/>
        <v>-3.1459000000000001</v>
      </c>
      <c r="AC274" s="2">
        <v>83</v>
      </c>
      <c r="AD274" s="2">
        <v>3.06</v>
      </c>
      <c r="AE274" s="79">
        <f t="shared" si="311"/>
        <v>2.9988312223324192</v>
      </c>
      <c r="AF274" s="79">
        <f t="shared" si="312"/>
        <v>2</v>
      </c>
      <c r="AG274" s="2">
        <f t="shared" si="265"/>
        <v>0.5149999999999999</v>
      </c>
      <c r="AH274" s="2">
        <f t="shared" si="276"/>
        <v>3.06</v>
      </c>
      <c r="AI274" s="2">
        <v>9100</v>
      </c>
      <c r="AJ274" s="2">
        <v>-0.53</v>
      </c>
      <c r="AK274" s="76">
        <f t="shared" si="313"/>
        <v>1.1486344532755579</v>
      </c>
      <c r="AL274" s="76">
        <f t="shared" si="314"/>
        <v>2</v>
      </c>
      <c r="AM274" s="2">
        <f t="shared" si="277"/>
        <v>0.13</v>
      </c>
      <c r="AN274" s="2">
        <f t="shared" si="278"/>
        <v>-0.53</v>
      </c>
      <c r="AO274" s="2">
        <v>-2.7299000000000002</v>
      </c>
      <c r="AP274" s="2">
        <f t="shared" si="279"/>
        <v>-0.30789368427227304</v>
      </c>
      <c r="AQ274" s="2">
        <f t="shared" si="280"/>
        <v>-2.7299000000000002</v>
      </c>
      <c r="AR274" s="2">
        <v>88</v>
      </c>
      <c r="AS274" s="2">
        <v>2.13</v>
      </c>
      <c r="AT274" s="2">
        <f t="shared" si="281"/>
        <v>-0.65507583227553501</v>
      </c>
      <c r="AU274" s="2">
        <f t="shared" si="282"/>
        <v>2.13</v>
      </c>
      <c r="AV274" s="2">
        <v>10200</v>
      </c>
      <c r="AW274" s="2">
        <v>-0.63</v>
      </c>
      <c r="AX274" s="2">
        <f t="shared" si="283"/>
        <v>-0.29728024815067144</v>
      </c>
      <c r="AY274" s="2">
        <f t="shared" si="284"/>
        <v>-0.63</v>
      </c>
      <c r="AZ274" s="2">
        <v>-3.7616873685445462</v>
      </c>
      <c r="BA274" s="78">
        <f t="shared" si="315"/>
        <v>-0.61578736854454608</v>
      </c>
      <c r="BB274" s="78">
        <f t="shared" si="316"/>
        <v>-1</v>
      </c>
      <c r="BC274" s="2">
        <f t="shared" si="285"/>
        <v>9.1044585771697939E-3</v>
      </c>
      <c r="BD274" s="2">
        <f t="shared" si="286"/>
        <v>-3.7616873685445462</v>
      </c>
      <c r="BE274" s="67">
        <f t="shared" si="317"/>
        <v>1</v>
      </c>
      <c r="BF274" s="2">
        <v>93</v>
      </c>
      <c r="BG274" s="2">
        <v>1.74984833544893</v>
      </c>
      <c r="BH274" s="2">
        <f t="shared" si="287"/>
        <v>-0.15640447257086429</v>
      </c>
      <c r="BI274" s="2">
        <f t="shared" si="288"/>
        <v>1.74984833544893</v>
      </c>
      <c r="BJ274" s="67">
        <f t="shared" si="289"/>
        <v>7</v>
      </c>
      <c r="BK274" s="2">
        <v>11300</v>
      </c>
      <c r="BL274" s="2">
        <v>-1.1245604963013429</v>
      </c>
      <c r="BM274" s="77">
        <f t="shared" si="318"/>
        <v>-0.59456049630134289</v>
      </c>
      <c r="BN274" s="77">
        <f t="shared" si="319"/>
        <v>-1</v>
      </c>
      <c r="BO274" s="2">
        <f t="shared" si="290"/>
        <v>0.1247719476464849</v>
      </c>
      <c r="BP274" s="2">
        <f t="shared" si="291"/>
        <v>-1.1245604963013429</v>
      </c>
      <c r="BQ274" s="67">
        <f t="shared" si="320"/>
        <v>7</v>
      </c>
      <c r="BR274" s="5">
        <v>-2.7025866242684908</v>
      </c>
      <c r="BS274" s="75">
        <f t="shared" si="321"/>
        <v>1.0591007442760554</v>
      </c>
      <c r="BT274" s="75">
        <f t="shared" si="322"/>
        <v>2</v>
      </c>
      <c r="BU274" s="5" t="str">
        <f>IF(G280&gt;=36, IF(AND(NOT(ISBLANK(CM:CM)), NOT(ISBLANK(BD:BD))), (CM:CM-BD:BD)/2, ""), "UF")</f>
        <v>UF</v>
      </c>
      <c r="BV274" s="5">
        <f t="shared" si="292"/>
        <v>-2.7025866242684908</v>
      </c>
      <c r="BW274" s="69">
        <f t="shared" si="293"/>
        <v>2</v>
      </c>
      <c r="BX274" s="2">
        <v>102</v>
      </c>
      <c r="BY274" s="5">
        <v>1.6607865822874071</v>
      </c>
      <c r="BZ274" s="74">
        <f t="shared" si="323"/>
        <v>2.78534707858875</v>
      </c>
      <c r="CA274" s="74">
        <f t="shared" si="324"/>
        <v>2</v>
      </c>
      <c r="CB274" s="5" t="str">
        <f t="shared" si="294"/>
        <v/>
      </c>
      <c r="CC274" s="5">
        <f t="shared" si="295"/>
        <v>1.6607865822874071</v>
      </c>
      <c r="CD274" s="2">
        <f t="shared" si="296"/>
        <v>-8.9061753161522983E-2</v>
      </c>
      <c r="CE274" s="69">
        <f t="shared" si="297"/>
        <v>7</v>
      </c>
      <c r="CF274" s="5">
        <v>14000</v>
      </c>
      <c r="CG274" s="5">
        <v>-0.25568415706054531</v>
      </c>
      <c r="CH274" s="72">
        <f t="shared" si="325"/>
        <v>0.86887633924079766</v>
      </c>
      <c r="CI274" s="72">
        <f t="shared" si="326"/>
        <v>2</v>
      </c>
      <c r="CJ274" s="5" t="str">
        <f t="shared" si="298"/>
        <v/>
      </c>
      <c r="CK274" s="5">
        <f t="shared" si="299"/>
        <v>-0.25568415706054531</v>
      </c>
      <c r="CL274" s="69">
        <f t="shared" si="300"/>
        <v>7</v>
      </c>
      <c r="CN274" s="70" t="str">
        <f t="shared" si="301"/>
        <v/>
      </c>
      <c r="CO274" s="5" t="str">
        <f t="shared" si="302"/>
        <v>UF</v>
      </c>
      <c r="CP274" s="5" t="str">
        <f>IF(G274&lt;48,"UF", IF(NOT(ISBLANK(CM:CM)), CM:CM, IF(BW:BW=1, BV:BV+Sheet2!B92, IF(Sheet1!BW:BW=2, Sheet1!BV:BV+Sheet2!B93, IF(Sheet1!BW:BW=7, Sheet1!BV:BV+Sheet2!B94,"")))))</f>
        <v>UF</v>
      </c>
      <c r="CQ274" s="69" t="str">
        <f t="shared" si="327"/>
        <v/>
      </c>
      <c r="CR274" s="5" t="s">
        <v>12</v>
      </c>
      <c r="CT274" s="5" t="str">
        <f t="shared" si="303"/>
        <v/>
      </c>
      <c r="CU274" s="80" t="str">
        <f t="shared" si="304"/>
        <v>UF</v>
      </c>
      <c r="CV274" s="80" t="str">
        <f t="shared" si="305"/>
        <v>UF</v>
      </c>
      <c r="CW274" s="20" t="str">
        <f>IF(G274&lt;48,"UF", IF(NOT(ISBLANK(CS274)), CS274, IF(CE274=5, CC274+Sheet2!B81, IF(CE274=6, CC274+Sheet2!B82, IF(CE274=7, CC274+Sheet2!B83,"")))))</f>
        <v>UF</v>
      </c>
      <c r="CX274" s="68" t="str">
        <f t="shared" si="328"/>
        <v/>
      </c>
      <c r="CY274" s="5" t="s">
        <v>12</v>
      </c>
      <c r="DA274" s="5" t="str">
        <f t="shared" si="306"/>
        <v>UF</v>
      </c>
      <c r="DB274" s="73" t="str">
        <f t="shared" si="307"/>
        <v>UF</v>
      </c>
      <c r="DC274" s="73" t="str">
        <f t="shared" si="308"/>
        <v>UF</v>
      </c>
      <c r="DD274" s="5" t="str">
        <f>IF(G274&lt;48,"UF", IF(NOT(ISBLANK(CZ:CZ)), CZ:CZ, IF(CL:CL=3, CK:CK+Sheet2!B86, IF(CL:CL=4, CK:CK+Sheet2!B87, IF(CL:CL=7, CK:CK+Sheet2!B88,"")))))</f>
        <v>UF</v>
      </c>
      <c r="DE274" s="69" t="str">
        <f t="shared" si="266"/>
        <v/>
      </c>
      <c r="DF274" s="2">
        <v>1</v>
      </c>
      <c r="DG274" s="2">
        <v>24</v>
      </c>
      <c r="DH274" s="2">
        <v>1</v>
      </c>
      <c r="DI274" s="2">
        <v>2</v>
      </c>
      <c r="DJ274" s="2">
        <v>2</v>
      </c>
      <c r="DK274" s="2">
        <v>70</v>
      </c>
      <c r="DL274" s="2">
        <v>120</v>
      </c>
      <c r="DM274" s="2">
        <v>70</v>
      </c>
      <c r="DN274" s="2">
        <v>128</v>
      </c>
      <c r="DO274" s="2" t="s">
        <v>12</v>
      </c>
      <c r="DP274" s="2" t="s">
        <v>12</v>
      </c>
      <c r="DQ274" s="2">
        <v>2</v>
      </c>
      <c r="DR274" s="2">
        <v>37</v>
      </c>
      <c r="DS274" s="2">
        <v>1</v>
      </c>
      <c r="DT274" s="2">
        <v>96</v>
      </c>
      <c r="DU274" s="2">
        <v>101</v>
      </c>
      <c r="DV274" s="2">
        <v>2</v>
      </c>
      <c r="DW274" s="2">
        <v>2</v>
      </c>
      <c r="DX274" s="2">
        <v>2</v>
      </c>
      <c r="DY274" s="2">
        <v>1</v>
      </c>
      <c r="DZ274" s="2">
        <v>32</v>
      </c>
      <c r="EA274" s="2">
        <v>34</v>
      </c>
      <c r="EB274" s="2">
        <v>45</v>
      </c>
      <c r="EC274" s="2">
        <v>1</v>
      </c>
      <c r="ED274" s="2">
        <v>1</v>
      </c>
    </row>
    <row r="275" spans="1:134" x14ac:dyDescent="0.25">
      <c r="C275" t="s">
        <v>416</v>
      </c>
      <c r="D275" s="3">
        <v>2501040856</v>
      </c>
      <c r="E275" s="3">
        <v>7</v>
      </c>
      <c r="F275" s="2">
        <v>1</v>
      </c>
      <c r="G275" s="2">
        <v>38</v>
      </c>
      <c r="H275">
        <v>-2.2390922504654189</v>
      </c>
      <c r="I275" s="2">
        <v>48</v>
      </c>
      <c r="J275">
        <v>-0.61614996855203885</v>
      </c>
      <c r="K275" s="2">
        <v>2500</v>
      </c>
      <c r="L275" s="2">
        <v>-1.7268064884432719</v>
      </c>
      <c r="M275" s="2">
        <v>-0.1886093305887292</v>
      </c>
      <c r="N275" s="2">
        <f t="shared" si="268"/>
        <v>1.2010225230891436</v>
      </c>
      <c r="O275" s="2">
        <f t="shared" si="269"/>
        <v>-0.1886093305887292</v>
      </c>
      <c r="P275" s="2">
        <v>63</v>
      </c>
      <c r="Q275" s="2">
        <v>-1.520018770584594</v>
      </c>
      <c r="R275" s="5">
        <f t="shared" si="270"/>
        <v>-0.57658448953118913</v>
      </c>
      <c r="S275" s="5">
        <f t="shared" si="271"/>
        <v>-1.520018770584594</v>
      </c>
      <c r="T275" s="2">
        <v>6600</v>
      </c>
      <c r="U275" s="2">
        <v>-1.0168286868328049</v>
      </c>
      <c r="V275" s="2">
        <f t="shared" si="272"/>
        <v>0.40352690642589401</v>
      </c>
      <c r="W275" s="2">
        <f t="shared" si="273"/>
        <v>-1.0168286868328049</v>
      </c>
      <c r="X275" s="2">
        <v>0.1629527957128683</v>
      </c>
      <c r="Y275" s="76">
        <f t="shared" si="309"/>
        <v>2.4020450461782872</v>
      </c>
      <c r="Z275" s="76">
        <f t="shared" si="310"/>
        <v>2</v>
      </c>
      <c r="AA275" s="2">
        <f t="shared" si="274"/>
        <v>0.32757953189483646</v>
      </c>
      <c r="AB275" s="2">
        <f t="shared" si="275"/>
        <v>0.1629527957128683</v>
      </c>
      <c r="AC275" s="2">
        <v>70</v>
      </c>
      <c r="AD275" s="2">
        <v>-1.7693189476144171</v>
      </c>
      <c r="AE275" s="79">
        <f t="shared" si="311"/>
        <v>-1.1531689790623783</v>
      </c>
      <c r="AF275" s="79">
        <f t="shared" si="312"/>
        <v>-2</v>
      </c>
      <c r="AG275" s="2">
        <f t="shared" si="265"/>
        <v>0.38788188650135169</v>
      </c>
      <c r="AH275" s="2">
        <f t="shared" si="276"/>
        <v>-1.7693189476144171</v>
      </c>
      <c r="AI275" s="2">
        <v>8100</v>
      </c>
      <c r="AJ275" s="2">
        <v>-0.91975267559148388</v>
      </c>
      <c r="AK275" s="76">
        <f t="shared" si="313"/>
        <v>0.80705381285178801</v>
      </c>
      <c r="AL275" s="76">
        <f t="shared" si="314"/>
        <v>2</v>
      </c>
      <c r="AM275" s="2">
        <f t="shared" si="277"/>
        <v>-1.4477570176117505E-2</v>
      </c>
      <c r="AN275" s="2">
        <f t="shared" si="278"/>
        <v>-0.91975267559148388</v>
      </c>
      <c r="AO275" s="2">
        <v>-0.86485970679492108</v>
      </c>
      <c r="AP275" s="2">
        <f t="shared" si="279"/>
        <v>-0.30940245895597007</v>
      </c>
      <c r="AQ275" s="2">
        <f t="shared" si="280"/>
        <v>-0.86485970679492108</v>
      </c>
      <c r="AR275" s="2">
        <v>79</v>
      </c>
      <c r="AS275" s="2">
        <v>-0.74425499758189062</v>
      </c>
      <c r="AT275" s="2">
        <f t="shared" si="281"/>
        <v>0.6129398531095902</v>
      </c>
      <c r="AU275" s="2">
        <f t="shared" si="282"/>
        <v>-0.74425499758189062</v>
      </c>
      <c r="AV275" s="2">
        <v>9100</v>
      </c>
      <c r="AW275" s="2">
        <v>-1.0457838271850399</v>
      </c>
      <c r="AX275" s="2">
        <f t="shared" si="283"/>
        <v>-1.2912309268847288E-2</v>
      </c>
      <c r="AY275" s="2">
        <f t="shared" si="284"/>
        <v>-1.0457838271850399</v>
      </c>
      <c r="AZ275" s="2">
        <v>-0.45585212219907179</v>
      </c>
      <c r="BA275" s="78">
        <f t="shared" si="315"/>
        <v>-0.61880491791194014</v>
      </c>
      <c r="BB275" s="78">
        <f t="shared" si="316"/>
        <v>-1</v>
      </c>
      <c r="BC275" s="2">
        <f t="shared" si="285"/>
        <v>0.13136955682489473</v>
      </c>
      <c r="BD275" s="2">
        <f t="shared" si="286"/>
        <v>-0.45585212219907179</v>
      </c>
      <c r="BE275" s="67">
        <f t="shared" si="317"/>
        <v>7</v>
      </c>
      <c r="BF275" s="2">
        <v>83.5</v>
      </c>
      <c r="BG275" s="2">
        <v>-0.54343924139523681</v>
      </c>
      <c r="BH275" s="2">
        <f t="shared" si="287"/>
        <v>-0.19662173524377211</v>
      </c>
      <c r="BI275" s="2">
        <f t="shared" si="288"/>
        <v>-0.54343924139523681</v>
      </c>
      <c r="BJ275" s="67">
        <f t="shared" si="289"/>
        <v>7</v>
      </c>
      <c r="BK275" s="2">
        <v>11000</v>
      </c>
      <c r="BL275" s="2">
        <v>-0.94557729412917846</v>
      </c>
      <c r="BM275" s="77">
        <f t="shared" si="318"/>
        <v>-2.5824618537694577E-2</v>
      </c>
      <c r="BN275" s="77">
        <f t="shared" si="319"/>
        <v>-1</v>
      </c>
      <c r="BO275" s="2">
        <f t="shared" si="290"/>
        <v>-0.10349124909179534</v>
      </c>
      <c r="BP275" s="2">
        <f t="shared" si="291"/>
        <v>-0.94557729412917846</v>
      </c>
      <c r="BQ275" s="67">
        <f t="shared" si="320"/>
        <v>7</v>
      </c>
      <c r="BR275" s="2">
        <v>-0.4707510363202369</v>
      </c>
      <c r="BS275" s="75">
        <f t="shared" si="321"/>
        <v>-1.4898914121165119E-2</v>
      </c>
      <c r="BT275" s="75">
        <f t="shared" si="322"/>
        <v>-1</v>
      </c>
      <c r="BU275" s="5" t="e">
        <f>IF(#REF!&gt;=36, IF(AND(NOT(ISBLANK(CM:CM)), NOT(ISBLANK(BD:BD))), (CM:CM-BD:BD)/2, ""), "UF")</f>
        <v>#REF!</v>
      </c>
      <c r="BV275" s="5">
        <f t="shared" si="292"/>
        <v>-0.4707510363202369</v>
      </c>
      <c r="BW275" s="69">
        <f t="shared" si="293"/>
        <v>7</v>
      </c>
      <c r="BX275" s="2">
        <v>89</v>
      </c>
      <c r="BY275" s="2">
        <v>-1.3341202033132069</v>
      </c>
      <c r="BZ275" s="74">
        <f t="shared" si="323"/>
        <v>-0.38854290918402845</v>
      </c>
      <c r="CA275" s="74">
        <f t="shared" si="324"/>
        <v>-1</v>
      </c>
      <c r="CB275" s="5" t="str">
        <f t="shared" si="294"/>
        <v/>
      </c>
      <c r="CC275" s="5">
        <f t="shared" si="295"/>
        <v>-1.3341202033132069</v>
      </c>
      <c r="CD275" s="2">
        <f t="shared" si="296"/>
        <v>-0.7906809619179701</v>
      </c>
      <c r="CE275" s="69">
        <f t="shared" si="297"/>
        <v>7</v>
      </c>
      <c r="CF275" s="5">
        <v>12000</v>
      </c>
      <c r="CG275" s="2">
        <v>-1.3562575744604259</v>
      </c>
      <c r="CH275" s="72">
        <f t="shared" si="325"/>
        <v>-0.41068028033124748</v>
      </c>
      <c r="CI275" s="72">
        <f t="shared" si="326"/>
        <v>-1</v>
      </c>
      <c r="CJ275" s="5" t="str">
        <f t="shared" si="298"/>
        <v/>
      </c>
      <c r="CK275" s="5">
        <f t="shared" si="299"/>
        <v>-1.3562575744604259</v>
      </c>
      <c r="CL275" s="69">
        <f t="shared" si="300"/>
        <v>7</v>
      </c>
      <c r="CM275" s="2"/>
      <c r="CN275" s="70" t="str">
        <f t="shared" si="301"/>
        <v/>
      </c>
      <c r="CO275" s="5" t="str">
        <f t="shared" si="302"/>
        <v>UF</v>
      </c>
      <c r="CP275" s="5" t="str">
        <f>IF(G275&lt;48,"UF", IF(NOT(ISBLANK(CM:CM)), CM:CM, IF(BW:BW=1, BV:BV+Sheet2!B646, IF(Sheet1!BW:BW=2, Sheet1!BV:BV+Sheet2!B647, IF(Sheet1!BW:BW=7, Sheet1!BV:BV+Sheet2!B648,"")))))</f>
        <v>UF</v>
      </c>
      <c r="CQ275" s="69" t="str">
        <f t="shared" si="327"/>
        <v/>
      </c>
      <c r="CR275" s="5" t="s">
        <v>12</v>
      </c>
      <c r="CS275" s="2"/>
      <c r="CT275" s="5" t="str">
        <f t="shared" si="303"/>
        <v/>
      </c>
      <c r="CU275" s="80" t="str">
        <f t="shared" si="304"/>
        <v>UF</v>
      </c>
      <c r="CV275" s="80" t="str">
        <f t="shared" si="305"/>
        <v>UF</v>
      </c>
      <c r="CW275" s="20" t="str">
        <f>IF(G275&lt;48,"UF", IF(NOT(ISBLANK(CS275)), CS275, IF(CE275=5, CC275+Sheet2!B635, IF(CE275=6, CC275+Sheet2!B636, IF(CE275=7, CC275+Sheet2!B637,"")))))</f>
        <v>UF</v>
      </c>
      <c r="CX275" s="68" t="str">
        <f t="shared" si="328"/>
        <v/>
      </c>
      <c r="CY275" s="5" t="s">
        <v>12</v>
      </c>
      <c r="DA275" s="5" t="str">
        <f t="shared" si="306"/>
        <v>UF</v>
      </c>
      <c r="DB275" s="73" t="str">
        <f t="shared" si="307"/>
        <v>UF</v>
      </c>
      <c r="DC275" s="73" t="str">
        <f t="shared" si="308"/>
        <v>UF</v>
      </c>
      <c r="DD275" s="5" t="str">
        <f>IF(G275&lt;48,"UF", IF(NOT(ISBLANK(CZ:CZ)), CZ:CZ, IF(CL:CL=3, CK:CK+Sheet2!B640, IF(CL:CL=4, CK:CK+Sheet2!B641, IF(CL:CL=7, CK:CK+Sheet2!B642,"")))))</f>
        <v>UF</v>
      </c>
      <c r="DE275" s="69" t="str">
        <f t="shared" si="266"/>
        <v/>
      </c>
      <c r="DF275" s="2">
        <v>2</v>
      </c>
      <c r="DG275" s="2">
        <v>34</v>
      </c>
      <c r="DH275" s="2">
        <v>1</v>
      </c>
      <c r="DI275" s="2">
        <v>2</v>
      </c>
      <c r="DJ275" s="2">
        <v>2</v>
      </c>
      <c r="DK275" s="2">
        <v>110</v>
      </c>
      <c r="DL275" s="2">
        <v>60</v>
      </c>
      <c r="DM275" s="2">
        <v>105</v>
      </c>
      <c r="DN275" s="2">
        <v>60</v>
      </c>
      <c r="DO275" s="2">
        <v>100</v>
      </c>
      <c r="DP275" s="2">
        <v>60</v>
      </c>
      <c r="DQ275" s="2">
        <v>2</v>
      </c>
      <c r="DR275" s="2">
        <v>37</v>
      </c>
      <c r="DS275" s="2">
        <v>2</v>
      </c>
      <c r="DT275" s="2">
        <v>88.5</v>
      </c>
      <c r="DU275" s="2">
        <v>78</v>
      </c>
      <c r="DV275" s="2">
        <v>2</v>
      </c>
      <c r="DW275" s="2">
        <v>2</v>
      </c>
      <c r="DX275" s="2">
        <v>2</v>
      </c>
      <c r="DY275" s="2">
        <v>2</v>
      </c>
      <c r="DZ275" s="2">
        <v>33</v>
      </c>
      <c r="EA275" s="2">
        <v>35</v>
      </c>
      <c r="EB275" s="2">
        <v>44.5</v>
      </c>
      <c r="EC275" s="2">
        <v>1</v>
      </c>
      <c r="ED275" s="2">
        <v>1</v>
      </c>
    </row>
    <row r="276" spans="1:134" x14ac:dyDescent="0.25">
      <c r="C276" s="8" t="s">
        <v>273</v>
      </c>
      <c r="D276" s="8">
        <v>2501041313</v>
      </c>
      <c r="E276" s="5">
        <v>7</v>
      </c>
      <c r="F276" s="2">
        <v>1</v>
      </c>
      <c r="G276" s="2">
        <v>34</v>
      </c>
      <c r="H276" s="2">
        <v>-1.3540745001855601</v>
      </c>
      <c r="I276" s="2">
        <v>55</v>
      </c>
      <c r="J276" s="2">
        <v>3.141839952085506</v>
      </c>
      <c r="K276" s="2">
        <v>3560</v>
      </c>
      <c r="L276" s="2">
        <v>0.69435225444249327</v>
      </c>
      <c r="M276" s="2">
        <v>-0.84730000000000005</v>
      </c>
      <c r="N276" s="2">
        <f t="shared" si="268"/>
        <v>0.15983725009278005</v>
      </c>
      <c r="O276" s="2">
        <f t="shared" si="269"/>
        <v>-0.84730000000000005</v>
      </c>
      <c r="P276" s="2">
        <v>69</v>
      </c>
      <c r="Q276" s="2">
        <v>1.43</v>
      </c>
      <c r="R276" s="5">
        <f t="shared" si="270"/>
        <v>-0.795919976042753</v>
      </c>
      <c r="S276" s="5">
        <f t="shared" si="271"/>
        <v>1.43</v>
      </c>
      <c r="T276" s="2">
        <v>7460</v>
      </c>
      <c r="U276" s="2">
        <v>0.18</v>
      </c>
      <c r="V276" s="2">
        <f t="shared" si="272"/>
        <v>-0.27717612722124663</v>
      </c>
      <c r="W276" s="2">
        <f t="shared" si="273"/>
        <v>0.18</v>
      </c>
      <c r="X276" s="2">
        <v>-1.0344</v>
      </c>
      <c r="Y276" s="76">
        <f t="shared" si="309"/>
        <v>0.3196745001855601</v>
      </c>
      <c r="Z276" s="76">
        <f t="shared" si="310"/>
        <v>1</v>
      </c>
      <c r="AA276" s="2">
        <f t="shared" si="274"/>
        <v>-1.7673000000000001</v>
      </c>
      <c r="AB276" s="2">
        <f t="shared" si="275"/>
        <v>-1.0344</v>
      </c>
      <c r="AC276" s="2">
        <v>78</v>
      </c>
      <c r="AD276" s="2">
        <v>1.55</v>
      </c>
      <c r="AE276" s="79">
        <f t="shared" si="311"/>
        <v>-1.591839952085506</v>
      </c>
      <c r="AF276" s="79">
        <f t="shared" si="312"/>
        <v>-2</v>
      </c>
      <c r="AG276" s="2">
        <f t="shared" si="265"/>
        <v>0.37</v>
      </c>
      <c r="AH276" s="2">
        <f t="shared" si="276"/>
        <v>1.55</v>
      </c>
      <c r="AI276" s="2">
        <v>9100</v>
      </c>
      <c r="AJ276" s="2">
        <v>0.14000000000000001</v>
      </c>
      <c r="AK276" s="76">
        <f t="shared" si="313"/>
        <v>-0.55435225444249325</v>
      </c>
      <c r="AL276" s="76">
        <f t="shared" si="314"/>
        <v>-1</v>
      </c>
      <c r="AM276" s="2">
        <f t="shared" si="277"/>
        <v>-0.185</v>
      </c>
      <c r="AN276" s="2">
        <f t="shared" si="278"/>
        <v>0.14000000000000001</v>
      </c>
      <c r="AO276" s="2">
        <v>-2.1046</v>
      </c>
      <c r="AP276" s="2">
        <f t="shared" si="279"/>
        <v>-0.21860955959795203</v>
      </c>
      <c r="AQ276" s="2">
        <f t="shared" si="280"/>
        <v>-2.1046</v>
      </c>
      <c r="AR276" s="2">
        <v>87</v>
      </c>
      <c r="AS276" s="2">
        <v>2.17</v>
      </c>
      <c r="AT276" s="2">
        <f t="shared" si="281"/>
        <v>-0.11456344429147303</v>
      </c>
      <c r="AU276" s="2">
        <f t="shared" si="282"/>
        <v>2.17</v>
      </c>
      <c r="AV276" s="2">
        <v>10000</v>
      </c>
      <c r="AW276" s="2">
        <v>-0.19</v>
      </c>
      <c r="AX276" s="2">
        <f t="shared" si="283"/>
        <v>-0.20111940853839136</v>
      </c>
      <c r="AY276" s="2">
        <f t="shared" si="284"/>
        <v>-0.19</v>
      </c>
      <c r="AZ276" s="2">
        <v>-1.471619119195904</v>
      </c>
      <c r="BA276" s="78">
        <f t="shared" si="315"/>
        <v>-0.43721911919590406</v>
      </c>
      <c r="BB276" s="78">
        <f t="shared" si="316"/>
        <v>-1</v>
      </c>
      <c r="BC276" s="2" t="str">
        <f t="shared" si="285"/>
        <v/>
      </c>
      <c r="BD276" s="2">
        <f t="shared" si="286"/>
        <v>-1.471619119195904</v>
      </c>
      <c r="BE276" s="67">
        <f t="shared" si="317"/>
        <v>7</v>
      </c>
      <c r="BF276" s="2">
        <v>90</v>
      </c>
      <c r="BG276" s="2">
        <v>1.320873111417054</v>
      </c>
      <c r="BH276" s="2" t="str">
        <f t="shared" si="287"/>
        <v/>
      </c>
      <c r="BI276" s="2">
        <f t="shared" si="288"/>
        <v>1.320873111417054</v>
      </c>
      <c r="BJ276" s="67">
        <f t="shared" si="289"/>
        <v>7</v>
      </c>
      <c r="BK276" s="2">
        <v>11800</v>
      </c>
      <c r="BL276" s="2">
        <v>-0.2622388170767827</v>
      </c>
      <c r="BM276" s="77">
        <f t="shared" si="318"/>
        <v>-0.40223881707678272</v>
      </c>
      <c r="BN276" s="77">
        <f t="shared" si="319"/>
        <v>-1</v>
      </c>
      <c r="BO276" s="2" t="str">
        <f t="shared" si="290"/>
        <v/>
      </c>
      <c r="BP276" s="2">
        <f t="shared" si="291"/>
        <v>-0.2622388170767827</v>
      </c>
      <c r="BQ276" s="67">
        <f t="shared" si="320"/>
        <v>7</v>
      </c>
      <c r="BS276" s="75" t="str">
        <f t="shared" si="321"/>
        <v>UF</v>
      </c>
      <c r="BT276" s="75" t="str">
        <f t="shared" si="322"/>
        <v>UF</v>
      </c>
      <c r="BU276" s="5" t="str">
        <f>IF(G281&gt;=36, IF(AND(NOT(ISBLANK(CM:CM)), NOT(ISBLANK(BD:BD))), (CM:CM-BD:BD)/2, ""), "UF")</f>
        <v/>
      </c>
      <c r="BV276" s="5" t="str">
        <f t="shared" si="292"/>
        <v>UF</v>
      </c>
      <c r="BW276" s="69" t="str">
        <f t="shared" si="293"/>
        <v/>
      </c>
      <c r="BX276" s="2" t="s">
        <v>12</v>
      </c>
      <c r="BZ276" s="74" t="str">
        <f t="shared" si="323"/>
        <v>UF</v>
      </c>
      <c r="CA276" s="74" t="str">
        <f t="shared" si="324"/>
        <v>UF</v>
      </c>
      <c r="CB276" s="5" t="str">
        <f t="shared" si="294"/>
        <v>UF</v>
      </c>
      <c r="CC276" s="5" t="str">
        <f t="shared" si="295"/>
        <v>UF</v>
      </c>
      <c r="CD276" s="2" t="e">
        <f t="shared" si="296"/>
        <v>#VALUE!</v>
      </c>
      <c r="CE276" s="69" t="str">
        <f t="shared" si="297"/>
        <v/>
      </c>
      <c r="CF276" s="5" t="s">
        <v>12</v>
      </c>
      <c r="CH276" s="72" t="str">
        <f t="shared" si="325"/>
        <v>UF</v>
      </c>
      <c r="CI276" s="72" t="str">
        <f t="shared" si="326"/>
        <v>UF</v>
      </c>
      <c r="CJ276" s="5" t="str">
        <f t="shared" si="298"/>
        <v>UF</v>
      </c>
      <c r="CK276" s="5" t="str">
        <f t="shared" si="299"/>
        <v>UF</v>
      </c>
      <c r="CL276" s="69" t="str">
        <f t="shared" si="300"/>
        <v/>
      </c>
      <c r="CN276" s="70" t="str">
        <f t="shared" si="301"/>
        <v/>
      </c>
      <c r="CO276" s="5" t="str">
        <f t="shared" si="302"/>
        <v>UF</v>
      </c>
      <c r="CP276" s="5" t="str">
        <f>IF(G276&lt;48,"UF", IF(NOT(ISBLANK(CM:CM)), CM:CM, IF(BW:BW=1, BV:BV+Sheet2!B478, IF(Sheet1!BW:BW=2, Sheet1!BV:BV+Sheet2!B479, IF(Sheet1!BW:BW=7, Sheet1!BV:BV+Sheet2!B480,"")))))</f>
        <v>UF</v>
      </c>
      <c r="CQ276" s="69" t="str">
        <f t="shared" si="327"/>
        <v/>
      </c>
      <c r="CR276" s="5" t="s">
        <v>12</v>
      </c>
      <c r="CT276" s="5" t="str">
        <f t="shared" si="303"/>
        <v/>
      </c>
      <c r="CU276" s="80" t="str">
        <f t="shared" si="304"/>
        <v>UF</v>
      </c>
      <c r="CV276" s="80" t="str">
        <f t="shared" si="305"/>
        <v>UF</v>
      </c>
      <c r="CW276" s="20" t="str">
        <f>IF(G276&lt;48,"UF", IF(NOT(ISBLANK(CS276)), CS276, IF(CE276=5, CC276+Sheet2!B467, IF(CE276=6, CC276+Sheet2!B468, IF(CE276=7, CC276+Sheet2!B469,"")))))</f>
        <v>UF</v>
      </c>
      <c r="CX276" s="68" t="str">
        <f t="shared" si="328"/>
        <v/>
      </c>
      <c r="CY276" s="5" t="s">
        <v>12</v>
      </c>
      <c r="DA276" s="5" t="str">
        <f t="shared" si="306"/>
        <v>UF</v>
      </c>
      <c r="DB276" s="73" t="str">
        <f t="shared" si="307"/>
        <v>UF</v>
      </c>
      <c r="DC276" s="73" t="str">
        <f t="shared" si="308"/>
        <v>UF</v>
      </c>
      <c r="DD276" s="5" t="str">
        <f>IF(G276&lt;48,"UF", IF(NOT(ISBLANK(CZ:CZ)), CZ:CZ, IF(CL:CL=3, CK:CK+Sheet2!B472, IF(CL:CL=4, CK:CK+Sheet2!B473, IF(CL:CL=7, CK:CK+Sheet2!B474,"")))))</f>
        <v>UF</v>
      </c>
      <c r="DE276" s="69" t="str">
        <f t="shared" si="266"/>
        <v/>
      </c>
      <c r="DF276" s="2">
        <v>2</v>
      </c>
      <c r="DG276" s="2">
        <v>39</v>
      </c>
      <c r="DH276" s="2">
        <v>1</v>
      </c>
      <c r="DI276" s="2">
        <v>2</v>
      </c>
      <c r="DJ276" s="2">
        <v>3</v>
      </c>
      <c r="DK276" s="2" t="s">
        <v>12</v>
      </c>
      <c r="DL276" s="2" t="s">
        <v>12</v>
      </c>
      <c r="DM276" s="2" t="s">
        <v>12</v>
      </c>
      <c r="DN276" s="2" t="s">
        <v>12</v>
      </c>
      <c r="DO276" s="2" t="s">
        <v>12</v>
      </c>
      <c r="DP276" s="2" t="s">
        <v>12</v>
      </c>
      <c r="DQ276" s="2">
        <v>2</v>
      </c>
      <c r="DR276" s="2">
        <v>38</v>
      </c>
      <c r="DS276" s="2">
        <v>3</v>
      </c>
      <c r="DT276" s="2" t="s">
        <v>12</v>
      </c>
      <c r="DU276" s="2" t="s">
        <v>12</v>
      </c>
      <c r="DV276" s="2">
        <v>2</v>
      </c>
      <c r="DW276" s="2">
        <v>2</v>
      </c>
      <c r="DX276" s="2">
        <v>2</v>
      </c>
      <c r="DY276" s="2">
        <v>1</v>
      </c>
      <c r="DZ276" s="2">
        <v>35</v>
      </c>
      <c r="EA276" s="2">
        <v>36</v>
      </c>
      <c r="EB276" s="2">
        <v>44.5</v>
      </c>
      <c r="EC276" s="2">
        <v>1</v>
      </c>
      <c r="ED276" s="2">
        <v>1</v>
      </c>
    </row>
    <row r="277" spans="1:134" x14ac:dyDescent="0.25">
      <c r="B277" s="2"/>
      <c r="C277" s="2" t="s">
        <v>273</v>
      </c>
      <c r="D277" s="2">
        <v>2501041445</v>
      </c>
      <c r="E277" s="5" t="s">
        <v>528</v>
      </c>
      <c r="F277" s="2">
        <v>1</v>
      </c>
      <c r="G277" s="2">
        <v>38</v>
      </c>
      <c r="H277">
        <v>-2.1296089270919012</v>
      </c>
      <c r="I277" s="2">
        <v>50</v>
      </c>
      <c r="J277">
        <v>0.45756143734440202</v>
      </c>
      <c r="K277" s="5">
        <v>2740</v>
      </c>
      <c r="L277" s="2">
        <v>-1.1298744625614261</v>
      </c>
      <c r="M277" s="2">
        <v>-2.8648514216911032</v>
      </c>
      <c r="N277" s="2">
        <f t="shared" si="268"/>
        <v>0.1220210189068166</v>
      </c>
      <c r="O277" s="2">
        <f t="shared" si="269"/>
        <v>-2.8648514216911032</v>
      </c>
      <c r="P277" s="2">
        <v>65</v>
      </c>
      <c r="Q277" s="2">
        <v>-0.6464953990346044</v>
      </c>
      <c r="R277" s="5">
        <f t="shared" si="270"/>
        <v>-1.1134401924794095</v>
      </c>
      <c r="S277" s="5">
        <f t="shared" si="271"/>
        <v>-0.6464953990346044</v>
      </c>
      <c r="T277" s="1">
        <v>5550</v>
      </c>
      <c r="U277" s="2">
        <v>-2.4654289986715412</v>
      </c>
      <c r="V277" s="2">
        <f t="shared" si="272"/>
        <v>-0.63780011646686252</v>
      </c>
      <c r="W277" s="2">
        <f t="shared" si="273"/>
        <v>-2.4654289986715412</v>
      </c>
      <c r="X277" s="2">
        <v>-1.885566889278268</v>
      </c>
      <c r="Y277" s="76">
        <f t="shared" si="309"/>
        <v>0.24404203781363321</v>
      </c>
      <c r="Z277" s="76">
        <f t="shared" si="310"/>
        <v>1</v>
      </c>
      <c r="AA277" s="2">
        <f t="shared" si="274"/>
        <v>-0.99110888906042383</v>
      </c>
      <c r="AB277" s="2">
        <f t="shared" si="275"/>
        <v>-1.885566889278268</v>
      </c>
      <c r="AC277" s="2">
        <v>70</v>
      </c>
      <c r="AD277" s="2">
        <v>-1.7693189476144171</v>
      </c>
      <c r="AE277" s="79">
        <f t="shared" si="311"/>
        <v>-2.226880384958819</v>
      </c>
      <c r="AF277" s="79">
        <f t="shared" si="312"/>
        <v>-2</v>
      </c>
      <c r="AG277" s="2">
        <f t="shared" si="265"/>
        <v>-0.21958822951235629</v>
      </c>
      <c r="AH277" s="2">
        <f t="shared" si="276"/>
        <v>-1.7693189476144171</v>
      </c>
      <c r="AI277" s="2">
        <v>6800</v>
      </c>
      <c r="AJ277" s="2">
        <v>-2.4054746954951511</v>
      </c>
      <c r="AK277" s="76">
        <f t="shared" si="313"/>
        <v>-1.275600232933725</v>
      </c>
      <c r="AL277" s="76">
        <f t="shared" si="314"/>
        <v>-2</v>
      </c>
      <c r="AM277" s="2">
        <f t="shared" si="277"/>
        <v>-7.7903461679857955E-3</v>
      </c>
      <c r="AN277" s="2">
        <f t="shared" si="278"/>
        <v>-2.4054746954951511</v>
      </c>
      <c r="AO277" s="2">
        <v>-2.6287131771554519</v>
      </c>
      <c r="AP277" s="2">
        <f t="shared" si="279"/>
        <v>-1.0879214205319876</v>
      </c>
      <c r="AQ277" s="2">
        <f t="shared" si="280"/>
        <v>-2.6287131771554519</v>
      </c>
      <c r="AR277" s="2">
        <v>78</v>
      </c>
      <c r="AS277" s="2">
        <v>-1.085671858059317</v>
      </c>
      <c r="AT277" s="2">
        <f t="shared" si="281"/>
        <v>0.54138596904884051</v>
      </c>
      <c r="AU277" s="2">
        <f t="shared" si="282"/>
        <v>-1.085671858059317</v>
      </c>
      <c r="AV277" s="2">
        <v>7700</v>
      </c>
      <c r="AW277" s="2">
        <v>-2.4810096910075128</v>
      </c>
      <c r="AX277" s="2">
        <f t="shared" si="283"/>
        <v>-0.76378230093545585</v>
      </c>
      <c r="AY277" s="2">
        <f t="shared" si="284"/>
        <v>-2.4810096910075128</v>
      </c>
      <c r="AZ277" s="2">
        <v>-4.061409730342243</v>
      </c>
      <c r="BA277" s="78">
        <f t="shared" si="315"/>
        <v>-2.1758428410639752</v>
      </c>
      <c r="BB277" s="78">
        <f t="shared" si="316"/>
        <v>-2</v>
      </c>
      <c r="BC277" s="2">
        <f t="shared" si="285"/>
        <v>-0.92078374416860964</v>
      </c>
      <c r="BD277" s="2">
        <f t="shared" si="286"/>
        <v>-4.061409730342243</v>
      </c>
      <c r="BE277" s="67">
        <f t="shared" si="317"/>
        <v>1</v>
      </c>
      <c r="BF277" s="2">
        <v>83</v>
      </c>
      <c r="BG277" s="2">
        <v>-0.68654700951673608</v>
      </c>
      <c r="BH277" s="2">
        <f t="shared" si="287"/>
        <v>8.9161828915125363E-2</v>
      </c>
      <c r="BI277" s="2">
        <f t="shared" si="288"/>
        <v>-0.68654700951673608</v>
      </c>
      <c r="BJ277" s="67">
        <f t="shared" si="289"/>
        <v>7</v>
      </c>
      <c r="BK277" s="2">
        <v>8400</v>
      </c>
      <c r="BL277" s="2">
        <v>-3.9330392973660628</v>
      </c>
      <c r="BM277" s="77">
        <f t="shared" si="318"/>
        <v>-1.5275646018709117</v>
      </c>
      <c r="BN277" s="77">
        <f t="shared" si="319"/>
        <v>-2</v>
      </c>
      <c r="BO277" s="2">
        <f t="shared" si="290"/>
        <v>-0.44057558391226603</v>
      </c>
      <c r="BP277" s="2">
        <f t="shared" si="291"/>
        <v>-3.9330392973660628</v>
      </c>
      <c r="BQ277" s="67">
        <f t="shared" si="320"/>
        <v>3</v>
      </c>
      <c r="BR277" s="2">
        <v>-5.391064409661281</v>
      </c>
      <c r="BS277" s="75">
        <f t="shared" si="321"/>
        <v>-1.329654679319038</v>
      </c>
      <c r="BT277" s="75">
        <f t="shared" si="322"/>
        <v>-2</v>
      </c>
      <c r="BU277" s="5" t="str">
        <f>IF(G282&gt;=36, IF(AND(NOT(ISBLANK(CM:CM)), NOT(ISBLANK(BD:BD))), (CM:CM-BD:BD)/2, ""), "UF")</f>
        <v>UF</v>
      </c>
      <c r="BV277" s="5">
        <f t="shared" si="292"/>
        <v>-5.391064409661281</v>
      </c>
      <c r="BW277" s="69">
        <f t="shared" si="293"/>
        <v>1</v>
      </c>
      <c r="BX277" s="2">
        <v>91</v>
      </c>
      <c r="BY277" s="2">
        <v>-0.8181863713139409</v>
      </c>
      <c r="BZ277" s="74">
        <f t="shared" si="323"/>
        <v>3.1148529260521221</v>
      </c>
      <c r="CA277" s="74">
        <f t="shared" si="324"/>
        <v>2</v>
      </c>
      <c r="CB277" s="5" t="str">
        <f t="shared" si="294"/>
        <v/>
      </c>
      <c r="CC277" s="5">
        <f t="shared" si="295"/>
        <v>-0.8181863713139409</v>
      </c>
      <c r="CD277" s="2">
        <f t="shared" si="296"/>
        <v>-0.13163936179720481</v>
      </c>
      <c r="CE277" s="69">
        <f t="shared" si="297"/>
        <v>7</v>
      </c>
      <c r="CF277" s="5">
        <v>9600</v>
      </c>
      <c r="CG277" s="2">
        <v>-3.8027364427443109</v>
      </c>
      <c r="CH277" s="72">
        <f t="shared" si="325"/>
        <v>0.13030285462175195</v>
      </c>
      <c r="CI277" s="72">
        <f t="shared" si="326"/>
        <v>1</v>
      </c>
      <c r="CJ277" s="5" t="str">
        <f t="shared" si="298"/>
        <v/>
      </c>
      <c r="CK277" s="5">
        <f t="shared" si="299"/>
        <v>-3.8027364427443109</v>
      </c>
      <c r="CL277" s="69">
        <f t="shared" si="300"/>
        <v>3</v>
      </c>
      <c r="CM277" s="2"/>
      <c r="CN277" s="70" t="str">
        <f t="shared" si="301"/>
        <v/>
      </c>
      <c r="CO277" s="5" t="str">
        <f t="shared" si="302"/>
        <v>UF</v>
      </c>
      <c r="CP277" s="5" t="str">
        <f>IF(G277&lt;48,"UF", IF(NOT(ISBLANK(CM:CM)), CM:CM, IF(BW:BW=1, BV:BV+Sheet2!B628, IF(Sheet1!BW:BW=2, Sheet1!BV:BV+Sheet2!B629, IF(Sheet1!BW:BW=7, Sheet1!BV:BV+Sheet2!B630,"")))))</f>
        <v>UF</v>
      </c>
      <c r="CQ277" s="69" t="str">
        <f t="shared" si="327"/>
        <v/>
      </c>
      <c r="CR277" s="5" t="s">
        <v>12</v>
      </c>
      <c r="CS277" s="2"/>
      <c r="CT277" s="5" t="str">
        <f t="shared" si="303"/>
        <v/>
      </c>
      <c r="CU277" s="80" t="str">
        <f t="shared" si="304"/>
        <v>UF</v>
      </c>
      <c r="CV277" s="80" t="str">
        <f t="shared" si="305"/>
        <v>UF</v>
      </c>
      <c r="CW277" s="20" t="str">
        <f>IF(G277&lt;48,"UF", IF(NOT(ISBLANK(CS277)), CS277, IF(CE277=5, CC277+Sheet2!B617, IF(CE277=6, CC277+Sheet2!B618, IF(CE277=7, CC277+Sheet2!B619,"")))))</f>
        <v>UF</v>
      </c>
      <c r="CX277" s="68" t="str">
        <f t="shared" si="328"/>
        <v/>
      </c>
      <c r="CY277" s="5" t="s">
        <v>12</v>
      </c>
      <c r="DA277" s="5" t="str">
        <f t="shared" si="306"/>
        <v>UF</v>
      </c>
      <c r="DB277" s="73" t="str">
        <f t="shared" si="307"/>
        <v>UF</v>
      </c>
      <c r="DC277" s="73" t="str">
        <f t="shared" si="308"/>
        <v>UF</v>
      </c>
      <c r="DD277" s="5" t="str">
        <f>IF(G277&lt;48,"UF", IF(NOT(ISBLANK(CZ:CZ)), CZ:CZ, IF(CL:CL=3, CK:CK+Sheet2!B622, IF(CL:CL=4, CK:CK+Sheet2!B623, IF(CL:CL=7, CK:CK+Sheet2!B624,"")))))</f>
        <v>UF</v>
      </c>
      <c r="DE277" s="69" t="str">
        <f t="shared" si="266"/>
        <v/>
      </c>
      <c r="DF277" s="2">
        <v>1</v>
      </c>
      <c r="DG277" s="2">
        <v>25</v>
      </c>
      <c r="DH277" s="2">
        <v>2</v>
      </c>
      <c r="DI277" s="2">
        <v>2</v>
      </c>
      <c r="DJ277" s="2">
        <v>2</v>
      </c>
      <c r="DK277" s="2">
        <v>100</v>
      </c>
      <c r="DL277" s="2">
        <v>60</v>
      </c>
      <c r="DM277" s="2" t="s">
        <v>12</v>
      </c>
      <c r="DN277" s="2" t="s">
        <v>12</v>
      </c>
      <c r="DO277" s="2" t="s">
        <v>12</v>
      </c>
      <c r="DP277" s="2" t="s">
        <v>12</v>
      </c>
      <c r="DQ277" s="2">
        <v>2</v>
      </c>
      <c r="DR277" s="2">
        <v>40</v>
      </c>
      <c r="DS277" s="2">
        <v>2</v>
      </c>
      <c r="DT277" s="2">
        <v>86</v>
      </c>
      <c r="DU277" s="2">
        <v>76</v>
      </c>
      <c r="DV277" s="2">
        <v>2</v>
      </c>
      <c r="DW277" s="2">
        <v>2</v>
      </c>
      <c r="DX277" s="2">
        <v>2</v>
      </c>
      <c r="DY277" s="2">
        <v>2</v>
      </c>
      <c r="DZ277" s="2">
        <v>32</v>
      </c>
      <c r="EA277" s="2">
        <v>34</v>
      </c>
      <c r="EB277" s="2">
        <v>42</v>
      </c>
      <c r="EC277" s="2">
        <v>1</v>
      </c>
      <c r="ED277" s="2">
        <v>4</v>
      </c>
    </row>
    <row r="278" spans="1:134" x14ac:dyDescent="0.25">
      <c r="C278" s="5" t="s">
        <v>63</v>
      </c>
      <c r="D278" s="2">
        <v>2501041682</v>
      </c>
      <c r="E278" s="2" t="s">
        <v>529</v>
      </c>
      <c r="F278" s="2">
        <v>1</v>
      </c>
      <c r="G278" s="2">
        <v>36</v>
      </c>
      <c r="H278" s="2">
        <v>-1.400220112593147</v>
      </c>
      <c r="I278" s="2">
        <v>48</v>
      </c>
      <c r="J278" s="2">
        <v>-0.61614996855203885</v>
      </c>
      <c r="K278" s="5">
        <v>2700</v>
      </c>
      <c r="L278" s="2">
        <v>-1.2270493270806959</v>
      </c>
      <c r="N278" s="2">
        <f t="shared" si="268"/>
        <v>-0.3428899437034264</v>
      </c>
      <c r="O278" s="2">
        <f t="shared" si="269"/>
        <v>-1.7431100562965733</v>
      </c>
      <c r="P278" s="2" t="s">
        <v>12</v>
      </c>
      <c r="R278" s="5">
        <f t="shared" si="270"/>
        <v>-8.1925015723980588E-2</v>
      </c>
      <c r="S278" s="5">
        <f t="shared" si="271"/>
        <v>-0.69807498427601944</v>
      </c>
      <c r="T278" s="1" t="s">
        <v>12</v>
      </c>
      <c r="V278" s="2">
        <f t="shared" si="272"/>
        <v>-0.35147533645965201</v>
      </c>
      <c r="W278" s="2">
        <f t="shared" si="273"/>
        <v>-1.5785246635403478</v>
      </c>
      <c r="X278" s="2">
        <v>-2.0859999999999999</v>
      </c>
      <c r="Y278" s="76">
        <f t="shared" si="309"/>
        <v>-0.68577988740685281</v>
      </c>
      <c r="Z278" s="76">
        <f t="shared" si="310"/>
        <v>-2</v>
      </c>
      <c r="AA278" s="2">
        <f t="shared" si="274"/>
        <v>-0.64591250786199028</v>
      </c>
      <c r="AB278" s="2">
        <f t="shared" si="275"/>
        <v>-2.0859999999999999</v>
      </c>
      <c r="AC278" s="2">
        <v>72</v>
      </c>
      <c r="AD278" s="2">
        <v>-0.78</v>
      </c>
      <c r="AE278" s="79">
        <f t="shared" si="311"/>
        <v>-0.16385003144796118</v>
      </c>
      <c r="AF278" s="79">
        <f t="shared" si="312"/>
        <v>-1</v>
      </c>
      <c r="AG278" s="2">
        <f t="shared" si="265"/>
        <v>-0.72096250786199034</v>
      </c>
      <c r="AH278" s="2">
        <f t="shared" si="276"/>
        <v>-0.78</v>
      </c>
      <c r="AI278" s="2">
        <v>7100</v>
      </c>
      <c r="AJ278" s="2">
        <v>-1.93</v>
      </c>
      <c r="AK278" s="76">
        <f t="shared" si="313"/>
        <v>-0.70295067291930402</v>
      </c>
      <c r="AL278" s="76">
        <f t="shared" si="314"/>
        <v>-2</v>
      </c>
      <c r="AM278" s="2">
        <f t="shared" si="277"/>
        <v>-0.58573766822982609</v>
      </c>
      <c r="AN278" s="2">
        <f t="shared" si="278"/>
        <v>-1.93</v>
      </c>
      <c r="AO278" s="2">
        <v>-1.9899</v>
      </c>
      <c r="AP278" s="2" t="str">
        <f t="shared" si="279"/>
        <v/>
      </c>
      <c r="AQ278" s="2">
        <f t="shared" si="280"/>
        <v>-1.9899</v>
      </c>
      <c r="AR278" s="2">
        <v>74.5</v>
      </c>
      <c r="AS278" s="2">
        <v>-2.14</v>
      </c>
      <c r="AT278" s="2" t="str">
        <f t="shared" si="281"/>
        <v/>
      </c>
      <c r="AU278" s="2">
        <f t="shared" si="282"/>
        <v>-2.14</v>
      </c>
      <c r="AV278" s="2">
        <v>7400</v>
      </c>
      <c r="AW278" s="2">
        <v>-2.75</v>
      </c>
      <c r="AX278" s="2" t="str">
        <f t="shared" si="283"/>
        <v/>
      </c>
      <c r="AY278" s="2">
        <f t="shared" si="284"/>
        <v>-2.75</v>
      </c>
      <c r="BA278" s="78" t="e">
        <f t="shared" si="315"/>
        <v>#VALUE!</v>
      </c>
      <c r="BB278" s="78" t="e">
        <f t="shared" si="316"/>
        <v>#VALUE!</v>
      </c>
      <c r="BC278" s="2" t="str">
        <f t="shared" si="285"/>
        <v/>
      </c>
      <c r="BD278" s="2" t="e">
        <f t="shared" si="286"/>
        <v>#VALUE!</v>
      </c>
      <c r="BE278" s="67" t="e">
        <f t="shared" si="317"/>
        <v>#VALUE!</v>
      </c>
      <c r="BF278" s="2" t="s">
        <v>12</v>
      </c>
      <c r="BH278" s="2" t="str">
        <f t="shared" si="287"/>
        <v/>
      </c>
      <c r="BI278" s="2" t="e">
        <f t="shared" si="288"/>
        <v>#VALUE!</v>
      </c>
      <c r="BJ278" s="67" t="e">
        <f t="shared" si="289"/>
        <v>#VALUE!</v>
      </c>
      <c r="BK278" s="2" t="s">
        <v>12</v>
      </c>
      <c r="BM278" s="77" t="e">
        <f t="shared" si="318"/>
        <v>#VALUE!</v>
      </c>
      <c r="BN278" s="77" t="e">
        <f t="shared" si="319"/>
        <v>#VALUE!</v>
      </c>
      <c r="BO278" s="2" t="str">
        <f t="shared" si="290"/>
        <v/>
      </c>
      <c r="BP278" s="2" t="e">
        <f t="shared" si="291"/>
        <v>#VALUE!</v>
      </c>
      <c r="BQ278" s="67" t="e">
        <f t="shared" si="320"/>
        <v>#VALUE!</v>
      </c>
      <c r="BS278" s="75" t="e">
        <f t="shared" si="321"/>
        <v>#VALUE!</v>
      </c>
      <c r="BT278" s="75" t="e">
        <f t="shared" si="322"/>
        <v>#VALUE!</v>
      </c>
      <c r="BU278" s="5" t="str">
        <f>IF(G284&gt;=36, IF(AND(NOT(ISBLANK(CM:CM)), NOT(ISBLANK(BD:BD))), (CM:CM-BD:BD)/2, ""), "UF")</f>
        <v>UF</v>
      </c>
      <c r="BV278" s="5" t="e">
        <f t="shared" si="292"/>
        <v>#VALUE!</v>
      </c>
      <c r="BW278" s="69" t="e">
        <f t="shared" si="293"/>
        <v>#VALUE!</v>
      </c>
      <c r="BX278" s="2" t="s">
        <v>12</v>
      </c>
      <c r="BZ278" s="74" t="e">
        <f t="shared" si="323"/>
        <v>#VALUE!</v>
      </c>
      <c r="CA278" s="74" t="e">
        <f t="shared" si="324"/>
        <v>#VALUE!</v>
      </c>
      <c r="CB278" s="5" t="str">
        <f t="shared" si="294"/>
        <v/>
      </c>
      <c r="CC278" s="5" t="e">
        <f t="shared" si="295"/>
        <v>#VALUE!</v>
      </c>
      <c r="CD278" s="2" t="e">
        <f t="shared" si="296"/>
        <v>#VALUE!</v>
      </c>
      <c r="CE278" s="69" t="e">
        <f t="shared" si="297"/>
        <v>#VALUE!</v>
      </c>
      <c r="CF278" s="5" t="s">
        <v>12</v>
      </c>
      <c r="CH278" s="72" t="e">
        <f t="shared" si="325"/>
        <v>#VALUE!</v>
      </c>
      <c r="CI278" s="72" t="e">
        <f t="shared" si="326"/>
        <v>#VALUE!</v>
      </c>
      <c r="CJ278" s="5" t="str">
        <f t="shared" si="298"/>
        <v/>
      </c>
      <c r="CK278" s="5" t="e">
        <f t="shared" si="299"/>
        <v>#VALUE!</v>
      </c>
      <c r="CL278" s="69" t="e">
        <f t="shared" si="300"/>
        <v>#VALUE!</v>
      </c>
      <c r="CN278" s="70" t="str">
        <f t="shared" si="301"/>
        <v/>
      </c>
      <c r="CO278" s="5" t="str">
        <f t="shared" si="302"/>
        <v>UF</v>
      </c>
      <c r="CP278" s="5" t="str">
        <f>IF(G278&lt;48,"UF", IF(NOT(ISBLANK(CM:CM)), CM:CM, IF(BW:BW=1, BV:BV+Sheet2!B84, IF(Sheet1!BW:BW=2, Sheet1!BV:BV+Sheet2!B85, IF(Sheet1!BW:BW=7, Sheet1!BV:BV+Sheet2!B86,"")))))</f>
        <v>UF</v>
      </c>
      <c r="CQ278" s="69" t="str">
        <f t="shared" si="327"/>
        <v/>
      </c>
      <c r="CR278" s="5" t="s">
        <v>12</v>
      </c>
      <c r="CT278" s="5" t="str">
        <f t="shared" si="303"/>
        <v/>
      </c>
      <c r="CU278" s="80" t="str">
        <f t="shared" si="304"/>
        <v>UF</v>
      </c>
      <c r="CV278" s="80" t="str">
        <f t="shared" si="305"/>
        <v>UF</v>
      </c>
      <c r="CW278" s="20" t="str">
        <f>IF(G278&lt;48,"UF", IF(NOT(ISBLANK(CS278)), CS278, IF(CE278=5, CC278+Sheet2!B73, IF(CE278=6, CC278+Sheet2!B74, IF(CE278=7, CC278+Sheet2!B75,"")))))</f>
        <v>UF</v>
      </c>
      <c r="CX278" s="68" t="str">
        <f t="shared" si="328"/>
        <v/>
      </c>
      <c r="CY278" s="5" t="s">
        <v>12</v>
      </c>
      <c r="DA278" s="5" t="str">
        <f t="shared" si="306"/>
        <v>UF</v>
      </c>
      <c r="DB278" s="73" t="str">
        <f t="shared" si="307"/>
        <v>UF</v>
      </c>
      <c r="DC278" s="73" t="str">
        <f t="shared" si="308"/>
        <v>UF</v>
      </c>
      <c r="DD278" s="5" t="str">
        <f>IF(G278&lt;48,"UF", IF(NOT(ISBLANK(CZ:CZ)), CZ:CZ, IF(CL:CL=3, CK:CK+Sheet2!B78, IF(CL:CL=4, CK:CK+Sheet2!B79, IF(CL:CL=7, CK:CK+Sheet2!B80,"")))))</f>
        <v>UF</v>
      </c>
      <c r="DE278" s="69" t="str">
        <f t="shared" si="266"/>
        <v/>
      </c>
      <c r="DF278" s="2">
        <v>2</v>
      </c>
      <c r="DG278" s="2">
        <v>30</v>
      </c>
      <c r="DH278" s="2">
        <v>1</v>
      </c>
      <c r="DI278" s="2">
        <v>2</v>
      </c>
      <c r="DJ278" s="2">
        <v>2</v>
      </c>
      <c r="DK278" s="2" t="s">
        <v>12</v>
      </c>
      <c r="DL278" s="2" t="s">
        <v>12</v>
      </c>
      <c r="DM278" s="2">
        <v>130</v>
      </c>
      <c r="DN278" s="2">
        <v>70</v>
      </c>
      <c r="DO278" s="2" t="s">
        <v>12</v>
      </c>
      <c r="DP278" s="2" t="s">
        <v>12</v>
      </c>
      <c r="DQ278" s="2">
        <v>1</v>
      </c>
      <c r="DR278" s="2">
        <v>36</v>
      </c>
      <c r="DS278" s="2">
        <v>2</v>
      </c>
      <c r="DT278" s="2">
        <v>86</v>
      </c>
      <c r="DU278" s="2">
        <v>70</v>
      </c>
      <c r="DV278" s="2">
        <v>2</v>
      </c>
      <c r="DW278" s="2">
        <v>2</v>
      </c>
      <c r="DX278" s="2">
        <v>2</v>
      </c>
      <c r="DY278" s="2">
        <v>1</v>
      </c>
      <c r="DZ278" s="2">
        <v>34</v>
      </c>
      <c r="EA278" s="2">
        <v>34</v>
      </c>
      <c r="EB278" s="2">
        <v>45</v>
      </c>
      <c r="EC278" s="2">
        <v>1</v>
      </c>
      <c r="ED278" s="2">
        <v>1</v>
      </c>
    </row>
    <row r="279" spans="1:134" x14ac:dyDescent="0.25">
      <c r="C279" s="8" t="s">
        <v>230</v>
      </c>
      <c r="D279" s="4">
        <v>2501042077</v>
      </c>
      <c r="E279" s="5">
        <v>7</v>
      </c>
      <c r="F279" s="2">
        <v>2</v>
      </c>
      <c r="G279" s="2">
        <v>33</v>
      </c>
      <c r="H279" s="2">
        <v>-4.3098860476055361</v>
      </c>
      <c r="I279" s="2">
        <v>48</v>
      </c>
      <c r="J279" s="2">
        <v>-0.99529637274036198</v>
      </c>
      <c r="K279" s="2">
        <v>2060</v>
      </c>
      <c r="L279" s="2">
        <v>-3.0535821061791251</v>
      </c>
      <c r="M279" s="2">
        <v>0.38750000000000001</v>
      </c>
      <c r="N279" s="2">
        <f t="shared" si="268"/>
        <v>1.759643023802768</v>
      </c>
      <c r="O279" s="2">
        <f t="shared" si="269"/>
        <v>0.38750000000000001</v>
      </c>
      <c r="P279" s="2">
        <v>66</v>
      </c>
      <c r="Q279" s="2">
        <v>-0.77</v>
      </c>
      <c r="R279" s="5">
        <f t="shared" si="270"/>
        <v>1.392648186370181</v>
      </c>
      <c r="S279" s="5">
        <f t="shared" si="271"/>
        <v>-0.77</v>
      </c>
      <c r="T279" s="2">
        <v>7800</v>
      </c>
      <c r="U279" s="2">
        <v>-0.16</v>
      </c>
      <c r="V279" s="2">
        <f t="shared" si="272"/>
        <v>1.7367910530895625</v>
      </c>
      <c r="W279" s="2">
        <f t="shared" si="273"/>
        <v>-0.16</v>
      </c>
      <c r="X279" s="2">
        <v>-0.79059999999999997</v>
      </c>
      <c r="Y279" s="76">
        <f t="shared" si="309"/>
        <v>3.5192860476055361</v>
      </c>
      <c r="Z279" s="76">
        <f t="shared" si="310"/>
        <v>2</v>
      </c>
      <c r="AA279" s="2">
        <f t="shared" si="274"/>
        <v>0.29675000000000001</v>
      </c>
      <c r="AB279" s="2">
        <f t="shared" si="275"/>
        <v>-0.79059999999999997</v>
      </c>
      <c r="AC279" s="2">
        <v>80</v>
      </c>
      <c r="AD279" s="2">
        <v>1.79</v>
      </c>
      <c r="AE279" s="79">
        <f t="shared" si="311"/>
        <v>2.7852963727403619</v>
      </c>
      <c r="AF279" s="79">
        <f t="shared" si="312"/>
        <v>2</v>
      </c>
      <c r="AG279" s="2">
        <f t="shared" si="265"/>
        <v>0.89</v>
      </c>
      <c r="AH279" s="2">
        <f t="shared" si="276"/>
        <v>1.79</v>
      </c>
      <c r="AI279" s="2">
        <v>10100</v>
      </c>
      <c r="AJ279" s="2">
        <v>0.42</v>
      </c>
      <c r="AK279" s="76">
        <f t="shared" si="313"/>
        <v>3.473582106179125</v>
      </c>
      <c r="AL279" s="76">
        <f t="shared" si="314"/>
        <v>2</v>
      </c>
      <c r="AM279" s="2">
        <f t="shared" si="277"/>
        <v>0.30499999999999999</v>
      </c>
      <c r="AN279" s="2">
        <f t="shared" si="278"/>
        <v>0.42</v>
      </c>
      <c r="AO279" s="2">
        <v>-0.17649999999999999</v>
      </c>
      <c r="AP279" s="2">
        <f t="shared" si="279"/>
        <v>0.21792805463030834</v>
      </c>
      <c r="AQ279" s="2">
        <f t="shared" si="280"/>
        <v>-0.17649999999999999</v>
      </c>
      <c r="AR279" s="2">
        <v>85</v>
      </c>
      <c r="AS279" s="2">
        <v>1.01</v>
      </c>
      <c r="AT279" s="2">
        <f t="shared" si="281"/>
        <v>-0.59025747606636503</v>
      </c>
      <c r="AU279" s="2">
        <f t="shared" si="282"/>
        <v>1.01</v>
      </c>
      <c r="AV279" s="2">
        <v>11500</v>
      </c>
      <c r="AW279" s="2">
        <v>0.45</v>
      </c>
      <c r="AX279" s="2">
        <f t="shared" si="283"/>
        <v>-0.20693345797532892</v>
      </c>
      <c r="AY279" s="2">
        <f t="shared" si="284"/>
        <v>0.45</v>
      </c>
      <c r="AZ279" s="2">
        <v>-0.35474389073938328</v>
      </c>
      <c r="BA279" s="78">
        <f t="shared" si="315"/>
        <v>0.43585610926061669</v>
      </c>
      <c r="BB279" s="78">
        <f t="shared" si="316"/>
        <v>1</v>
      </c>
      <c r="BC279" s="2" t="str">
        <f t="shared" si="285"/>
        <v/>
      </c>
      <c r="BD279" s="2">
        <f t="shared" si="286"/>
        <v>-0.35474389073938328</v>
      </c>
      <c r="BE279" s="67">
        <f t="shared" si="317"/>
        <v>7</v>
      </c>
      <c r="BF279" s="2">
        <v>89</v>
      </c>
      <c r="BG279" s="2">
        <v>0.60948504786727009</v>
      </c>
      <c r="BH279" s="2" t="str">
        <f t="shared" si="287"/>
        <v/>
      </c>
      <c r="BI279" s="2">
        <f t="shared" si="288"/>
        <v>0.60948504786727009</v>
      </c>
      <c r="BJ279" s="67">
        <f t="shared" si="289"/>
        <v>7</v>
      </c>
      <c r="BK279" s="2">
        <v>12750</v>
      </c>
      <c r="BL279" s="2">
        <v>6.1330840493421766E-3</v>
      </c>
      <c r="BM279" s="77">
        <f t="shared" si="318"/>
        <v>-0.41386691595065783</v>
      </c>
      <c r="BN279" s="77">
        <f t="shared" si="319"/>
        <v>-1</v>
      </c>
      <c r="BO279" s="2" t="str">
        <f t="shared" si="290"/>
        <v/>
      </c>
      <c r="BP279" s="2">
        <f t="shared" si="291"/>
        <v>6.1330840493421766E-3</v>
      </c>
      <c r="BQ279" s="67">
        <f t="shared" si="320"/>
        <v>7</v>
      </c>
      <c r="BS279" s="75" t="str">
        <f t="shared" si="321"/>
        <v>UF</v>
      </c>
      <c r="BT279" s="75" t="str">
        <f t="shared" si="322"/>
        <v>UF</v>
      </c>
      <c r="BU279" s="5" t="str">
        <f>IF(G286&gt;=36, IF(AND(NOT(ISBLANK(CM:CM)), NOT(ISBLANK(BD:BD))), (CM:CM-BD:BD)/2, ""), "UF")</f>
        <v>UF</v>
      </c>
      <c r="BV279" s="5" t="str">
        <f t="shared" si="292"/>
        <v>UF</v>
      </c>
      <c r="BW279" s="69" t="str">
        <f t="shared" si="293"/>
        <v/>
      </c>
      <c r="BX279" s="2" t="s">
        <v>12</v>
      </c>
      <c r="BZ279" s="74" t="str">
        <f t="shared" si="323"/>
        <v>UF</v>
      </c>
      <c r="CA279" s="74" t="str">
        <f t="shared" si="324"/>
        <v>UF</v>
      </c>
      <c r="CB279" s="5" t="str">
        <f t="shared" si="294"/>
        <v>UF</v>
      </c>
      <c r="CC279" s="5" t="str">
        <f t="shared" si="295"/>
        <v>UF</v>
      </c>
      <c r="CD279" s="2" t="e">
        <f t="shared" si="296"/>
        <v>#VALUE!</v>
      </c>
      <c r="CE279" s="69" t="str">
        <f t="shared" si="297"/>
        <v/>
      </c>
      <c r="CF279" s="5" t="s">
        <v>12</v>
      </c>
      <c r="CH279" s="72" t="str">
        <f t="shared" si="325"/>
        <v>UF</v>
      </c>
      <c r="CI279" s="72" t="str">
        <f t="shared" si="326"/>
        <v>UF</v>
      </c>
      <c r="CJ279" s="5" t="str">
        <f t="shared" si="298"/>
        <v>UF</v>
      </c>
      <c r="CK279" s="5" t="str">
        <f t="shared" si="299"/>
        <v>UF</v>
      </c>
      <c r="CL279" s="69" t="str">
        <f t="shared" si="300"/>
        <v/>
      </c>
      <c r="CN279" s="70" t="str">
        <f t="shared" si="301"/>
        <v/>
      </c>
      <c r="CO279" s="5" t="str">
        <f t="shared" si="302"/>
        <v>UF</v>
      </c>
      <c r="CP279" s="5" t="str">
        <f>IF(G279&lt;48,"UF", IF(NOT(ISBLANK(CM:CM)), CM:CM, IF(BW:BW=1, BV:BV+Sheet2!B414, IF(Sheet1!BW:BW=2, Sheet1!BV:BV+Sheet2!B415, IF(Sheet1!BW:BW=7, Sheet1!BV:BV+Sheet2!B416,"")))))</f>
        <v>UF</v>
      </c>
      <c r="CQ279" s="69" t="str">
        <f t="shared" si="327"/>
        <v/>
      </c>
      <c r="CR279" s="5" t="s">
        <v>12</v>
      </c>
      <c r="CT279" s="5" t="str">
        <f t="shared" si="303"/>
        <v/>
      </c>
      <c r="CU279" s="80" t="str">
        <f t="shared" si="304"/>
        <v>UF</v>
      </c>
      <c r="CV279" s="80" t="str">
        <f t="shared" si="305"/>
        <v>UF</v>
      </c>
      <c r="CW279" s="20" t="str">
        <f>IF(G279&lt;48,"UF", IF(NOT(ISBLANK(CS279)), CS279, IF(CE279=5, CC279+Sheet2!B403, IF(CE279=6, CC279+Sheet2!B404, IF(CE279=7, CC279+Sheet2!B405,"")))))</f>
        <v>UF</v>
      </c>
      <c r="CX279" s="68" t="str">
        <f t="shared" si="328"/>
        <v/>
      </c>
      <c r="CY279" s="5" t="s">
        <v>12</v>
      </c>
      <c r="DA279" s="5" t="str">
        <f t="shared" si="306"/>
        <v>UF</v>
      </c>
      <c r="DB279" s="73" t="str">
        <f t="shared" si="307"/>
        <v>UF</v>
      </c>
      <c r="DC279" s="73" t="str">
        <f t="shared" si="308"/>
        <v>UF</v>
      </c>
      <c r="DD279" s="5" t="str">
        <f>IF(G279&lt;48,"UF", IF(NOT(ISBLANK(CZ:CZ)), CZ:CZ, IF(CL:CL=3, CK:CK+Sheet2!B408, IF(CL:CL=4, CK:CK+Sheet2!B409, IF(CL:CL=7, CK:CK+Sheet2!B410,"")))))</f>
        <v>UF</v>
      </c>
      <c r="DE279" s="69" t="str">
        <f t="shared" si="266"/>
        <v/>
      </c>
      <c r="DF279" s="2">
        <v>1</v>
      </c>
      <c r="DG279" s="2">
        <v>32</v>
      </c>
      <c r="DH279" s="2">
        <v>1</v>
      </c>
      <c r="DI279" s="2">
        <v>2</v>
      </c>
      <c r="DJ279" s="2">
        <v>2</v>
      </c>
      <c r="DK279" s="2">
        <v>125</v>
      </c>
      <c r="DL279" s="2">
        <v>70</v>
      </c>
      <c r="DM279" s="2" t="s">
        <v>12</v>
      </c>
      <c r="DN279" s="2" t="s">
        <v>12</v>
      </c>
      <c r="DO279" s="2" t="s">
        <v>12</v>
      </c>
      <c r="DP279" s="2" t="s">
        <v>12</v>
      </c>
      <c r="DQ279" s="2">
        <v>2</v>
      </c>
      <c r="DR279" s="2">
        <v>33</v>
      </c>
      <c r="DS279" s="2">
        <v>2</v>
      </c>
      <c r="DT279" s="2">
        <v>85</v>
      </c>
      <c r="DU279" s="2">
        <v>81</v>
      </c>
      <c r="DV279" s="2">
        <v>2</v>
      </c>
      <c r="DW279" s="2">
        <v>2</v>
      </c>
      <c r="DX279" s="2">
        <v>2</v>
      </c>
      <c r="DY279" s="2">
        <v>3</v>
      </c>
      <c r="DZ279" s="2">
        <v>32</v>
      </c>
      <c r="EA279" s="2">
        <v>32.5</v>
      </c>
      <c r="EB279" s="2">
        <v>46.5</v>
      </c>
      <c r="EC279" s="2">
        <v>3</v>
      </c>
      <c r="ED279" s="2">
        <v>1</v>
      </c>
    </row>
    <row r="280" spans="1:134" x14ac:dyDescent="0.25">
      <c r="C280" s="5" t="s">
        <v>33</v>
      </c>
      <c r="D280" s="2">
        <v>2501042085</v>
      </c>
      <c r="E280" s="5" t="s">
        <v>539</v>
      </c>
      <c r="F280" s="2">
        <v>2</v>
      </c>
      <c r="G280" s="2">
        <v>34</v>
      </c>
      <c r="H280" s="2">
        <v>-0.22739669786010339</v>
      </c>
      <c r="I280" s="2">
        <v>49</v>
      </c>
      <c r="J280" s="2">
        <v>-0.46706379753639199</v>
      </c>
      <c r="K280" s="5">
        <v>3150</v>
      </c>
      <c r="L280" s="2">
        <v>-0.4098709608817373</v>
      </c>
      <c r="M280" s="2">
        <v>-0.90049999999999997</v>
      </c>
      <c r="N280" s="2">
        <f t="shared" si="268"/>
        <v>-6.8051651069948302E-2</v>
      </c>
      <c r="O280" s="2">
        <f t="shared" si="269"/>
        <v>-0.90049999999999997</v>
      </c>
      <c r="P280" s="2">
        <v>68</v>
      </c>
      <c r="Q280" s="2">
        <v>0.17</v>
      </c>
      <c r="R280" s="5">
        <f t="shared" si="270"/>
        <v>7.8531898768195996E-2</v>
      </c>
      <c r="S280" s="5">
        <f t="shared" si="271"/>
        <v>0.17</v>
      </c>
      <c r="T280" s="1">
        <v>7450</v>
      </c>
      <c r="U280" s="2">
        <v>-0.57999999999999996</v>
      </c>
      <c r="V280" s="2">
        <f t="shared" si="272"/>
        <v>-2.0064519559131355E-2</v>
      </c>
      <c r="W280" s="2">
        <f t="shared" si="273"/>
        <v>-0.57999999999999996</v>
      </c>
      <c r="X280" s="2">
        <v>-0.36349999999999999</v>
      </c>
      <c r="Y280" s="76">
        <f t="shared" si="309"/>
        <v>-0.1361033021398966</v>
      </c>
      <c r="Z280" s="76">
        <f t="shared" si="310"/>
        <v>-1</v>
      </c>
      <c r="AA280" s="2">
        <f t="shared" si="274"/>
        <v>-1.4076</v>
      </c>
      <c r="AB280" s="2">
        <f t="shared" si="275"/>
        <v>-0.36349999999999999</v>
      </c>
      <c r="AC280" s="2">
        <v>75</v>
      </c>
      <c r="AD280" s="2">
        <v>-0.31</v>
      </c>
      <c r="AE280" s="79">
        <f t="shared" si="311"/>
        <v>0.15706379753639199</v>
      </c>
      <c r="AF280" s="79">
        <f t="shared" si="312"/>
        <v>1</v>
      </c>
      <c r="AG280" s="2">
        <f t="shared" si="265"/>
        <v>0.61</v>
      </c>
      <c r="AH280" s="2">
        <f t="shared" si="276"/>
        <v>-0.31</v>
      </c>
      <c r="AI280" s="2">
        <v>9180</v>
      </c>
      <c r="AJ280" s="2">
        <v>-0.45</v>
      </c>
      <c r="AK280" s="76">
        <f t="shared" si="313"/>
        <v>-4.012903911826271E-2</v>
      </c>
      <c r="AL280" s="76">
        <f t="shared" si="314"/>
        <v>-1</v>
      </c>
      <c r="AM280" s="2">
        <f t="shared" si="277"/>
        <v>-0.20500000000000002</v>
      </c>
      <c r="AN280" s="2">
        <f t="shared" si="278"/>
        <v>-0.45</v>
      </c>
      <c r="AO280" s="2">
        <v>-2.6452</v>
      </c>
      <c r="AP280" s="2">
        <f t="shared" si="279"/>
        <v>-0.57159451534427952</v>
      </c>
      <c r="AQ280" s="2">
        <f t="shared" si="280"/>
        <v>-2.6452</v>
      </c>
      <c r="AR280" s="2">
        <v>86</v>
      </c>
      <c r="AS280" s="2">
        <v>1.39</v>
      </c>
      <c r="AT280" s="2">
        <f t="shared" si="281"/>
        <v>0.31722565580973672</v>
      </c>
      <c r="AU280" s="2">
        <f t="shared" si="282"/>
        <v>1.39</v>
      </c>
      <c r="AV280" s="2">
        <v>9800</v>
      </c>
      <c r="AW280" s="2">
        <v>-0.99</v>
      </c>
      <c r="AX280" s="2">
        <f t="shared" si="283"/>
        <v>-0.25420338178308166</v>
      </c>
      <c r="AY280" s="2">
        <f t="shared" si="284"/>
        <v>-0.99</v>
      </c>
      <c r="AZ280" s="2">
        <v>-1.506689030688559</v>
      </c>
      <c r="BA280" s="78">
        <f t="shared" si="315"/>
        <v>-1.143189030688559</v>
      </c>
      <c r="BB280" s="78">
        <f t="shared" si="316"/>
        <v>-2</v>
      </c>
      <c r="BC280" s="2" t="str">
        <f t="shared" si="285"/>
        <v/>
      </c>
      <c r="BD280" s="2">
        <f t="shared" si="286"/>
        <v>-1.506689030688559</v>
      </c>
      <c r="BE280" s="67">
        <f t="shared" si="317"/>
        <v>7</v>
      </c>
      <c r="BF280" s="2">
        <v>88</v>
      </c>
      <c r="BG280" s="2">
        <v>0.32445131161947349</v>
      </c>
      <c r="BH280" s="2" t="str">
        <f t="shared" si="287"/>
        <v/>
      </c>
      <c r="BI280" s="2">
        <f t="shared" si="288"/>
        <v>0.32445131161947349</v>
      </c>
      <c r="BJ280" s="67">
        <f t="shared" si="289"/>
        <v>7</v>
      </c>
      <c r="BK280" s="2">
        <v>11500</v>
      </c>
      <c r="BL280" s="2">
        <v>-0.95840676356616339</v>
      </c>
      <c r="BM280" s="77">
        <f t="shared" si="318"/>
        <v>-0.50840676356616332</v>
      </c>
      <c r="BN280" s="77">
        <f t="shared" si="319"/>
        <v>-1</v>
      </c>
      <c r="BO280" s="2" t="str">
        <f t="shared" si="290"/>
        <v/>
      </c>
      <c r="BP280" s="2">
        <f t="shared" si="291"/>
        <v>-0.95840676356616339</v>
      </c>
      <c r="BQ280" s="67">
        <f t="shared" si="320"/>
        <v>7</v>
      </c>
      <c r="BS280" s="75" t="str">
        <f t="shared" si="321"/>
        <v>UF</v>
      </c>
      <c r="BT280" s="75" t="str">
        <f t="shared" si="322"/>
        <v>UF</v>
      </c>
      <c r="BU280" s="5" t="str">
        <f>IF(G287&gt;=36, IF(AND(NOT(ISBLANK(CM:CM)), NOT(ISBLANK(BD:BD))), (CM:CM-BD:BD)/2, ""), "UF")</f>
        <v>UF</v>
      </c>
      <c r="BV280" s="5" t="str">
        <f t="shared" si="292"/>
        <v>UF</v>
      </c>
      <c r="BW280" s="69" t="str">
        <f t="shared" si="293"/>
        <v/>
      </c>
      <c r="BX280" s="2" t="s">
        <v>12</v>
      </c>
      <c r="BZ280" s="74" t="str">
        <f t="shared" si="323"/>
        <v>UF</v>
      </c>
      <c r="CA280" s="74" t="str">
        <f t="shared" si="324"/>
        <v>UF</v>
      </c>
      <c r="CB280" s="5" t="str">
        <f t="shared" si="294"/>
        <v>UF</v>
      </c>
      <c r="CC280" s="5" t="str">
        <f t="shared" si="295"/>
        <v>UF</v>
      </c>
      <c r="CD280" s="2" t="e">
        <f t="shared" si="296"/>
        <v>#VALUE!</v>
      </c>
      <c r="CE280" s="69" t="str">
        <f t="shared" si="297"/>
        <v/>
      </c>
      <c r="CF280" s="5" t="s">
        <v>12</v>
      </c>
      <c r="CH280" s="72" t="str">
        <f t="shared" si="325"/>
        <v>UF</v>
      </c>
      <c r="CI280" s="72" t="str">
        <f t="shared" si="326"/>
        <v>UF</v>
      </c>
      <c r="CJ280" s="5" t="str">
        <f t="shared" si="298"/>
        <v>UF</v>
      </c>
      <c r="CK280" s="5" t="str">
        <f t="shared" si="299"/>
        <v>UF</v>
      </c>
      <c r="CL280" s="69" t="str">
        <f t="shared" si="300"/>
        <v/>
      </c>
      <c r="CN280" s="70" t="str">
        <f t="shared" si="301"/>
        <v/>
      </c>
      <c r="CO280" s="5" t="str">
        <f t="shared" si="302"/>
        <v>UF</v>
      </c>
      <c r="CP280" s="5" t="str">
        <f>IF(G280&lt;48,"UF", IF(NOT(ISBLANK(CM:CM)), CM:CM, IF(BW:BW=1, BV:BV+Sheet2!B54, IF(Sheet1!BW:BW=2, Sheet1!BV:BV+Sheet2!B55, IF(Sheet1!BW:BW=7, Sheet1!BV:BV+Sheet2!B56,"")))))</f>
        <v>UF</v>
      </c>
      <c r="CQ280" s="69" t="str">
        <f t="shared" si="327"/>
        <v/>
      </c>
      <c r="CR280" s="5" t="s">
        <v>12</v>
      </c>
      <c r="CT280" s="5" t="str">
        <f t="shared" si="303"/>
        <v/>
      </c>
      <c r="CU280" s="80" t="str">
        <f t="shared" si="304"/>
        <v>UF</v>
      </c>
      <c r="CV280" s="80" t="str">
        <f t="shared" si="305"/>
        <v>UF</v>
      </c>
      <c r="CW280" s="20" t="str">
        <f>IF(G280&lt;48,"UF", IF(NOT(ISBLANK(CS280)), CS280, IF(CE280=5, CC280+Sheet2!B43, IF(CE280=6, CC280+Sheet2!B44, IF(CE280=7, CC280+Sheet2!B45,"")))))</f>
        <v>UF</v>
      </c>
      <c r="CX280" s="68" t="str">
        <f t="shared" si="328"/>
        <v/>
      </c>
      <c r="CY280" s="5" t="s">
        <v>12</v>
      </c>
      <c r="DA280" s="5" t="str">
        <f t="shared" si="306"/>
        <v>UF</v>
      </c>
      <c r="DB280" s="73" t="str">
        <f t="shared" si="307"/>
        <v>UF</v>
      </c>
      <c r="DC280" s="73" t="str">
        <f t="shared" si="308"/>
        <v>UF</v>
      </c>
      <c r="DD280" s="5" t="str">
        <f>IF(G280&lt;48,"UF", IF(NOT(ISBLANK(CZ:CZ)), CZ:CZ, IF(CL:CL=3, CK:CK+Sheet2!B48, IF(CL:CL=4, CK:CK+Sheet2!B49, IF(CL:CL=7, CK:CK+Sheet2!B50,"")))))</f>
        <v>UF</v>
      </c>
      <c r="DE280" s="69" t="str">
        <f t="shared" si="266"/>
        <v/>
      </c>
      <c r="DF280" s="2">
        <v>4</v>
      </c>
      <c r="DG280" s="2">
        <v>38</v>
      </c>
      <c r="DH280" s="2">
        <v>1</v>
      </c>
      <c r="DI280" s="2">
        <v>2</v>
      </c>
      <c r="DJ280" s="2">
        <v>2</v>
      </c>
      <c r="DK280" s="2">
        <v>110</v>
      </c>
      <c r="DL280" s="2">
        <v>80</v>
      </c>
      <c r="DM280" s="2">
        <v>95</v>
      </c>
      <c r="DN280" s="2">
        <v>65</v>
      </c>
      <c r="DO280" s="2">
        <v>120</v>
      </c>
      <c r="DP280" s="2">
        <v>80</v>
      </c>
      <c r="DQ280" s="2">
        <v>2</v>
      </c>
      <c r="DR280" s="2">
        <v>38</v>
      </c>
      <c r="DS280" s="2">
        <v>2</v>
      </c>
      <c r="DT280" s="2">
        <v>78</v>
      </c>
      <c r="DU280" s="2">
        <v>75</v>
      </c>
      <c r="DV280" s="2">
        <v>2</v>
      </c>
      <c r="DW280" s="2">
        <v>2</v>
      </c>
      <c r="DX280" s="2">
        <v>2</v>
      </c>
      <c r="DY280" s="2">
        <v>1</v>
      </c>
      <c r="DZ280" s="2">
        <v>33</v>
      </c>
      <c r="EA280" s="2">
        <v>35</v>
      </c>
      <c r="EB280" s="2">
        <v>45</v>
      </c>
      <c r="EC280" s="2">
        <v>1</v>
      </c>
      <c r="ED280" s="2">
        <v>1</v>
      </c>
    </row>
    <row r="281" spans="1:134" x14ac:dyDescent="0.25">
      <c r="C281" s="2" t="s">
        <v>358</v>
      </c>
      <c r="D281" s="2">
        <v>2501042174</v>
      </c>
      <c r="E281" s="5">
        <v>7</v>
      </c>
      <c r="F281" s="2">
        <v>1</v>
      </c>
      <c r="G281" s="2">
        <v>36</v>
      </c>
      <c r="H281" s="2">
        <v>-1.0489091352804221</v>
      </c>
      <c r="I281" s="2">
        <v>53</v>
      </c>
      <c r="J281" s="2">
        <v>2.0681285461890671</v>
      </c>
      <c r="K281" s="2">
        <v>3400</v>
      </c>
      <c r="L281" s="2">
        <v>0.36061993902816308</v>
      </c>
      <c r="M281" s="2">
        <v>6.8199999999999997E-2</v>
      </c>
      <c r="N281" s="2">
        <f t="shared" si="268"/>
        <v>0.85020456764021102</v>
      </c>
      <c r="O281" s="2">
        <f t="shared" si="269"/>
        <v>6.8199999999999997E-2</v>
      </c>
      <c r="P281" s="2">
        <v>69</v>
      </c>
      <c r="Q281" s="2">
        <v>1.43</v>
      </c>
      <c r="R281" s="5">
        <f t="shared" si="270"/>
        <v>-0.83906427309453346</v>
      </c>
      <c r="S281" s="5">
        <f t="shared" si="271"/>
        <v>1.43</v>
      </c>
      <c r="T281" s="2">
        <v>8100</v>
      </c>
      <c r="U281" s="2">
        <v>0.85</v>
      </c>
      <c r="V281" s="2">
        <f t="shared" si="272"/>
        <v>0.16969003048591844</v>
      </c>
      <c r="W281" s="2">
        <f t="shared" si="273"/>
        <v>0.85</v>
      </c>
      <c r="X281" s="2">
        <v>0.65149999999999997</v>
      </c>
      <c r="Y281" s="76">
        <f t="shared" si="309"/>
        <v>1.700409135280422</v>
      </c>
      <c r="Z281" s="76">
        <f t="shared" si="310"/>
        <v>2</v>
      </c>
      <c r="AA281" s="2">
        <f t="shared" si="274"/>
        <v>-0.10475000000000001</v>
      </c>
      <c r="AB281" s="2">
        <f t="shared" si="275"/>
        <v>0.65149999999999997</v>
      </c>
      <c r="AC281" s="2">
        <v>75</v>
      </c>
      <c r="AD281" s="2">
        <v>0.39</v>
      </c>
      <c r="AE281" s="79">
        <f t="shared" si="311"/>
        <v>-1.6781285461890669</v>
      </c>
      <c r="AF281" s="79">
        <f t="shared" si="312"/>
        <v>-2</v>
      </c>
      <c r="AG281" s="2">
        <f t="shared" si="265"/>
        <v>-0.66499999999999992</v>
      </c>
      <c r="AH281" s="2">
        <f t="shared" si="276"/>
        <v>0.39</v>
      </c>
      <c r="AI281" s="2">
        <v>9750</v>
      </c>
      <c r="AJ281" s="2">
        <v>0.7</v>
      </c>
      <c r="AK281" s="76">
        <f t="shared" si="313"/>
        <v>0.33938006097183687</v>
      </c>
      <c r="AL281" s="76">
        <f t="shared" si="314"/>
        <v>1</v>
      </c>
      <c r="AM281" s="2">
        <f t="shared" si="277"/>
        <v>4.0000000000000036E-2</v>
      </c>
      <c r="AN281" s="2">
        <f t="shared" si="278"/>
        <v>0.7</v>
      </c>
      <c r="AO281" s="2">
        <v>1.2204999999999999</v>
      </c>
      <c r="AP281" s="2" t="str">
        <f t="shared" si="279"/>
        <v/>
      </c>
      <c r="AQ281" s="2">
        <f t="shared" si="280"/>
        <v>1.2204999999999999</v>
      </c>
      <c r="AR281" s="2">
        <v>81</v>
      </c>
      <c r="AS281" s="2">
        <v>0.1</v>
      </c>
      <c r="AT281" s="2" t="str">
        <f t="shared" si="281"/>
        <v/>
      </c>
      <c r="AU281" s="2">
        <f t="shared" si="282"/>
        <v>0.1</v>
      </c>
      <c r="AV281" s="2">
        <v>11500</v>
      </c>
      <c r="AW281" s="2">
        <v>0.93</v>
      </c>
      <c r="AX281" s="2" t="str">
        <f t="shared" si="283"/>
        <v/>
      </c>
      <c r="AY281" s="2">
        <f t="shared" si="284"/>
        <v>0.93</v>
      </c>
      <c r="BA281" s="78">
        <f t="shared" si="315"/>
        <v>-1.0435643300404029E-2</v>
      </c>
      <c r="BB281" s="78">
        <f t="shared" si="316"/>
        <v>-1</v>
      </c>
      <c r="BC281" s="2">
        <f t="shared" si="285"/>
        <v>-0.57943564330040398</v>
      </c>
      <c r="BD281" s="2">
        <f t="shared" si="286"/>
        <v>0.64106435669959594</v>
      </c>
      <c r="BE281" s="67">
        <f t="shared" si="317"/>
        <v>7</v>
      </c>
      <c r="BF281" s="2" t="s">
        <v>12</v>
      </c>
      <c r="BH281" s="2">
        <f t="shared" si="287"/>
        <v>0.28264062806062779</v>
      </c>
      <c r="BI281" s="2">
        <f t="shared" si="288"/>
        <v>0.38264062806062782</v>
      </c>
      <c r="BJ281" s="67">
        <f t="shared" si="289"/>
        <v>7</v>
      </c>
      <c r="BK281" s="2" t="s">
        <v>12</v>
      </c>
      <c r="BM281" s="77">
        <f t="shared" si="318"/>
        <v>2.7476296119290922E-2</v>
      </c>
      <c r="BN281" s="77">
        <f t="shared" si="319"/>
        <v>1</v>
      </c>
      <c r="BO281" s="2">
        <f t="shared" si="290"/>
        <v>-0.20252370388070914</v>
      </c>
      <c r="BP281" s="2">
        <f t="shared" si="291"/>
        <v>0.72747629611929088</v>
      </c>
      <c r="BQ281" s="67">
        <f t="shared" si="320"/>
        <v>7</v>
      </c>
      <c r="BR281" s="5">
        <v>-0.51780692990121202</v>
      </c>
      <c r="BS281" s="75">
        <f t="shared" si="321"/>
        <v>-1.158871286600808</v>
      </c>
      <c r="BT281" s="75">
        <f t="shared" si="322"/>
        <v>-2</v>
      </c>
      <c r="BU281" s="5" t="str">
        <f t="shared" ref="BU281:BU288" si="329">IF(G289&gt;=36, IF(AND(NOT(ISBLANK(CM:CM)), NOT(ISBLANK(BD:BD))), (CM:CM-BD:BD)/2, ""), "UF")</f>
        <v>UF</v>
      </c>
      <c r="BV281" s="5">
        <f t="shared" si="292"/>
        <v>-0.51780692990121202</v>
      </c>
      <c r="BW281" s="69">
        <f t="shared" si="293"/>
        <v>7</v>
      </c>
      <c r="BX281" s="2">
        <v>98</v>
      </c>
      <c r="BY281" s="5">
        <v>0.94792188418188328</v>
      </c>
      <c r="BZ281" s="74">
        <f t="shared" si="323"/>
        <v>0.2204455880625924</v>
      </c>
      <c r="CA281" s="74">
        <f t="shared" si="324"/>
        <v>1</v>
      </c>
      <c r="CB281" s="5" t="str">
        <f t="shared" si="294"/>
        <v/>
      </c>
      <c r="CC281" s="5">
        <f t="shared" si="295"/>
        <v>0.94792188418188328</v>
      </c>
      <c r="CD281" s="2">
        <f t="shared" si="296"/>
        <v>0.56528125612125546</v>
      </c>
      <c r="CE281" s="69">
        <f t="shared" si="297"/>
        <v>7</v>
      </c>
      <c r="CF281" s="5">
        <v>14500</v>
      </c>
      <c r="CG281" s="5">
        <v>0.32242888835787259</v>
      </c>
      <c r="CH281" s="72">
        <f t="shared" si="325"/>
        <v>-0.40504740776141829</v>
      </c>
      <c r="CI281" s="72">
        <f t="shared" si="326"/>
        <v>-1</v>
      </c>
      <c r="CJ281" s="5" t="str">
        <f t="shared" si="298"/>
        <v/>
      </c>
      <c r="CK281" s="5">
        <f t="shared" si="299"/>
        <v>0.32242888835787259</v>
      </c>
      <c r="CL281" s="69">
        <f t="shared" si="300"/>
        <v>7</v>
      </c>
      <c r="CN281" s="70" t="str">
        <f t="shared" si="301"/>
        <v/>
      </c>
      <c r="CO281" s="5" t="str">
        <f t="shared" si="302"/>
        <v>UF</v>
      </c>
      <c r="CP281" s="5" t="str">
        <f>IF(G281&lt;48,"UF", IF(NOT(ISBLANK(CM:CM)), CM:CM, IF(BW:BW=1, BV:BV+Sheet2!B597, IF(Sheet1!BW:BW=2, Sheet1!BV:BV+Sheet2!B598, IF(Sheet1!BW:BW=7, Sheet1!BV:BV+Sheet2!B599,"")))))</f>
        <v>UF</v>
      </c>
      <c r="CQ281" s="69" t="str">
        <f t="shared" si="327"/>
        <v/>
      </c>
      <c r="CR281" s="5" t="s">
        <v>12</v>
      </c>
      <c r="CT281" s="5" t="str">
        <f t="shared" si="303"/>
        <v/>
      </c>
      <c r="CU281" s="80" t="str">
        <f t="shared" si="304"/>
        <v>UF</v>
      </c>
      <c r="CV281" s="80" t="str">
        <f t="shared" si="305"/>
        <v>UF</v>
      </c>
      <c r="CW281" s="20" t="str">
        <f>IF(G281&lt;48,"UF", IF(NOT(ISBLANK(CS281)), CS281, IF(CE281=5, CC281+Sheet2!B586, IF(CE281=6, CC281+Sheet2!B587, IF(CE281=7, CC281+Sheet2!B588,"")))))</f>
        <v>UF</v>
      </c>
      <c r="CX281" s="68" t="str">
        <f t="shared" si="328"/>
        <v/>
      </c>
      <c r="CY281" s="5" t="s">
        <v>12</v>
      </c>
      <c r="DA281" s="5" t="str">
        <f t="shared" si="306"/>
        <v>UF</v>
      </c>
      <c r="DB281" s="73" t="str">
        <f t="shared" si="307"/>
        <v>UF</v>
      </c>
      <c r="DC281" s="73" t="str">
        <f t="shared" si="308"/>
        <v>UF</v>
      </c>
      <c r="DD281" s="5" t="str">
        <f>IF(G281&lt;48,"UF", IF(NOT(ISBLANK(CZ:CZ)), CZ:CZ, IF(CL:CL=3, CK:CK+Sheet2!B591, IF(CL:CL=4, CK:CK+Sheet2!B592, IF(CL:CL=7, CK:CK+Sheet2!B593,"")))))</f>
        <v>UF</v>
      </c>
      <c r="DE281" s="69" t="str">
        <f t="shared" si="266"/>
        <v/>
      </c>
      <c r="DF281" s="2">
        <v>3</v>
      </c>
      <c r="DG281" s="2">
        <v>35</v>
      </c>
      <c r="DH281" s="2">
        <v>2</v>
      </c>
      <c r="DI281" s="2">
        <v>2</v>
      </c>
      <c r="DJ281" s="2">
        <v>2</v>
      </c>
      <c r="DK281" s="2">
        <v>115</v>
      </c>
      <c r="DL281" s="2">
        <v>60</v>
      </c>
      <c r="DM281" s="2">
        <v>105</v>
      </c>
      <c r="DN281" s="2">
        <v>65</v>
      </c>
      <c r="DO281" s="2">
        <v>120</v>
      </c>
      <c r="DP281" s="2">
        <v>65</v>
      </c>
      <c r="DQ281" s="2">
        <v>2</v>
      </c>
      <c r="DR281" s="2">
        <v>39</v>
      </c>
      <c r="DS281" s="2">
        <v>1</v>
      </c>
      <c r="DT281" s="2">
        <v>100</v>
      </c>
      <c r="DU281" s="2">
        <v>86</v>
      </c>
      <c r="DV281" s="2">
        <v>2</v>
      </c>
      <c r="DW281" s="2">
        <v>2</v>
      </c>
      <c r="DX281" s="2">
        <v>2</v>
      </c>
      <c r="DY281" s="2">
        <v>2</v>
      </c>
      <c r="DZ281" s="2">
        <v>34</v>
      </c>
      <c r="EA281" s="2">
        <v>35</v>
      </c>
      <c r="EB281" s="2">
        <v>45</v>
      </c>
      <c r="EC281" s="2">
        <v>1</v>
      </c>
      <c r="ED281" s="2">
        <v>1</v>
      </c>
    </row>
    <row r="282" spans="1:134" x14ac:dyDescent="0.25">
      <c r="C282" s="5" t="s">
        <v>57</v>
      </c>
      <c r="D282" s="2">
        <v>2501042417</v>
      </c>
      <c r="E282" s="2">
        <v>2</v>
      </c>
      <c r="F282" s="2">
        <v>1</v>
      </c>
      <c r="G282" s="2">
        <v>33</v>
      </c>
      <c r="H282" s="2">
        <v>-0.78689164777190346</v>
      </c>
      <c r="I282" s="2">
        <v>50</v>
      </c>
      <c r="J282" s="2">
        <v>0.45756143734440202</v>
      </c>
      <c r="K282" s="5">
        <v>3100</v>
      </c>
      <c r="L282" s="2">
        <v>-0.29236112544414727</v>
      </c>
      <c r="M282" s="2">
        <v>-2.3029999999999999</v>
      </c>
      <c r="N282" s="2">
        <f t="shared" si="268"/>
        <v>-0.7404041761140483</v>
      </c>
      <c r="O282" s="2">
        <f t="shared" si="269"/>
        <v>-2.3029999999999999</v>
      </c>
      <c r="P282" s="2">
        <v>66</v>
      </c>
      <c r="Q282" s="2">
        <v>0.11</v>
      </c>
      <c r="R282" s="5">
        <f t="shared" si="270"/>
        <v>0.35121928132779895</v>
      </c>
      <c r="S282" s="5">
        <f t="shared" si="271"/>
        <v>0.11</v>
      </c>
      <c r="T282" s="1">
        <v>6000</v>
      </c>
      <c r="U282" s="2">
        <v>-1.62</v>
      </c>
      <c r="V282" s="2">
        <f t="shared" si="272"/>
        <v>-0.31381943727792638</v>
      </c>
      <c r="W282" s="2">
        <f t="shared" si="273"/>
        <v>-1.62</v>
      </c>
      <c r="X282" s="2">
        <v>-2.2677</v>
      </c>
      <c r="Y282" s="76">
        <f t="shared" si="309"/>
        <v>-1.4808083522280966</v>
      </c>
      <c r="Z282" s="76">
        <f t="shared" si="310"/>
        <v>-2</v>
      </c>
      <c r="AA282" s="2" t="str">
        <f t="shared" si="274"/>
        <v/>
      </c>
      <c r="AB282" s="2">
        <f t="shared" si="275"/>
        <v>-2.2677</v>
      </c>
      <c r="AC282" s="2">
        <v>77</v>
      </c>
      <c r="AD282" s="2">
        <v>1.1599999999999999</v>
      </c>
      <c r="AE282" s="79">
        <f t="shared" si="311"/>
        <v>0.7024385626555979</v>
      </c>
      <c r="AF282" s="79">
        <f t="shared" si="312"/>
        <v>2</v>
      </c>
      <c r="AG282" s="2" t="str">
        <f t="shared" si="265"/>
        <v/>
      </c>
      <c r="AH282" s="2">
        <f t="shared" si="276"/>
        <v>1.1599999999999999</v>
      </c>
      <c r="AI282" s="2">
        <v>8000</v>
      </c>
      <c r="AJ282" s="2">
        <v>-0.92</v>
      </c>
      <c r="AK282" s="76">
        <f t="shared" si="313"/>
        <v>-0.62763887455585277</v>
      </c>
      <c r="AL282" s="76">
        <f t="shared" si="314"/>
        <v>-1</v>
      </c>
      <c r="AM282" s="2" t="str">
        <f t="shared" si="277"/>
        <v/>
      </c>
      <c r="AN282" s="2">
        <f t="shared" si="278"/>
        <v>-0.92</v>
      </c>
      <c r="AP282" s="2">
        <f t="shared" si="279"/>
        <v>6.5206752874312102E-2</v>
      </c>
      <c r="AQ282" s="2">
        <f t="shared" si="280"/>
        <v>-2.2024932471256879</v>
      </c>
      <c r="AR282" s="2" t="s">
        <v>12</v>
      </c>
      <c r="AT282" s="2">
        <f t="shared" si="281"/>
        <v>-0.35023406100756882</v>
      </c>
      <c r="AU282" s="2">
        <f t="shared" si="282"/>
        <v>0.8097659389924311</v>
      </c>
      <c r="AV282" s="2" t="s">
        <v>12</v>
      </c>
      <c r="AX282" s="2">
        <f t="shared" si="283"/>
        <v>-0.24933685583615345</v>
      </c>
      <c r="AY282" s="2">
        <f t="shared" si="284"/>
        <v>-1.1693368558361534</v>
      </c>
      <c r="AZ282" s="2">
        <v>-2.1372864942513758</v>
      </c>
      <c r="BA282" s="78">
        <f t="shared" si="315"/>
        <v>0.1304135057486242</v>
      </c>
      <c r="BB282" s="78">
        <f t="shared" si="316"/>
        <v>1</v>
      </c>
      <c r="BC282" s="2" t="str">
        <f t="shared" si="285"/>
        <v/>
      </c>
      <c r="BD282" s="2">
        <f t="shared" si="286"/>
        <v>-2.1372864942513758</v>
      </c>
      <c r="BE282" s="67">
        <f t="shared" si="317"/>
        <v>2</v>
      </c>
      <c r="BF282" s="2">
        <v>87</v>
      </c>
      <c r="BG282" s="2">
        <v>0.45953187798486228</v>
      </c>
      <c r="BH282" s="2" t="str">
        <f t="shared" si="287"/>
        <v/>
      </c>
      <c r="BI282" s="2">
        <f t="shared" si="288"/>
        <v>0.45953187798486228</v>
      </c>
      <c r="BJ282" s="67">
        <f t="shared" si="289"/>
        <v>7</v>
      </c>
      <c r="BK282" s="2">
        <v>10500</v>
      </c>
      <c r="BL282" s="2">
        <v>-1.4186737116723069</v>
      </c>
      <c r="BM282" s="77">
        <f t="shared" si="318"/>
        <v>-0.4986737116723069</v>
      </c>
      <c r="BN282" s="77">
        <f t="shared" si="319"/>
        <v>-1</v>
      </c>
      <c r="BO282" s="2" t="str">
        <f t="shared" si="290"/>
        <v/>
      </c>
      <c r="BP282" s="2">
        <f t="shared" si="291"/>
        <v>-1.4186737116723069</v>
      </c>
      <c r="BQ282" s="67">
        <f t="shared" si="320"/>
        <v>7</v>
      </c>
      <c r="BS282" s="75" t="str">
        <f t="shared" si="321"/>
        <v>UF</v>
      </c>
      <c r="BT282" s="75" t="str">
        <f t="shared" si="322"/>
        <v>UF</v>
      </c>
      <c r="BU282" s="5" t="str">
        <f t="shared" si="329"/>
        <v>UF</v>
      </c>
      <c r="BV282" s="5" t="str">
        <f t="shared" si="292"/>
        <v>UF</v>
      </c>
      <c r="BW282" s="69" t="str">
        <f t="shared" si="293"/>
        <v/>
      </c>
      <c r="BX282" s="2" t="s">
        <v>12</v>
      </c>
      <c r="BZ282" s="74" t="str">
        <f t="shared" si="323"/>
        <v>UF</v>
      </c>
      <c r="CA282" s="74" t="str">
        <f t="shared" si="324"/>
        <v>UF</v>
      </c>
      <c r="CB282" s="5" t="str">
        <f t="shared" si="294"/>
        <v>UF</v>
      </c>
      <c r="CC282" s="5" t="str">
        <f t="shared" si="295"/>
        <v>UF</v>
      </c>
      <c r="CD282" s="2" t="e">
        <f t="shared" si="296"/>
        <v>#VALUE!</v>
      </c>
      <c r="CE282" s="69" t="str">
        <f t="shared" si="297"/>
        <v/>
      </c>
      <c r="CF282" s="5" t="s">
        <v>12</v>
      </c>
      <c r="CH282" s="72" t="str">
        <f t="shared" si="325"/>
        <v>UF</v>
      </c>
      <c r="CI282" s="72" t="str">
        <f t="shared" si="326"/>
        <v>UF</v>
      </c>
      <c r="CJ282" s="5" t="str">
        <f t="shared" si="298"/>
        <v>UF</v>
      </c>
      <c r="CK282" s="5" t="str">
        <f t="shared" si="299"/>
        <v>UF</v>
      </c>
      <c r="CL282" s="69" t="str">
        <f t="shared" si="300"/>
        <v/>
      </c>
      <c r="CN282" s="70" t="str">
        <f t="shared" si="301"/>
        <v/>
      </c>
      <c r="CO282" s="5" t="str">
        <f t="shared" si="302"/>
        <v>UF</v>
      </c>
      <c r="CP282" s="5" t="str">
        <f>IF(G282&lt;48,"UF", IF(NOT(ISBLANK(CM:CM)), CM:CM, IF(BW:BW=1, BV:BV+Sheet2!B79, IF(Sheet1!BW:BW=2, Sheet1!BV:BV+Sheet2!B80, IF(Sheet1!BW:BW=7, Sheet1!BV:BV+Sheet2!B81,"")))))</f>
        <v>UF</v>
      </c>
      <c r="CQ282" s="69" t="str">
        <f t="shared" si="327"/>
        <v/>
      </c>
      <c r="CR282" s="5" t="s">
        <v>12</v>
      </c>
      <c r="CT282" s="5" t="str">
        <f t="shared" si="303"/>
        <v/>
      </c>
      <c r="CU282" s="80" t="str">
        <f t="shared" si="304"/>
        <v>UF</v>
      </c>
      <c r="CV282" s="80" t="str">
        <f t="shared" si="305"/>
        <v>UF</v>
      </c>
      <c r="CW282" s="20" t="str">
        <f>IF(G282&lt;48,"UF", IF(NOT(ISBLANK(CS282)), CS282, IF(CE282=5, CC282+Sheet2!B68, IF(CE282=6, CC282+Sheet2!B69, IF(CE282=7, CC282+Sheet2!B70,"")))))</f>
        <v>UF</v>
      </c>
      <c r="CX282" s="68" t="str">
        <f t="shared" si="328"/>
        <v/>
      </c>
      <c r="CY282" s="5" t="s">
        <v>12</v>
      </c>
      <c r="DA282" s="5" t="str">
        <f t="shared" si="306"/>
        <v>UF</v>
      </c>
      <c r="DB282" s="73" t="str">
        <f t="shared" si="307"/>
        <v>UF</v>
      </c>
      <c r="DC282" s="73" t="str">
        <f t="shared" si="308"/>
        <v>UF</v>
      </c>
      <c r="DD282" s="5" t="str">
        <f>IF(G282&lt;48,"UF", IF(NOT(ISBLANK(CZ:CZ)), CZ:CZ, IF(CL:CL=3, CK:CK+Sheet2!B73, IF(CL:CL=4, CK:CK+Sheet2!B74, IF(CL:CL=7, CK:CK+Sheet2!B75,"")))))</f>
        <v>UF</v>
      </c>
      <c r="DE282" s="69" t="str">
        <f t="shared" si="266"/>
        <v/>
      </c>
      <c r="DF282" s="2">
        <v>2</v>
      </c>
      <c r="DG282" s="2">
        <v>36</v>
      </c>
      <c r="DH282" s="2">
        <v>1</v>
      </c>
      <c r="DI282" s="2">
        <v>2</v>
      </c>
      <c r="DJ282" s="2">
        <v>2</v>
      </c>
      <c r="DK282" s="2">
        <v>120</v>
      </c>
      <c r="DL282" s="2">
        <v>80</v>
      </c>
      <c r="DM282" s="2">
        <v>110</v>
      </c>
      <c r="DN282" s="2">
        <v>60</v>
      </c>
      <c r="DO282" s="2">
        <v>110</v>
      </c>
      <c r="DP282" s="2">
        <v>70</v>
      </c>
      <c r="DQ282" s="2">
        <v>2</v>
      </c>
      <c r="DR282" s="2">
        <v>41</v>
      </c>
      <c r="DS282" s="2">
        <v>2</v>
      </c>
      <c r="DT282" s="2">
        <v>86</v>
      </c>
      <c r="DU282" s="2">
        <v>82</v>
      </c>
      <c r="DV282" s="2">
        <v>4</v>
      </c>
      <c r="DW282" s="2">
        <v>2</v>
      </c>
      <c r="DX282" s="2">
        <v>4</v>
      </c>
      <c r="DY282" s="2">
        <v>3</v>
      </c>
      <c r="DZ282" s="2">
        <v>33</v>
      </c>
      <c r="EA282" s="2">
        <v>33</v>
      </c>
      <c r="EB282" s="2">
        <v>45</v>
      </c>
      <c r="EC282" s="2">
        <v>4</v>
      </c>
      <c r="ED282" s="2">
        <v>1</v>
      </c>
    </row>
    <row r="283" spans="1:134" x14ac:dyDescent="0.25">
      <c r="C283" s="2" t="s">
        <v>376</v>
      </c>
      <c r="D283" s="2">
        <v>2501042859</v>
      </c>
      <c r="E283" s="5">
        <v>6</v>
      </c>
      <c r="F283" s="2">
        <v>2</v>
      </c>
      <c r="G283" s="2">
        <v>36</v>
      </c>
      <c r="H283" s="2">
        <v>-6.4891987498232417</v>
      </c>
      <c r="I283" s="2">
        <v>64</v>
      </c>
      <c r="J283" s="2">
        <v>7.4564248305231544</v>
      </c>
      <c r="K283" s="5">
        <v>2815</v>
      </c>
      <c r="L283" s="2">
        <v>-1.1492442716862421</v>
      </c>
      <c r="M283" s="2">
        <v>-2.6366000000000001</v>
      </c>
      <c r="N283" s="2">
        <f t="shared" si="268"/>
        <v>2.3595493749116208</v>
      </c>
      <c r="O283" s="2">
        <f t="shared" si="269"/>
        <v>-2.6366000000000001</v>
      </c>
      <c r="P283" s="2">
        <v>66.5</v>
      </c>
      <c r="Q283" s="2">
        <v>-0.53</v>
      </c>
      <c r="R283" s="5">
        <f t="shared" si="270"/>
        <v>-4.3032124152615774</v>
      </c>
      <c r="S283" s="5">
        <f t="shared" si="271"/>
        <v>-0.53</v>
      </c>
      <c r="T283" s="1">
        <v>6200</v>
      </c>
      <c r="U283" s="2">
        <v>-2.2200000000000002</v>
      </c>
      <c r="V283" s="2">
        <f t="shared" si="272"/>
        <v>-0.39037786415687892</v>
      </c>
      <c r="W283" s="2">
        <f t="shared" si="273"/>
        <v>-2.2200000000000002</v>
      </c>
      <c r="X283" s="2">
        <v>-1.7701</v>
      </c>
      <c r="Y283" s="76">
        <f t="shared" si="309"/>
        <v>4.7190987498232415</v>
      </c>
      <c r="Z283" s="76">
        <f t="shared" si="310"/>
        <v>2</v>
      </c>
      <c r="AA283" s="2">
        <f t="shared" si="274"/>
        <v>-0.13074999999999998</v>
      </c>
      <c r="AB283" s="2">
        <f t="shared" si="275"/>
        <v>-1.7701</v>
      </c>
      <c r="AC283" s="2">
        <v>73</v>
      </c>
      <c r="AD283" s="2">
        <v>-1.1499999999999999</v>
      </c>
      <c r="AE283" s="79">
        <f t="shared" si="311"/>
        <v>-8.6064248305231548</v>
      </c>
      <c r="AF283" s="79">
        <f t="shared" si="312"/>
        <v>-2</v>
      </c>
      <c r="AG283" s="2">
        <f t="shared" si="265"/>
        <v>-0.71</v>
      </c>
      <c r="AH283" s="2">
        <f t="shared" si="276"/>
        <v>-1.1499999999999999</v>
      </c>
      <c r="AI283" s="2">
        <v>7800</v>
      </c>
      <c r="AJ283" s="2">
        <v>-1.93</v>
      </c>
      <c r="AK283" s="76">
        <f t="shared" si="313"/>
        <v>-0.78075572831375784</v>
      </c>
      <c r="AL283" s="76">
        <f t="shared" si="314"/>
        <v>-2</v>
      </c>
      <c r="AM283" s="2">
        <f t="shared" si="277"/>
        <v>0.2350000000000001</v>
      </c>
      <c r="AN283" s="2">
        <f t="shared" si="278"/>
        <v>-1.93</v>
      </c>
      <c r="AO283" s="2">
        <v>-0.79149999999999998</v>
      </c>
      <c r="AP283" s="2" t="str">
        <f t="shared" si="279"/>
        <v/>
      </c>
      <c r="AQ283" s="2">
        <f t="shared" si="280"/>
        <v>-0.79149999999999998</v>
      </c>
      <c r="AR283" s="2">
        <v>77</v>
      </c>
      <c r="AS283" s="2">
        <v>-1.95</v>
      </c>
      <c r="AT283" s="2" t="str">
        <f t="shared" si="281"/>
        <v/>
      </c>
      <c r="AU283" s="2">
        <f t="shared" si="282"/>
        <v>-1.95</v>
      </c>
      <c r="AV283" s="2">
        <v>9000</v>
      </c>
      <c r="AW283" s="2">
        <v>-1.75</v>
      </c>
      <c r="AX283" s="2" t="str">
        <f t="shared" si="283"/>
        <v/>
      </c>
      <c r="AY283" s="2">
        <f t="shared" si="284"/>
        <v>-1.75</v>
      </c>
      <c r="BA283" s="78">
        <f t="shared" si="315"/>
        <v>0.57287273099326064</v>
      </c>
      <c r="BB283" s="78">
        <f t="shared" si="316"/>
        <v>1</v>
      </c>
      <c r="BC283" s="2">
        <f t="shared" si="285"/>
        <v>-0.40572726900673928</v>
      </c>
      <c r="BD283" s="2">
        <f t="shared" si="286"/>
        <v>-1.1972272690067394</v>
      </c>
      <c r="BE283" s="67">
        <f t="shared" si="317"/>
        <v>7</v>
      </c>
      <c r="BF283" s="2" t="s">
        <v>12</v>
      </c>
      <c r="BH283" s="2">
        <f t="shared" si="287"/>
        <v>8.2319492847091988E-2</v>
      </c>
      <c r="BI283" s="2">
        <f t="shared" si="288"/>
        <v>-1.8676805071529079</v>
      </c>
      <c r="BJ283" s="67">
        <f t="shared" si="289"/>
        <v>7</v>
      </c>
      <c r="BK283" s="2" t="s">
        <v>12</v>
      </c>
      <c r="BM283" s="77">
        <f t="shared" si="318"/>
        <v>-7.9056541410164938E-2</v>
      </c>
      <c r="BN283" s="77">
        <f t="shared" si="319"/>
        <v>-1</v>
      </c>
      <c r="BO283" s="2">
        <f t="shared" si="290"/>
        <v>-0.25905654141016471</v>
      </c>
      <c r="BP283" s="2">
        <f t="shared" si="291"/>
        <v>-2.0090565414101649</v>
      </c>
      <c r="BQ283" s="67">
        <f t="shared" si="320"/>
        <v>4</v>
      </c>
      <c r="BR283" s="5">
        <v>-2.0086818070202179</v>
      </c>
      <c r="BS283" s="75">
        <f t="shared" si="321"/>
        <v>-0.81145453801347855</v>
      </c>
      <c r="BT283" s="75">
        <f t="shared" si="322"/>
        <v>-2</v>
      </c>
      <c r="BU283" s="5" t="str">
        <f t="shared" si="329"/>
        <v>UF</v>
      </c>
      <c r="BV283" s="5">
        <f t="shared" si="292"/>
        <v>-2.0086818070202179</v>
      </c>
      <c r="BW283" s="69">
        <f t="shared" si="293"/>
        <v>2</v>
      </c>
      <c r="BX283" s="2">
        <v>89</v>
      </c>
      <c r="BY283" s="5">
        <v>-1.703041521458724</v>
      </c>
      <c r="BZ283" s="74">
        <f t="shared" si="323"/>
        <v>0.30601501995144087</v>
      </c>
      <c r="CA283" s="74">
        <f t="shared" si="324"/>
        <v>1</v>
      </c>
      <c r="CB283" s="5" t="str">
        <f t="shared" si="294"/>
        <v/>
      </c>
      <c r="CC283" s="5">
        <f t="shared" si="295"/>
        <v>-1.703041521458724</v>
      </c>
      <c r="CD283" s="2">
        <f t="shared" si="296"/>
        <v>0.16463898569418389</v>
      </c>
      <c r="CE283" s="69">
        <f t="shared" si="297"/>
        <v>7</v>
      </c>
      <c r="CF283" s="5">
        <v>11100</v>
      </c>
      <c r="CG283" s="5">
        <v>-2.5271696242304942</v>
      </c>
      <c r="CH283" s="72">
        <f t="shared" si="325"/>
        <v>-0.51811308282032931</v>
      </c>
      <c r="CI283" s="72">
        <f t="shared" si="326"/>
        <v>-1</v>
      </c>
      <c r="CJ283" s="5" t="str">
        <f t="shared" si="298"/>
        <v/>
      </c>
      <c r="CK283" s="5">
        <f t="shared" si="299"/>
        <v>-2.5271696242304942</v>
      </c>
      <c r="CL283" s="69">
        <f t="shared" si="300"/>
        <v>4</v>
      </c>
      <c r="CN283" s="70" t="str">
        <f t="shared" si="301"/>
        <v/>
      </c>
      <c r="CO283" s="5" t="str">
        <f t="shared" si="302"/>
        <v>UF</v>
      </c>
      <c r="CP283" s="5" t="str">
        <f>IF(G283&lt;48,"UF", IF(NOT(ISBLANK(CM:CM)), CM:CM, IF(BW:BW=1, BV:BV+Sheet2!B274, IF(Sheet1!BW:BW=2, Sheet1!BV:BV+Sheet2!B275, IF(Sheet1!BW:BW=7, Sheet1!BV:BV+Sheet2!B276,"")))))</f>
        <v>UF</v>
      </c>
      <c r="CQ283" s="69" t="str">
        <f t="shared" si="327"/>
        <v/>
      </c>
      <c r="CR283" s="5" t="s">
        <v>12</v>
      </c>
      <c r="CT283" s="5" t="str">
        <f t="shared" si="303"/>
        <v/>
      </c>
      <c r="CU283" s="80" t="str">
        <f t="shared" si="304"/>
        <v>UF</v>
      </c>
      <c r="CV283" s="80" t="str">
        <f t="shared" si="305"/>
        <v>UF</v>
      </c>
      <c r="CW283" s="20" t="str">
        <f>IF(G283&lt;48,"UF", IF(NOT(ISBLANK(CS283)), CS283, IF(CE283=5, CC283+Sheet2!B263, IF(CE283=6, CC283+Sheet2!B264, IF(CE283=7, CC283+Sheet2!B265,"")))))</f>
        <v>UF</v>
      </c>
      <c r="CX283" s="68" t="str">
        <f t="shared" si="328"/>
        <v/>
      </c>
      <c r="CY283" s="5" t="s">
        <v>12</v>
      </c>
      <c r="DA283" s="5" t="str">
        <f t="shared" si="306"/>
        <v>UF</v>
      </c>
      <c r="DB283" s="73" t="str">
        <f t="shared" si="307"/>
        <v>UF</v>
      </c>
      <c r="DC283" s="73" t="str">
        <f t="shared" si="308"/>
        <v>UF</v>
      </c>
      <c r="DD283" s="5" t="str">
        <f>IF(G283&lt;48,"UF", IF(NOT(ISBLANK(CZ:CZ)), CZ:CZ, IF(CL:CL=3, CK:CK+Sheet2!B268, IF(CL:CL=4, CK:CK+Sheet2!B269, IF(CL:CL=7, CK:CK+Sheet2!B270,"")))))</f>
        <v>UF</v>
      </c>
      <c r="DE283" s="69" t="str">
        <f t="shared" si="266"/>
        <v/>
      </c>
      <c r="DF283" s="2">
        <v>1</v>
      </c>
      <c r="DG283" s="2">
        <v>38</v>
      </c>
      <c r="DH283" s="2">
        <v>2</v>
      </c>
      <c r="DI283" s="2">
        <v>2</v>
      </c>
      <c r="DJ283" s="2">
        <v>2</v>
      </c>
      <c r="DK283" s="2">
        <v>103</v>
      </c>
      <c r="DL283" s="2">
        <v>65</v>
      </c>
      <c r="DM283" s="2">
        <v>100</v>
      </c>
      <c r="DN283" s="2">
        <v>60</v>
      </c>
      <c r="DO283" s="2">
        <v>94</v>
      </c>
      <c r="DP283" s="2">
        <v>61</v>
      </c>
      <c r="DQ283" s="2">
        <v>2</v>
      </c>
      <c r="DR283" s="2">
        <v>40</v>
      </c>
      <c r="DS283" s="2">
        <v>2</v>
      </c>
      <c r="DT283" s="2">
        <v>85</v>
      </c>
      <c r="DU283" s="2">
        <v>65</v>
      </c>
      <c r="DV283" s="2">
        <v>2</v>
      </c>
      <c r="DW283" s="2">
        <v>2</v>
      </c>
      <c r="DX283" s="2">
        <v>2</v>
      </c>
      <c r="DY283" s="2">
        <v>1</v>
      </c>
      <c r="DZ283" s="2">
        <v>34</v>
      </c>
      <c r="EA283" s="2">
        <v>35.5</v>
      </c>
      <c r="EB283" s="2">
        <v>46</v>
      </c>
      <c r="EC283" s="2">
        <v>1</v>
      </c>
      <c r="ED283" s="2">
        <v>1</v>
      </c>
    </row>
    <row r="284" spans="1:134" x14ac:dyDescent="0.25">
      <c r="C284" s="8" t="s">
        <v>54</v>
      </c>
      <c r="D284" s="2">
        <v>2501043154</v>
      </c>
      <c r="E284" s="2" t="s">
        <v>531</v>
      </c>
      <c r="F284" s="2">
        <v>2</v>
      </c>
      <c r="G284" s="2">
        <v>33</v>
      </c>
      <c r="H284" s="2">
        <v>-5.0415634925468256</v>
      </c>
      <c r="I284" s="2">
        <v>48</v>
      </c>
      <c r="J284" s="2">
        <v>-0.99529637274036198</v>
      </c>
      <c r="K284" s="5">
        <v>1900</v>
      </c>
      <c r="L284" s="2">
        <v>-3.4757405510426111</v>
      </c>
      <c r="N284" s="2" t="str">
        <f t="shared" si="268"/>
        <v/>
      </c>
      <c r="O284" s="2" t="e">
        <f t="shared" si="269"/>
        <v>#VALUE!</v>
      </c>
      <c r="P284" s="2" t="s">
        <v>12</v>
      </c>
      <c r="R284" s="5" t="str">
        <f t="shared" si="270"/>
        <v/>
      </c>
      <c r="S284" s="5" t="e">
        <f t="shared" si="271"/>
        <v>#VALUE!</v>
      </c>
      <c r="T284" s="2" t="s">
        <v>12</v>
      </c>
      <c r="V284" s="2" t="str">
        <f t="shared" si="272"/>
        <v/>
      </c>
      <c r="W284" s="2" t="e">
        <f t="shared" si="273"/>
        <v>#VALUE!</v>
      </c>
      <c r="Y284" s="76" t="e">
        <f t="shared" si="309"/>
        <v>#VALUE!</v>
      </c>
      <c r="Z284" s="76" t="e">
        <f t="shared" si="310"/>
        <v>#VALUE!</v>
      </c>
      <c r="AA284" s="2" t="str">
        <f t="shared" si="274"/>
        <v/>
      </c>
      <c r="AB284" s="2" t="e">
        <f t="shared" si="275"/>
        <v>#VALUE!</v>
      </c>
      <c r="AC284" s="2" t="s">
        <v>12</v>
      </c>
      <c r="AE284" s="79" t="e">
        <f t="shared" si="311"/>
        <v>#VALUE!</v>
      </c>
      <c r="AF284" s="79" t="e">
        <f t="shared" si="312"/>
        <v>#VALUE!</v>
      </c>
      <c r="AG284" s="2" t="str">
        <f t="shared" si="265"/>
        <v/>
      </c>
      <c r="AH284" s="2" t="e">
        <f t="shared" si="276"/>
        <v>#VALUE!</v>
      </c>
      <c r="AI284" s="2" t="s">
        <v>12</v>
      </c>
      <c r="AK284" s="76" t="e">
        <f t="shared" si="313"/>
        <v>#VALUE!</v>
      </c>
      <c r="AL284" s="76" t="e">
        <f t="shared" si="314"/>
        <v>#VALUE!</v>
      </c>
      <c r="AM284" s="2" t="str">
        <f t="shared" si="277"/>
        <v/>
      </c>
      <c r="AN284" s="2" t="e">
        <f t="shared" si="278"/>
        <v>#VALUE!</v>
      </c>
      <c r="AP284" s="2" t="str">
        <f t="shared" si="279"/>
        <v/>
      </c>
      <c r="AQ284" s="2" t="e">
        <f t="shared" si="280"/>
        <v>#VALUE!</v>
      </c>
      <c r="AR284" s="2" t="s">
        <v>12</v>
      </c>
      <c r="AT284" s="2" t="str">
        <f t="shared" si="281"/>
        <v/>
      </c>
      <c r="AU284" s="2" t="e">
        <f t="shared" si="282"/>
        <v>#VALUE!</v>
      </c>
      <c r="AV284" s="2" t="s">
        <v>12</v>
      </c>
      <c r="AX284" s="2" t="str">
        <f t="shared" si="283"/>
        <v/>
      </c>
      <c r="AY284" s="2" t="e">
        <f t="shared" si="284"/>
        <v>#VALUE!</v>
      </c>
      <c r="BA284" s="78" t="e">
        <f t="shared" si="315"/>
        <v>#VALUE!</v>
      </c>
      <c r="BB284" s="78" t="e">
        <f t="shared" si="316"/>
        <v>#VALUE!</v>
      </c>
      <c r="BC284" s="2" t="str">
        <f t="shared" si="285"/>
        <v/>
      </c>
      <c r="BD284" s="2" t="e">
        <f t="shared" si="286"/>
        <v>#VALUE!</v>
      </c>
      <c r="BE284" s="67" t="e">
        <f t="shared" si="317"/>
        <v>#VALUE!</v>
      </c>
      <c r="BF284" s="2" t="s">
        <v>12</v>
      </c>
      <c r="BH284" s="2" t="str">
        <f t="shared" si="287"/>
        <v/>
      </c>
      <c r="BI284" s="2" t="e">
        <f t="shared" si="288"/>
        <v>#VALUE!</v>
      </c>
      <c r="BJ284" s="67" t="e">
        <f t="shared" si="289"/>
        <v>#VALUE!</v>
      </c>
      <c r="BK284" s="2" t="s">
        <v>12</v>
      </c>
      <c r="BM284" s="77" t="e">
        <f t="shared" si="318"/>
        <v>#VALUE!</v>
      </c>
      <c r="BN284" s="77" t="e">
        <f t="shared" si="319"/>
        <v>#VALUE!</v>
      </c>
      <c r="BO284" s="2" t="str">
        <f t="shared" si="290"/>
        <v/>
      </c>
      <c r="BP284" s="2" t="e">
        <f t="shared" si="291"/>
        <v>#VALUE!</v>
      </c>
      <c r="BQ284" s="67" t="e">
        <f t="shared" si="320"/>
        <v>#VALUE!</v>
      </c>
      <c r="BS284" s="75" t="str">
        <f t="shared" si="321"/>
        <v>UF</v>
      </c>
      <c r="BT284" s="75" t="str">
        <f t="shared" si="322"/>
        <v>UF</v>
      </c>
      <c r="BU284" s="5" t="str">
        <f t="shared" si="329"/>
        <v/>
      </c>
      <c r="BV284" s="5" t="str">
        <f t="shared" si="292"/>
        <v>UF</v>
      </c>
      <c r="BW284" s="69" t="str">
        <f t="shared" si="293"/>
        <v/>
      </c>
      <c r="BX284" s="2" t="s">
        <v>12</v>
      </c>
      <c r="BZ284" s="74" t="str">
        <f t="shared" si="323"/>
        <v>UF</v>
      </c>
      <c r="CA284" s="74" t="str">
        <f t="shared" si="324"/>
        <v>UF</v>
      </c>
      <c r="CB284" s="5" t="str">
        <f t="shared" si="294"/>
        <v>UF</v>
      </c>
      <c r="CC284" s="5" t="str">
        <f t="shared" si="295"/>
        <v>UF</v>
      </c>
      <c r="CD284" s="2" t="e">
        <f t="shared" si="296"/>
        <v>#VALUE!</v>
      </c>
      <c r="CE284" s="69" t="str">
        <f t="shared" si="297"/>
        <v/>
      </c>
      <c r="CF284" s="5" t="s">
        <v>12</v>
      </c>
      <c r="CH284" s="72" t="str">
        <f t="shared" si="325"/>
        <v>UF</v>
      </c>
      <c r="CI284" s="72" t="str">
        <f t="shared" si="326"/>
        <v>UF</v>
      </c>
      <c r="CJ284" s="5" t="str">
        <f t="shared" si="298"/>
        <v>UF</v>
      </c>
      <c r="CK284" s="5" t="str">
        <f t="shared" si="299"/>
        <v>UF</v>
      </c>
      <c r="CL284" s="69" t="str">
        <f t="shared" si="300"/>
        <v/>
      </c>
      <c r="CN284" s="70" t="str">
        <f t="shared" si="301"/>
        <v/>
      </c>
      <c r="CO284" s="5" t="str">
        <f t="shared" si="302"/>
        <v>UF</v>
      </c>
      <c r="CP284" s="5" t="str">
        <f>IF(G284&lt;48,"UF", IF(NOT(ISBLANK(CM:CM)), CM:CM, IF(BW:BW=1, BV:BV+Sheet2!B172, IF(Sheet1!BW:BW=2, Sheet1!BV:BV+Sheet2!B173, IF(Sheet1!BW:BW=7, Sheet1!BV:BV+Sheet2!B174,"")))))</f>
        <v>UF</v>
      </c>
      <c r="CQ284" s="69" t="str">
        <f t="shared" si="327"/>
        <v/>
      </c>
      <c r="CR284" s="5" t="s">
        <v>12</v>
      </c>
      <c r="CT284" s="5" t="str">
        <f t="shared" si="303"/>
        <v/>
      </c>
      <c r="CU284" s="80" t="str">
        <f t="shared" si="304"/>
        <v>UF</v>
      </c>
      <c r="CV284" s="80" t="str">
        <f t="shared" si="305"/>
        <v>UF</v>
      </c>
      <c r="CW284" s="20" t="str">
        <f>IF(G284&lt;48,"UF", IF(NOT(ISBLANK(CS284)), CS284, IF(CE284=5, CC284+Sheet2!B161, IF(CE284=6, CC284+Sheet2!B162, IF(CE284=7, CC284+Sheet2!B163,"")))))</f>
        <v>UF</v>
      </c>
      <c r="CX284" s="68" t="str">
        <f t="shared" si="328"/>
        <v/>
      </c>
      <c r="CY284" s="5" t="s">
        <v>12</v>
      </c>
      <c r="DA284" s="5" t="str">
        <f t="shared" si="306"/>
        <v>UF</v>
      </c>
      <c r="DB284" s="73" t="str">
        <f t="shared" si="307"/>
        <v>UF</v>
      </c>
      <c r="DC284" s="73" t="str">
        <f t="shared" si="308"/>
        <v>UF</v>
      </c>
      <c r="DD284" s="5" t="str">
        <f>IF(G284&lt;48,"UF", IF(NOT(ISBLANK(CZ:CZ)), CZ:CZ, IF(CL:CL=3, CK:CK+Sheet2!B166, IF(CL:CL=4, CK:CK+Sheet2!B167, IF(CL:CL=7, CK:CK+Sheet2!B168,"")))))</f>
        <v>UF</v>
      </c>
      <c r="DE284" s="69" t="str">
        <f t="shared" si="266"/>
        <v/>
      </c>
      <c r="DF284" s="2">
        <v>1</v>
      </c>
      <c r="DG284" s="2">
        <v>26</v>
      </c>
      <c r="DH284" s="2">
        <v>1</v>
      </c>
      <c r="DI284" s="2">
        <v>2</v>
      </c>
      <c r="DJ284" s="2">
        <v>1</v>
      </c>
      <c r="DK284" s="2">
        <v>116</v>
      </c>
      <c r="DL284" s="2">
        <v>68</v>
      </c>
      <c r="DM284" s="2" t="s">
        <v>12</v>
      </c>
      <c r="DN284" s="2" t="s">
        <v>12</v>
      </c>
      <c r="DO284" s="2">
        <v>143</v>
      </c>
      <c r="DP284" s="2">
        <v>88</v>
      </c>
      <c r="DQ284" s="2">
        <v>2</v>
      </c>
      <c r="DR284" s="2">
        <v>36</v>
      </c>
      <c r="DS284" s="2">
        <v>1</v>
      </c>
      <c r="DT284" s="2">
        <v>94</v>
      </c>
      <c r="DU284" s="2">
        <v>81</v>
      </c>
      <c r="DV284" s="2">
        <v>2</v>
      </c>
      <c r="DW284" s="2">
        <v>4</v>
      </c>
      <c r="DX284" s="2">
        <v>2</v>
      </c>
      <c r="DY284" s="2">
        <v>2</v>
      </c>
      <c r="DZ284" s="2">
        <v>32.5</v>
      </c>
      <c r="EA284" s="2" t="s">
        <v>12</v>
      </c>
      <c r="EB284" s="2">
        <v>44.9</v>
      </c>
      <c r="EC284" s="2" t="s">
        <v>12</v>
      </c>
      <c r="ED284" s="2">
        <v>1</v>
      </c>
    </row>
    <row r="285" spans="1:134" x14ac:dyDescent="0.25">
      <c r="C285" s="8" t="s">
        <v>194</v>
      </c>
      <c r="D285" s="8">
        <v>2501043261</v>
      </c>
      <c r="E285" s="5">
        <v>7</v>
      </c>
      <c r="F285" s="2">
        <v>1</v>
      </c>
      <c r="G285" s="2">
        <v>32</v>
      </c>
      <c r="H285" s="2">
        <v>-0.30897113042305008</v>
      </c>
      <c r="I285" s="2">
        <v>50</v>
      </c>
      <c r="J285" s="2">
        <v>0.45756143734440202</v>
      </c>
      <c r="K285" s="2">
        <v>3240</v>
      </c>
      <c r="L285" s="2">
        <v>1.701676228218155E-2</v>
      </c>
      <c r="M285" s="2">
        <v>0.2535</v>
      </c>
      <c r="N285" s="2">
        <f t="shared" si="268"/>
        <v>0.62048556521152509</v>
      </c>
      <c r="O285" s="2">
        <f t="shared" si="269"/>
        <v>0.2535</v>
      </c>
      <c r="P285" s="2">
        <v>68</v>
      </c>
      <c r="Q285" s="2">
        <v>0.99</v>
      </c>
      <c r="R285" s="5">
        <f t="shared" si="270"/>
        <v>-3.3780718672201004E-2</v>
      </c>
      <c r="S285" s="5">
        <f t="shared" si="271"/>
        <v>0.99</v>
      </c>
      <c r="T285" s="2">
        <v>8000</v>
      </c>
      <c r="U285" s="2">
        <v>0.75</v>
      </c>
      <c r="V285" s="2">
        <f t="shared" si="272"/>
        <v>0.44149161885890925</v>
      </c>
      <c r="W285" s="2">
        <f t="shared" si="273"/>
        <v>0.75</v>
      </c>
      <c r="X285" s="2">
        <v>0.93200000000000005</v>
      </c>
      <c r="Y285" s="76">
        <f t="shared" si="309"/>
        <v>1.2409711304230502</v>
      </c>
      <c r="Z285" s="76">
        <f t="shared" si="310"/>
        <v>2</v>
      </c>
      <c r="AA285" s="2">
        <f t="shared" si="274"/>
        <v>-0.19929999999999998</v>
      </c>
      <c r="AB285" s="2">
        <f t="shared" si="275"/>
        <v>0.93200000000000005</v>
      </c>
      <c r="AC285" s="2">
        <v>75</v>
      </c>
      <c r="AD285" s="2">
        <v>0.39</v>
      </c>
      <c r="AE285" s="79">
        <f t="shared" si="311"/>
        <v>-6.7561437344402009E-2</v>
      </c>
      <c r="AF285" s="79">
        <f t="shared" si="312"/>
        <v>-1</v>
      </c>
      <c r="AG285" s="2">
        <f t="shared" si="265"/>
        <v>-0.62</v>
      </c>
      <c r="AH285" s="2">
        <f t="shared" si="276"/>
        <v>0.39</v>
      </c>
      <c r="AI285" s="2">
        <v>10000</v>
      </c>
      <c r="AJ285" s="2">
        <v>0.9</v>
      </c>
      <c r="AK285" s="76">
        <f t="shared" si="313"/>
        <v>0.8829832377178185</v>
      </c>
      <c r="AL285" s="76">
        <f t="shared" si="314"/>
        <v>2</v>
      </c>
      <c r="AM285" s="2">
        <f t="shared" si="277"/>
        <v>-0.23</v>
      </c>
      <c r="AN285" s="2">
        <f t="shared" si="278"/>
        <v>0.9</v>
      </c>
      <c r="AO285" s="2">
        <v>0.59140000000000004</v>
      </c>
      <c r="AP285" s="2">
        <f t="shared" si="279"/>
        <v>-0.39520919432034796</v>
      </c>
      <c r="AQ285" s="2">
        <f t="shared" si="280"/>
        <v>0.59140000000000004</v>
      </c>
      <c r="AR285" s="2">
        <v>80</v>
      </c>
      <c r="AS285" s="2">
        <v>-0.25</v>
      </c>
      <c r="AT285" s="2">
        <f t="shared" si="281"/>
        <v>0.10649220440666995</v>
      </c>
      <c r="AU285" s="2">
        <f t="shared" si="282"/>
        <v>-0.25</v>
      </c>
      <c r="AV285" s="2">
        <v>10600</v>
      </c>
      <c r="AW285" s="2">
        <v>0.28999999999999998</v>
      </c>
      <c r="AX285" s="2">
        <f t="shared" si="283"/>
        <v>-0.24221582169392072</v>
      </c>
      <c r="AY285" s="2">
        <f t="shared" si="284"/>
        <v>0.28999999999999998</v>
      </c>
      <c r="AZ285" s="2">
        <v>0.14158161135930419</v>
      </c>
      <c r="BA285" s="78">
        <f t="shared" si="315"/>
        <v>-0.79041838864069591</v>
      </c>
      <c r="BB285" s="78">
        <f t="shared" si="316"/>
        <v>-2</v>
      </c>
      <c r="BC285" s="2" t="str">
        <f t="shared" si="285"/>
        <v/>
      </c>
      <c r="BD285" s="2">
        <f t="shared" si="286"/>
        <v>0.14158161135930419</v>
      </c>
      <c r="BE285" s="67">
        <f t="shared" si="317"/>
        <v>7</v>
      </c>
      <c r="BF285" s="2">
        <v>87.5</v>
      </c>
      <c r="BG285" s="2">
        <v>0.60298440881333992</v>
      </c>
      <c r="BH285" s="2" t="str">
        <f t="shared" si="287"/>
        <v/>
      </c>
      <c r="BI285" s="2">
        <f t="shared" si="288"/>
        <v>0.60298440881333992</v>
      </c>
      <c r="BJ285" s="67">
        <f t="shared" si="289"/>
        <v>7</v>
      </c>
      <c r="BK285" s="2">
        <v>12700</v>
      </c>
      <c r="BL285" s="2">
        <v>0.41556835661215857</v>
      </c>
      <c r="BM285" s="77">
        <f t="shared" si="318"/>
        <v>-0.48443164338784145</v>
      </c>
      <c r="BN285" s="77">
        <f t="shared" si="319"/>
        <v>-1</v>
      </c>
      <c r="BO285" s="2" t="str">
        <f t="shared" si="290"/>
        <v/>
      </c>
      <c r="BP285" s="2">
        <f t="shared" si="291"/>
        <v>0.41556835661215857</v>
      </c>
      <c r="BQ285" s="67">
        <f t="shared" si="320"/>
        <v>7</v>
      </c>
      <c r="BS285" s="75" t="str">
        <f t="shared" si="321"/>
        <v>UF</v>
      </c>
      <c r="BT285" s="75" t="str">
        <f t="shared" si="322"/>
        <v>UF</v>
      </c>
      <c r="BU285" s="5" t="str">
        <f t="shared" si="329"/>
        <v>UF</v>
      </c>
      <c r="BV285" s="5" t="str">
        <f t="shared" si="292"/>
        <v>UF</v>
      </c>
      <c r="BW285" s="69" t="str">
        <f t="shared" si="293"/>
        <v/>
      </c>
      <c r="BX285" s="2" t="s">
        <v>12</v>
      </c>
      <c r="BZ285" s="74" t="str">
        <f t="shared" si="323"/>
        <v>UF</v>
      </c>
      <c r="CA285" s="74" t="str">
        <f t="shared" si="324"/>
        <v>UF</v>
      </c>
      <c r="CB285" s="5" t="str">
        <f t="shared" si="294"/>
        <v>UF</v>
      </c>
      <c r="CC285" s="5" t="str">
        <f t="shared" si="295"/>
        <v>UF</v>
      </c>
      <c r="CD285" s="2" t="e">
        <f t="shared" si="296"/>
        <v>#VALUE!</v>
      </c>
      <c r="CE285" s="69" t="str">
        <f t="shared" si="297"/>
        <v/>
      </c>
      <c r="CF285" s="5" t="s">
        <v>12</v>
      </c>
      <c r="CH285" s="72" t="str">
        <f t="shared" si="325"/>
        <v>UF</v>
      </c>
      <c r="CI285" s="72" t="str">
        <f t="shared" si="326"/>
        <v>UF</v>
      </c>
      <c r="CJ285" s="5" t="str">
        <f t="shared" si="298"/>
        <v>UF</v>
      </c>
      <c r="CK285" s="5" t="str">
        <f t="shared" si="299"/>
        <v>UF</v>
      </c>
      <c r="CL285" s="69" t="str">
        <f t="shared" si="300"/>
        <v/>
      </c>
      <c r="CN285" s="70" t="str">
        <f t="shared" si="301"/>
        <v/>
      </c>
      <c r="CO285" s="5" t="str">
        <f t="shared" si="302"/>
        <v>UF</v>
      </c>
      <c r="CP285" s="5" t="str">
        <f>IF(G285&lt;48,"UF", IF(NOT(ISBLANK(CM:CM)), CM:CM, IF(BW:BW=1, BV:BV+Sheet2!B428, IF(Sheet1!BW:BW=2, Sheet1!BV:BV+Sheet2!B429, IF(Sheet1!BW:BW=7, Sheet1!BV:BV+Sheet2!B430,"")))))</f>
        <v>UF</v>
      </c>
      <c r="CQ285" s="69" t="str">
        <f t="shared" si="327"/>
        <v/>
      </c>
      <c r="CR285" s="5" t="s">
        <v>12</v>
      </c>
      <c r="CT285" s="5" t="str">
        <f t="shared" si="303"/>
        <v/>
      </c>
      <c r="CU285" s="80" t="str">
        <f t="shared" si="304"/>
        <v>UF</v>
      </c>
      <c r="CV285" s="80" t="str">
        <f t="shared" si="305"/>
        <v>UF</v>
      </c>
      <c r="CW285" s="20" t="str">
        <f>IF(G285&lt;48,"UF", IF(NOT(ISBLANK(CS285)), CS285, IF(CE285=5, CC285+Sheet2!B417, IF(CE285=6, CC285+Sheet2!B418, IF(CE285=7, CC285+Sheet2!B419,"")))))</f>
        <v>UF</v>
      </c>
      <c r="CX285" s="68" t="str">
        <f t="shared" si="328"/>
        <v/>
      </c>
      <c r="CY285" s="5" t="s">
        <v>12</v>
      </c>
      <c r="DA285" s="5" t="str">
        <f t="shared" si="306"/>
        <v>UF</v>
      </c>
      <c r="DB285" s="73" t="str">
        <f t="shared" si="307"/>
        <v>UF</v>
      </c>
      <c r="DC285" s="73" t="str">
        <f t="shared" si="308"/>
        <v>UF</v>
      </c>
      <c r="DD285" s="5" t="str">
        <f>IF(G285&lt;48,"UF", IF(NOT(ISBLANK(CZ:CZ)), CZ:CZ, IF(CL:CL=3, CK:CK+Sheet2!B422, IF(CL:CL=4, CK:CK+Sheet2!B423, IF(CL:CL=7, CK:CK+Sheet2!B424,"")))))</f>
        <v>UF</v>
      </c>
      <c r="DE285" s="69" t="str">
        <f t="shared" si="266"/>
        <v/>
      </c>
      <c r="DF285" s="2">
        <v>3</v>
      </c>
      <c r="DG285" s="2">
        <v>42</v>
      </c>
      <c r="DH285" s="2">
        <v>2</v>
      </c>
      <c r="DI285" s="2">
        <v>2</v>
      </c>
      <c r="DJ285" s="2">
        <v>2</v>
      </c>
      <c r="DK285" s="2">
        <v>125</v>
      </c>
      <c r="DL285" s="2">
        <v>63</v>
      </c>
      <c r="DM285" s="2">
        <v>127</v>
      </c>
      <c r="DN285" s="2">
        <v>69</v>
      </c>
      <c r="DO285" s="2">
        <v>116</v>
      </c>
      <c r="DP285" s="2">
        <v>62</v>
      </c>
      <c r="DQ285" s="2">
        <v>2</v>
      </c>
      <c r="DR285" s="2">
        <v>39</v>
      </c>
      <c r="DS285" s="2">
        <v>2</v>
      </c>
      <c r="DT285" s="2">
        <v>84</v>
      </c>
      <c r="DU285" s="2">
        <v>74</v>
      </c>
      <c r="DV285" s="2">
        <v>2</v>
      </c>
      <c r="DW285" s="2">
        <v>2</v>
      </c>
      <c r="DX285" s="2">
        <v>2</v>
      </c>
      <c r="DY285" s="2">
        <v>2</v>
      </c>
      <c r="DZ285" s="2">
        <v>35</v>
      </c>
      <c r="EA285" s="2">
        <v>34</v>
      </c>
      <c r="EB285" s="2">
        <v>45</v>
      </c>
      <c r="EC285" s="2">
        <v>4</v>
      </c>
      <c r="ED285" s="2">
        <v>1</v>
      </c>
    </row>
    <row r="286" spans="1:134" x14ac:dyDescent="0.25">
      <c r="C286" s="8" t="s">
        <v>194</v>
      </c>
      <c r="D286" s="4">
        <v>2501043316</v>
      </c>
      <c r="E286" s="5">
        <v>7</v>
      </c>
      <c r="F286" s="2">
        <v>1</v>
      </c>
      <c r="G286" s="2">
        <v>32</v>
      </c>
      <c r="H286" s="2">
        <v>-1.1787861260939549</v>
      </c>
      <c r="I286" s="2">
        <v>50</v>
      </c>
      <c r="J286" s="2">
        <v>0.45756143734440202</v>
      </c>
      <c r="K286" s="1">
        <v>2990</v>
      </c>
      <c r="L286" s="2">
        <v>-0.54156747389798177</v>
      </c>
      <c r="M286" s="2">
        <v>1.179</v>
      </c>
      <c r="N286" s="2">
        <f t="shared" si="268"/>
        <v>1.3162930630469774</v>
      </c>
      <c r="O286" s="2">
        <f t="shared" si="269"/>
        <v>1.179</v>
      </c>
      <c r="P286" s="2">
        <v>66</v>
      </c>
      <c r="Q286" s="2">
        <v>0.11</v>
      </c>
      <c r="R286" s="5">
        <f t="shared" si="270"/>
        <v>-0.81378071867220103</v>
      </c>
      <c r="S286" s="5">
        <f t="shared" si="271"/>
        <v>0.11</v>
      </c>
      <c r="T286" s="1">
        <v>8200</v>
      </c>
      <c r="U286" s="2">
        <v>0.95</v>
      </c>
      <c r="V286" s="2">
        <f t="shared" si="272"/>
        <v>0.47078373694899089</v>
      </c>
      <c r="W286" s="2">
        <f t="shared" si="273"/>
        <v>0.95</v>
      </c>
      <c r="X286" s="2">
        <v>1.4538</v>
      </c>
      <c r="Y286" s="76">
        <f t="shared" si="309"/>
        <v>2.6325861260939547</v>
      </c>
      <c r="Z286" s="76">
        <f t="shared" si="310"/>
        <v>2</v>
      </c>
      <c r="AA286" s="2">
        <f t="shared" si="274"/>
        <v>0.27779999999999999</v>
      </c>
      <c r="AB286" s="2">
        <f t="shared" si="275"/>
        <v>1.4538</v>
      </c>
      <c r="AC286" s="2">
        <v>71</v>
      </c>
      <c r="AD286" s="2">
        <v>-1.17</v>
      </c>
      <c r="AE286" s="79">
        <f t="shared" si="311"/>
        <v>-1.6275614373444021</v>
      </c>
      <c r="AF286" s="79">
        <f t="shared" si="312"/>
        <v>-2</v>
      </c>
      <c r="AG286" s="2">
        <f t="shared" si="265"/>
        <v>-0.42</v>
      </c>
      <c r="AH286" s="2">
        <f t="shared" si="276"/>
        <v>-1.17</v>
      </c>
      <c r="AI286" s="2">
        <v>9400</v>
      </c>
      <c r="AJ286" s="2">
        <v>0.4</v>
      </c>
      <c r="AK286" s="76">
        <f t="shared" si="313"/>
        <v>0.94156747389798179</v>
      </c>
      <c r="AL286" s="76">
        <f t="shared" si="314"/>
        <v>2</v>
      </c>
      <c r="AM286" s="2">
        <f t="shared" si="277"/>
        <v>-0.44999999999999996</v>
      </c>
      <c r="AN286" s="2">
        <f t="shared" si="278"/>
        <v>0.4</v>
      </c>
      <c r="AO286" s="2">
        <v>0.66559999999999997</v>
      </c>
      <c r="AP286" s="2">
        <f t="shared" si="279"/>
        <v>-0.84634771432850942</v>
      </c>
      <c r="AQ286" s="2">
        <f t="shared" si="280"/>
        <v>0.66559999999999997</v>
      </c>
      <c r="AR286" s="2">
        <v>78.599999999999994</v>
      </c>
      <c r="AS286" s="2">
        <v>-0.73</v>
      </c>
      <c r="AT286" s="2">
        <f t="shared" si="281"/>
        <v>9.8685147493879521E-2</v>
      </c>
      <c r="AU286" s="2">
        <f t="shared" si="282"/>
        <v>-0.73</v>
      </c>
      <c r="AV286" s="2">
        <v>10300</v>
      </c>
      <c r="AW286" s="2">
        <v>0.05</v>
      </c>
      <c r="AX286" s="2">
        <f t="shared" si="283"/>
        <v>-0.76510430407852059</v>
      </c>
      <c r="AY286" s="2">
        <f t="shared" si="284"/>
        <v>0.05</v>
      </c>
      <c r="AZ286" s="2">
        <v>-0.2388954286570189</v>
      </c>
      <c r="BA286" s="78">
        <f t="shared" si="315"/>
        <v>-1.6926954286570188</v>
      </c>
      <c r="BB286" s="78">
        <f t="shared" si="316"/>
        <v>-2</v>
      </c>
      <c r="BC286" s="2" t="str">
        <f t="shared" si="285"/>
        <v/>
      </c>
      <c r="BD286" s="2">
        <f t="shared" si="286"/>
        <v>-0.2388954286570189</v>
      </c>
      <c r="BE286" s="67">
        <f t="shared" si="317"/>
        <v>7</v>
      </c>
      <c r="BF286" s="2">
        <v>82</v>
      </c>
      <c r="BG286" s="2">
        <v>-0.97262970501224089</v>
      </c>
      <c r="BH286" s="2" t="str">
        <f t="shared" si="287"/>
        <v/>
      </c>
      <c r="BI286" s="2">
        <f t="shared" si="288"/>
        <v>-0.97262970501224089</v>
      </c>
      <c r="BJ286" s="67">
        <f t="shared" si="289"/>
        <v>7</v>
      </c>
      <c r="BK286" s="2">
        <v>10800</v>
      </c>
      <c r="BL286" s="2">
        <v>-1.1302086081570411</v>
      </c>
      <c r="BM286" s="77">
        <f t="shared" si="318"/>
        <v>-1.5302086081570412</v>
      </c>
      <c r="BN286" s="77">
        <f t="shared" si="319"/>
        <v>-2</v>
      </c>
      <c r="BO286" s="2" t="str">
        <f t="shared" si="290"/>
        <v/>
      </c>
      <c r="BP286" s="2">
        <f t="shared" si="291"/>
        <v>-1.1302086081570411</v>
      </c>
      <c r="BQ286" s="67">
        <f t="shared" si="320"/>
        <v>7</v>
      </c>
      <c r="BS286" s="75" t="str">
        <f t="shared" si="321"/>
        <v>UF</v>
      </c>
      <c r="BT286" s="75" t="str">
        <f t="shared" si="322"/>
        <v>UF</v>
      </c>
      <c r="BU286" s="5" t="str">
        <f t="shared" si="329"/>
        <v>UF</v>
      </c>
      <c r="BV286" s="5" t="str">
        <f t="shared" si="292"/>
        <v>UF</v>
      </c>
      <c r="BW286" s="69" t="str">
        <f t="shared" si="293"/>
        <v/>
      </c>
      <c r="BX286" s="2" t="s">
        <v>12</v>
      </c>
      <c r="BZ286" s="74" t="str">
        <f t="shared" si="323"/>
        <v>UF</v>
      </c>
      <c r="CA286" s="74" t="str">
        <f t="shared" si="324"/>
        <v>UF</v>
      </c>
      <c r="CB286" s="5" t="str">
        <f t="shared" si="294"/>
        <v>UF</v>
      </c>
      <c r="CC286" s="5" t="str">
        <f t="shared" si="295"/>
        <v>UF</v>
      </c>
      <c r="CD286" s="2" t="e">
        <f t="shared" si="296"/>
        <v>#VALUE!</v>
      </c>
      <c r="CE286" s="69" t="str">
        <f t="shared" si="297"/>
        <v/>
      </c>
      <c r="CF286" s="5" t="s">
        <v>12</v>
      </c>
      <c r="CH286" s="72" t="str">
        <f t="shared" si="325"/>
        <v>UF</v>
      </c>
      <c r="CI286" s="72" t="str">
        <f t="shared" si="326"/>
        <v>UF</v>
      </c>
      <c r="CJ286" s="5" t="str">
        <f t="shared" si="298"/>
        <v>UF</v>
      </c>
      <c r="CK286" s="5" t="str">
        <f t="shared" si="299"/>
        <v>UF</v>
      </c>
      <c r="CL286" s="69" t="str">
        <f t="shared" si="300"/>
        <v/>
      </c>
      <c r="CN286" s="70" t="str">
        <f t="shared" si="301"/>
        <v/>
      </c>
      <c r="CO286" s="5" t="str">
        <f t="shared" si="302"/>
        <v>UF</v>
      </c>
      <c r="CP286" s="5" t="str">
        <f>IF(G286&lt;48,"UF", IF(NOT(ISBLANK(CM:CM)), CM:CM, IF(BW:BW=1, BV:BV+Sheet2!B368, IF(Sheet1!BW:BW=2, Sheet1!BV:BV+Sheet2!B369, IF(Sheet1!BW:BW=7, Sheet1!BV:BV+Sheet2!B370,"")))))</f>
        <v>UF</v>
      </c>
      <c r="CQ286" s="69" t="str">
        <f t="shared" si="327"/>
        <v/>
      </c>
      <c r="CR286" s="5" t="s">
        <v>12</v>
      </c>
      <c r="CT286" s="5" t="str">
        <f t="shared" si="303"/>
        <v/>
      </c>
      <c r="CU286" s="80" t="str">
        <f t="shared" si="304"/>
        <v>UF</v>
      </c>
      <c r="CV286" s="80" t="str">
        <f t="shared" si="305"/>
        <v>UF</v>
      </c>
      <c r="CW286" s="20" t="str">
        <f>IF(G286&lt;48,"UF", IF(NOT(ISBLANK(CS286)), CS286, IF(CE286=5, CC286+Sheet2!B357, IF(CE286=6, CC286+Sheet2!B358, IF(CE286=7, CC286+Sheet2!B359,"")))))</f>
        <v>UF</v>
      </c>
      <c r="CX286" s="68" t="str">
        <f t="shared" si="328"/>
        <v/>
      </c>
      <c r="CY286" s="5" t="s">
        <v>12</v>
      </c>
      <c r="DA286" s="5" t="str">
        <f t="shared" si="306"/>
        <v>UF</v>
      </c>
      <c r="DB286" s="73" t="str">
        <f t="shared" si="307"/>
        <v>UF</v>
      </c>
      <c r="DC286" s="73" t="str">
        <f t="shared" si="308"/>
        <v>UF</v>
      </c>
      <c r="DD286" s="5" t="str">
        <f>IF(G286&lt;48,"UF", IF(NOT(ISBLANK(CZ:CZ)), CZ:CZ, IF(CL:CL=3, CK:CK+Sheet2!B362, IF(CL:CL=4, CK:CK+Sheet2!B363, IF(CL:CL=7, CK:CK+Sheet2!B364,"")))))</f>
        <v>UF</v>
      </c>
      <c r="DE286" s="69" t="str">
        <f t="shared" si="266"/>
        <v/>
      </c>
      <c r="DF286" s="2">
        <v>1</v>
      </c>
      <c r="DG286" s="2">
        <v>26</v>
      </c>
      <c r="DH286" s="2">
        <v>2</v>
      </c>
      <c r="DI286" s="2">
        <v>2</v>
      </c>
      <c r="DJ286" s="2">
        <v>2</v>
      </c>
      <c r="DK286" s="2">
        <v>90</v>
      </c>
      <c r="DL286" s="2">
        <v>50</v>
      </c>
      <c r="DM286" s="2">
        <v>100</v>
      </c>
      <c r="DN286" s="2">
        <v>60</v>
      </c>
      <c r="DO286" s="2">
        <v>110</v>
      </c>
      <c r="DP286" s="2">
        <v>60</v>
      </c>
      <c r="DQ286" s="2">
        <v>2</v>
      </c>
      <c r="DR286" s="2">
        <v>39</v>
      </c>
      <c r="DS286" s="2">
        <v>2</v>
      </c>
      <c r="DT286" s="2">
        <v>76</v>
      </c>
      <c r="DU286" s="2">
        <v>90</v>
      </c>
      <c r="DV286" s="2">
        <v>2</v>
      </c>
      <c r="DW286" s="2">
        <v>2</v>
      </c>
      <c r="DX286" s="2">
        <v>2</v>
      </c>
      <c r="DY286" s="2">
        <v>2</v>
      </c>
      <c r="DZ286" s="2">
        <v>33</v>
      </c>
      <c r="EA286" s="2">
        <v>35</v>
      </c>
      <c r="EB286" s="2">
        <v>45.5</v>
      </c>
      <c r="EC286" s="2">
        <v>1</v>
      </c>
      <c r="ED286" s="2">
        <v>1</v>
      </c>
    </row>
    <row r="287" spans="1:134" x14ac:dyDescent="0.25">
      <c r="C287" s="8" t="s">
        <v>314</v>
      </c>
      <c r="D287" s="8">
        <v>2501043553</v>
      </c>
      <c r="E287" s="5">
        <v>7</v>
      </c>
      <c r="F287" s="2">
        <v>1</v>
      </c>
      <c r="G287" s="2">
        <v>34</v>
      </c>
      <c r="H287" s="2">
        <v>-1.538947504131684</v>
      </c>
      <c r="I287" s="2">
        <v>55</v>
      </c>
      <c r="J287" s="2">
        <v>3.141839952085506</v>
      </c>
      <c r="K287" s="2">
        <v>3500</v>
      </c>
      <c r="L287" s="2">
        <v>0.57031252552855893</v>
      </c>
      <c r="N287" s="2">
        <f t="shared" si="268"/>
        <v>0.85892375206584204</v>
      </c>
      <c r="O287" s="2">
        <f t="shared" si="269"/>
        <v>-0.68002375206584198</v>
      </c>
      <c r="P287" s="2" t="s">
        <v>12</v>
      </c>
      <c r="R287" s="5">
        <f t="shared" si="270"/>
        <v>-1.570919976042753</v>
      </c>
      <c r="S287" s="5">
        <f t="shared" si="271"/>
        <v>1.570919976042753</v>
      </c>
      <c r="T287" s="2" t="s">
        <v>12</v>
      </c>
      <c r="V287" s="2">
        <f t="shared" si="272"/>
        <v>-0.21515626276427946</v>
      </c>
      <c r="W287" s="2">
        <f t="shared" si="273"/>
        <v>0.35515626276427947</v>
      </c>
      <c r="X287" s="2">
        <v>0.1789</v>
      </c>
      <c r="Y287" s="76">
        <f t="shared" si="309"/>
        <v>1.7178475041316841</v>
      </c>
      <c r="Z287" s="76">
        <f t="shared" si="310"/>
        <v>2</v>
      </c>
      <c r="AA287" s="2" t="str">
        <f t="shared" si="274"/>
        <v/>
      </c>
      <c r="AB287" s="2">
        <f t="shared" si="275"/>
        <v>0.1789</v>
      </c>
      <c r="AC287" s="2">
        <v>74</v>
      </c>
      <c r="AD287" s="2">
        <v>0</v>
      </c>
      <c r="AE287" s="79">
        <f t="shared" si="311"/>
        <v>-3.141839952085506</v>
      </c>
      <c r="AF287" s="79">
        <f t="shared" si="312"/>
        <v>-2</v>
      </c>
      <c r="AG287" s="2" t="str">
        <f t="shared" si="265"/>
        <v/>
      </c>
      <c r="AH287" s="2">
        <f t="shared" si="276"/>
        <v>0</v>
      </c>
      <c r="AI287" s="2">
        <v>9100</v>
      </c>
      <c r="AJ287" s="2">
        <v>0.14000000000000001</v>
      </c>
      <c r="AK287" s="76">
        <f t="shared" si="313"/>
        <v>-0.43031252552855892</v>
      </c>
      <c r="AL287" s="76">
        <f t="shared" si="314"/>
        <v>-1</v>
      </c>
      <c r="AM287" s="2" t="str">
        <f t="shared" si="277"/>
        <v/>
      </c>
      <c r="AN287" s="2">
        <f t="shared" si="278"/>
        <v>0.14000000000000001</v>
      </c>
      <c r="AP287" s="2">
        <f t="shared" si="279"/>
        <v>-8.4100900513902954E-2</v>
      </c>
      <c r="AQ287" s="2">
        <f t="shared" si="280"/>
        <v>9.4799099486097049E-2</v>
      </c>
      <c r="AR287" s="2" t="s">
        <v>12</v>
      </c>
      <c r="AT287" s="2">
        <f t="shared" si="281"/>
        <v>-0.34327350475836804</v>
      </c>
      <c r="AU287" s="2">
        <f t="shared" si="282"/>
        <v>-0.34327350475836804</v>
      </c>
      <c r="AV287" s="2" t="s">
        <v>12</v>
      </c>
      <c r="AX287" s="2">
        <f t="shared" si="283"/>
        <v>-0.40969907023299523</v>
      </c>
      <c r="AY287" s="2">
        <f t="shared" si="284"/>
        <v>-0.26969907023299522</v>
      </c>
      <c r="AZ287" s="2">
        <v>1.06981989721941E-2</v>
      </c>
      <c r="BA287" s="78">
        <f t="shared" si="315"/>
        <v>-0.16820180102780591</v>
      </c>
      <c r="BB287" s="78">
        <f t="shared" si="316"/>
        <v>-1</v>
      </c>
      <c r="BC287" s="2" t="str">
        <f t="shared" si="285"/>
        <v/>
      </c>
      <c r="BD287" s="2">
        <f t="shared" si="286"/>
        <v>1.06981989721941E-2</v>
      </c>
      <c r="BE287" s="67">
        <f t="shared" si="317"/>
        <v>7</v>
      </c>
      <c r="BF287" s="2">
        <v>83</v>
      </c>
      <c r="BG287" s="2">
        <v>-0.68654700951673608</v>
      </c>
      <c r="BH287" s="2" t="str">
        <f t="shared" si="287"/>
        <v/>
      </c>
      <c r="BI287" s="2">
        <f t="shared" si="288"/>
        <v>-0.68654700951673608</v>
      </c>
      <c r="BJ287" s="67">
        <f t="shared" si="289"/>
        <v>7</v>
      </c>
      <c r="BK287" s="2">
        <v>11300</v>
      </c>
      <c r="BL287" s="2">
        <v>-0.67939814046599045</v>
      </c>
      <c r="BM287" s="77">
        <f t="shared" si="318"/>
        <v>-0.81939814046599047</v>
      </c>
      <c r="BN287" s="77">
        <f t="shared" si="319"/>
        <v>-2</v>
      </c>
      <c r="BO287" s="2" t="str">
        <f t="shared" si="290"/>
        <v/>
      </c>
      <c r="BP287" s="2">
        <f t="shared" si="291"/>
        <v>-0.67939814046599045</v>
      </c>
      <c r="BQ287" s="67">
        <f t="shared" si="320"/>
        <v>7</v>
      </c>
      <c r="BS287" s="75" t="str">
        <f t="shared" si="321"/>
        <v>UF</v>
      </c>
      <c r="BT287" s="75" t="str">
        <f t="shared" si="322"/>
        <v>UF</v>
      </c>
      <c r="BU287" s="5" t="str">
        <f t="shared" si="329"/>
        <v>UF</v>
      </c>
      <c r="BV287" s="5" t="str">
        <f t="shared" si="292"/>
        <v>UF</v>
      </c>
      <c r="BW287" s="69" t="str">
        <f t="shared" si="293"/>
        <v/>
      </c>
      <c r="BX287" s="2" t="s">
        <v>12</v>
      </c>
      <c r="BZ287" s="74" t="str">
        <f t="shared" si="323"/>
        <v>UF</v>
      </c>
      <c r="CA287" s="74" t="str">
        <f t="shared" si="324"/>
        <v>UF</v>
      </c>
      <c r="CB287" s="5" t="str">
        <f t="shared" si="294"/>
        <v>UF</v>
      </c>
      <c r="CC287" s="5" t="str">
        <f t="shared" si="295"/>
        <v>UF</v>
      </c>
      <c r="CD287" s="2" t="e">
        <f t="shared" si="296"/>
        <v>#VALUE!</v>
      </c>
      <c r="CE287" s="69" t="str">
        <f t="shared" si="297"/>
        <v/>
      </c>
      <c r="CF287" s="5" t="s">
        <v>12</v>
      </c>
      <c r="CH287" s="72" t="str">
        <f t="shared" si="325"/>
        <v>UF</v>
      </c>
      <c r="CI287" s="72" t="str">
        <f t="shared" si="326"/>
        <v>UF</v>
      </c>
      <c r="CJ287" s="5" t="str">
        <f t="shared" si="298"/>
        <v>UF</v>
      </c>
      <c r="CK287" s="5" t="str">
        <f t="shared" si="299"/>
        <v>UF</v>
      </c>
      <c r="CL287" s="69" t="str">
        <f t="shared" si="300"/>
        <v/>
      </c>
      <c r="CN287" s="70" t="str">
        <f t="shared" si="301"/>
        <v/>
      </c>
      <c r="CO287" s="5" t="str">
        <f t="shared" si="302"/>
        <v>UF</v>
      </c>
      <c r="CP287" s="5" t="str">
        <f>IF(G287&lt;48,"UF", IF(NOT(ISBLANK(CM:CM)), CM:CM, IF(BW:BW=1, BV:BV+Sheet2!B533, IF(Sheet1!BW:BW=2, Sheet1!BV:BV+Sheet2!B534, IF(Sheet1!BW:BW=7, Sheet1!BV:BV+Sheet2!B535,"")))))</f>
        <v>UF</v>
      </c>
      <c r="CQ287" s="69" t="str">
        <f t="shared" si="327"/>
        <v/>
      </c>
      <c r="CR287" s="5" t="s">
        <v>12</v>
      </c>
      <c r="CT287" s="5" t="str">
        <f t="shared" si="303"/>
        <v/>
      </c>
      <c r="CU287" s="80" t="str">
        <f t="shared" si="304"/>
        <v>UF</v>
      </c>
      <c r="CV287" s="80" t="str">
        <f t="shared" si="305"/>
        <v>UF</v>
      </c>
      <c r="CW287" s="20" t="str">
        <f>IF(G287&lt;48,"UF", IF(NOT(ISBLANK(CS287)), CS287, IF(CE287=5, CC287+Sheet2!B522, IF(CE287=6, CC287+Sheet2!B523, IF(CE287=7, CC287+Sheet2!B524,"")))))</f>
        <v>UF</v>
      </c>
      <c r="CX287" s="68" t="str">
        <f t="shared" si="328"/>
        <v/>
      </c>
      <c r="CY287" s="5" t="s">
        <v>12</v>
      </c>
      <c r="DA287" s="5" t="str">
        <f t="shared" si="306"/>
        <v>UF</v>
      </c>
      <c r="DB287" s="73" t="str">
        <f t="shared" si="307"/>
        <v>UF</v>
      </c>
      <c r="DC287" s="73" t="str">
        <f t="shared" si="308"/>
        <v>UF</v>
      </c>
      <c r="DD287" s="5" t="str">
        <f>IF(G287&lt;48,"UF", IF(NOT(ISBLANK(CZ:CZ)), CZ:CZ, IF(CL:CL=3, CK:CK+Sheet2!B527, IF(CL:CL=4, CK:CK+Sheet2!B528, IF(CL:CL=7, CK:CK+Sheet2!B529,"")))))</f>
        <v>UF</v>
      </c>
      <c r="DE287" s="69" t="str">
        <f t="shared" si="266"/>
        <v/>
      </c>
      <c r="DF287" s="2">
        <v>1</v>
      </c>
      <c r="DG287" s="2">
        <v>41</v>
      </c>
      <c r="DH287" s="2">
        <v>2</v>
      </c>
      <c r="DI287" s="2">
        <v>2</v>
      </c>
      <c r="DJ287" s="2">
        <v>2</v>
      </c>
      <c r="DK287" s="2">
        <v>100</v>
      </c>
      <c r="DL287" s="2">
        <v>60</v>
      </c>
      <c r="DM287" s="2" t="s">
        <v>12</v>
      </c>
      <c r="DN287" s="2" t="s">
        <v>12</v>
      </c>
      <c r="DO287" s="2" t="s">
        <v>12</v>
      </c>
      <c r="DP287" s="2" t="s">
        <v>12</v>
      </c>
      <c r="DQ287" s="2">
        <v>2</v>
      </c>
      <c r="DR287" s="2">
        <v>39</v>
      </c>
      <c r="DS287" s="2">
        <v>2</v>
      </c>
      <c r="DT287" s="2">
        <v>75</v>
      </c>
      <c r="DU287" s="2">
        <v>91</v>
      </c>
      <c r="DV287" s="2">
        <v>2</v>
      </c>
      <c r="DW287" s="2">
        <v>2</v>
      </c>
      <c r="DX287" s="2">
        <v>2</v>
      </c>
      <c r="DY287" s="2">
        <v>3</v>
      </c>
      <c r="DZ287" s="2">
        <v>36</v>
      </c>
      <c r="EA287" s="2">
        <v>36</v>
      </c>
      <c r="EB287" s="2">
        <v>44</v>
      </c>
      <c r="EC287" s="2">
        <v>1</v>
      </c>
      <c r="ED287" s="2">
        <v>1</v>
      </c>
    </row>
    <row r="288" spans="1:134" x14ac:dyDescent="0.25">
      <c r="C288" s="8" t="s">
        <v>280</v>
      </c>
      <c r="D288" s="8">
        <v>2501043588</v>
      </c>
      <c r="E288" s="5">
        <v>7</v>
      </c>
      <c r="F288" s="2">
        <v>1</v>
      </c>
      <c r="G288" s="2">
        <v>33</v>
      </c>
      <c r="H288" s="2">
        <v>-2.2672597933964882</v>
      </c>
      <c r="I288" s="2">
        <v>51</v>
      </c>
      <c r="J288" s="2">
        <v>0.99441714029262385</v>
      </c>
      <c r="K288" s="2">
        <v>2815</v>
      </c>
      <c r="L288" s="2">
        <v>-0.95001226514552828</v>
      </c>
      <c r="M288" s="2">
        <v>-0.6966</v>
      </c>
      <c r="N288" s="2">
        <f t="shared" si="268"/>
        <v>1.2625798966982442</v>
      </c>
      <c r="O288" s="2">
        <f t="shared" si="269"/>
        <v>-0.6966</v>
      </c>
      <c r="P288" s="2">
        <v>65</v>
      </c>
      <c r="Q288" s="2">
        <v>-0.33</v>
      </c>
      <c r="R288" s="5">
        <f t="shared" si="270"/>
        <v>-1.2772085701463118</v>
      </c>
      <c r="S288" s="5">
        <f t="shared" si="271"/>
        <v>-0.33</v>
      </c>
      <c r="T288" s="2">
        <v>6710</v>
      </c>
      <c r="U288" s="2">
        <v>-0.69</v>
      </c>
      <c r="V288" s="2">
        <f t="shared" si="272"/>
        <v>0.11500613257276415</v>
      </c>
      <c r="W288" s="2">
        <f t="shared" si="273"/>
        <v>-0.69</v>
      </c>
      <c r="X288" s="2">
        <v>0.25790000000000002</v>
      </c>
      <c r="Y288" s="76">
        <f t="shared" si="309"/>
        <v>2.5251597933964884</v>
      </c>
      <c r="Z288" s="76">
        <f t="shared" si="310"/>
        <v>2</v>
      </c>
      <c r="AA288" s="2">
        <f t="shared" si="274"/>
        <v>0.51090000000000002</v>
      </c>
      <c r="AB288" s="2">
        <f t="shared" si="275"/>
        <v>0.25790000000000002</v>
      </c>
      <c r="AC288" s="2">
        <v>70</v>
      </c>
      <c r="AD288" s="2">
        <v>-1.56</v>
      </c>
      <c r="AE288" s="79">
        <f t="shared" si="311"/>
        <v>-2.5544171402926237</v>
      </c>
      <c r="AF288" s="79">
        <f t="shared" si="312"/>
        <v>-2</v>
      </c>
      <c r="AG288" s="2">
        <f t="shared" si="265"/>
        <v>-0.82</v>
      </c>
      <c r="AH288" s="2">
        <f t="shared" si="276"/>
        <v>-1.56</v>
      </c>
      <c r="AI288" s="2">
        <v>8200</v>
      </c>
      <c r="AJ288" s="2">
        <v>-0.72</v>
      </c>
      <c r="AK288" s="76">
        <f t="shared" si="313"/>
        <v>0.23001226514552831</v>
      </c>
      <c r="AL288" s="76">
        <f t="shared" si="314"/>
        <v>1</v>
      </c>
      <c r="AM288" s="2">
        <f t="shared" si="277"/>
        <v>-5.0000000000000044E-3</v>
      </c>
      <c r="AN288" s="2">
        <f t="shared" si="278"/>
        <v>-0.72</v>
      </c>
      <c r="AO288" s="2">
        <v>0.69179999999999997</v>
      </c>
      <c r="AP288" s="2" t="str">
        <f t="shared" si="279"/>
        <v/>
      </c>
      <c r="AQ288" s="2">
        <f t="shared" si="280"/>
        <v>0.69179999999999997</v>
      </c>
      <c r="AR288" s="2">
        <v>75</v>
      </c>
      <c r="AS288" s="2">
        <v>-1.97</v>
      </c>
      <c r="AT288" s="2" t="str">
        <f t="shared" si="281"/>
        <v/>
      </c>
      <c r="AU288" s="2">
        <f t="shared" si="282"/>
        <v>-1.97</v>
      </c>
      <c r="AV288" s="2">
        <v>9400</v>
      </c>
      <c r="AW288" s="2">
        <v>-0.7</v>
      </c>
      <c r="AX288" s="2" t="str">
        <f t="shared" si="283"/>
        <v/>
      </c>
      <c r="AY288" s="2">
        <f t="shared" si="284"/>
        <v>-0.7</v>
      </c>
      <c r="BA288" s="78" t="e">
        <f t="shared" si="315"/>
        <v>#VALUE!</v>
      </c>
      <c r="BB288" s="78" t="e">
        <f t="shared" si="316"/>
        <v>#VALUE!</v>
      </c>
      <c r="BC288" s="2" t="str">
        <f t="shared" si="285"/>
        <v/>
      </c>
      <c r="BD288" s="2" t="e">
        <f t="shared" si="286"/>
        <v>#VALUE!</v>
      </c>
      <c r="BE288" s="67" t="e">
        <f t="shared" si="317"/>
        <v>#VALUE!</v>
      </c>
      <c r="BF288" s="2" t="s">
        <v>12</v>
      </c>
      <c r="BH288" s="2" t="str">
        <f t="shared" si="287"/>
        <v/>
      </c>
      <c r="BI288" s="2" t="e">
        <f t="shared" si="288"/>
        <v>#VALUE!</v>
      </c>
      <c r="BJ288" s="67" t="e">
        <f t="shared" si="289"/>
        <v>#VALUE!</v>
      </c>
      <c r="BK288" s="2" t="s">
        <v>12</v>
      </c>
      <c r="BM288" s="77" t="e">
        <f t="shared" si="318"/>
        <v>#VALUE!</v>
      </c>
      <c r="BN288" s="77" t="e">
        <f t="shared" si="319"/>
        <v>#VALUE!</v>
      </c>
      <c r="BO288" s="2" t="str">
        <f t="shared" si="290"/>
        <v/>
      </c>
      <c r="BP288" s="2" t="e">
        <f t="shared" si="291"/>
        <v>#VALUE!</v>
      </c>
      <c r="BQ288" s="67" t="e">
        <f t="shared" si="320"/>
        <v>#VALUE!</v>
      </c>
      <c r="BS288" s="75" t="str">
        <f t="shared" si="321"/>
        <v>UF</v>
      </c>
      <c r="BT288" s="75" t="str">
        <f t="shared" si="322"/>
        <v>UF</v>
      </c>
      <c r="BU288" s="5" t="str">
        <f t="shared" si="329"/>
        <v>UF</v>
      </c>
      <c r="BV288" s="5" t="str">
        <f t="shared" si="292"/>
        <v>UF</v>
      </c>
      <c r="BW288" s="69" t="str">
        <f t="shared" si="293"/>
        <v/>
      </c>
      <c r="BX288" s="2" t="s">
        <v>12</v>
      </c>
      <c r="BZ288" s="74" t="str">
        <f t="shared" si="323"/>
        <v>UF</v>
      </c>
      <c r="CA288" s="74" t="str">
        <f t="shared" si="324"/>
        <v>UF</v>
      </c>
      <c r="CB288" s="5" t="str">
        <f t="shared" si="294"/>
        <v>UF</v>
      </c>
      <c r="CC288" s="5" t="str">
        <f t="shared" si="295"/>
        <v>UF</v>
      </c>
      <c r="CD288" s="2" t="e">
        <f t="shared" si="296"/>
        <v>#VALUE!</v>
      </c>
      <c r="CE288" s="69" t="str">
        <f t="shared" si="297"/>
        <v/>
      </c>
      <c r="CF288" s="5" t="s">
        <v>12</v>
      </c>
      <c r="CH288" s="72" t="str">
        <f t="shared" si="325"/>
        <v>UF</v>
      </c>
      <c r="CI288" s="72" t="str">
        <f t="shared" si="326"/>
        <v>UF</v>
      </c>
      <c r="CJ288" s="5" t="str">
        <f t="shared" si="298"/>
        <v>UF</v>
      </c>
      <c r="CK288" s="5" t="str">
        <f t="shared" si="299"/>
        <v>UF</v>
      </c>
      <c r="CL288" s="69" t="str">
        <f t="shared" si="300"/>
        <v/>
      </c>
      <c r="CN288" s="70" t="str">
        <f t="shared" si="301"/>
        <v/>
      </c>
      <c r="CO288" s="5" t="str">
        <f t="shared" si="302"/>
        <v>UF</v>
      </c>
      <c r="CP288" s="5" t="str">
        <f>IF(G288&lt;48,"UF", IF(NOT(ISBLANK(CM:CM)), CM:CM, IF(BW:BW=1, BV:BV+Sheet2!B485, IF(Sheet1!BW:BW=2, Sheet1!BV:BV+Sheet2!B486, IF(Sheet1!BW:BW=7, Sheet1!BV:BV+Sheet2!B487,"")))))</f>
        <v>UF</v>
      </c>
      <c r="CQ288" s="69" t="str">
        <f t="shared" si="327"/>
        <v/>
      </c>
      <c r="CR288" s="5" t="s">
        <v>12</v>
      </c>
      <c r="CT288" s="5" t="str">
        <f t="shared" si="303"/>
        <v/>
      </c>
      <c r="CU288" s="80" t="str">
        <f t="shared" si="304"/>
        <v>UF</v>
      </c>
      <c r="CV288" s="80" t="str">
        <f t="shared" si="305"/>
        <v>UF</v>
      </c>
      <c r="CW288" s="20" t="str">
        <f>IF(G288&lt;48,"UF", IF(NOT(ISBLANK(CS288)), CS288, IF(CE288=5, CC288+Sheet2!B474, IF(CE288=6, CC288+Sheet2!B475, IF(CE288=7, CC288+Sheet2!B476,"")))))</f>
        <v>UF</v>
      </c>
      <c r="CX288" s="68" t="str">
        <f t="shared" si="328"/>
        <v/>
      </c>
      <c r="CY288" s="5" t="s">
        <v>12</v>
      </c>
      <c r="DA288" s="5" t="str">
        <f t="shared" si="306"/>
        <v>UF</v>
      </c>
      <c r="DB288" s="73" t="str">
        <f t="shared" si="307"/>
        <v>UF</v>
      </c>
      <c r="DC288" s="73" t="str">
        <f t="shared" si="308"/>
        <v>UF</v>
      </c>
      <c r="DD288" s="5" t="str">
        <f>IF(G288&lt;48,"UF", IF(NOT(ISBLANK(CZ:CZ)), CZ:CZ, IF(CL:CL=3, CK:CK+Sheet2!B479, IF(CL:CL=4, CK:CK+Sheet2!B480, IF(CL:CL=7, CK:CK+Sheet2!B481,"")))))</f>
        <v>UF</v>
      </c>
      <c r="DE288" s="69" t="str">
        <f t="shared" si="266"/>
        <v/>
      </c>
      <c r="DF288" s="2">
        <v>1</v>
      </c>
      <c r="DG288" s="2">
        <v>30</v>
      </c>
      <c r="DH288" s="2">
        <v>2</v>
      </c>
      <c r="DI288" s="2">
        <v>2</v>
      </c>
      <c r="DJ288" s="2">
        <v>3</v>
      </c>
      <c r="DK288" s="2" t="s">
        <v>12</v>
      </c>
      <c r="DL288" s="2" t="s">
        <v>12</v>
      </c>
      <c r="DM288" s="2" t="s">
        <v>12</v>
      </c>
      <c r="DN288" s="2" t="s">
        <v>12</v>
      </c>
      <c r="DO288" s="2" t="s">
        <v>12</v>
      </c>
      <c r="DP288" s="2" t="s">
        <v>12</v>
      </c>
      <c r="DQ288" s="2">
        <v>2</v>
      </c>
      <c r="DR288" s="2">
        <v>37</v>
      </c>
      <c r="DS288" s="2">
        <v>3</v>
      </c>
      <c r="DT288" s="2" t="s">
        <v>12</v>
      </c>
      <c r="DU288" s="2" t="s">
        <v>12</v>
      </c>
      <c r="DV288" s="2">
        <v>2</v>
      </c>
      <c r="DW288" s="2">
        <v>2</v>
      </c>
      <c r="DX288" s="2">
        <v>2</v>
      </c>
      <c r="DY288" s="2">
        <v>3</v>
      </c>
      <c r="DZ288" s="2">
        <v>32</v>
      </c>
      <c r="EA288" s="2">
        <v>33</v>
      </c>
      <c r="EB288" s="2">
        <v>44</v>
      </c>
      <c r="EC288" s="2">
        <v>1</v>
      </c>
      <c r="ED288" s="2">
        <v>1</v>
      </c>
    </row>
    <row r="289" spans="2:134" x14ac:dyDescent="0.25">
      <c r="B289" s="17" t="s">
        <v>415</v>
      </c>
      <c r="C289" s="14" t="s">
        <v>410</v>
      </c>
      <c r="D289" s="10">
        <v>2501043596</v>
      </c>
      <c r="E289" s="5">
        <v>4</v>
      </c>
      <c r="F289" s="2">
        <v>2</v>
      </c>
      <c r="G289" s="2">
        <v>32</v>
      </c>
      <c r="H289">
        <v>-0.96587690818334671</v>
      </c>
      <c r="I289" s="2">
        <v>50</v>
      </c>
      <c r="J289">
        <v>6.1168777667580831E-2</v>
      </c>
      <c r="K289" s="5">
        <v>3060</v>
      </c>
      <c r="L289" s="2">
        <v>-0.60326652627431243</v>
      </c>
      <c r="M289" s="2">
        <v>-2.4232581246853808</v>
      </c>
      <c r="N289" s="2">
        <f t="shared" si="268"/>
        <v>-0.2831705808398971</v>
      </c>
      <c r="O289" s="2">
        <f t="shared" si="269"/>
        <v>-2.4232581246853808</v>
      </c>
      <c r="P289" s="2">
        <v>68</v>
      </c>
      <c r="Q289" s="2">
        <v>-0.17099953273877919</v>
      </c>
      <c r="R289" s="5">
        <f t="shared" si="270"/>
        <v>-0.93062328592047694</v>
      </c>
      <c r="S289" s="5">
        <f t="shared" si="271"/>
        <v>-0.17099953273877919</v>
      </c>
      <c r="T289" s="1">
        <v>6600</v>
      </c>
      <c r="U289" s="2">
        <v>-1.8649803767080979</v>
      </c>
      <c r="V289" s="2">
        <f t="shared" si="272"/>
        <v>-0.77398290255209667</v>
      </c>
      <c r="W289" s="2">
        <f t="shared" si="273"/>
        <v>-1.8649803767080979</v>
      </c>
      <c r="X289" s="2">
        <v>-1.5322180698631409</v>
      </c>
      <c r="Y289" s="76">
        <f t="shared" si="309"/>
        <v>-0.5663411616797942</v>
      </c>
      <c r="Z289" s="76">
        <f t="shared" si="310"/>
        <v>-1</v>
      </c>
      <c r="AA289" s="2">
        <f t="shared" si="274"/>
        <v>-0.51903627659067741</v>
      </c>
      <c r="AB289" s="2">
        <f t="shared" si="275"/>
        <v>-1.5322180698631409</v>
      </c>
      <c r="AC289" s="2">
        <v>72</v>
      </c>
      <c r="AD289" s="2">
        <v>-1.800077794173373</v>
      </c>
      <c r="AE289" s="79">
        <f t="shared" si="311"/>
        <v>-1.8612465718409539</v>
      </c>
      <c r="AF289" s="79">
        <f t="shared" si="312"/>
        <v>-2</v>
      </c>
      <c r="AG289" s="2">
        <f t="shared" ref="AG289:AG352" si="330">IF(AND(NOT(ISBLANK(S289)), NOT(ISBLANK(AS289))), (AS289 - S289)/2, "")</f>
        <v>-0.96413103481012785</v>
      </c>
      <c r="AH289" s="2">
        <f t="shared" si="276"/>
        <v>-1.800077794173373</v>
      </c>
      <c r="AI289" s="2">
        <v>7700</v>
      </c>
      <c r="AJ289" s="2">
        <v>-2.1512323313785058</v>
      </c>
      <c r="AK289" s="76">
        <f t="shared" si="313"/>
        <v>-1.5479658051041933</v>
      </c>
      <c r="AL289" s="76">
        <f t="shared" si="314"/>
        <v>-2</v>
      </c>
      <c r="AM289" s="2">
        <f t="shared" si="277"/>
        <v>-0.13184166086912052</v>
      </c>
      <c r="AN289" s="2">
        <f t="shared" si="278"/>
        <v>-2.1512323313785058</v>
      </c>
      <c r="AO289" s="2">
        <v>-1.209072085920134</v>
      </c>
      <c r="AP289" s="2">
        <f t="shared" si="279"/>
        <v>-0.69995989970126749</v>
      </c>
      <c r="AQ289" s="2">
        <f t="shared" si="280"/>
        <v>-1.209072085920134</v>
      </c>
      <c r="AR289" s="2">
        <v>77</v>
      </c>
      <c r="AS289" s="2">
        <v>-2.0992616023590349</v>
      </c>
      <c r="AT289" s="2">
        <f t="shared" si="281"/>
        <v>0.3498580231105205</v>
      </c>
      <c r="AU289" s="2">
        <f t="shared" si="282"/>
        <v>-2.0992616023590349</v>
      </c>
      <c r="AV289" s="2">
        <v>8700</v>
      </c>
      <c r="AW289" s="2">
        <v>-2.128663698446339</v>
      </c>
      <c r="AX289" s="2">
        <f t="shared" si="283"/>
        <v>-0.37768761055318212</v>
      </c>
      <c r="AY289" s="2">
        <f t="shared" si="284"/>
        <v>-2.128663698446339</v>
      </c>
      <c r="AZ289" s="2">
        <v>-2.9321378692656759</v>
      </c>
      <c r="BA289" s="78">
        <f t="shared" si="315"/>
        <v>-1.399919799402535</v>
      </c>
      <c r="BB289" s="78">
        <f t="shared" si="316"/>
        <v>-2</v>
      </c>
      <c r="BC289" s="2" t="str">
        <f t="shared" si="285"/>
        <v/>
      </c>
      <c r="BD289" s="2">
        <f t="shared" si="286"/>
        <v>-2.9321378692656759</v>
      </c>
      <c r="BE289" s="67">
        <f t="shared" si="317"/>
        <v>2</v>
      </c>
      <c r="BF289" s="2">
        <v>83</v>
      </c>
      <c r="BG289" s="2">
        <v>-1.100361747952332</v>
      </c>
      <c r="BH289" s="2" t="str">
        <f t="shared" si="287"/>
        <v/>
      </c>
      <c r="BI289" s="2">
        <f t="shared" si="288"/>
        <v>-1.100361747952332</v>
      </c>
      <c r="BJ289" s="67">
        <f t="shared" si="289"/>
        <v>7</v>
      </c>
      <c r="BK289" s="2">
        <v>9400</v>
      </c>
      <c r="BL289" s="2">
        <v>-2.90660755248487</v>
      </c>
      <c r="BM289" s="77">
        <f t="shared" si="318"/>
        <v>-0.75537522110636424</v>
      </c>
      <c r="BN289" s="77">
        <f t="shared" si="319"/>
        <v>-2</v>
      </c>
      <c r="BO289" s="2" t="str">
        <f t="shared" si="290"/>
        <v/>
      </c>
      <c r="BP289" s="2">
        <f t="shared" si="291"/>
        <v>-2.90660755248487</v>
      </c>
      <c r="BQ289" s="67">
        <f t="shared" si="320"/>
        <v>4</v>
      </c>
      <c r="BR289" s="2"/>
      <c r="BS289" s="75" t="str">
        <f t="shared" si="321"/>
        <v>UF</v>
      </c>
      <c r="BT289" s="75" t="str">
        <f t="shared" si="322"/>
        <v>UF</v>
      </c>
      <c r="BU289" s="5" t="e">
        <f>IF(#REF!&gt;=36, IF(AND(NOT(ISBLANK(CM:CM)), NOT(ISBLANK(BD:BD))), (CM:CM-BD:BD)/2, ""), "UF")</f>
        <v>#REF!</v>
      </c>
      <c r="BV289" s="5" t="str">
        <f t="shared" si="292"/>
        <v>UF</v>
      </c>
      <c r="BW289" s="69" t="str">
        <f t="shared" si="293"/>
        <v/>
      </c>
      <c r="BX289" s="2" t="s">
        <v>12</v>
      </c>
      <c r="BY289" s="2"/>
      <c r="BZ289" s="74" t="str">
        <f t="shared" si="323"/>
        <v>UF</v>
      </c>
      <c r="CA289" s="74" t="str">
        <f t="shared" si="324"/>
        <v>UF</v>
      </c>
      <c r="CB289" s="5" t="str">
        <f t="shared" si="294"/>
        <v>UF</v>
      </c>
      <c r="CC289" s="5" t="str">
        <f t="shared" si="295"/>
        <v>UF</v>
      </c>
      <c r="CD289" s="2" t="e">
        <f t="shared" si="296"/>
        <v>#VALUE!</v>
      </c>
      <c r="CE289" s="69" t="str">
        <f t="shared" si="297"/>
        <v/>
      </c>
      <c r="CF289" s="5" t="s">
        <v>12</v>
      </c>
      <c r="CG289" s="2"/>
      <c r="CH289" s="72" t="str">
        <f t="shared" si="325"/>
        <v>UF</v>
      </c>
      <c r="CI289" s="72" t="str">
        <f t="shared" si="326"/>
        <v>UF</v>
      </c>
      <c r="CJ289" s="5" t="str">
        <f t="shared" si="298"/>
        <v>UF</v>
      </c>
      <c r="CK289" s="5" t="str">
        <f t="shared" si="299"/>
        <v>UF</v>
      </c>
      <c r="CL289" s="69" t="str">
        <f t="shared" si="300"/>
        <v/>
      </c>
      <c r="CM289" s="2"/>
      <c r="CN289" s="70" t="str">
        <f t="shared" si="301"/>
        <v/>
      </c>
      <c r="CO289" s="5" t="str">
        <f t="shared" si="302"/>
        <v>UF</v>
      </c>
      <c r="CP289" s="5" t="str">
        <f>IF(G289&lt;48,"UF", IF(NOT(ISBLANK(CM:CM)), CM:CM, IF(BW:BW=1, BV:BV+Sheet2!B621, IF(Sheet1!BW:BW=2, Sheet1!BV:BV+Sheet2!B622, IF(Sheet1!BW:BW=7, Sheet1!BV:BV+Sheet2!B623,"")))))</f>
        <v>UF</v>
      </c>
      <c r="CQ289" s="69" t="str">
        <f t="shared" si="327"/>
        <v/>
      </c>
      <c r="CR289" s="5" t="s">
        <v>12</v>
      </c>
      <c r="CS289" s="2"/>
      <c r="CT289" s="5" t="str">
        <f t="shared" si="303"/>
        <v/>
      </c>
      <c r="CU289" s="80" t="str">
        <f t="shared" si="304"/>
        <v>UF</v>
      </c>
      <c r="CV289" s="80" t="str">
        <f t="shared" si="305"/>
        <v>UF</v>
      </c>
      <c r="CW289" s="20" t="str">
        <f>IF(G289&lt;48,"UF", IF(NOT(ISBLANK(CS289)), CS289, IF(CE289=5, CC289+Sheet2!B610, IF(CE289=6, CC289+Sheet2!B611, IF(CE289=7, CC289+Sheet2!B612,"")))))</f>
        <v>UF</v>
      </c>
      <c r="CX289" s="68" t="str">
        <f t="shared" si="328"/>
        <v/>
      </c>
      <c r="CY289" s="5" t="s">
        <v>12</v>
      </c>
      <c r="DA289" s="5" t="str">
        <f t="shared" si="306"/>
        <v>UF</v>
      </c>
      <c r="DB289" s="73" t="str">
        <f t="shared" si="307"/>
        <v>UF</v>
      </c>
      <c r="DC289" s="73" t="str">
        <f t="shared" si="308"/>
        <v>UF</v>
      </c>
      <c r="DD289" s="5" t="str">
        <f>IF(G289&lt;48,"UF", IF(NOT(ISBLANK(CZ:CZ)), CZ:CZ, IF(CL:CL=3, CK:CK+Sheet2!B615, IF(CL:CL=4, CK:CK+Sheet2!B616, IF(CL:CL=7, CK:CK+Sheet2!B617,"")))))</f>
        <v>UF</v>
      </c>
      <c r="DE289" s="69" t="str">
        <f t="shared" si="266"/>
        <v/>
      </c>
      <c r="DF289" s="2">
        <v>2</v>
      </c>
      <c r="DG289" s="2">
        <v>41</v>
      </c>
      <c r="DH289" s="2">
        <v>2</v>
      </c>
      <c r="DI289" s="2">
        <v>2</v>
      </c>
      <c r="DJ289" s="2">
        <v>2</v>
      </c>
      <c r="DK289" s="2">
        <v>110</v>
      </c>
      <c r="DL289" s="2">
        <v>60</v>
      </c>
      <c r="DM289" s="2">
        <v>110</v>
      </c>
      <c r="DN289" s="2">
        <v>60</v>
      </c>
      <c r="DO289" s="2">
        <v>110</v>
      </c>
      <c r="DP289" s="2">
        <v>60</v>
      </c>
      <c r="DQ289" s="2">
        <v>2</v>
      </c>
      <c r="DR289" s="2">
        <v>39</v>
      </c>
      <c r="DS289" s="2">
        <v>2</v>
      </c>
      <c r="DT289" s="2">
        <v>90</v>
      </c>
      <c r="DU289" s="2">
        <v>80</v>
      </c>
      <c r="DV289" s="2">
        <v>2</v>
      </c>
      <c r="DW289" s="2">
        <v>2</v>
      </c>
      <c r="DX289" s="2">
        <v>2</v>
      </c>
      <c r="DY289" s="2">
        <v>3</v>
      </c>
      <c r="DZ289" s="2">
        <v>35</v>
      </c>
      <c r="EA289" s="2">
        <v>35</v>
      </c>
      <c r="EB289" s="2">
        <v>45.5</v>
      </c>
      <c r="EC289" s="2">
        <v>1</v>
      </c>
      <c r="ED289" s="2">
        <v>1</v>
      </c>
    </row>
    <row r="290" spans="2:134" x14ac:dyDescent="0.25">
      <c r="C290" s="8" t="s">
        <v>311</v>
      </c>
      <c r="D290" s="8">
        <v>2501044169</v>
      </c>
      <c r="E290" s="5">
        <v>7</v>
      </c>
      <c r="F290" s="2">
        <v>1</v>
      </c>
      <c r="G290" s="2">
        <v>33</v>
      </c>
      <c r="H290" s="2">
        <v>-2.2250542606685921</v>
      </c>
      <c r="I290" s="2">
        <v>47</v>
      </c>
      <c r="J290" s="2">
        <v>-1.153005671500261</v>
      </c>
      <c r="K290" s="2">
        <v>2400</v>
      </c>
      <c r="L290" s="2">
        <v>-1.986002992181128</v>
      </c>
      <c r="M290" s="2">
        <v>-0.6351</v>
      </c>
      <c r="N290" s="2">
        <f t="shared" si="268"/>
        <v>0.1373771303342961</v>
      </c>
      <c r="O290" s="2">
        <f t="shared" si="269"/>
        <v>-0.6351</v>
      </c>
      <c r="P290" s="2">
        <v>67.5</v>
      </c>
      <c r="Q290" s="2">
        <v>-0.11</v>
      </c>
      <c r="R290" s="5">
        <f t="shared" si="270"/>
        <v>0.96150283575013051</v>
      </c>
      <c r="S290" s="5">
        <f t="shared" si="271"/>
        <v>-0.11</v>
      </c>
      <c r="T290" s="2">
        <v>6850</v>
      </c>
      <c r="U290" s="2">
        <v>-0.52</v>
      </c>
      <c r="V290" s="2">
        <f t="shared" si="272"/>
        <v>0.53300149609056402</v>
      </c>
      <c r="W290" s="2">
        <f t="shared" si="273"/>
        <v>-0.52</v>
      </c>
      <c r="X290" s="2">
        <v>-1.9502999999999999</v>
      </c>
      <c r="Y290" s="76">
        <f t="shared" si="309"/>
        <v>0.27475426066859221</v>
      </c>
      <c r="Z290" s="76">
        <f t="shared" si="310"/>
        <v>1</v>
      </c>
      <c r="AA290" s="2">
        <f t="shared" si="274"/>
        <v>-0.52644999999999997</v>
      </c>
      <c r="AB290" s="2">
        <f t="shared" si="275"/>
        <v>-1.9502999999999999</v>
      </c>
      <c r="AC290" s="2">
        <v>76</v>
      </c>
      <c r="AD290" s="2">
        <v>0.77</v>
      </c>
      <c r="AE290" s="79">
        <f t="shared" si="311"/>
        <v>1.923005671500261</v>
      </c>
      <c r="AF290" s="79">
        <f t="shared" si="312"/>
        <v>2</v>
      </c>
      <c r="AG290" s="2">
        <f t="shared" si="330"/>
        <v>0.79500000000000004</v>
      </c>
      <c r="AH290" s="2">
        <f t="shared" si="276"/>
        <v>0.77</v>
      </c>
      <c r="AI290" s="2">
        <v>8000</v>
      </c>
      <c r="AJ290" s="2">
        <v>-0.92</v>
      </c>
      <c r="AK290" s="76">
        <f t="shared" si="313"/>
        <v>1.066002992181128</v>
      </c>
      <c r="AL290" s="76">
        <f t="shared" si="314"/>
        <v>2</v>
      </c>
      <c r="AM290" s="2">
        <f t="shared" si="277"/>
        <v>0.28500000000000003</v>
      </c>
      <c r="AN290" s="2">
        <f t="shared" si="278"/>
        <v>-0.92</v>
      </c>
      <c r="AO290" s="2">
        <v>-1.1629</v>
      </c>
      <c r="AP290" s="2" t="str">
        <f t="shared" si="279"/>
        <v/>
      </c>
      <c r="AQ290" s="2">
        <f t="shared" si="280"/>
        <v>-1.1629</v>
      </c>
      <c r="AR290" s="2">
        <v>85</v>
      </c>
      <c r="AS290" s="2">
        <v>1.48</v>
      </c>
      <c r="AT290" s="2" t="str">
        <f t="shared" si="281"/>
        <v/>
      </c>
      <c r="AU290" s="2">
        <f t="shared" si="282"/>
        <v>1.48</v>
      </c>
      <c r="AV290" s="2">
        <v>10300</v>
      </c>
      <c r="AW290" s="2">
        <v>0.05</v>
      </c>
      <c r="AX290" s="2" t="str">
        <f t="shared" si="283"/>
        <v/>
      </c>
      <c r="AY290" s="2">
        <f t="shared" si="284"/>
        <v>0.05</v>
      </c>
      <c r="BA290" s="78" t="e">
        <f t="shared" si="315"/>
        <v>#VALUE!</v>
      </c>
      <c r="BB290" s="78" t="e">
        <f t="shared" si="316"/>
        <v>#VALUE!</v>
      </c>
      <c r="BC290" s="2" t="str">
        <f t="shared" si="285"/>
        <v/>
      </c>
      <c r="BD290" s="2" t="e">
        <f t="shared" si="286"/>
        <v>#VALUE!</v>
      </c>
      <c r="BE290" s="67" t="e">
        <f t="shared" si="317"/>
        <v>#VALUE!</v>
      </c>
      <c r="BF290" s="2" t="s">
        <v>12</v>
      </c>
      <c r="BH290" s="2" t="str">
        <f t="shared" si="287"/>
        <v/>
      </c>
      <c r="BI290" s="2" t="e">
        <f t="shared" si="288"/>
        <v>#VALUE!</v>
      </c>
      <c r="BJ290" s="67" t="e">
        <f t="shared" si="289"/>
        <v>#VALUE!</v>
      </c>
      <c r="BK290" s="2" t="s">
        <v>12</v>
      </c>
      <c r="BM290" s="77" t="e">
        <f t="shared" si="318"/>
        <v>#VALUE!</v>
      </c>
      <c r="BN290" s="77" t="e">
        <f t="shared" si="319"/>
        <v>#VALUE!</v>
      </c>
      <c r="BO290" s="2" t="str">
        <f t="shared" si="290"/>
        <v/>
      </c>
      <c r="BP290" s="2" t="e">
        <f t="shared" si="291"/>
        <v>#VALUE!</v>
      </c>
      <c r="BQ290" s="67" t="e">
        <f t="shared" si="320"/>
        <v>#VALUE!</v>
      </c>
      <c r="BS290" s="75" t="str">
        <f t="shared" si="321"/>
        <v>UF</v>
      </c>
      <c r="BT290" s="75" t="str">
        <f t="shared" si="322"/>
        <v>UF</v>
      </c>
      <c r="BU290" s="5" t="str">
        <f>IF(G297&gt;=36, IF(AND(NOT(ISBLANK(CM:CM)), NOT(ISBLANK(BD:BD))), (CM:CM-BD:BD)/2, ""), "UF")</f>
        <v>UF</v>
      </c>
      <c r="BV290" s="5" t="str">
        <f t="shared" si="292"/>
        <v>UF</v>
      </c>
      <c r="BW290" s="69" t="str">
        <f t="shared" si="293"/>
        <v/>
      </c>
      <c r="BX290" s="2" t="s">
        <v>12</v>
      </c>
      <c r="BZ290" s="74" t="str">
        <f t="shared" si="323"/>
        <v>UF</v>
      </c>
      <c r="CA290" s="74" t="str">
        <f t="shared" si="324"/>
        <v>UF</v>
      </c>
      <c r="CB290" s="5" t="str">
        <f t="shared" si="294"/>
        <v>UF</v>
      </c>
      <c r="CC290" s="5" t="str">
        <f t="shared" si="295"/>
        <v>UF</v>
      </c>
      <c r="CD290" s="2" t="e">
        <f t="shared" si="296"/>
        <v>#VALUE!</v>
      </c>
      <c r="CE290" s="69" t="str">
        <f t="shared" si="297"/>
        <v/>
      </c>
      <c r="CF290" s="5" t="s">
        <v>12</v>
      </c>
      <c r="CH290" s="72" t="str">
        <f t="shared" si="325"/>
        <v>UF</v>
      </c>
      <c r="CI290" s="72" t="str">
        <f t="shared" si="326"/>
        <v>UF</v>
      </c>
      <c r="CJ290" s="5" t="str">
        <f t="shared" si="298"/>
        <v>UF</v>
      </c>
      <c r="CK290" s="5" t="str">
        <f t="shared" si="299"/>
        <v>UF</v>
      </c>
      <c r="CL290" s="69" t="str">
        <f t="shared" si="300"/>
        <v/>
      </c>
      <c r="CN290" s="70" t="str">
        <f t="shared" si="301"/>
        <v/>
      </c>
      <c r="CO290" s="5" t="str">
        <f t="shared" si="302"/>
        <v>UF</v>
      </c>
      <c r="CP290" s="5" t="str">
        <f>IF(G290&lt;48,"UF", IF(NOT(ISBLANK(CM:CM)), CM:CM, IF(BW:BW=1, BV:BV+Sheet2!B528, IF(Sheet1!BW:BW=2, Sheet1!BV:BV+Sheet2!B529, IF(Sheet1!BW:BW=7, Sheet1!BV:BV+Sheet2!B530,"")))))</f>
        <v>UF</v>
      </c>
      <c r="CQ290" s="69" t="str">
        <f t="shared" si="327"/>
        <v/>
      </c>
      <c r="CR290" s="5" t="s">
        <v>12</v>
      </c>
      <c r="CT290" s="5" t="str">
        <f t="shared" si="303"/>
        <v/>
      </c>
      <c r="CU290" s="80" t="str">
        <f t="shared" si="304"/>
        <v>UF</v>
      </c>
      <c r="CV290" s="80" t="str">
        <f t="shared" si="305"/>
        <v>UF</v>
      </c>
      <c r="CW290" s="20" t="str">
        <f>IF(G290&lt;48,"UF", IF(NOT(ISBLANK(CS290)), CS290, IF(CE290=5, CC290+Sheet2!B517, IF(CE290=6, CC290+Sheet2!B518, IF(CE290=7, CC290+Sheet2!B519,"")))))</f>
        <v>UF</v>
      </c>
      <c r="CX290" s="68" t="str">
        <f t="shared" si="328"/>
        <v/>
      </c>
      <c r="CY290" s="5" t="s">
        <v>12</v>
      </c>
      <c r="DA290" s="5" t="str">
        <f t="shared" si="306"/>
        <v>UF</v>
      </c>
      <c r="DB290" s="73" t="str">
        <f t="shared" si="307"/>
        <v>UF</v>
      </c>
      <c r="DC290" s="73" t="str">
        <f t="shared" si="308"/>
        <v>UF</v>
      </c>
      <c r="DD290" s="5" t="str">
        <f>IF(G290&lt;48,"UF", IF(NOT(ISBLANK(CZ:CZ)), CZ:CZ, IF(CL:CL=3, CK:CK+Sheet2!B522, IF(CL:CL=4, CK:CK+Sheet2!B523, IF(CL:CL=7, CK:CK+Sheet2!B524,"")))))</f>
        <v>UF</v>
      </c>
      <c r="DE290" s="69" t="str">
        <f t="shared" si="266"/>
        <v/>
      </c>
      <c r="DF290" s="2">
        <v>3</v>
      </c>
      <c r="DG290" s="2">
        <v>31</v>
      </c>
      <c r="DH290" s="2">
        <v>1</v>
      </c>
      <c r="DI290" s="2">
        <v>2</v>
      </c>
      <c r="DJ290" s="2">
        <v>2</v>
      </c>
      <c r="DK290" s="2">
        <v>103</v>
      </c>
      <c r="DL290" s="2">
        <v>62</v>
      </c>
      <c r="DM290" s="2">
        <v>100</v>
      </c>
      <c r="DN290" s="2">
        <v>55</v>
      </c>
      <c r="DO290" s="2">
        <v>86</v>
      </c>
      <c r="DP290" s="2">
        <v>62</v>
      </c>
      <c r="DQ290" s="2">
        <v>2</v>
      </c>
      <c r="DR290" s="2">
        <v>38</v>
      </c>
      <c r="DS290" s="2">
        <v>2</v>
      </c>
      <c r="DT290" s="2" t="s">
        <v>12</v>
      </c>
      <c r="DU290" s="2">
        <v>97</v>
      </c>
      <c r="DV290" s="2">
        <v>2</v>
      </c>
      <c r="DW290" s="2">
        <v>3</v>
      </c>
      <c r="DX290" s="2">
        <v>2</v>
      </c>
      <c r="DY290" s="2">
        <v>2</v>
      </c>
      <c r="DZ290" s="2">
        <v>32.700000000000003</v>
      </c>
      <c r="EA290" s="2">
        <v>34</v>
      </c>
      <c r="EB290" s="2">
        <v>43.5</v>
      </c>
      <c r="EC290" s="2">
        <v>1</v>
      </c>
      <c r="ED290" s="2">
        <v>1</v>
      </c>
    </row>
    <row r="291" spans="2:134" x14ac:dyDescent="0.25">
      <c r="C291" s="8" t="s">
        <v>312</v>
      </c>
      <c r="D291" s="8">
        <v>2501044290</v>
      </c>
      <c r="E291" s="5">
        <v>7</v>
      </c>
      <c r="F291" s="2">
        <v>2</v>
      </c>
      <c r="G291" s="2">
        <v>33</v>
      </c>
      <c r="H291" s="2">
        <v>0.1523179020748533</v>
      </c>
      <c r="I291" s="2">
        <v>48.5</v>
      </c>
      <c r="J291" s="2">
        <v>-0.73118008513837707</v>
      </c>
      <c r="K291" s="2">
        <v>3200</v>
      </c>
      <c r="L291" s="2">
        <v>-0.30398057951686752</v>
      </c>
      <c r="M291" s="2">
        <v>-5.8999999999999999E-3</v>
      </c>
      <c r="N291" s="2">
        <f t="shared" si="268"/>
        <v>-0.47895895103742664</v>
      </c>
      <c r="O291" s="2">
        <f t="shared" si="269"/>
        <v>-5.8999999999999999E-3</v>
      </c>
      <c r="P291" s="2">
        <v>64</v>
      </c>
      <c r="Q291" s="2">
        <v>-1.7</v>
      </c>
      <c r="R291" s="5">
        <f t="shared" si="270"/>
        <v>-0.20940995743081142</v>
      </c>
      <c r="S291" s="5">
        <f t="shared" si="271"/>
        <v>-1.7</v>
      </c>
      <c r="T291" s="2">
        <v>7100</v>
      </c>
      <c r="U291" s="2">
        <v>-1.01</v>
      </c>
      <c r="V291" s="2">
        <f t="shared" si="272"/>
        <v>-0.47800971024156624</v>
      </c>
      <c r="W291" s="2">
        <f t="shared" si="273"/>
        <v>-1.01</v>
      </c>
      <c r="X291" s="2">
        <v>-0.80559999999999998</v>
      </c>
      <c r="Y291" s="76">
        <f t="shared" si="309"/>
        <v>-0.95791790207485328</v>
      </c>
      <c r="Z291" s="76">
        <f t="shared" si="310"/>
        <v>-2</v>
      </c>
      <c r="AA291" s="2">
        <f t="shared" si="274"/>
        <v>0.83779999999999999</v>
      </c>
      <c r="AB291" s="2">
        <f t="shared" si="275"/>
        <v>-0.80559999999999998</v>
      </c>
      <c r="AC291" s="2">
        <v>73</v>
      </c>
      <c r="AD291" s="2">
        <v>-1.1499999999999999</v>
      </c>
      <c r="AE291" s="79">
        <f t="shared" si="311"/>
        <v>-0.41881991486162284</v>
      </c>
      <c r="AF291" s="79">
        <f t="shared" si="312"/>
        <v>-1</v>
      </c>
      <c r="AG291" s="2">
        <f t="shared" si="330"/>
        <v>5.9999999999999942E-2</v>
      </c>
      <c r="AH291" s="2">
        <f t="shared" si="276"/>
        <v>-1.1499999999999999</v>
      </c>
      <c r="AI291" s="2">
        <v>8400</v>
      </c>
      <c r="AJ291" s="2">
        <v>-1.26</v>
      </c>
      <c r="AK291" s="76">
        <f t="shared" si="313"/>
        <v>-0.95601942048313249</v>
      </c>
      <c r="AL291" s="76">
        <f t="shared" si="314"/>
        <v>-2</v>
      </c>
      <c r="AM291" s="2">
        <f t="shared" si="277"/>
        <v>1.0000000000000009E-2</v>
      </c>
      <c r="AN291" s="2">
        <f t="shared" si="278"/>
        <v>-1.26</v>
      </c>
      <c r="AO291" s="2">
        <v>-2.4400000000000002E-2</v>
      </c>
      <c r="AP291" s="2">
        <f t="shared" si="279"/>
        <v>-0.63172575982150048</v>
      </c>
      <c r="AQ291" s="2">
        <f t="shared" si="280"/>
        <v>-2.4400000000000002E-2</v>
      </c>
      <c r="AR291" s="2">
        <v>78</v>
      </c>
      <c r="AS291" s="2">
        <v>-1.58</v>
      </c>
      <c r="AT291" s="2">
        <f t="shared" si="281"/>
        <v>0.30974562723785998</v>
      </c>
      <c r="AU291" s="2">
        <f t="shared" si="282"/>
        <v>-1.58</v>
      </c>
      <c r="AV291" s="2">
        <v>9800</v>
      </c>
      <c r="AW291" s="2">
        <v>-0.99</v>
      </c>
      <c r="AX291" s="2">
        <f t="shared" si="283"/>
        <v>-0.34862932117721945</v>
      </c>
      <c r="AY291" s="2">
        <f t="shared" si="284"/>
        <v>-0.99</v>
      </c>
      <c r="AZ291" s="2">
        <v>-2.069051519643001</v>
      </c>
      <c r="BA291" s="78">
        <f t="shared" si="315"/>
        <v>-1.263451519643001</v>
      </c>
      <c r="BB291" s="78">
        <f t="shared" si="316"/>
        <v>-2</v>
      </c>
      <c r="BC291" s="2">
        <f t="shared" si="285"/>
        <v>-0.60767497827675798</v>
      </c>
      <c r="BD291" s="2">
        <f t="shared" si="286"/>
        <v>-2.069051519643001</v>
      </c>
      <c r="BE291" s="67">
        <f t="shared" si="317"/>
        <v>2</v>
      </c>
      <c r="BF291" s="2">
        <v>85</v>
      </c>
      <c r="BG291" s="2">
        <v>-0.53050874552427996</v>
      </c>
      <c r="BH291" s="2">
        <f t="shared" si="287"/>
        <v>0.19752029689206207</v>
      </c>
      <c r="BI291" s="2">
        <f t="shared" si="288"/>
        <v>-0.53050874552427996</v>
      </c>
      <c r="BJ291" s="67">
        <f t="shared" si="289"/>
        <v>7</v>
      </c>
      <c r="BK291" s="2">
        <v>10500</v>
      </c>
      <c r="BL291" s="2">
        <v>-1.9572586423544389</v>
      </c>
      <c r="BM291" s="77">
        <f t="shared" si="318"/>
        <v>-0.69725864235443891</v>
      </c>
      <c r="BN291" s="77">
        <f t="shared" si="319"/>
        <v>-2</v>
      </c>
      <c r="BO291" s="2">
        <f t="shared" si="290"/>
        <v>-0.28394854742818398</v>
      </c>
      <c r="BP291" s="2">
        <f t="shared" si="291"/>
        <v>-1.9572586423544389</v>
      </c>
      <c r="BQ291" s="67">
        <f t="shared" si="320"/>
        <v>7</v>
      </c>
      <c r="BR291" s="5">
        <v>-1.847424934830274</v>
      </c>
      <c r="BS291" s="75" t="str">
        <f t="shared" si="321"/>
        <v>UF</v>
      </c>
      <c r="BT291" s="75" t="str">
        <f t="shared" si="322"/>
        <v>UF</v>
      </c>
      <c r="BU291" s="5" t="e">
        <f>IF(#REF!&gt;=36, IF(AND(NOT(ISBLANK(CM:CM)), NOT(ISBLANK(BD:BD))), (CM:CM-BD:BD)/2, ""), "UF")</f>
        <v>#REF!</v>
      </c>
      <c r="BV291" s="5" t="str">
        <f t="shared" si="292"/>
        <v>UF</v>
      </c>
      <c r="BW291" s="69" t="str">
        <f t="shared" si="293"/>
        <v/>
      </c>
      <c r="BX291" s="2">
        <v>93</v>
      </c>
      <c r="BY291" s="5">
        <v>-0.98743910932381385</v>
      </c>
      <c r="BZ291" s="74" t="str">
        <f t="shared" si="323"/>
        <v>UF</v>
      </c>
      <c r="CA291" s="74" t="str">
        <f t="shared" si="324"/>
        <v>UF</v>
      </c>
      <c r="CB291" s="5" t="str">
        <f t="shared" si="294"/>
        <v>UF</v>
      </c>
      <c r="CC291" s="5" t="str">
        <f t="shared" si="295"/>
        <v>UF</v>
      </c>
      <c r="CD291" s="2" t="e">
        <f t="shared" si="296"/>
        <v>#VALUE!</v>
      </c>
      <c r="CE291" s="69" t="str">
        <f t="shared" si="297"/>
        <v/>
      </c>
      <c r="CF291" s="5">
        <v>11700</v>
      </c>
      <c r="CG291" s="5">
        <v>-1.8418456422845519</v>
      </c>
      <c r="CH291" s="72" t="str">
        <f t="shared" si="325"/>
        <v>UF</v>
      </c>
      <c r="CI291" s="72" t="str">
        <f t="shared" si="326"/>
        <v>UF</v>
      </c>
      <c r="CJ291" s="5" t="str">
        <f t="shared" si="298"/>
        <v>UF</v>
      </c>
      <c r="CK291" s="5" t="str">
        <f t="shared" si="299"/>
        <v>UF</v>
      </c>
      <c r="CL291" s="69" t="str">
        <f t="shared" si="300"/>
        <v/>
      </c>
      <c r="CN291" s="70" t="str">
        <f t="shared" si="301"/>
        <v/>
      </c>
      <c r="CO291" s="5" t="str">
        <f t="shared" si="302"/>
        <v>UF</v>
      </c>
      <c r="CP291" s="5" t="str">
        <f>IF(G291&lt;48,"UF", IF(NOT(ISBLANK(CM:CM)), CM:CM, IF(BW:BW=1, BV:BV+Sheet2!B529, IF(Sheet1!BW:BW=2, Sheet1!BV:BV+Sheet2!B530, IF(Sheet1!BW:BW=7, Sheet1!BV:BV+Sheet2!B531,"")))))</f>
        <v>UF</v>
      </c>
      <c r="CQ291" s="69" t="str">
        <f t="shared" si="327"/>
        <v/>
      </c>
      <c r="CR291" s="5" t="s">
        <v>12</v>
      </c>
      <c r="CT291" s="5" t="str">
        <f t="shared" si="303"/>
        <v/>
      </c>
      <c r="CU291" s="80" t="str">
        <f t="shared" si="304"/>
        <v>UF</v>
      </c>
      <c r="CV291" s="80" t="str">
        <f t="shared" si="305"/>
        <v>UF</v>
      </c>
      <c r="CW291" s="20" t="str">
        <f>IF(G291&lt;48,"UF", IF(NOT(ISBLANK(CS291)), CS291, IF(CE291=5, CC291+Sheet2!B518, IF(CE291=6, CC291+Sheet2!B519, IF(CE291=7, CC291+Sheet2!B520,"")))))</f>
        <v>UF</v>
      </c>
      <c r="CX291" s="68" t="str">
        <f t="shared" si="328"/>
        <v/>
      </c>
      <c r="CY291" s="5" t="s">
        <v>12</v>
      </c>
      <c r="DA291" s="5" t="str">
        <f t="shared" si="306"/>
        <v>UF</v>
      </c>
      <c r="DB291" s="73" t="str">
        <f t="shared" si="307"/>
        <v>UF</v>
      </c>
      <c r="DC291" s="73" t="str">
        <f t="shared" si="308"/>
        <v>UF</v>
      </c>
      <c r="DD291" s="5" t="str">
        <f>IF(G291&lt;48,"UF", IF(NOT(ISBLANK(CZ:CZ)), CZ:CZ, IF(CL:CL=3, CK:CK+Sheet2!B523, IF(CL:CL=4, CK:CK+Sheet2!B524, IF(CL:CL=7, CK:CK+Sheet2!B525,"")))))</f>
        <v>UF</v>
      </c>
      <c r="DE291" s="69" t="str">
        <f t="shared" si="266"/>
        <v/>
      </c>
      <c r="DF291" s="2">
        <v>2</v>
      </c>
      <c r="DG291" s="2">
        <v>36</v>
      </c>
      <c r="DH291" s="2">
        <v>1</v>
      </c>
      <c r="DI291" s="2">
        <v>2</v>
      </c>
      <c r="DJ291" s="2">
        <v>2</v>
      </c>
      <c r="DK291" s="2">
        <v>112</v>
      </c>
      <c r="DL291" s="2">
        <v>68</v>
      </c>
      <c r="DM291" s="2">
        <v>95</v>
      </c>
      <c r="DN291" s="2">
        <v>65</v>
      </c>
      <c r="DO291" s="2">
        <v>100</v>
      </c>
      <c r="DP291" s="2">
        <v>60</v>
      </c>
      <c r="DQ291" s="2">
        <v>2</v>
      </c>
      <c r="DR291" s="2">
        <v>37</v>
      </c>
      <c r="DS291" s="2">
        <v>1</v>
      </c>
      <c r="DT291" s="2">
        <v>95</v>
      </c>
      <c r="DU291" s="2">
        <v>78</v>
      </c>
      <c r="DV291" s="2">
        <v>2</v>
      </c>
      <c r="DW291" s="2">
        <v>2</v>
      </c>
      <c r="DX291" s="2">
        <v>2</v>
      </c>
      <c r="DY291" s="2">
        <v>2</v>
      </c>
      <c r="DZ291" s="2">
        <v>32.5</v>
      </c>
      <c r="EA291" s="2">
        <v>34</v>
      </c>
      <c r="EB291" s="2">
        <v>45</v>
      </c>
      <c r="EC291" s="2">
        <v>1</v>
      </c>
      <c r="ED291" s="2">
        <v>1</v>
      </c>
    </row>
    <row r="292" spans="2:134" x14ac:dyDescent="0.25">
      <c r="B292" s="2"/>
      <c r="C292" s="2" t="s">
        <v>414</v>
      </c>
      <c r="D292" s="2">
        <v>2501044452</v>
      </c>
      <c r="E292" s="5" t="s">
        <v>527</v>
      </c>
      <c r="F292" s="2">
        <v>2</v>
      </c>
      <c r="G292" s="2">
        <v>37</v>
      </c>
      <c r="H292">
        <v>-0.60033646662640638</v>
      </c>
      <c r="I292" s="2">
        <v>46</v>
      </c>
      <c r="J292">
        <v>-2.051761523148302</v>
      </c>
      <c r="K292" s="5">
        <v>2680</v>
      </c>
      <c r="L292" s="2">
        <v>-1.4634166609009831</v>
      </c>
      <c r="M292" s="2">
        <v>-0.21416619369065831</v>
      </c>
      <c r="N292" s="2">
        <f t="shared" si="268"/>
        <v>-3.6549940819688431E-2</v>
      </c>
      <c r="O292" s="2">
        <f t="shared" si="269"/>
        <v>-0.21416619369065831</v>
      </c>
      <c r="P292" s="2">
        <v>65</v>
      </c>
      <c r="Q292" s="2">
        <v>-1.563126908834146</v>
      </c>
      <c r="R292" s="5">
        <f t="shared" si="270"/>
        <v>-8.2466641999022539E-2</v>
      </c>
      <c r="S292" s="5">
        <f t="shared" si="271"/>
        <v>-1.563126908834146</v>
      </c>
      <c r="T292" s="1">
        <v>7200</v>
      </c>
      <c r="U292" s="2">
        <v>-1.0839013267345941</v>
      </c>
      <c r="V292" s="2">
        <f t="shared" si="272"/>
        <v>-0.17144624355328841</v>
      </c>
      <c r="W292" s="2">
        <f t="shared" si="273"/>
        <v>-1.0839013267345941</v>
      </c>
      <c r="X292" s="2">
        <v>-0.67343634826578325</v>
      </c>
      <c r="Y292" s="76">
        <f t="shared" si="309"/>
        <v>-7.3099881639376862E-2</v>
      </c>
      <c r="Z292" s="76">
        <f t="shared" si="310"/>
        <v>-1</v>
      </c>
      <c r="AA292" s="2">
        <f t="shared" si="274"/>
        <v>3.0061046365015276E-3</v>
      </c>
      <c r="AB292" s="2">
        <f t="shared" si="275"/>
        <v>-0.67343634826578325</v>
      </c>
      <c r="AC292" s="2">
        <v>71</v>
      </c>
      <c r="AD292" s="2">
        <v>-2.216694807146347</v>
      </c>
      <c r="AE292" s="79">
        <f t="shared" si="311"/>
        <v>-0.16493328399804508</v>
      </c>
      <c r="AF292" s="79">
        <f t="shared" si="312"/>
        <v>-1</v>
      </c>
      <c r="AG292" s="2">
        <f t="shared" si="330"/>
        <v>-8.4507716861550564E-2</v>
      </c>
      <c r="AH292" s="2">
        <f t="shared" si="276"/>
        <v>-2.216694807146347</v>
      </c>
      <c r="AI292" s="2">
        <v>8000</v>
      </c>
      <c r="AJ292" s="2">
        <v>-1.8063091480075599</v>
      </c>
      <c r="AK292" s="76">
        <f t="shared" si="313"/>
        <v>-0.34289248710657683</v>
      </c>
      <c r="AL292" s="76">
        <f t="shared" si="314"/>
        <v>-1</v>
      </c>
      <c r="AM292" s="2">
        <f t="shared" si="277"/>
        <v>-0.52238118585587245</v>
      </c>
      <c r="AN292" s="2">
        <f t="shared" si="278"/>
        <v>-1.8063091480075599</v>
      </c>
      <c r="AO292" s="2">
        <v>-1.5571146995611429</v>
      </c>
      <c r="AP292" s="2">
        <f t="shared" si="279"/>
        <v>-0.74857949617063235</v>
      </c>
      <c r="AQ292" s="2">
        <f t="shared" si="280"/>
        <v>-1.5571146995611429</v>
      </c>
      <c r="AR292" s="2">
        <v>78</v>
      </c>
      <c r="AS292" s="2">
        <v>-1.7321423425572471</v>
      </c>
      <c r="AT292" s="2">
        <f t="shared" si="281"/>
        <v>0.27328951729531148</v>
      </c>
      <c r="AU292" s="2">
        <f t="shared" si="282"/>
        <v>-1.7321423425572471</v>
      </c>
      <c r="AV292" s="2">
        <v>8700</v>
      </c>
      <c r="AW292" s="2">
        <v>-2.128663698446339</v>
      </c>
      <c r="AX292" s="2">
        <f t="shared" si="283"/>
        <v>-0.57649602694620905</v>
      </c>
      <c r="AY292" s="2">
        <f t="shared" si="284"/>
        <v>-2.128663698446339</v>
      </c>
      <c r="AZ292" s="2">
        <v>-2.170595340607048</v>
      </c>
      <c r="BA292" s="78">
        <f t="shared" si="315"/>
        <v>-1.4971589923412647</v>
      </c>
      <c r="BB292" s="78">
        <f t="shared" si="316"/>
        <v>-2</v>
      </c>
      <c r="BC292" s="2">
        <f t="shared" si="285"/>
        <v>-0.74588479737272628</v>
      </c>
      <c r="BD292" s="2">
        <f t="shared" si="286"/>
        <v>-2.170595340607048</v>
      </c>
      <c r="BE292" s="67">
        <f t="shared" si="317"/>
        <v>2</v>
      </c>
      <c r="BF292" s="2">
        <v>81</v>
      </c>
      <c r="BG292" s="2">
        <v>-1.6701157725557241</v>
      </c>
      <c r="BH292" s="2">
        <f t="shared" si="287"/>
        <v>0.1965715807566327</v>
      </c>
      <c r="BI292" s="2">
        <f t="shared" si="288"/>
        <v>-1.6701157725557241</v>
      </c>
      <c r="BJ292" s="67">
        <f t="shared" si="289"/>
        <v>7</v>
      </c>
      <c r="BK292" s="2">
        <v>9350</v>
      </c>
      <c r="BL292" s="2">
        <v>-2.959301201899978</v>
      </c>
      <c r="BM292" s="77">
        <f t="shared" si="318"/>
        <v>-1.1529920538924181</v>
      </c>
      <c r="BN292" s="77">
        <f t="shared" si="319"/>
        <v>-2</v>
      </c>
      <c r="BO292" s="2">
        <f t="shared" si="290"/>
        <v>-0.3308916099728057</v>
      </c>
      <c r="BP292" s="2">
        <f t="shared" si="291"/>
        <v>-2.959301201899978</v>
      </c>
      <c r="BQ292" s="67">
        <f t="shared" si="320"/>
        <v>4</v>
      </c>
      <c r="BR292" s="2">
        <v>-3.794769091679322</v>
      </c>
      <c r="BS292" s="75">
        <f t="shared" si="321"/>
        <v>-1.624173751072274</v>
      </c>
      <c r="BT292" s="75">
        <f t="shared" si="322"/>
        <v>-2</v>
      </c>
      <c r="BU292" s="5" t="str">
        <f>IF(G298&gt;=36, IF(AND(NOT(ISBLANK(CM:CM)), NOT(ISBLANK(BD:BD))), (CM:CM-BD:BD)/2, ""), "UF")</f>
        <v/>
      </c>
      <c r="BV292" s="5">
        <f t="shared" si="292"/>
        <v>-3.794769091679322</v>
      </c>
      <c r="BW292" s="69">
        <f t="shared" si="293"/>
        <v>1</v>
      </c>
      <c r="BX292" s="2">
        <v>91</v>
      </c>
      <c r="BY292" s="2">
        <v>-1.142427600287349</v>
      </c>
      <c r="BZ292" s="74">
        <f t="shared" si="323"/>
        <v>1.816873601612629</v>
      </c>
      <c r="CA292" s="74">
        <f t="shared" si="324"/>
        <v>2</v>
      </c>
      <c r="CB292" s="5" t="str">
        <f t="shared" si="294"/>
        <v/>
      </c>
      <c r="CC292" s="5">
        <f t="shared" si="295"/>
        <v>-1.142427600287349</v>
      </c>
      <c r="CD292" s="2">
        <f t="shared" si="296"/>
        <v>0.52768817226837506</v>
      </c>
      <c r="CE292" s="69">
        <f t="shared" si="297"/>
        <v>7</v>
      </c>
      <c r="CF292" s="5">
        <v>10500</v>
      </c>
      <c r="CG292" s="2">
        <v>-3.1213385283647561</v>
      </c>
      <c r="CH292" s="72">
        <f t="shared" si="325"/>
        <v>-0.16203732646477809</v>
      </c>
      <c r="CI292" s="72">
        <f t="shared" si="326"/>
        <v>-1</v>
      </c>
      <c r="CJ292" s="5" t="str">
        <f t="shared" si="298"/>
        <v/>
      </c>
      <c r="CK292" s="5">
        <f t="shared" si="299"/>
        <v>-3.1213385283647561</v>
      </c>
      <c r="CL292" s="69">
        <f t="shared" si="300"/>
        <v>3</v>
      </c>
      <c r="CM292" s="2"/>
      <c r="CN292" s="70" t="str">
        <f t="shared" si="301"/>
        <v/>
      </c>
      <c r="CO292" s="5" t="str">
        <f t="shared" si="302"/>
        <v>UF</v>
      </c>
      <c r="CP292" s="5" t="str">
        <f>IF(G292&lt;48,"UF", IF(NOT(ISBLANK(CM:CM)), CM:CM, IF(BW:BW=1, BV:BV+Sheet2!B630, IF(Sheet1!BW:BW=2, Sheet1!BV:BV+Sheet2!B631, IF(Sheet1!BW:BW=7, Sheet1!BV:BV+Sheet2!B632,"")))))</f>
        <v>UF</v>
      </c>
      <c r="CQ292" s="69" t="str">
        <f t="shared" si="327"/>
        <v/>
      </c>
      <c r="CR292" s="5" t="s">
        <v>12</v>
      </c>
      <c r="CS292" s="2"/>
      <c r="CT292" s="5" t="str">
        <f t="shared" si="303"/>
        <v/>
      </c>
      <c r="CU292" s="80" t="str">
        <f t="shared" si="304"/>
        <v>UF</v>
      </c>
      <c r="CV292" s="80" t="str">
        <f t="shared" si="305"/>
        <v>UF</v>
      </c>
      <c r="CW292" s="20" t="str">
        <f>IF(G292&lt;48,"UF", IF(NOT(ISBLANK(CS292)), CS292, IF(CE292=5, CC292+Sheet2!B619, IF(CE292=6, CC292+Sheet2!B620, IF(CE292=7, CC292+Sheet2!B621,"")))))</f>
        <v>UF</v>
      </c>
      <c r="CX292" s="68" t="str">
        <f t="shared" si="328"/>
        <v/>
      </c>
      <c r="CY292" s="5" t="s">
        <v>12</v>
      </c>
      <c r="DA292" s="5" t="str">
        <f t="shared" si="306"/>
        <v>UF</v>
      </c>
      <c r="DB292" s="73" t="str">
        <f t="shared" si="307"/>
        <v>UF</v>
      </c>
      <c r="DC292" s="73" t="str">
        <f t="shared" si="308"/>
        <v>UF</v>
      </c>
      <c r="DD292" s="5" t="str">
        <f>IF(G292&lt;48,"UF", IF(NOT(ISBLANK(CZ:CZ)), CZ:CZ, IF(CL:CL=3, CK:CK+Sheet2!B624, IF(CL:CL=4, CK:CK+Sheet2!B625, IF(CL:CL=7, CK:CK+Sheet2!B626,"")))))</f>
        <v>UF</v>
      </c>
      <c r="DE292" s="69" t="str">
        <f t="shared" si="266"/>
        <v/>
      </c>
      <c r="DF292" s="2">
        <v>1</v>
      </c>
      <c r="DG292" s="2">
        <v>21</v>
      </c>
      <c r="DH292" s="2">
        <v>1</v>
      </c>
      <c r="DI292" s="2">
        <v>1</v>
      </c>
      <c r="DJ292" s="2">
        <v>2</v>
      </c>
      <c r="DK292" s="2">
        <v>100</v>
      </c>
      <c r="DL292" s="2">
        <v>60</v>
      </c>
      <c r="DM292" s="2">
        <v>100</v>
      </c>
      <c r="DN292" s="2">
        <v>60</v>
      </c>
      <c r="DO292" s="2">
        <v>100</v>
      </c>
      <c r="DP292" s="2">
        <v>60</v>
      </c>
      <c r="DQ292" s="2">
        <v>2</v>
      </c>
      <c r="DR292" s="2">
        <v>38</v>
      </c>
      <c r="DS292" s="2">
        <v>2</v>
      </c>
      <c r="DT292" s="2">
        <v>86</v>
      </c>
      <c r="DU292" s="2">
        <v>75</v>
      </c>
      <c r="DV292" s="2">
        <v>2</v>
      </c>
      <c r="DW292" s="2">
        <v>2</v>
      </c>
      <c r="DX292" s="2">
        <v>2</v>
      </c>
      <c r="DY292" s="2">
        <v>2</v>
      </c>
      <c r="DZ292" s="2">
        <v>34.5</v>
      </c>
      <c r="EA292" s="2">
        <v>34.5</v>
      </c>
      <c r="EB292" s="2">
        <v>44</v>
      </c>
      <c r="EC292" s="2">
        <v>1</v>
      </c>
      <c r="ED292" s="2">
        <v>1</v>
      </c>
    </row>
    <row r="293" spans="2:134" x14ac:dyDescent="0.25">
      <c r="C293" s="8" t="s">
        <v>278</v>
      </c>
      <c r="D293" s="8">
        <v>2501044843</v>
      </c>
      <c r="E293" s="5">
        <v>7</v>
      </c>
      <c r="F293" s="2">
        <v>2</v>
      </c>
      <c r="G293" s="2">
        <v>32</v>
      </c>
      <c r="H293" s="2">
        <v>-2.338073603266857</v>
      </c>
      <c r="I293" s="2">
        <v>50</v>
      </c>
      <c r="J293" s="2">
        <v>6.1168777667580831E-2</v>
      </c>
      <c r="K293" s="2">
        <v>2700</v>
      </c>
      <c r="L293" s="2">
        <v>-1.4162320057858351</v>
      </c>
      <c r="N293" s="2">
        <f t="shared" si="268"/>
        <v>2.0686801633428509E-2</v>
      </c>
      <c r="O293" s="2">
        <f t="shared" si="269"/>
        <v>-2.3173868016334285</v>
      </c>
      <c r="P293" s="2" t="s">
        <v>12</v>
      </c>
      <c r="R293" s="5">
        <f t="shared" si="270"/>
        <v>0.54941561116620952</v>
      </c>
      <c r="S293" s="5">
        <f t="shared" si="271"/>
        <v>0.61058438883379029</v>
      </c>
      <c r="T293" s="2" t="s">
        <v>12</v>
      </c>
      <c r="V293" s="2">
        <f t="shared" si="272"/>
        <v>0.22311600289291755</v>
      </c>
      <c r="W293" s="2">
        <f t="shared" si="273"/>
        <v>-1.1931160028929175</v>
      </c>
      <c r="X293" s="2">
        <v>-2.2967</v>
      </c>
      <c r="Y293" s="76">
        <f t="shared" si="309"/>
        <v>4.1373603266857018E-2</v>
      </c>
      <c r="Z293" s="76">
        <f t="shared" si="310"/>
        <v>1</v>
      </c>
      <c r="AA293" s="2">
        <f t="shared" si="274"/>
        <v>-1.3319921944168951</v>
      </c>
      <c r="AB293" s="2">
        <f t="shared" si="275"/>
        <v>-2.2967</v>
      </c>
      <c r="AC293" s="2">
        <v>78.5</v>
      </c>
      <c r="AD293" s="2">
        <v>1.1599999999999999</v>
      </c>
      <c r="AE293" s="79">
        <f t="shared" si="311"/>
        <v>1.098831222332419</v>
      </c>
      <c r="AF293" s="79">
        <f t="shared" si="312"/>
        <v>2</v>
      </c>
      <c r="AG293" s="2">
        <f t="shared" si="330"/>
        <v>5.470780558310484E-2</v>
      </c>
      <c r="AH293" s="2">
        <f t="shared" si="276"/>
        <v>1.1599999999999999</v>
      </c>
      <c r="AI293" s="2">
        <v>8670</v>
      </c>
      <c r="AJ293" s="2">
        <v>-0.97</v>
      </c>
      <c r="AK293" s="76">
        <f t="shared" si="313"/>
        <v>0.44623200578583511</v>
      </c>
      <c r="AL293" s="76">
        <f t="shared" si="314"/>
        <v>1</v>
      </c>
      <c r="AM293" s="2">
        <f t="shared" si="277"/>
        <v>0.10155800144645877</v>
      </c>
      <c r="AN293" s="2">
        <f t="shared" si="278"/>
        <v>-0.97</v>
      </c>
      <c r="AO293" s="2">
        <v>-2.0533999999999999</v>
      </c>
      <c r="AP293" s="2" t="str">
        <f t="shared" si="279"/>
        <v/>
      </c>
      <c r="AQ293" s="2">
        <f t="shared" si="280"/>
        <v>-2.0533999999999999</v>
      </c>
      <c r="AR293" s="2">
        <v>84.2</v>
      </c>
      <c r="AS293" s="2">
        <v>0.72</v>
      </c>
      <c r="AT293" s="2" t="str">
        <f t="shared" si="281"/>
        <v/>
      </c>
      <c r="AU293" s="2">
        <f t="shared" si="282"/>
        <v>0.72</v>
      </c>
      <c r="AV293" s="2">
        <v>9800</v>
      </c>
      <c r="AW293" s="2">
        <v>-0.99</v>
      </c>
      <c r="AX293" s="2" t="str">
        <f t="shared" si="283"/>
        <v/>
      </c>
      <c r="AY293" s="2">
        <f t="shared" si="284"/>
        <v>-0.99</v>
      </c>
      <c r="BA293" s="78" t="e">
        <f t="shared" si="315"/>
        <v>#VALUE!</v>
      </c>
      <c r="BB293" s="78" t="e">
        <f t="shared" si="316"/>
        <v>#VALUE!</v>
      </c>
      <c r="BC293" s="2" t="str">
        <f t="shared" si="285"/>
        <v/>
      </c>
      <c r="BD293" s="2" t="e">
        <f t="shared" si="286"/>
        <v>#VALUE!</v>
      </c>
      <c r="BE293" s="67" t="e">
        <f t="shared" si="317"/>
        <v>#VALUE!</v>
      </c>
      <c r="BF293" s="2" t="s">
        <v>12</v>
      </c>
      <c r="BH293" s="2" t="str">
        <f t="shared" si="287"/>
        <v/>
      </c>
      <c r="BI293" s="2" t="e">
        <f t="shared" si="288"/>
        <v>#VALUE!</v>
      </c>
      <c r="BJ293" s="67" t="e">
        <f t="shared" si="289"/>
        <v>#VALUE!</v>
      </c>
      <c r="BK293" s="2" t="s">
        <v>12</v>
      </c>
      <c r="BM293" s="77" t="e">
        <f t="shared" si="318"/>
        <v>#VALUE!</v>
      </c>
      <c r="BN293" s="77" t="e">
        <f t="shared" si="319"/>
        <v>#VALUE!</v>
      </c>
      <c r="BO293" s="2" t="str">
        <f t="shared" si="290"/>
        <v/>
      </c>
      <c r="BP293" s="2" t="e">
        <f t="shared" si="291"/>
        <v>#VALUE!</v>
      </c>
      <c r="BQ293" s="67" t="e">
        <f t="shared" si="320"/>
        <v>#VALUE!</v>
      </c>
      <c r="BS293" s="75" t="str">
        <f t="shared" si="321"/>
        <v>UF</v>
      </c>
      <c r="BT293" s="75" t="str">
        <f t="shared" si="322"/>
        <v>UF</v>
      </c>
      <c r="BU293" s="5" t="str">
        <f>IF(G299&gt;=36, IF(AND(NOT(ISBLANK(CM:CM)), NOT(ISBLANK(BD:BD))), (CM:CM-BD:BD)/2, ""), "UF")</f>
        <v>UF</v>
      </c>
      <c r="BV293" s="5" t="str">
        <f t="shared" si="292"/>
        <v>UF</v>
      </c>
      <c r="BW293" s="69" t="str">
        <f t="shared" si="293"/>
        <v/>
      </c>
      <c r="BX293" s="2" t="s">
        <v>12</v>
      </c>
      <c r="BZ293" s="74" t="str">
        <f t="shared" si="323"/>
        <v>UF</v>
      </c>
      <c r="CA293" s="74" t="str">
        <f t="shared" si="324"/>
        <v>UF</v>
      </c>
      <c r="CB293" s="5" t="str">
        <f t="shared" si="294"/>
        <v>UF</v>
      </c>
      <c r="CC293" s="5" t="str">
        <f t="shared" si="295"/>
        <v>UF</v>
      </c>
      <c r="CD293" s="2" t="e">
        <f t="shared" si="296"/>
        <v>#VALUE!</v>
      </c>
      <c r="CE293" s="69" t="str">
        <f t="shared" si="297"/>
        <v/>
      </c>
      <c r="CF293" s="5" t="s">
        <v>12</v>
      </c>
      <c r="CH293" s="72" t="str">
        <f t="shared" si="325"/>
        <v>UF</v>
      </c>
      <c r="CI293" s="72" t="str">
        <f t="shared" si="326"/>
        <v>UF</v>
      </c>
      <c r="CJ293" s="5" t="str">
        <f t="shared" si="298"/>
        <v>UF</v>
      </c>
      <c r="CK293" s="5" t="str">
        <f t="shared" si="299"/>
        <v>UF</v>
      </c>
      <c r="CL293" s="69" t="str">
        <f t="shared" si="300"/>
        <v/>
      </c>
      <c r="CN293" s="70" t="str">
        <f t="shared" si="301"/>
        <v/>
      </c>
      <c r="CO293" s="5" t="str">
        <f t="shared" si="302"/>
        <v>UF</v>
      </c>
      <c r="CP293" s="5" t="str">
        <f>IF(G293&lt;48,"UF", IF(NOT(ISBLANK(CM:CM)), CM:CM, IF(BW:BW=1, BV:BV+Sheet2!B483, IF(Sheet1!BW:BW=2, Sheet1!BV:BV+Sheet2!B484, IF(Sheet1!BW:BW=7, Sheet1!BV:BV+Sheet2!B485,"")))))</f>
        <v>UF</v>
      </c>
      <c r="CQ293" s="69" t="str">
        <f t="shared" si="327"/>
        <v/>
      </c>
      <c r="CR293" s="5" t="s">
        <v>12</v>
      </c>
      <c r="CT293" s="5" t="str">
        <f t="shared" si="303"/>
        <v/>
      </c>
      <c r="CU293" s="80" t="str">
        <f t="shared" si="304"/>
        <v>UF</v>
      </c>
      <c r="CV293" s="80" t="str">
        <f t="shared" si="305"/>
        <v>UF</v>
      </c>
      <c r="CW293" s="20" t="str">
        <f>IF(G293&lt;48,"UF", IF(NOT(ISBLANK(CS293)), CS293, IF(CE293=5, CC293+Sheet2!B472, IF(CE293=6, CC293+Sheet2!B473, IF(CE293=7, CC293+Sheet2!B474,"")))))</f>
        <v>UF</v>
      </c>
      <c r="CX293" s="68" t="str">
        <f t="shared" si="328"/>
        <v/>
      </c>
      <c r="CY293" s="5" t="s">
        <v>12</v>
      </c>
      <c r="DA293" s="5" t="str">
        <f t="shared" si="306"/>
        <v>UF</v>
      </c>
      <c r="DB293" s="73" t="str">
        <f t="shared" si="307"/>
        <v>UF</v>
      </c>
      <c r="DC293" s="73" t="str">
        <f t="shared" si="308"/>
        <v>UF</v>
      </c>
      <c r="DD293" s="5" t="str">
        <f>IF(G293&lt;48,"UF", IF(NOT(ISBLANK(CZ:CZ)), CZ:CZ, IF(CL:CL=3, CK:CK+Sheet2!B477, IF(CL:CL=4, CK:CK+Sheet2!B478, IF(CL:CL=7, CK:CK+Sheet2!B479,"")))))</f>
        <v>UF</v>
      </c>
      <c r="DE293" s="69" t="str">
        <f t="shared" si="266"/>
        <v/>
      </c>
      <c r="DF293" s="2">
        <v>1</v>
      </c>
      <c r="DG293" s="2">
        <v>25</v>
      </c>
      <c r="DH293" s="2">
        <v>2</v>
      </c>
      <c r="DI293" s="2">
        <v>2</v>
      </c>
      <c r="DJ293" s="2">
        <v>2</v>
      </c>
      <c r="DK293" s="2">
        <v>120</v>
      </c>
      <c r="DL293" s="2">
        <v>65</v>
      </c>
      <c r="DM293" s="2">
        <v>120</v>
      </c>
      <c r="DN293" s="2">
        <v>70</v>
      </c>
      <c r="DO293" s="2" t="s">
        <v>12</v>
      </c>
      <c r="DP293" s="2" t="s">
        <v>12</v>
      </c>
      <c r="DQ293" s="2">
        <v>2</v>
      </c>
      <c r="DR293" s="2">
        <v>38</v>
      </c>
      <c r="DS293" s="2">
        <v>1</v>
      </c>
      <c r="DT293" s="2">
        <v>118</v>
      </c>
      <c r="DU293" s="2">
        <v>91</v>
      </c>
      <c r="DV293" s="2">
        <v>2</v>
      </c>
      <c r="DW293" s="2">
        <v>2</v>
      </c>
      <c r="DX293" s="2">
        <v>2</v>
      </c>
      <c r="DY293" s="2">
        <v>2</v>
      </c>
      <c r="DZ293" s="2">
        <v>32.5</v>
      </c>
      <c r="EA293" s="2" t="s">
        <v>12</v>
      </c>
      <c r="EB293" s="2">
        <v>44.6</v>
      </c>
      <c r="EC293" s="2" t="s">
        <v>12</v>
      </c>
      <c r="ED293" s="2">
        <v>1</v>
      </c>
    </row>
    <row r="294" spans="2:134" x14ac:dyDescent="0.25">
      <c r="C294" s="9" t="s">
        <v>122</v>
      </c>
      <c r="D294" s="57">
        <v>2501044991</v>
      </c>
      <c r="E294" s="2">
        <v>4</v>
      </c>
      <c r="F294" s="2">
        <v>2</v>
      </c>
      <c r="G294" s="2">
        <v>32</v>
      </c>
      <c r="H294" s="2">
        <v>-1.2032109102862529</v>
      </c>
      <c r="I294" s="2">
        <v>47</v>
      </c>
      <c r="J294" s="2">
        <v>-1.5235289479443319</v>
      </c>
      <c r="K294" s="5">
        <v>2645</v>
      </c>
      <c r="L294" s="2">
        <v>-1.5465447225442821</v>
      </c>
      <c r="N294" s="2">
        <f t="shared" si="268"/>
        <v>0.61680545514312646</v>
      </c>
      <c r="O294" s="2">
        <f t="shared" si="269"/>
        <v>-0.58640545514312648</v>
      </c>
      <c r="P294" s="2" t="s">
        <v>12</v>
      </c>
      <c r="R294" s="5">
        <f t="shared" si="270"/>
        <v>-0.23323552602783404</v>
      </c>
      <c r="S294" s="5">
        <f t="shared" si="271"/>
        <v>-1.756764473972166</v>
      </c>
      <c r="T294" s="1" t="s">
        <v>12</v>
      </c>
      <c r="V294" s="2">
        <f t="shared" si="272"/>
        <v>0.19327236127214109</v>
      </c>
      <c r="W294" s="2">
        <f t="shared" si="273"/>
        <v>-1.3532723612721411</v>
      </c>
      <c r="X294" s="2">
        <v>3.04E-2</v>
      </c>
      <c r="Y294" s="76">
        <f t="shared" si="309"/>
        <v>1.2336109102862529</v>
      </c>
      <c r="Z294" s="76">
        <f t="shared" si="310"/>
        <v>2</v>
      </c>
      <c r="AA294" s="2">
        <f t="shared" si="274"/>
        <v>0.79938223698608302</v>
      </c>
      <c r="AB294" s="2">
        <f t="shared" si="275"/>
        <v>3.04E-2</v>
      </c>
      <c r="AC294" s="2">
        <v>71</v>
      </c>
      <c r="AD294" s="2">
        <v>-1.99</v>
      </c>
      <c r="AE294" s="79">
        <f t="shared" si="311"/>
        <v>-0.46647105205566808</v>
      </c>
      <c r="AF294" s="79">
        <f t="shared" si="312"/>
        <v>-1</v>
      </c>
      <c r="AG294" s="2">
        <f t="shared" si="330"/>
        <v>-9.6617763013917002E-2</v>
      </c>
      <c r="AH294" s="2">
        <f t="shared" si="276"/>
        <v>-1.99</v>
      </c>
      <c r="AI294" s="2">
        <v>7700</v>
      </c>
      <c r="AJ294" s="2">
        <v>-1.1599999999999999</v>
      </c>
      <c r="AK294" s="76">
        <f t="shared" si="313"/>
        <v>0.38654472254428218</v>
      </c>
      <c r="AL294" s="76">
        <f t="shared" si="314"/>
        <v>1</v>
      </c>
      <c r="AM294" s="2" t="str">
        <f t="shared" si="277"/>
        <v/>
      </c>
      <c r="AN294" s="2">
        <f t="shared" si="278"/>
        <v>-1.1599999999999999</v>
      </c>
      <c r="AO294" s="2">
        <v>-0.158</v>
      </c>
      <c r="AP294" s="2">
        <f t="shared" si="279"/>
        <v>3.8400509537511989E-3</v>
      </c>
      <c r="AQ294" s="2">
        <f t="shared" si="280"/>
        <v>-0.158</v>
      </c>
      <c r="AR294" s="2">
        <v>77</v>
      </c>
      <c r="AS294" s="2">
        <v>-1.95</v>
      </c>
      <c r="AT294" s="2">
        <f t="shared" si="281"/>
        <v>-0.12488419639099646</v>
      </c>
      <c r="AU294" s="2">
        <f t="shared" si="282"/>
        <v>-1.95</v>
      </c>
      <c r="AV294" s="2" t="s">
        <v>12</v>
      </c>
      <c r="AX294" s="2">
        <f t="shared" si="283"/>
        <v>-0.3986293211772195</v>
      </c>
      <c r="AY294" s="2">
        <f t="shared" si="284"/>
        <v>-1.5586293211772193</v>
      </c>
      <c r="AZ294" s="2">
        <v>3.8080101907502398E-2</v>
      </c>
      <c r="BA294" s="78">
        <f t="shared" si="315"/>
        <v>7.6801019075023978E-3</v>
      </c>
      <c r="BB294" s="78">
        <f t="shared" si="316"/>
        <v>1</v>
      </c>
      <c r="BC294" s="2" t="str">
        <f t="shared" si="285"/>
        <v/>
      </c>
      <c r="BD294" s="2">
        <f t="shared" si="286"/>
        <v>3.8080101907502398E-2</v>
      </c>
      <c r="BE294" s="67">
        <f t="shared" si="317"/>
        <v>7</v>
      </c>
      <c r="BF294" s="2">
        <v>79</v>
      </c>
      <c r="BG294" s="2">
        <v>-2.2397683927819929</v>
      </c>
      <c r="BH294" s="2" t="str">
        <f t="shared" si="287"/>
        <v/>
      </c>
      <c r="BI294" s="2">
        <f t="shared" si="288"/>
        <v>-2.2397683927819929</v>
      </c>
      <c r="BJ294" s="67">
        <f t="shared" si="289"/>
        <v>6</v>
      </c>
      <c r="BK294" s="2">
        <v>9200</v>
      </c>
      <c r="BL294" s="2">
        <v>-1.9572586423544389</v>
      </c>
      <c r="BM294" s="77">
        <f t="shared" si="318"/>
        <v>-0.797258642354439</v>
      </c>
      <c r="BN294" s="77">
        <f t="shared" si="319"/>
        <v>-2</v>
      </c>
      <c r="BO294" s="2" t="str">
        <f t="shared" si="290"/>
        <v/>
      </c>
      <c r="BP294" s="2">
        <f t="shared" si="291"/>
        <v>-1.9572586423544389</v>
      </c>
      <c r="BQ294" s="67">
        <f t="shared" si="320"/>
        <v>7</v>
      </c>
      <c r="BS294" s="75" t="str">
        <f t="shared" si="321"/>
        <v>UF</v>
      </c>
      <c r="BT294" s="75" t="str">
        <f t="shared" si="322"/>
        <v>UF</v>
      </c>
      <c r="BU294" s="5" t="str">
        <f>IF(G300&gt;=36, IF(AND(NOT(ISBLANK(CM:CM)), NOT(ISBLANK(BD:BD))), (CM:CM-BD:BD)/2, ""), "UF")</f>
        <v>UF</v>
      </c>
      <c r="BV294" s="5" t="str">
        <f t="shared" si="292"/>
        <v>UF</v>
      </c>
      <c r="BW294" s="69" t="str">
        <f t="shared" si="293"/>
        <v/>
      </c>
      <c r="BX294" s="2" t="s">
        <v>12</v>
      </c>
      <c r="BZ294" s="74" t="str">
        <f t="shared" si="323"/>
        <v>UF</v>
      </c>
      <c r="CA294" s="74" t="str">
        <f t="shared" si="324"/>
        <v>UF</v>
      </c>
      <c r="CB294" s="5" t="str">
        <f t="shared" si="294"/>
        <v>UF</v>
      </c>
      <c r="CC294" s="5" t="str">
        <f t="shared" si="295"/>
        <v>UF</v>
      </c>
      <c r="CD294" s="2" t="e">
        <f t="shared" si="296"/>
        <v>#VALUE!</v>
      </c>
      <c r="CE294" s="69" t="str">
        <f t="shared" si="297"/>
        <v/>
      </c>
      <c r="CF294" s="5" t="s">
        <v>12</v>
      </c>
      <c r="CH294" s="72" t="str">
        <f t="shared" si="325"/>
        <v>UF</v>
      </c>
      <c r="CI294" s="72" t="str">
        <f t="shared" si="326"/>
        <v>UF</v>
      </c>
      <c r="CJ294" s="5" t="str">
        <f t="shared" si="298"/>
        <v>UF</v>
      </c>
      <c r="CK294" s="5" t="str">
        <f t="shared" si="299"/>
        <v>UF</v>
      </c>
      <c r="CL294" s="69" t="str">
        <f t="shared" si="300"/>
        <v/>
      </c>
      <c r="CN294" s="70" t="str">
        <f t="shared" si="301"/>
        <v/>
      </c>
      <c r="CO294" s="5" t="str">
        <f t="shared" si="302"/>
        <v>UF</v>
      </c>
      <c r="CP294" s="5" t="str">
        <f>IF(G294&lt;48,"UF", IF(NOT(ISBLANK(CM:CM)), CM:CM, IF(BW:BW=1, BV:BV+Sheet2!B166, IF(Sheet1!BW:BW=2, Sheet1!BV:BV+Sheet2!B167, IF(Sheet1!BW:BW=7, Sheet1!BV:BV+Sheet2!B168,"")))))</f>
        <v>UF</v>
      </c>
      <c r="CQ294" s="69" t="str">
        <f t="shared" si="327"/>
        <v/>
      </c>
      <c r="CR294" s="5" t="s">
        <v>12</v>
      </c>
      <c r="CT294" s="5" t="str">
        <f t="shared" si="303"/>
        <v/>
      </c>
      <c r="CU294" s="80" t="str">
        <f t="shared" si="304"/>
        <v>UF</v>
      </c>
      <c r="CV294" s="80" t="str">
        <f t="shared" si="305"/>
        <v>UF</v>
      </c>
      <c r="CW294" s="20" t="str">
        <f>IF(G294&lt;48,"UF", IF(NOT(ISBLANK(CS294)), CS294, IF(CE294=5, CC294+Sheet2!B155, IF(CE294=6, CC294+Sheet2!B156, IF(CE294=7, CC294+Sheet2!B157,"")))))</f>
        <v>UF</v>
      </c>
      <c r="CX294" s="68" t="str">
        <f t="shared" si="328"/>
        <v/>
      </c>
      <c r="CY294" s="5" t="s">
        <v>12</v>
      </c>
      <c r="DA294" s="5" t="str">
        <f t="shared" si="306"/>
        <v>UF</v>
      </c>
      <c r="DB294" s="73" t="str">
        <f t="shared" si="307"/>
        <v>UF</v>
      </c>
      <c r="DC294" s="73" t="str">
        <f t="shared" si="308"/>
        <v>UF</v>
      </c>
      <c r="DD294" s="5" t="str">
        <f>IF(G294&lt;48,"UF", IF(NOT(ISBLANK(CZ:CZ)), CZ:CZ, IF(CL:CL=3, CK:CK+Sheet2!B160, IF(CL:CL=4, CK:CK+Sheet2!B161, IF(CL:CL=7, CK:CK+Sheet2!B162,"")))))</f>
        <v>UF</v>
      </c>
      <c r="DE294" s="69" t="str">
        <f t="shared" si="266"/>
        <v/>
      </c>
      <c r="DF294" s="2">
        <v>2</v>
      </c>
      <c r="DG294" s="2">
        <v>27</v>
      </c>
      <c r="DH294" s="2">
        <v>2</v>
      </c>
      <c r="DI294" s="2">
        <v>1</v>
      </c>
      <c r="DJ294" s="2">
        <v>2</v>
      </c>
      <c r="DK294" s="2">
        <v>88</v>
      </c>
      <c r="DL294" s="2">
        <v>58</v>
      </c>
      <c r="DM294" s="2">
        <v>87</v>
      </c>
      <c r="DN294" s="2">
        <v>56</v>
      </c>
      <c r="DO294" s="2">
        <v>88</v>
      </c>
      <c r="DP294" s="2">
        <v>55</v>
      </c>
      <c r="DQ294" s="2">
        <v>2</v>
      </c>
      <c r="DR294" s="2">
        <v>39</v>
      </c>
      <c r="DS294" s="2">
        <v>2</v>
      </c>
      <c r="DT294" s="2">
        <v>85</v>
      </c>
      <c r="DU294" s="2">
        <v>84</v>
      </c>
      <c r="DV294" s="2">
        <v>2</v>
      </c>
      <c r="DW294" s="2">
        <v>3</v>
      </c>
      <c r="DX294" s="2">
        <v>4</v>
      </c>
      <c r="DY294" s="2">
        <v>1</v>
      </c>
      <c r="DZ294" s="2">
        <v>34</v>
      </c>
      <c r="EA294" s="2">
        <v>35</v>
      </c>
      <c r="EB294" s="2">
        <v>44</v>
      </c>
      <c r="EC294" s="2">
        <v>1</v>
      </c>
      <c r="ED294" s="2">
        <v>1</v>
      </c>
    </row>
    <row r="295" spans="2:134" x14ac:dyDescent="0.25">
      <c r="C295" s="5" t="s">
        <v>372</v>
      </c>
      <c r="D295" s="10">
        <v>2501045289</v>
      </c>
      <c r="E295" s="5">
        <v>2</v>
      </c>
      <c r="F295" s="2">
        <v>1</v>
      </c>
      <c r="G295" s="2">
        <v>31</v>
      </c>
      <c r="H295" s="2">
        <v>-4.0180001331099042</v>
      </c>
      <c r="I295" s="2">
        <v>48</v>
      </c>
      <c r="J295" s="2">
        <v>-0.61614996855203885</v>
      </c>
      <c r="K295" s="5">
        <v>2105</v>
      </c>
      <c r="L295" s="2">
        <v>-2.7919945907639891</v>
      </c>
      <c r="M295" s="2">
        <v>-1.9112</v>
      </c>
      <c r="N295" s="2">
        <f t="shared" si="268"/>
        <v>0.79780006655495206</v>
      </c>
      <c r="O295" s="2">
        <f t="shared" si="269"/>
        <v>-1.9112</v>
      </c>
      <c r="P295" s="2">
        <v>67</v>
      </c>
      <c r="Q295" s="2">
        <v>0.55000000000000004</v>
      </c>
      <c r="R295" s="5">
        <f t="shared" si="270"/>
        <v>0.11307498427601942</v>
      </c>
      <c r="S295" s="5">
        <f t="shared" si="271"/>
        <v>0.55000000000000004</v>
      </c>
      <c r="T295" s="1">
        <v>6400</v>
      </c>
      <c r="U295" s="2">
        <v>-1.0900000000000001</v>
      </c>
      <c r="V295" s="2">
        <f t="shared" si="272"/>
        <v>0.43099729538199461</v>
      </c>
      <c r="W295" s="2">
        <f t="shared" si="273"/>
        <v>-1.0900000000000001</v>
      </c>
      <c r="X295" s="2">
        <v>-2.4224000000000001</v>
      </c>
      <c r="Y295" s="76">
        <f t="shared" si="309"/>
        <v>1.5956001331099041</v>
      </c>
      <c r="Z295" s="76">
        <f t="shared" si="310"/>
        <v>2</v>
      </c>
      <c r="AA295" s="2">
        <f t="shared" si="274"/>
        <v>-1.5184000000000002</v>
      </c>
      <c r="AB295" s="2">
        <f t="shared" si="275"/>
        <v>-2.4224000000000001</v>
      </c>
      <c r="AC295" s="2">
        <v>73</v>
      </c>
      <c r="AD295" s="2">
        <v>-0.39</v>
      </c>
      <c r="AE295" s="79">
        <f t="shared" si="311"/>
        <v>0.22614996855203884</v>
      </c>
      <c r="AF295" s="79">
        <f t="shared" si="312"/>
        <v>1</v>
      </c>
      <c r="AG295" s="2">
        <f t="shared" si="330"/>
        <v>-0.74</v>
      </c>
      <c r="AH295" s="2">
        <f t="shared" si="276"/>
        <v>-0.39</v>
      </c>
      <c r="AI295" s="2">
        <v>7100</v>
      </c>
      <c r="AJ295" s="2">
        <v>-1.93</v>
      </c>
      <c r="AK295" s="76">
        <f t="shared" si="313"/>
        <v>0.86199459076398921</v>
      </c>
      <c r="AL295" s="76">
        <f t="shared" si="314"/>
        <v>2</v>
      </c>
      <c r="AM295" s="2">
        <f t="shared" si="277"/>
        <v>-0.6</v>
      </c>
      <c r="AN295" s="2">
        <f t="shared" si="278"/>
        <v>-1.93</v>
      </c>
      <c r="AO295" s="2">
        <v>-2.4868000000000001</v>
      </c>
      <c r="AP295" s="2">
        <f t="shared" si="279"/>
        <v>-0.3597978552600134</v>
      </c>
      <c r="AQ295" s="2">
        <f t="shared" si="280"/>
        <v>-2.4868000000000001</v>
      </c>
      <c r="AR295" s="2">
        <v>78</v>
      </c>
      <c r="AS295" s="2">
        <v>-0.93</v>
      </c>
      <c r="AT295" s="2">
        <f t="shared" si="281"/>
        <v>0.13807336982548002</v>
      </c>
      <c r="AU295" s="2">
        <f t="shared" si="282"/>
        <v>-0.93</v>
      </c>
      <c r="AV295" s="2">
        <v>7800</v>
      </c>
      <c r="AW295" s="2">
        <v>-2.29</v>
      </c>
      <c r="AX295" s="2">
        <f t="shared" si="283"/>
        <v>-0.37152106043275912</v>
      </c>
      <c r="AY295" s="2">
        <f t="shared" si="284"/>
        <v>-2.29</v>
      </c>
      <c r="AZ295" s="2">
        <v>-3.1419957105200269</v>
      </c>
      <c r="BA295" s="78">
        <f t="shared" si="315"/>
        <v>-0.7195957105200268</v>
      </c>
      <c r="BB295" s="78">
        <f t="shared" si="316"/>
        <v>-2</v>
      </c>
      <c r="BC295" s="2" t="str">
        <f t="shared" si="285"/>
        <v/>
      </c>
      <c r="BD295" s="2">
        <f t="shared" si="286"/>
        <v>-3.1419957105200269</v>
      </c>
      <c r="BE295" s="67">
        <f t="shared" si="317"/>
        <v>1</v>
      </c>
      <c r="BF295" s="2">
        <v>85</v>
      </c>
      <c r="BG295" s="2">
        <v>-0.11385326034904</v>
      </c>
      <c r="BH295" s="2" t="str">
        <f t="shared" si="287"/>
        <v/>
      </c>
      <c r="BI295" s="2">
        <f t="shared" si="288"/>
        <v>-0.11385326034904</v>
      </c>
      <c r="BJ295" s="67">
        <f t="shared" si="289"/>
        <v>7</v>
      </c>
      <c r="BK295" s="2">
        <v>9350</v>
      </c>
      <c r="BL295" s="2">
        <v>-2.6730421208655182</v>
      </c>
      <c r="BM295" s="77">
        <f t="shared" si="318"/>
        <v>-0.74304212086551824</v>
      </c>
      <c r="BN295" s="77">
        <f t="shared" si="319"/>
        <v>-2</v>
      </c>
      <c r="BO295" s="2" t="str">
        <f t="shared" si="290"/>
        <v/>
      </c>
      <c r="BP295" s="2">
        <f t="shared" si="291"/>
        <v>-2.6730421208655182</v>
      </c>
      <c r="BQ295" s="67">
        <f t="shared" si="320"/>
        <v>4</v>
      </c>
      <c r="BS295" s="75" t="str">
        <f t="shared" si="321"/>
        <v>UF</v>
      </c>
      <c r="BT295" s="75" t="str">
        <f t="shared" si="322"/>
        <v>UF</v>
      </c>
      <c r="BU295" s="5" t="str">
        <f>IF(G301&gt;=36, IF(AND(NOT(ISBLANK(CM:CM)), NOT(ISBLANK(BD:BD))), (CM:CM-BD:BD)/2, ""), "UF")</f>
        <v>UF</v>
      </c>
      <c r="BV295" s="5" t="str">
        <f t="shared" si="292"/>
        <v>UF</v>
      </c>
      <c r="BW295" s="69" t="str">
        <f t="shared" si="293"/>
        <v/>
      </c>
      <c r="BX295" s="2" t="s">
        <v>12</v>
      </c>
      <c r="BZ295" s="74" t="str">
        <f t="shared" si="323"/>
        <v>UF</v>
      </c>
      <c r="CA295" s="74" t="str">
        <f t="shared" si="324"/>
        <v>UF</v>
      </c>
      <c r="CB295" s="5" t="str">
        <f t="shared" si="294"/>
        <v>UF</v>
      </c>
      <c r="CC295" s="5" t="str">
        <f t="shared" si="295"/>
        <v>UF</v>
      </c>
      <c r="CD295" s="2" t="e">
        <f t="shared" si="296"/>
        <v>#VALUE!</v>
      </c>
      <c r="CE295" s="69" t="str">
        <f t="shared" si="297"/>
        <v/>
      </c>
      <c r="CF295" s="5" t="s">
        <v>12</v>
      </c>
      <c r="CH295" s="72" t="str">
        <f t="shared" si="325"/>
        <v>UF</v>
      </c>
      <c r="CI295" s="72" t="str">
        <f t="shared" si="326"/>
        <v>UF</v>
      </c>
      <c r="CJ295" s="5" t="str">
        <f t="shared" si="298"/>
        <v>UF</v>
      </c>
      <c r="CK295" s="5" t="str">
        <f t="shared" si="299"/>
        <v>UF</v>
      </c>
      <c r="CL295" s="69" t="str">
        <f t="shared" si="300"/>
        <v/>
      </c>
      <c r="CN295" s="70" t="str">
        <f t="shared" si="301"/>
        <v/>
      </c>
      <c r="CO295" s="5" t="str">
        <f t="shared" si="302"/>
        <v>UF</v>
      </c>
      <c r="CP295" s="5" t="str">
        <f>IF(G295&lt;48,"UF", IF(NOT(ISBLANK(CM:CM)), CM:CM, IF(BW:BW=1, BV:BV+Sheet2!B106, IF(Sheet1!BW:BW=2, Sheet1!BV:BV+Sheet2!B107, IF(Sheet1!BW:BW=7, Sheet1!BV:BV+Sheet2!B108,"")))))</f>
        <v>UF</v>
      </c>
      <c r="CQ295" s="69" t="str">
        <f t="shared" si="327"/>
        <v/>
      </c>
      <c r="CR295" s="5" t="s">
        <v>12</v>
      </c>
      <c r="CT295" s="5" t="str">
        <f t="shared" si="303"/>
        <v/>
      </c>
      <c r="CU295" s="80" t="str">
        <f t="shared" si="304"/>
        <v>UF</v>
      </c>
      <c r="CV295" s="80" t="str">
        <f t="shared" si="305"/>
        <v>UF</v>
      </c>
      <c r="CW295" s="20" t="str">
        <f>IF(G295&lt;48,"UF", IF(NOT(ISBLANK(CS295)), CS295, IF(CE295=5, CC295+Sheet2!B95, IF(CE295=6, CC295+Sheet2!B96, IF(CE295=7, CC295+Sheet2!B97,"")))))</f>
        <v>UF</v>
      </c>
      <c r="CX295" s="68" t="str">
        <f t="shared" si="328"/>
        <v/>
      </c>
      <c r="CY295" s="5" t="s">
        <v>12</v>
      </c>
      <c r="DA295" s="5" t="str">
        <f t="shared" si="306"/>
        <v>UF</v>
      </c>
      <c r="DB295" s="73" t="str">
        <f t="shared" si="307"/>
        <v>UF</v>
      </c>
      <c r="DC295" s="73" t="str">
        <f t="shared" si="308"/>
        <v>UF</v>
      </c>
      <c r="DD295" s="5" t="str">
        <f>IF(G295&lt;48,"UF", IF(NOT(ISBLANK(CZ:CZ)), CZ:CZ, IF(CL:CL=3, CK:CK+Sheet2!B100, IF(CL:CL=4, CK:CK+Sheet2!B101, IF(CL:CL=7, CK:CK+Sheet2!B102,"")))))</f>
        <v>UF</v>
      </c>
      <c r="DE295" s="69" t="str">
        <f t="shared" si="266"/>
        <v/>
      </c>
      <c r="DF295" s="2">
        <v>1</v>
      </c>
      <c r="DG295" s="2">
        <v>27</v>
      </c>
      <c r="DH295" s="2">
        <v>2</v>
      </c>
      <c r="DI295" s="2">
        <v>1</v>
      </c>
      <c r="DJ295" s="2">
        <v>2</v>
      </c>
      <c r="DK295" s="2">
        <v>99</v>
      </c>
      <c r="DL295" s="2">
        <v>56</v>
      </c>
      <c r="DM295" s="2">
        <v>100</v>
      </c>
      <c r="DN295" s="2">
        <v>65</v>
      </c>
      <c r="DO295" s="2">
        <v>97</v>
      </c>
      <c r="DP295" s="2">
        <v>65</v>
      </c>
      <c r="DQ295" s="2">
        <v>2</v>
      </c>
      <c r="DR295" s="2">
        <v>40</v>
      </c>
      <c r="DS295" s="2">
        <v>2</v>
      </c>
      <c r="DT295" s="2">
        <v>60</v>
      </c>
      <c r="DU295" s="2">
        <v>65</v>
      </c>
      <c r="DV295" s="2">
        <v>2</v>
      </c>
      <c r="DW295" s="2">
        <v>2</v>
      </c>
      <c r="DX295" s="2">
        <v>4</v>
      </c>
      <c r="DY295" s="2">
        <v>3</v>
      </c>
      <c r="DZ295" s="2">
        <v>33</v>
      </c>
      <c r="EA295" s="2">
        <v>35.5</v>
      </c>
      <c r="EB295" s="2">
        <v>43</v>
      </c>
      <c r="EC295" s="2">
        <v>1</v>
      </c>
      <c r="ED295" s="2">
        <v>1</v>
      </c>
    </row>
    <row r="296" spans="2:134" x14ac:dyDescent="0.25">
      <c r="C296" s="8" t="s">
        <v>235</v>
      </c>
      <c r="D296" s="2">
        <v>2501045351</v>
      </c>
      <c r="E296" s="5" t="s">
        <v>528</v>
      </c>
      <c r="F296" s="2">
        <v>2</v>
      </c>
      <c r="G296" s="2">
        <v>35</v>
      </c>
      <c r="H296" s="2">
        <v>-2.3742687572027048</v>
      </c>
      <c r="I296" s="2">
        <v>51</v>
      </c>
      <c r="J296" s="2">
        <v>0.58940135287155082</v>
      </c>
      <c r="K296" s="5">
        <v>2800</v>
      </c>
      <c r="L296" s="2">
        <v>-1.1836609161134151</v>
      </c>
      <c r="M296" s="2">
        <v>-1.8495999999999999</v>
      </c>
      <c r="N296" s="2">
        <f t="shared" si="268"/>
        <v>0.12128437860135244</v>
      </c>
      <c r="O296" s="2">
        <f t="shared" si="269"/>
        <v>-1.8495999999999999</v>
      </c>
      <c r="P296" s="2">
        <v>67</v>
      </c>
      <c r="Q296" s="2">
        <v>-0.3</v>
      </c>
      <c r="R296" s="5">
        <f t="shared" si="270"/>
        <v>-0.65970067643577535</v>
      </c>
      <c r="S296" s="5">
        <f t="shared" si="271"/>
        <v>-0.3</v>
      </c>
      <c r="T296" s="1">
        <v>6700</v>
      </c>
      <c r="U296" s="2">
        <v>-1.53</v>
      </c>
      <c r="V296" s="2">
        <f t="shared" si="272"/>
        <v>-0.37316954194329244</v>
      </c>
      <c r="W296" s="2">
        <f t="shared" si="273"/>
        <v>-1.53</v>
      </c>
      <c r="X296" s="2">
        <v>-2.1316999999999999</v>
      </c>
      <c r="Y296" s="76">
        <f t="shared" si="309"/>
        <v>0.24256875720270488</v>
      </c>
      <c r="Z296" s="76">
        <f t="shared" si="310"/>
        <v>1</v>
      </c>
      <c r="AA296" s="2">
        <f t="shared" si="274"/>
        <v>-0.88485000000000003</v>
      </c>
      <c r="AB296" s="2">
        <f t="shared" si="275"/>
        <v>-2.1316999999999999</v>
      </c>
      <c r="AC296" s="2">
        <v>74</v>
      </c>
      <c r="AD296" s="2">
        <v>-0.73</v>
      </c>
      <c r="AE296" s="79">
        <f t="shared" si="311"/>
        <v>-1.3194013528715507</v>
      </c>
      <c r="AF296" s="79">
        <f t="shared" si="312"/>
        <v>-2</v>
      </c>
      <c r="AG296" s="2">
        <f t="shared" si="330"/>
        <v>-0.64</v>
      </c>
      <c r="AH296" s="2">
        <f t="shared" si="276"/>
        <v>-0.73</v>
      </c>
      <c r="AI296" s="2">
        <v>7800</v>
      </c>
      <c r="AJ296" s="2">
        <v>-1.93</v>
      </c>
      <c r="AK296" s="76">
        <f t="shared" si="313"/>
        <v>-0.74633908388658488</v>
      </c>
      <c r="AL296" s="76">
        <f t="shared" si="314"/>
        <v>-2</v>
      </c>
      <c r="AM296" s="2">
        <f t="shared" si="277"/>
        <v>-0.42000000000000004</v>
      </c>
      <c r="AN296" s="2">
        <f t="shared" si="278"/>
        <v>-1.93</v>
      </c>
      <c r="AO296" s="2">
        <v>-2.0697000000000001</v>
      </c>
      <c r="AP296" s="2">
        <f t="shared" si="279"/>
        <v>-0.52414326438913705</v>
      </c>
      <c r="AQ296" s="2">
        <f t="shared" si="280"/>
        <v>-2.0697000000000001</v>
      </c>
      <c r="AR296" s="2">
        <v>78</v>
      </c>
      <c r="AS296" s="2">
        <v>-1.58</v>
      </c>
      <c r="AT296" s="2">
        <f t="shared" si="281"/>
        <v>-4.2723735924223183E-2</v>
      </c>
      <c r="AU296" s="2">
        <f t="shared" si="282"/>
        <v>-1.58</v>
      </c>
      <c r="AV296" s="2">
        <v>8400</v>
      </c>
      <c r="AW296" s="2">
        <v>-2.37</v>
      </c>
      <c r="AX296" s="2">
        <f t="shared" si="283"/>
        <v>-0.43611794421476013</v>
      </c>
      <c r="AY296" s="2">
        <f t="shared" si="284"/>
        <v>-2.37</v>
      </c>
      <c r="AZ296" s="2">
        <v>-3.179986528778274</v>
      </c>
      <c r="BA296" s="78">
        <f t="shared" si="315"/>
        <v>-1.0482865287782741</v>
      </c>
      <c r="BB296" s="78">
        <f t="shared" si="316"/>
        <v>-2</v>
      </c>
      <c r="BC296" s="2" t="str">
        <f t="shared" si="285"/>
        <v/>
      </c>
      <c r="BD296" s="2">
        <f t="shared" si="286"/>
        <v>-3.179986528778274</v>
      </c>
      <c r="BE296" s="67">
        <f t="shared" si="317"/>
        <v>1</v>
      </c>
      <c r="BF296" s="2">
        <v>84</v>
      </c>
      <c r="BG296" s="2">
        <v>-0.81544747184844635</v>
      </c>
      <c r="BH296" s="2" t="str">
        <f t="shared" si="287"/>
        <v/>
      </c>
      <c r="BI296" s="2">
        <f t="shared" si="288"/>
        <v>-0.81544747184844635</v>
      </c>
      <c r="BJ296" s="67">
        <f t="shared" si="289"/>
        <v>7</v>
      </c>
      <c r="BK296" s="2">
        <v>9500</v>
      </c>
      <c r="BL296" s="2">
        <v>-2.8022358884295202</v>
      </c>
      <c r="BM296" s="77">
        <f t="shared" si="318"/>
        <v>-0.87223588842952027</v>
      </c>
      <c r="BN296" s="77">
        <f t="shared" si="319"/>
        <v>-2</v>
      </c>
      <c r="BO296" s="2" t="str">
        <f t="shared" si="290"/>
        <v/>
      </c>
      <c r="BP296" s="2">
        <f t="shared" si="291"/>
        <v>-2.8022358884295202</v>
      </c>
      <c r="BQ296" s="67">
        <f t="shared" si="320"/>
        <v>4</v>
      </c>
      <c r="BS296" s="75" t="str">
        <f t="shared" si="321"/>
        <v>UF</v>
      </c>
      <c r="BT296" s="75" t="str">
        <f t="shared" si="322"/>
        <v>UF</v>
      </c>
      <c r="BU296" s="5" t="e">
        <f>IF(#REF!&gt;=36, IF(AND(NOT(ISBLANK(CM:CM)), NOT(ISBLANK(BD:BD))), (CM:CM-BD:BD)/2, ""), "UF")</f>
        <v>#REF!</v>
      </c>
      <c r="BV296" s="5" t="str">
        <f t="shared" si="292"/>
        <v>UF</v>
      </c>
      <c r="BW296" s="69" t="str">
        <f t="shared" si="293"/>
        <v/>
      </c>
      <c r="BX296" s="2" t="s">
        <v>12</v>
      </c>
      <c r="BZ296" s="74" t="str">
        <f t="shared" si="323"/>
        <v>UF</v>
      </c>
      <c r="CA296" s="74" t="str">
        <f t="shared" si="324"/>
        <v>UF</v>
      </c>
      <c r="CB296" s="5" t="str">
        <f t="shared" si="294"/>
        <v>UF</v>
      </c>
      <c r="CC296" s="5" t="str">
        <f t="shared" si="295"/>
        <v>UF</v>
      </c>
      <c r="CD296" s="2" t="e">
        <f t="shared" si="296"/>
        <v>#VALUE!</v>
      </c>
      <c r="CE296" s="69" t="str">
        <f t="shared" si="297"/>
        <v/>
      </c>
      <c r="CF296" s="5" t="s">
        <v>12</v>
      </c>
      <c r="CH296" s="72" t="str">
        <f t="shared" si="325"/>
        <v>UF</v>
      </c>
      <c r="CI296" s="72" t="str">
        <f t="shared" si="326"/>
        <v>UF</v>
      </c>
      <c r="CJ296" s="5" t="str">
        <f t="shared" si="298"/>
        <v>UF</v>
      </c>
      <c r="CK296" s="5" t="str">
        <f t="shared" si="299"/>
        <v>UF</v>
      </c>
      <c r="CL296" s="69" t="str">
        <f t="shared" si="300"/>
        <v/>
      </c>
      <c r="CN296" s="70" t="str">
        <f t="shared" si="301"/>
        <v/>
      </c>
      <c r="CO296" s="5" t="str">
        <f t="shared" si="302"/>
        <v>UF</v>
      </c>
      <c r="CP296" s="5" t="str">
        <f>IF(G296&lt;48,"UF", IF(NOT(ISBLANK(CM:CM)), CM:CM, IF(BW:BW=1, BV:BV+Sheet2!B109, IF(Sheet1!BW:BW=2, Sheet1!BV:BV+Sheet2!B110, IF(Sheet1!BW:BW=7, Sheet1!BV:BV+Sheet2!B111,"")))))</f>
        <v>UF</v>
      </c>
      <c r="CQ296" s="69" t="str">
        <f t="shared" si="327"/>
        <v/>
      </c>
      <c r="CR296" s="5" t="s">
        <v>12</v>
      </c>
      <c r="CT296" s="5" t="str">
        <f t="shared" si="303"/>
        <v/>
      </c>
      <c r="CU296" s="80" t="str">
        <f t="shared" si="304"/>
        <v>UF</v>
      </c>
      <c r="CV296" s="80" t="str">
        <f t="shared" si="305"/>
        <v>UF</v>
      </c>
      <c r="CW296" s="20" t="str">
        <f>IF(G296&lt;48,"UF", IF(NOT(ISBLANK(CS296)), CS296, IF(CE296=5, CC296+Sheet2!B98, IF(CE296=6, CC296+Sheet2!B99, IF(CE296=7, CC296+Sheet2!B100,"")))))</f>
        <v>UF</v>
      </c>
      <c r="CX296" s="68" t="str">
        <f t="shared" si="328"/>
        <v/>
      </c>
      <c r="CY296" s="5" t="s">
        <v>12</v>
      </c>
      <c r="DA296" s="5" t="str">
        <f t="shared" si="306"/>
        <v>UF</v>
      </c>
      <c r="DB296" s="73" t="str">
        <f t="shared" si="307"/>
        <v>UF</v>
      </c>
      <c r="DC296" s="73" t="str">
        <f t="shared" si="308"/>
        <v>UF</v>
      </c>
      <c r="DD296" s="5" t="str">
        <f>IF(G296&lt;48,"UF", IF(NOT(ISBLANK(CZ:CZ)), CZ:CZ, IF(CL:CL=3, CK:CK+Sheet2!B103, IF(CL:CL=4, CK:CK+Sheet2!B104, IF(CL:CL=7, CK:CK+Sheet2!B105,"")))))</f>
        <v>UF</v>
      </c>
      <c r="DE296" s="69" t="str">
        <f t="shared" si="266"/>
        <v/>
      </c>
      <c r="DF296" s="2">
        <v>2</v>
      </c>
      <c r="DG296" s="2">
        <v>30</v>
      </c>
      <c r="DH296" s="2">
        <v>1</v>
      </c>
      <c r="DI296" s="2">
        <v>2</v>
      </c>
      <c r="DJ296" s="2">
        <v>2</v>
      </c>
      <c r="DK296" s="2">
        <v>100</v>
      </c>
      <c r="DL296" s="2">
        <v>60</v>
      </c>
      <c r="DM296" s="2">
        <v>120</v>
      </c>
      <c r="DN296" s="2">
        <v>60</v>
      </c>
      <c r="DO296" s="2">
        <v>120</v>
      </c>
      <c r="DP296" s="2">
        <v>60</v>
      </c>
      <c r="DQ296" s="2">
        <v>1</v>
      </c>
      <c r="DR296" s="2">
        <v>37</v>
      </c>
      <c r="DS296" s="2">
        <v>2</v>
      </c>
      <c r="DT296" s="2">
        <v>91</v>
      </c>
      <c r="DU296" s="2">
        <v>74</v>
      </c>
      <c r="DV296" s="2">
        <v>2</v>
      </c>
      <c r="DW296" s="2">
        <v>2</v>
      </c>
      <c r="DX296" s="2">
        <v>2</v>
      </c>
      <c r="DY296" s="2">
        <v>2</v>
      </c>
      <c r="DZ296" s="2">
        <v>32</v>
      </c>
      <c r="EA296" s="2">
        <v>34</v>
      </c>
      <c r="EB296" s="2">
        <v>44</v>
      </c>
      <c r="EC296" s="2">
        <v>1</v>
      </c>
      <c r="ED296" s="2">
        <v>1</v>
      </c>
    </row>
    <row r="297" spans="2:134" x14ac:dyDescent="0.25">
      <c r="B297">
        <v>647.20000000000005</v>
      </c>
      <c r="C297" s="5" t="s">
        <v>42</v>
      </c>
      <c r="D297" s="2">
        <v>2501045416</v>
      </c>
      <c r="E297" s="5" t="s">
        <v>528</v>
      </c>
      <c r="F297" s="2">
        <v>1</v>
      </c>
      <c r="G297" s="2">
        <v>32</v>
      </c>
      <c r="H297" s="2">
        <v>-0.47715616490398088</v>
      </c>
      <c r="I297" s="2">
        <v>46</v>
      </c>
      <c r="J297" s="2">
        <v>-1.6898613744484801</v>
      </c>
      <c r="K297" s="5">
        <v>2700</v>
      </c>
      <c r="L297" s="2">
        <v>-1.2270493270806959</v>
      </c>
      <c r="M297" s="2">
        <v>-0.53510000000000002</v>
      </c>
      <c r="N297" s="2">
        <f t="shared" si="268"/>
        <v>-1.1370219175480094</v>
      </c>
      <c r="O297" s="2">
        <f t="shared" si="269"/>
        <v>-0.53510000000000002</v>
      </c>
      <c r="P297" s="2">
        <v>64</v>
      </c>
      <c r="Q297" s="2">
        <v>-0.77</v>
      </c>
      <c r="R297" s="5">
        <f t="shared" si="270"/>
        <v>0.93993068722424</v>
      </c>
      <c r="S297" s="5">
        <f t="shared" si="271"/>
        <v>-0.77</v>
      </c>
      <c r="T297" s="1">
        <v>6600</v>
      </c>
      <c r="U297" s="2">
        <v>-0.83</v>
      </c>
      <c r="V297" s="2">
        <f t="shared" si="272"/>
        <v>-0.29147533645965207</v>
      </c>
      <c r="W297" s="2">
        <f t="shared" si="273"/>
        <v>-0.83</v>
      </c>
      <c r="X297" s="2">
        <v>-2.7511999999999999</v>
      </c>
      <c r="Y297" s="76">
        <f t="shared" si="309"/>
        <v>-2.2740438350960188</v>
      </c>
      <c r="Z297" s="76">
        <f t="shared" si="310"/>
        <v>-2</v>
      </c>
      <c r="AA297" s="2">
        <f t="shared" si="274"/>
        <v>-0.55069999999999997</v>
      </c>
      <c r="AB297" s="2">
        <f t="shared" si="275"/>
        <v>-2.7511999999999999</v>
      </c>
      <c r="AC297" s="2">
        <v>74.5</v>
      </c>
      <c r="AD297" s="2">
        <v>0.19</v>
      </c>
      <c r="AE297" s="79">
        <f t="shared" si="311"/>
        <v>1.87986137444848</v>
      </c>
      <c r="AF297" s="79">
        <f t="shared" si="312"/>
        <v>2</v>
      </c>
      <c r="AG297" s="2">
        <f t="shared" si="330"/>
        <v>9.0000000000000024E-2</v>
      </c>
      <c r="AH297" s="2">
        <f t="shared" si="276"/>
        <v>0.19</v>
      </c>
      <c r="AI297" s="2">
        <v>7200</v>
      </c>
      <c r="AJ297" s="2">
        <v>-1.81</v>
      </c>
      <c r="AK297" s="76">
        <f t="shared" si="313"/>
        <v>-0.58295067291930414</v>
      </c>
      <c r="AL297" s="76">
        <f t="shared" si="314"/>
        <v>-1</v>
      </c>
      <c r="AM297" s="2">
        <f t="shared" si="277"/>
        <v>-0.41</v>
      </c>
      <c r="AN297" s="2">
        <f t="shared" si="278"/>
        <v>-1.81</v>
      </c>
      <c r="AO297" s="2">
        <v>-1.8714</v>
      </c>
      <c r="AP297" s="2">
        <f t="shared" si="279"/>
        <v>-0.4074093007928381</v>
      </c>
      <c r="AQ297" s="2">
        <f t="shared" si="280"/>
        <v>-1.8714</v>
      </c>
      <c r="AR297" s="2">
        <v>79</v>
      </c>
      <c r="AS297" s="2">
        <v>-0.59</v>
      </c>
      <c r="AT297" s="2">
        <f t="shared" si="281"/>
        <v>-8.0285596145853122E-2</v>
      </c>
      <c r="AU297" s="2">
        <f t="shared" si="282"/>
        <v>-0.59</v>
      </c>
      <c r="AV297" s="2">
        <v>8400</v>
      </c>
      <c r="AW297" s="2">
        <v>-1.65</v>
      </c>
      <c r="AX297" s="2">
        <f t="shared" si="283"/>
        <v>-0.5233927693960474</v>
      </c>
      <c r="AY297" s="2">
        <f t="shared" si="284"/>
        <v>-1.65</v>
      </c>
      <c r="AZ297" s="2">
        <v>-3.5660186015856761</v>
      </c>
      <c r="BA297" s="78">
        <f t="shared" si="315"/>
        <v>-0.81481860158567621</v>
      </c>
      <c r="BB297" s="78">
        <f t="shared" si="316"/>
        <v>-2</v>
      </c>
      <c r="BC297" s="2" t="str">
        <f t="shared" si="285"/>
        <v/>
      </c>
      <c r="BD297" s="2">
        <f t="shared" si="286"/>
        <v>-3.5660186015856761</v>
      </c>
      <c r="BE297" s="67">
        <f t="shared" si="317"/>
        <v>1</v>
      </c>
      <c r="BF297" s="2">
        <v>85.5</v>
      </c>
      <c r="BG297" s="2">
        <v>2.9428807708293769E-2</v>
      </c>
      <c r="BH297" s="2" t="str">
        <f t="shared" si="287"/>
        <v/>
      </c>
      <c r="BI297" s="2">
        <f t="shared" si="288"/>
        <v>2.9428807708293769E-2</v>
      </c>
      <c r="BJ297" s="67">
        <f t="shared" si="289"/>
        <v>7</v>
      </c>
      <c r="BK297" s="2">
        <v>9200</v>
      </c>
      <c r="BL297" s="2">
        <v>-2.8567855387920948</v>
      </c>
      <c r="BM297" s="77">
        <f t="shared" si="318"/>
        <v>-1.0467855387920948</v>
      </c>
      <c r="BN297" s="77">
        <f t="shared" si="319"/>
        <v>-2</v>
      </c>
      <c r="BO297" s="2" t="str">
        <f t="shared" si="290"/>
        <v/>
      </c>
      <c r="BP297" s="2">
        <f t="shared" si="291"/>
        <v>-2.8567855387920948</v>
      </c>
      <c r="BQ297" s="67">
        <f t="shared" si="320"/>
        <v>4</v>
      </c>
      <c r="BS297" s="75" t="str">
        <f t="shared" si="321"/>
        <v>UF</v>
      </c>
      <c r="BT297" s="75" t="str">
        <f t="shared" si="322"/>
        <v>UF</v>
      </c>
      <c r="BU297" s="5" t="str">
        <f>IF(G303&gt;=36, IF(AND(NOT(ISBLANK(CM:CM)), NOT(ISBLANK(BD:BD))), (CM:CM-BD:BD)/2, ""), "UF")</f>
        <v>UF</v>
      </c>
      <c r="BV297" s="5" t="str">
        <f t="shared" si="292"/>
        <v>UF</v>
      </c>
      <c r="BW297" s="69" t="str">
        <f t="shared" si="293"/>
        <v/>
      </c>
      <c r="BX297" s="2" t="s">
        <v>12</v>
      </c>
      <c r="BZ297" s="74" t="str">
        <f t="shared" si="323"/>
        <v>UF</v>
      </c>
      <c r="CA297" s="74" t="str">
        <f t="shared" si="324"/>
        <v>UF</v>
      </c>
      <c r="CB297" s="5" t="str">
        <f t="shared" si="294"/>
        <v>UF</v>
      </c>
      <c r="CC297" s="5" t="str">
        <f t="shared" si="295"/>
        <v>UF</v>
      </c>
      <c r="CD297" s="2" t="e">
        <f t="shared" si="296"/>
        <v>#VALUE!</v>
      </c>
      <c r="CE297" s="69" t="str">
        <f t="shared" si="297"/>
        <v/>
      </c>
      <c r="CF297" s="5" t="s">
        <v>12</v>
      </c>
      <c r="CH297" s="72" t="str">
        <f t="shared" si="325"/>
        <v>UF</v>
      </c>
      <c r="CI297" s="72" t="str">
        <f t="shared" si="326"/>
        <v>UF</v>
      </c>
      <c r="CJ297" s="5" t="str">
        <f t="shared" si="298"/>
        <v>UF</v>
      </c>
      <c r="CK297" s="5" t="str">
        <f t="shared" si="299"/>
        <v>UF</v>
      </c>
      <c r="CL297" s="69" t="str">
        <f t="shared" si="300"/>
        <v/>
      </c>
      <c r="CN297" s="70" t="str">
        <f t="shared" si="301"/>
        <v/>
      </c>
      <c r="CO297" s="5" t="str">
        <f t="shared" si="302"/>
        <v>UF</v>
      </c>
      <c r="CP297" s="5" t="str">
        <f>IF(G297&lt;48,"UF", IF(NOT(ISBLANK(CM:CM)), CM:CM, IF(BW:BW=1, BV:BV+Sheet2!B62, IF(Sheet1!BW:BW=2, Sheet1!BV:BV+Sheet2!B63, IF(Sheet1!BW:BW=7, Sheet1!BV:BV+Sheet2!B64,"")))))</f>
        <v>UF</v>
      </c>
      <c r="CQ297" s="69" t="str">
        <f t="shared" si="327"/>
        <v/>
      </c>
      <c r="CR297" s="5" t="s">
        <v>12</v>
      </c>
      <c r="CT297" s="5" t="str">
        <f t="shared" si="303"/>
        <v/>
      </c>
      <c r="CU297" s="80" t="str">
        <f t="shared" si="304"/>
        <v>UF</v>
      </c>
      <c r="CV297" s="80" t="str">
        <f t="shared" si="305"/>
        <v>UF</v>
      </c>
      <c r="CW297" s="20" t="str">
        <f>IF(G297&lt;48,"UF", IF(NOT(ISBLANK(CS297)), CS297, IF(CE297=5, CC297+Sheet2!B51, IF(CE297=6, CC297+Sheet2!B52, IF(CE297=7, CC297+Sheet2!B53,"")))))</f>
        <v>UF</v>
      </c>
      <c r="CX297" s="68" t="str">
        <f t="shared" si="328"/>
        <v/>
      </c>
      <c r="CY297" s="5" t="s">
        <v>12</v>
      </c>
      <c r="DA297" s="5" t="str">
        <f t="shared" si="306"/>
        <v>UF</v>
      </c>
      <c r="DB297" s="73" t="str">
        <f t="shared" si="307"/>
        <v>UF</v>
      </c>
      <c r="DC297" s="73" t="str">
        <f t="shared" si="308"/>
        <v>UF</v>
      </c>
      <c r="DD297" s="5" t="str">
        <f>IF(G297&lt;48,"UF", IF(NOT(ISBLANK(CZ:CZ)), CZ:CZ, IF(CL:CL=3, CK:CK+Sheet2!B56, IF(CL:CL=4, CK:CK+Sheet2!B57, IF(CL:CL=7, CK:CK+Sheet2!B58,"")))))</f>
        <v>UF</v>
      </c>
      <c r="DE297" s="69" t="str">
        <f t="shared" si="266"/>
        <v/>
      </c>
      <c r="DF297" s="2">
        <v>3</v>
      </c>
      <c r="DG297" s="2">
        <v>38</v>
      </c>
      <c r="DH297" s="2">
        <v>1</v>
      </c>
      <c r="DI297" s="2">
        <v>2</v>
      </c>
      <c r="DJ297" s="2">
        <v>2</v>
      </c>
      <c r="DK297" s="2">
        <v>120</v>
      </c>
      <c r="DL297" s="2">
        <v>70</v>
      </c>
      <c r="DM297" s="2" t="s">
        <v>12</v>
      </c>
      <c r="DN297" s="2" t="s">
        <v>12</v>
      </c>
      <c r="DO297" s="2">
        <v>105</v>
      </c>
      <c r="DP297" s="2">
        <v>65</v>
      </c>
      <c r="DQ297" s="2">
        <v>2</v>
      </c>
      <c r="DR297" s="2">
        <v>36</v>
      </c>
      <c r="DS297" s="2">
        <v>1</v>
      </c>
      <c r="DT297" s="2">
        <v>102</v>
      </c>
      <c r="DU297" s="2">
        <v>81</v>
      </c>
      <c r="DV297" s="2">
        <v>2</v>
      </c>
      <c r="DW297" s="2">
        <v>2</v>
      </c>
      <c r="DX297" s="2">
        <v>2</v>
      </c>
      <c r="DY297" s="2">
        <v>2</v>
      </c>
      <c r="DZ297" s="2">
        <v>34</v>
      </c>
      <c r="EA297" s="2">
        <v>34</v>
      </c>
      <c r="EB297" s="2">
        <v>45</v>
      </c>
      <c r="EC297" s="2">
        <v>1</v>
      </c>
      <c r="ED297" s="2">
        <v>1</v>
      </c>
    </row>
    <row r="298" spans="2:134" x14ac:dyDescent="0.25">
      <c r="C298" s="10" t="s">
        <v>378</v>
      </c>
      <c r="D298" s="10">
        <v>2501045459</v>
      </c>
      <c r="E298" s="5" t="s">
        <v>528</v>
      </c>
      <c r="F298" s="2">
        <v>1</v>
      </c>
      <c r="G298" s="2">
        <v>52</v>
      </c>
      <c r="H298" s="2">
        <v>-4.4885045440309614</v>
      </c>
      <c r="I298" s="2">
        <v>48</v>
      </c>
      <c r="J298" s="2">
        <v>-0.61614996855203885</v>
      </c>
      <c r="K298" s="5">
        <v>2000</v>
      </c>
      <c r="L298" s="2">
        <v>-3.090412788398317</v>
      </c>
      <c r="M298" s="2">
        <v>2.3400000000000001E-2</v>
      </c>
      <c r="N298" s="2">
        <f t="shared" si="268"/>
        <v>1.7835522720154806</v>
      </c>
      <c r="O298" s="2">
        <f t="shared" si="269"/>
        <v>2.3400000000000001E-2</v>
      </c>
      <c r="P298" s="2">
        <v>60</v>
      </c>
      <c r="Q298" s="2">
        <v>-2.54</v>
      </c>
      <c r="R298" s="5">
        <f t="shared" si="270"/>
        <v>-0.4719250157239806</v>
      </c>
      <c r="S298" s="5">
        <f t="shared" si="271"/>
        <v>-2.54</v>
      </c>
      <c r="T298" s="1">
        <v>6100</v>
      </c>
      <c r="U298" s="2">
        <v>-1.48</v>
      </c>
      <c r="V298" s="2">
        <f t="shared" si="272"/>
        <v>0.75520639419915847</v>
      </c>
      <c r="W298" s="2">
        <f t="shared" si="273"/>
        <v>-1.48</v>
      </c>
      <c r="X298" s="2">
        <v>-0.9214</v>
      </c>
      <c r="Y298" s="76">
        <f t="shared" si="309"/>
        <v>3.5671045440309612</v>
      </c>
      <c r="Z298" s="76">
        <f t="shared" si="310"/>
        <v>2</v>
      </c>
      <c r="AA298" s="2">
        <f t="shared" si="274"/>
        <v>0.73670000000000002</v>
      </c>
      <c r="AB298" s="2">
        <f t="shared" si="275"/>
        <v>-0.9214</v>
      </c>
      <c r="AC298" s="2">
        <v>70</v>
      </c>
      <c r="AD298" s="2">
        <v>-1.56</v>
      </c>
      <c r="AE298" s="79">
        <f t="shared" si="311"/>
        <v>-0.9438500314479612</v>
      </c>
      <c r="AF298" s="79">
        <f t="shared" si="312"/>
        <v>-2</v>
      </c>
      <c r="AG298" s="2">
        <f t="shared" si="330"/>
        <v>0.45999999999999996</v>
      </c>
      <c r="AH298" s="2">
        <f t="shared" si="276"/>
        <v>-1.56</v>
      </c>
      <c r="AI298" s="2">
        <v>7400</v>
      </c>
      <c r="AJ298" s="2">
        <v>-1.58</v>
      </c>
      <c r="AK298" s="76">
        <f t="shared" si="313"/>
        <v>1.5104127883983169</v>
      </c>
      <c r="AL298" s="76">
        <f t="shared" si="314"/>
        <v>2</v>
      </c>
      <c r="AM298" s="2">
        <f t="shared" si="277"/>
        <v>-0.13500000000000001</v>
      </c>
      <c r="AN298" s="2">
        <f t="shared" si="278"/>
        <v>-1.58</v>
      </c>
      <c r="AO298" s="2">
        <v>-1.0666</v>
      </c>
      <c r="AP298" s="2">
        <f t="shared" si="279"/>
        <v>-0.38230247144247398</v>
      </c>
      <c r="AQ298" s="2">
        <f t="shared" si="280"/>
        <v>-1.0666</v>
      </c>
      <c r="AR298" s="2">
        <v>76</v>
      </c>
      <c r="AS298" s="2">
        <v>-1.62</v>
      </c>
      <c r="AT298" s="2">
        <f t="shared" si="281"/>
        <v>-0.42015903761665552</v>
      </c>
      <c r="AU298" s="2">
        <f t="shared" si="282"/>
        <v>-1.62</v>
      </c>
      <c r="AV298" s="2">
        <v>8300</v>
      </c>
      <c r="AW298" s="2">
        <v>-1.75</v>
      </c>
      <c r="AX298" s="2">
        <f t="shared" si="283"/>
        <v>-1.1044139945804095</v>
      </c>
      <c r="AY298" s="2">
        <f t="shared" si="284"/>
        <v>-1.75</v>
      </c>
      <c r="AZ298" s="2">
        <v>-1.686004942884948</v>
      </c>
      <c r="BA298" s="78">
        <f t="shared" si="315"/>
        <v>-0.76460494288494796</v>
      </c>
      <c r="BB298" s="78">
        <f t="shared" si="316"/>
        <v>-2</v>
      </c>
      <c r="BC298" s="2" t="str">
        <f t="shared" si="285"/>
        <v/>
      </c>
      <c r="BD298" s="2">
        <f t="shared" si="286"/>
        <v>-1.686004942884948</v>
      </c>
      <c r="BE298" s="67">
        <f t="shared" si="317"/>
        <v>7</v>
      </c>
      <c r="BF298" s="2">
        <v>77</v>
      </c>
      <c r="BG298" s="2">
        <v>-2.4003180752333111</v>
      </c>
      <c r="BH298" s="2" t="str">
        <f t="shared" si="287"/>
        <v/>
      </c>
      <c r="BI298" s="2">
        <f t="shared" si="288"/>
        <v>-2.4003180752333111</v>
      </c>
      <c r="BJ298" s="67">
        <f t="shared" si="289"/>
        <v>6</v>
      </c>
      <c r="BK298" s="2">
        <v>8500</v>
      </c>
      <c r="BL298" s="2">
        <v>-3.788827989160819</v>
      </c>
      <c r="BM298" s="77">
        <f t="shared" si="318"/>
        <v>-2.2088279891608189</v>
      </c>
      <c r="BN298" s="77">
        <f t="shared" si="319"/>
        <v>-2</v>
      </c>
      <c r="BO298" s="2" t="str">
        <f t="shared" si="290"/>
        <v/>
      </c>
      <c r="BP298" s="2">
        <f t="shared" si="291"/>
        <v>-3.788827989160819</v>
      </c>
      <c r="BQ298" s="67">
        <f t="shared" si="320"/>
        <v>3</v>
      </c>
      <c r="BS298" s="75" t="e">
        <f t="shared" si="321"/>
        <v>#VALUE!</v>
      </c>
      <c r="BT298" s="75" t="e">
        <f t="shared" si="322"/>
        <v>#VALUE!</v>
      </c>
      <c r="BU298" s="5" t="str">
        <f>IF(G304&gt;=36, IF(AND(NOT(ISBLANK(CM:CM)), NOT(ISBLANK(BD:BD))), (CM:CM-BD:BD)/2, ""), "UF")</f>
        <v>UF</v>
      </c>
      <c r="BV298" s="5" t="e">
        <f t="shared" si="292"/>
        <v>#VALUE!</v>
      </c>
      <c r="BW298" s="69" t="e">
        <f t="shared" si="293"/>
        <v>#VALUE!</v>
      </c>
      <c r="BX298" s="2" t="s">
        <v>12</v>
      </c>
      <c r="BZ298" s="74" t="e">
        <f t="shared" si="323"/>
        <v>#VALUE!</v>
      </c>
      <c r="CA298" s="74" t="e">
        <f t="shared" si="324"/>
        <v>#VALUE!</v>
      </c>
      <c r="CB298" s="5" t="str">
        <f t="shared" si="294"/>
        <v/>
      </c>
      <c r="CC298" s="5" t="e">
        <f t="shared" si="295"/>
        <v>#VALUE!</v>
      </c>
      <c r="CD298" s="2" t="e">
        <f t="shared" si="296"/>
        <v>#VALUE!</v>
      </c>
      <c r="CE298" s="69" t="e">
        <f t="shared" si="297"/>
        <v>#VALUE!</v>
      </c>
      <c r="CF298" s="5" t="s">
        <v>12</v>
      </c>
      <c r="CH298" s="72" t="e">
        <f t="shared" si="325"/>
        <v>#VALUE!</v>
      </c>
      <c r="CI298" s="72" t="e">
        <f t="shared" si="326"/>
        <v>#VALUE!</v>
      </c>
      <c r="CJ298" s="5" t="str">
        <f t="shared" si="298"/>
        <v/>
      </c>
      <c r="CK298" s="5" t="e">
        <f t="shared" si="299"/>
        <v>#VALUE!</v>
      </c>
      <c r="CL298" s="69" t="e">
        <f t="shared" si="300"/>
        <v>#VALUE!</v>
      </c>
      <c r="CN298" s="70" t="str">
        <f t="shared" si="301"/>
        <v/>
      </c>
      <c r="CO298" s="5" t="e">
        <f t="shared" si="302"/>
        <v>#VALUE!</v>
      </c>
      <c r="CP298" s="5" t="e">
        <f>IF(G298&lt;48,"UF", IF(NOT(ISBLANK(CM:CM)), CM:CM, IF(BW:BW=1, BV:BV+Sheet2!B38, IF(Sheet1!BW:BW=2, Sheet1!BV:BV+Sheet2!B39, IF(Sheet1!BW:BW=7, Sheet1!BV:BV+Sheet2!B40,"")))))</f>
        <v>#VALUE!</v>
      </c>
      <c r="CQ298" s="69" t="e">
        <f t="shared" si="327"/>
        <v>#VALUE!</v>
      </c>
      <c r="CR298" s="5" t="s">
        <v>12</v>
      </c>
      <c r="CT298" s="5" t="str">
        <f t="shared" si="303"/>
        <v/>
      </c>
      <c r="CU298" s="80" t="e">
        <f t="shared" si="304"/>
        <v>#VALUE!</v>
      </c>
      <c r="CV298" s="80" t="e">
        <f t="shared" si="305"/>
        <v>#VALUE!</v>
      </c>
      <c r="CW298" s="20" t="e">
        <f>IF(G298&lt;48,"UF", IF(NOT(ISBLANK(CS298)), CS298, IF(CE298=5, CC298+Sheet2!B27, IF(CE298=6, CC298+Sheet2!B28, IF(CE298=7, CC298+Sheet2!B29,"")))))</f>
        <v>#VALUE!</v>
      </c>
      <c r="CX298" s="68" t="e">
        <f t="shared" si="328"/>
        <v>#VALUE!</v>
      </c>
      <c r="CY298" s="5" t="s">
        <v>12</v>
      </c>
      <c r="DA298" s="5" t="str">
        <f t="shared" si="306"/>
        <v/>
      </c>
      <c r="DB298" s="73" t="e">
        <f t="shared" si="307"/>
        <v>#VALUE!</v>
      </c>
      <c r="DC298" s="73" t="e">
        <f t="shared" si="308"/>
        <v>#VALUE!</v>
      </c>
      <c r="DD298" s="5" t="e">
        <f>IF(G298&lt;48,"UF", IF(NOT(ISBLANK(CZ:CZ)), CZ:CZ, IF(CL:CL=3, CK:CK+Sheet2!B32, IF(CL:CL=4, CK:CK+Sheet2!B33, IF(CL:CL=7, CK:CK+Sheet2!B34,"")))))</f>
        <v>#VALUE!</v>
      </c>
      <c r="DE298" s="69" t="e">
        <f t="shared" si="266"/>
        <v>#VALUE!</v>
      </c>
      <c r="DF298" s="2">
        <v>3</v>
      </c>
      <c r="DG298" s="2">
        <v>33</v>
      </c>
      <c r="DH298" s="2">
        <v>1</v>
      </c>
      <c r="DI298" s="2">
        <v>2</v>
      </c>
      <c r="DJ298" s="2">
        <v>2</v>
      </c>
      <c r="DK298" s="2">
        <v>110</v>
      </c>
      <c r="DL298" s="2">
        <v>60</v>
      </c>
      <c r="DM298" s="2">
        <v>120</v>
      </c>
      <c r="DN298" s="2">
        <v>70</v>
      </c>
      <c r="DO298" s="2">
        <v>115</v>
      </c>
      <c r="DP298" s="2">
        <v>70</v>
      </c>
      <c r="DQ298" s="2">
        <v>2</v>
      </c>
      <c r="DR298" s="2">
        <v>39</v>
      </c>
      <c r="DS298" s="2">
        <v>2</v>
      </c>
      <c r="DT298" s="2">
        <v>74</v>
      </c>
      <c r="DU298" s="2">
        <v>71</v>
      </c>
      <c r="DV298" s="2">
        <v>2</v>
      </c>
      <c r="DW298" s="2">
        <v>2</v>
      </c>
      <c r="DX298" s="2">
        <v>2</v>
      </c>
      <c r="DY298" s="2">
        <v>2</v>
      </c>
      <c r="DZ298" s="2">
        <v>32</v>
      </c>
      <c r="EA298" s="2">
        <v>33</v>
      </c>
      <c r="EB298" s="2">
        <v>44</v>
      </c>
      <c r="EC298" s="2">
        <v>1</v>
      </c>
      <c r="ED298" s="2">
        <v>1</v>
      </c>
    </row>
    <row r="299" spans="2:134" ht="15.75" thickBot="1" x14ac:dyDescent="0.3">
      <c r="C299" s="8" t="s">
        <v>235</v>
      </c>
      <c r="D299" s="53">
        <v>2501045483</v>
      </c>
      <c r="E299" s="5">
        <v>7</v>
      </c>
      <c r="F299" s="2">
        <v>1</v>
      </c>
      <c r="G299" s="2">
        <v>31</v>
      </c>
      <c r="H299" s="2">
        <v>-2.285657328109524</v>
      </c>
      <c r="I299" s="2">
        <v>53</v>
      </c>
      <c r="J299" s="2">
        <v>2.0681285461890671</v>
      </c>
      <c r="K299" s="2">
        <v>3035</v>
      </c>
      <c r="L299" s="2">
        <v>-0.43894453231166392</v>
      </c>
      <c r="N299" s="2">
        <f t="shared" si="268"/>
        <v>0.99882866405476201</v>
      </c>
      <c r="O299" s="2">
        <f t="shared" si="269"/>
        <v>-1.2868286640547622</v>
      </c>
      <c r="P299" s="2" t="s">
        <v>12</v>
      </c>
      <c r="R299" s="5">
        <f t="shared" si="270"/>
        <v>-1.2290642730945336</v>
      </c>
      <c r="S299" s="5">
        <f t="shared" si="271"/>
        <v>0.83906427309453346</v>
      </c>
      <c r="T299" s="2" t="s">
        <v>12</v>
      </c>
      <c r="V299" s="2">
        <f t="shared" si="272"/>
        <v>9.4722661558319654E-3</v>
      </c>
      <c r="W299" s="2">
        <f t="shared" si="273"/>
        <v>-0.42947226615583195</v>
      </c>
      <c r="X299" s="2">
        <v>-0.28799999999999998</v>
      </c>
      <c r="Y299" s="76">
        <f t="shared" si="309"/>
        <v>1.997657328109524</v>
      </c>
      <c r="Z299" s="76">
        <f t="shared" si="310"/>
        <v>2</v>
      </c>
      <c r="AA299" s="2" t="str">
        <f t="shared" si="274"/>
        <v/>
      </c>
      <c r="AB299" s="2">
        <f t="shared" si="275"/>
        <v>-0.28799999999999998</v>
      </c>
      <c r="AC299" s="2">
        <v>73</v>
      </c>
      <c r="AD299" s="2">
        <v>-0.39</v>
      </c>
      <c r="AE299" s="79">
        <f t="shared" si="311"/>
        <v>-2.4581285461890672</v>
      </c>
      <c r="AF299" s="79">
        <f t="shared" si="312"/>
        <v>-2</v>
      </c>
      <c r="AG299" s="2" t="str">
        <f t="shared" si="330"/>
        <v/>
      </c>
      <c r="AH299" s="2">
        <f t="shared" si="276"/>
        <v>-0.39</v>
      </c>
      <c r="AI299" s="2">
        <v>8500</v>
      </c>
      <c r="AJ299" s="2">
        <v>-0.42</v>
      </c>
      <c r="AK299" s="76">
        <f t="shared" si="313"/>
        <v>1.8944532311663931E-2</v>
      </c>
      <c r="AL299" s="76">
        <f t="shared" si="314"/>
        <v>1</v>
      </c>
      <c r="AM299" s="2" t="str">
        <f t="shared" si="277"/>
        <v/>
      </c>
      <c r="AN299" s="2">
        <f t="shared" si="278"/>
        <v>-0.42</v>
      </c>
      <c r="AP299" s="2">
        <f t="shared" si="279"/>
        <v>-0.73697318305788351</v>
      </c>
      <c r="AQ299" s="2">
        <f t="shared" si="280"/>
        <v>-1.0249731830578834</v>
      </c>
      <c r="AR299" s="2" t="s">
        <v>12</v>
      </c>
      <c r="AT299" s="2">
        <f t="shared" si="281"/>
        <v>0.13807336982548002</v>
      </c>
      <c r="AU299" s="2">
        <f t="shared" si="282"/>
        <v>-0.25192663017451999</v>
      </c>
      <c r="AV299" s="2" t="s">
        <v>12</v>
      </c>
      <c r="AX299" s="2">
        <f t="shared" si="283"/>
        <v>-0.59956998404408957</v>
      </c>
      <c r="AY299" s="2">
        <f t="shared" si="284"/>
        <v>-1.0195699840440895</v>
      </c>
      <c r="AZ299" s="2">
        <v>-1.761946366115767</v>
      </c>
      <c r="BA299" s="78">
        <f t="shared" si="315"/>
        <v>-1.473946366115767</v>
      </c>
      <c r="BB299" s="78">
        <f t="shared" si="316"/>
        <v>-2</v>
      </c>
      <c r="BC299" s="2" t="str">
        <f t="shared" si="285"/>
        <v/>
      </c>
      <c r="BD299" s="2">
        <f t="shared" si="286"/>
        <v>-1.761946366115767</v>
      </c>
      <c r="BE299" s="67">
        <f t="shared" si="317"/>
        <v>7</v>
      </c>
      <c r="BF299" s="2">
        <v>85</v>
      </c>
      <c r="BG299" s="2">
        <v>-0.11385326034904</v>
      </c>
      <c r="BH299" s="2" t="str">
        <f t="shared" si="287"/>
        <v/>
      </c>
      <c r="BI299" s="2">
        <f t="shared" si="288"/>
        <v>-0.11385326034904</v>
      </c>
      <c r="BJ299" s="67">
        <f t="shared" si="289"/>
        <v>7</v>
      </c>
      <c r="BK299" s="2">
        <v>10300</v>
      </c>
      <c r="BL299" s="2">
        <v>-1.6191399680881791</v>
      </c>
      <c r="BM299" s="77">
        <f t="shared" si="318"/>
        <v>-1.1991399680881791</v>
      </c>
      <c r="BN299" s="77">
        <f t="shared" si="319"/>
        <v>-2</v>
      </c>
      <c r="BO299" s="2" t="str">
        <f t="shared" si="290"/>
        <v/>
      </c>
      <c r="BP299" s="2">
        <f t="shared" si="291"/>
        <v>-1.6191399680881791</v>
      </c>
      <c r="BQ299" s="67">
        <f t="shared" si="320"/>
        <v>7</v>
      </c>
      <c r="BS299" s="75" t="str">
        <f t="shared" si="321"/>
        <v>UF</v>
      </c>
      <c r="BT299" s="75" t="str">
        <f t="shared" si="322"/>
        <v>UF</v>
      </c>
      <c r="BU299" s="5" t="str">
        <f>IF(G306&gt;=36, IF(AND(NOT(ISBLANK(CM:CM)), NOT(ISBLANK(BD:BD))), (CM:CM-BD:BD)/2, ""), "UF")</f>
        <v>UF</v>
      </c>
      <c r="BV299" s="5" t="str">
        <f t="shared" si="292"/>
        <v>UF</v>
      </c>
      <c r="BW299" s="69" t="str">
        <f t="shared" si="293"/>
        <v/>
      </c>
      <c r="BX299" s="2" t="s">
        <v>12</v>
      </c>
      <c r="BZ299" s="74" t="str">
        <f t="shared" si="323"/>
        <v>UF</v>
      </c>
      <c r="CA299" s="74" t="str">
        <f t="shared" si="324"/>
        <v>UF</v>
      </c>
      <c r="CB299" s="5" t="str">
        <f t="shared" si="294"/>
        <v>UF</v>
      </c>
      <c r="CC299" s="5" t="str">
        <f t="shared" si="295"/>
        <v>UF</v>
      </c>
      <c r="CD299" s="2" t="e">
        <f t="shared" si="296"/>
        <v>#VALUE!</v>
      </c>
      <c r="CE299" s="69" t="str">
        <f t="shared" si="297"/>
        <v/>
      </c>
      <c r="CF299" s="5" t="s">
        <v>12</v>
      </c>
      <c r="CH299" s="72" t="str">
        <f t="shared" si="325"/>
        <v>UF</v>
      </c>
      <c r="CI299" s="72" t="str">
        <f t="shared" si="326"/>
        <v>UF</v>
      </c>
      <c r="CJ299" s="5" t="str">
        <f t="shared" si="298"/>
        <v>UF</v>
      </c>
      <c r="CK299" s="5" t="str">
        <f t="shared" si="299"/>
        <v>UF</v>
      </c>
      <c r="CL299" s="69" t="str">
        <f t="shared" si="300"/>
        <v/>
      </c>
      <c r="CN299" s="70" t="str">
        <f t="shared" si="301"/>
        <v/>
      </c>
      <c r="CO299" s="5" t="str">
        <f t="shared" si="302"/>
        <v>UF</v>
      </c>
      <c r="CP299" s="5" t="str">
        <f>IF(G299&lt;48,"UF", IF(NOT(ISBLANK(CM:CM)), CM:CM, IF(BW:BW=1, BV:BV+Sheet2!B419, IF(Sheet1!BW:BW=2, Sheet1!BV:BV+Sheet2!B420, IF(Sheet1!BW:BW=7, Sheet1!BV:BV+Sheet2!B421,"")))))</f>
        <v>UF</v>
      </c>
      <c r="CQ299" s="69" t="str">
        <f t="shared" si="327"/>
        <v/>
      </c>
      <c r="CR299" s="5" t="s">
        <v>12</v>
      </c>
      <c r="CT299" s="5" t="str">
        <f t="shared" si="303"/>
        <v/>
      </c>
      <c r="CU299" s="80" t="str">
        <f t="shared" si="304"/>
        <v>UF</v>
      </c>
      <c r="CV299" s="80" t="str">
        <f t="shared" si="305"/>
        <v>UF</v>
      </c>
      <c r="CW299" s="20" t="str">
        <f>IF(G299&lt;48,"UF", IF(NOT(ISBLANK(CS299)), CS299, IF(CE299=5, CC299+Sheet2!B408, IF(CE299=6, CC299+Sheet2!B409, IF(CE299=7, CC299+Sheet2!B410,"")))))</f>
        <v>UF</v>
      </c>
      <c r="CX299" s="68" t="str">
        <f t="shared" si="328"/>
        <v/>
      </c>
      <c r="CY299" s="5" t="s">
        <v>12</v>
      </c>
      <c r="DA299" s="5" t="str">
        <f t="shared" si="306"/>
        <v>UF</v>
      </c>
      <c r="DB299" s="73" t="str">
        <f t="shared" si="307"/>
        <v>UF</v>
      </c>
      <c r="DC299" s="73" t="str">
        <f t="shared" si="308"/>
        <v>UF</v>
      </c>
      <c r="DD299" s="5" t="str">
        <f>IF(G299&lt;48,"UF", IF(NOT(ISBLANK(CZ:CZ)), CZ:CZ, IF(CL:CL=3, CK:CK+Sheet2!B413, IF(CL:CL=4, CK:CK+Sheet2!B414, IF(CL:CL=7, CK:CK+Sheet2!B415,"")))))</f>
        <v>UF</v>
      </c>
      <c r="DE299" s="69" t="str">
        <f t="shared" si="266"/>
        <v/>
      </c>
      <c r="DF299" s="2">
        <v>3</v>
      </c>
      <c r="DG299" s="2">
        <v>33</v>
      </c>
      <c r="DH299" s="2">
        <v>1</v>
      </c>
      <c r="DI299" s="2">
        <v>2</v>
      </c>
      <c r="DJ299" s="2">
        <v>3</v>
      </c>
      <c r="DK299" s="2" t="s">
        <v>12</v>
      </c>
      <c r="DL299" s="2" t="s">
        <v>12</v>
      </c>
      <c r="DM299" s="2" t="s">
        <v>12</v>
      </c>
      <c r="DN299" s="2" t="s">
        <v>12</v>
      </c>
      <c r="DO299" s="2" t="s">
        <v>12</v>
      </c>
      <c r="DP299" s="2" t="s">
        <v>12</v>
      </c>
      <c r="DQ299" s="2">
        <v>2</v>
      </c>
      <c r="DR299" s="2">
        <v>38</v>
      </c>
      <c r="DS299" s="2">
        <v>2</v>
      </c>
      <c r="DT299" s="2">
        <v>85</v>
      </c>
      <c r="DU299" s="2">
        <v>81</v>
      </c>
      <c r="DV299" s="2">
        <v>2</v>
      </c>
      <c r="DW299" s="2">
        <v>2</v>
      </c>
      <c r="DX299" s="2">
        <v>3</v>
      </c>
      <c r="DY299" s="2">
        <v>2</v>
      </c>
      <c r="DZ299" s="2">
        <v>34</v>
      </c>
      <c r="EA299" s="2">
        <v>34</v>
      </c>
      <c r="EB299" s="2">
        <v>44</v>
      </c>
      <c r="EC299" s="2">
        <v>1</v>
      </c>
      <c r="ED299" s="2">
        <v>1</v>
      </c>
    </row>
    <row r="300" spans="2:134" ht="15.75" thickBot="1" x14ac:dyDescent="0.3">
      <c r="B300" s="2"/>
      <c r="C300" s="2" t="s">
        <v>249</v>
      </c>
      <c r="D300" s="56">
        <v>2501045769</v>
      </c>
      <c r="E300" s="5">
        <v>2</v>
      </c>
      <c r="F300" s="2">
        <v>1</v>
      </c>
      <c r="G300" s="2">
        <v>35</v>
      </c>
      <c r="H300">
        <v>-1.700337503911006</v>
      </c>
      <c r="I300" s="2">
        <v>50</v>
      </c>
      <c r="J300">
        <v>0.45756143734440202</v>
      </c>
      <c r="K300" s="5">
        <v>2850</v>
      </c>
      <c r="L300" s="2">
        <v>-0.86709135593222397</v>
      </c>
      <c r="M300" s="2">
        <v>-1.257793361262352</v>
      </c>
      <c r="N300" s="2">
        <f t="shared" si="268"/>
        <v>-0.94683860965280808</v>
      </c>
      <c r="O300" s="2">
        <f t="shared" si="269"/>
        <v>-1.257793361262352</v>
      </c>
      <c r="P300" s="2">
        <v>63</v>
      </c>
      <c r="Q300" s="2">
        <v>-1.520018770584594</v>
      </c>
      <c r="R300" s="5">
        <f t="shared" si="270"/>
        <v>1.0008092121294079</v>
      </c>
      <c r="S300" s="5">
        <f t="shared" si="271"/>
        <v>-1.520018770584594</v>
      </c>
      <c r="T300" s="1">
        <v>6000</v>
      </c>
      <c r="U300" s="2">
        <v>-1.810871063569981</v>
      </c>
      <c r="V300" s="2">
        <f t="shared" si="272"/>
        <v>-0.1308377243279335</v>
      </c>
      <c r="W300" s="2">
        <f t="shared" si="273"/>
        <v>-1.810871063569981</v>
      </c>
      <c r="X300" s="2">
        <v>-3.5940147232166222</v>
      </c>
      <c r="Y300" s="76">
        <f t="shared" si="309"/>
        <v>-1.8936772193056162</v>
      </c>
      <c r="Z300" s="76">
        <f t="shared" si="310"/>
        <v>-2</v>
      </c>
      <c r="AA300" s="2">
        <f t="shared" si="274"/>
        <v>-0.79360424856758904</v>
      </c>
      <c r="AB300" s="2">
        <f t="shared" si="275"/>
        <v>-3.5940147232166222</v>
      </c>
      <c r="AC300" s="2">
        <v>81</v>
      </c>
      <c r="AD300" s="2">
        <v>2.4591798616032179</v>
      </c>
      <c r="AE300" s="79">
        <f t="shared" si="311"/>
        <v>2.0016184242588158</v>
      </c>
      <c r="AF300" s="79">
        <f t="shared" si="312"/>
        <v>2</v>
      </c>
      <c r="AG300" s="2">
        <f t="shared" si="330"/>
        <v>0.7292987469787785</v>
      </c>
      <c r="AH300" s="2">
        <f t="shared" si="276"/>
        <v>2.4591798616032179</v>
      </c>
      <c r="AI300" s="2">
        <v>7900</v>
      </c>
      <c r="AJ300" s="2">
        <v>-1.128766804588091</v>
      </c>
      <c r="AK300" s="76">
        <f t="shared" si="313"/>
        <v>-0.261675448655867</v>
      </c>
      <c r="AL300" s="76">
        <f t="shared" si="314"/>
        <v>-1</v>
      </c>
      <c r="AM300" s="2">
        <f t="shared" si="277"/>
        <v>-0.16804863418434746</v>
      </c>
      <c r="AN300" s="2">
        <f t="shared" si="278"/>
        <v>-1.128766804588091</v>
      </c>
      <c r="AO300" s="2">
        <v>-3.1072272677197721</v>
      </c>
      <c r="AP300" s="2">
        <f t="shared" si="279"/>
        <v>0.29659380787269707</v>
      </c>
      <c r="AQ300" s="2">
        <f t="shared" si="280"/>
        <v>-3.1072272677197721</v>
      </c>
      <c r="AR300" s="2">
        <v>81</v>
      </c>
      <c r="AS300" s="2">
        <v>-6.1421276627036989E-2</v>
      </c>
      <c r="AT300" s="2">
        <f t="shared" si="281"/>
        <v>-1.5728634355599769</v>
      </c>
      <c r="AU300" s="2">
        <f t="shared" si="282"/>
        <v>-6.1421276627036989E-2</v>
      </c>
      <c r="AV300" s="2">
        <v>8000</v>
      </c>
      <c r="AW300" s="2">
        <v>-2.1469683319386759</v>
      </c>
      <c r="AX300" s="2">
        <f t="shared" si="283"/>
        <v>-0.99066806980745348</v>
      </c>
      <c r="AY300" s="2">
        <f t="shared" si="284"/>
        <v>-2.1469683319386759</v>
      </c>
      <c r="AZ300" s="2">
        <v>-3.0008271074712281</v>
      </c>
      <c r="BA300" s="78">
        <f t="shared" si="315"/>
        <v>0.59318761574539414</v>
      </c>
      <c r="BB300" s="78">
        <f t="shared" si="316"/>
        <v>1</v>
      </c>
      <c r="BC300" s="2" t="str">
        <f t="shared" si="285"/>
        <v/>
      </c>
      <c r="BD300" s="2">
        <f t="shared" si="286"/>
        <v>-3.0008271074712281</v>
      </c>
      <c r="BE300" s="67">
        <f t="shared" si="317"/>
        <v>1</v>
      </c>
      <c r="BF300" s="2">
        <v>83</v>
      </c>
      <c r="BG300" s="2">
        <v>-0.68654700951673608</v>
      </c>
      <c r="BH300" s="2" t="str">
        <f t="shared" si="287"/>
        <v/>
      </c>
      <c r="BI300" s="2">
        <f t="shared" si="288"/>
        <v>-0.68654700951673608</v>
      </c>
      <c r="BJ300" s="67">
        <f t="shared" si="289"/>
        <v>7</v>
      </c>
      <c r="BK300" s="2">
        <v>9000</v>
      </c>
      <c r="BL300" s="2">
        <v>-3.1101029442029979</v>
      </c>
      <c r="BM300" s="77">
        <f t="shared" si="318"/>
        <v>-1.981336139614907</v>
      </c>
      <c r="BN300" s="77">
        <f t="shared" si="319"/>
        <v>-2</v>
      </c>
      <c r="BO300" s="2" t="str">
        <f t="shared" si="290"/>
        <v/>
      </c>
      <c r="BP300" s="2">
        <f t="shared" si="291"/>
        <v>-3.1101029442029979</v>
      </c>
      <c r="BQ300" s="67">
        <f t="shared" si="320"/>
        <v>3</v>
      </c>
      <c r="BR300" s="2"/>
      <c r="BS300" s="75" t="str">
        <f t="shared" si="321"/>
        <v>UF</v>
      </c>
      <c r="BT300" s="75" t="str">
        <f t="shared" si="322"/>
        <v>UF</v>
      </c>
      <c r="BU300" s="5" t="str">
        <f>IF(G307&gt;=36, IF(AND(NOT(ISBLANK(CM:CM)), NOT(ISBLANK(BD:BD))), (CM:CM-BD:BD)/2, ""), "UF")</f>
        <v>UF</v>
      </c>
      <c r="BV300" s="5" t="str">
        <f t="shared" si="292"/>
        <v>UF</v>
      </c>
      <c r="BW300" s="69" t="str">
        <f t="shared" si="293"/>
        <v/>
      </c>
      <c r="BX300" s="2" t="s">
        <v>12</v>
      </c>
      <c r="BY300" s="2"/>
      <c r="BZ300" s="74" t="str">
        <f t="shared" si="323"/>
        <v>UF</v>
      </c>
      <c r="CA300" s="74" t="str">
        <f t="shared" si="324"/>
        <v>UF</v>
      </c>
      <c r="CB300" s="5" t="str">
        <f t="shared" si="294"/>
        <v>UF</v>
      </c>
      <c r="CC300" s="5" t="str">
        <f t="shared" si="295"/>
        <v>UF</v>
      </c>
      <c r="CD300" s="2" t="e">
        <f t="shared" si="296"/>
        <v>#VALUE!</v>
      </c>
      <c r="CE300" s="69" t="str">
        <f t="shared" si="297"/>
        <v/>
      </c>
      <c r="CF300" s="5" t="s">
        <v>12</v>
      </c>
      <c r="CG300" s="2"/>
      <c r="CH300" s="72" t="str">
        <f t="shared" si="325"/>
        <v>UF</v>
      </c>
      <c r="CI300" s="72" t="str">
        <f t="shared" si="326"/>
        <v>UF</v>
      </c>
      <c r="CJ300" s="5" t="str">
        <f t="shared" si="298"/>
        <v>UF</v>
      </c>
      <c r="CK300" s="5" t="str">
        <f t="shared" si="299"/>
        <v>UF</v>
      </c>
      <c r="CL300" s="69" t="str">
        <f t="shared" si="300"/>
        <v/>
      </c>
      <c r="CM300" s="2"/>
      <c r="CN300" s="70" t="str">
        <f t="shared" si="301"/>
        <v/>
      </c>
      <c r="CO300" s="5" t="str">
        <f t="shared" si="302"/>
        <v>UF</v>
      </c>
      <c r="CP300" s="5" t="str">
        <f>IF(G300&lt;48,"UF", IF(NOT(ISBLANK(CM:CM)), CM:CM, IF(BW:BW=1, BV:BV+Sheet2!B616, IF(Sheet1!BW:BW=2, Sheet1!BV:BV+Sheet2!B617, IF(Sheet1!BW:BW=7, Sheet1!BV:BV+Sheet2!B618,"")))))</f>
        <v>UF</v>
      </c>
      <c r="CQ300" s="69" t="str">
        <f t="shared" si="327"/>
        <v/>
      </c>
      <c r="CR300" s="5" t="s">
        <v>12</v>
      </c>
      <c r="CS300" s="2"/>
      <c r="CT300" s="5" t="str">
        <f t="shared" si="303"/>
        <v/>
      </c>
      <c r="CU300" s="80" t="str">
        <f t="shared" si="304"/>
        <v>UF</v>
      </c>
      <c r="CV300" s="80" t="str">
        <f t="shared" si="305"/>
        <v>UF</v>
      </c>
      <c r="CW300" s="20" t="str">
        <f>IF(G300&lt;48,"UF", IF(NOT(ISBLANK(CS300)), CS300, IF(CE300=5, CC300+Sheet2!B605, IF(CE300=6, CC300+Sheet2!B606, IF(CE300=7, CC300+Sheet2!B607,"")))))</f>
        <v>UF</v>
      </c>
      <c r="CX300" s="68" t="str">
        <f t="shared" si="328"/>
        <v/>
      </c>
      <c r="CY300" s="5" t="s">
        <v>12</v>
      </c>
      <c r="DA300" s="5" t="str">
        <f t="shared" si="306"/>
        <v>UF</v>
      </c>
      <c r="DB300" s="73" t="str">
        <f t="shared" si="307"/>
        <v>UF</v>
      </c>
      <c r="DC300" s="73" t="str">
        <f t="shared" si="308"/>
        <v>UF</v>
      </c>
      <c r="DD300" s="5" t="str">
        <f>IF(G300&lt;48,"UF", IF(NOT(ISBLANK(CZ:CZ)), CZ:CZ, IF(CL:CL=3, CK:CK+Sheet2!B610, IF(CL:CL=4, CK:CK+Sheet2!B611, IF(CL:CL=7, CK:CK+Sheet2!B612,"")))))</f>
        <v>UF</v>
      </c>
      <c r="DE300" s="69" t="str">
        <f t="shared" si="266"/>
        <v/>
      </c>
      <c r="DF300" s="2">
        <v>2</v>
      </c>
      <c r="DG300" s="2">
        <v>25</v>
      </c>
      <c r="DH300" s="2">
        <v>2</v>
      </c>
      <c r="DI300" s="2">
        <v>2</v>
      </c>
      <c r="DJ300" s="2">
        <v>2</v>
      </c>
      <c r="DK300" s="2">
        <v>100</v>
      </c>
      <c r="DL300" s="2">
        <v>70</v>
      </c>
      <c r="DM300" s="2">
        <v>100</v>
      </c>
      <c r="DN300" s="2">
        <v>60</v>
      </c>
      <c r="DO300" s="2">
        <v>100</v>
      </c>
      <c r="DP300" s="2">
        <v>60</v>
      </c>
      <c r="DQ300" s="2">
        <v>1</v>
      </c>
      <c r="DR300" s="2">
        <v>40</v>
      </c>
      <c r="DS300" s="2">
        <v>2</v>
      </c>
      <c r="DT300" s="2">
        <v>81</v>
      </c>
      <c r="DU300" s="2">
        <v>80</v>
      </c>
      <c r="DV300" s="2">
        <v>2</v>
      </c>
      <c r="DW300" s="2">
        <v>3</v>
      </c>
      <c r="DX300" s="2">
        <v>2</v>
      </c>
      <c r="DY300" s="2">
        <v>2</v>
      </c>
      <c r="DZ300" s="2">
        <v>33</v>
      </c>
      <c r="EA300" s="2">
        <v>33</v>
      </c>
      <c r="EB300" s="2">
        <v>44.5</v>
      </c>
      <c r="EC300" s="2">
        <v>1</v>
      </c>
      <c r="ED300" s="2">
        <v>1</v>
      </c>
    </row>
    <row r="301" spans="2:134" ht="15.75" thickBot="1" x14ac:dyDescent="0.3">
      <c r="C301" s="5" t="s">
        <v>108</v>
      </c>
      <c r="D301" s="10">
        <v>2501045815</v>
      </c>
      <c r="E301" s="5" t="s">
        <v>527</v>
      </c>
      <c r="F301" s="2">
        <v>2</v>
      </c>
      <c r="G301" s="2">
        <v>29</v>
      </c>
      <c r="H301" s="2">
        <v>-0.22702231809997039</v>
      </c>
      <c r="I301" s="2">
        <v>50</v>
      </c>
      <c r="J301" s="2">
        <v>6.1168777667580831E-2</v>
      </c>
      <c r="K301" s="5">
        <v>3280</v>
      </c>
      <c r="L301" s="2">
        <v>-0.13677480954860369</v>
      </c>
      <c r="M301" s="2">
        <v>-1.1853</v>
      </c>
      <c r="N301" s="2">
        <f t="shared" si="268"/>
        <v>-0.42518884095001475</v>
      </c>
      <c r="O301" s="2">
        <f t="shared" si="269"/>
        <v>-1.1853</v>
      </c>
      <c r="P301" s="2">
        <v>64.5</v>
      </c>
      <c r="Q301" s="2">
        <v>-1.47</v>
      </c>
      <c r="R301" s="5">
        <f t="shared" si="270"/>
        <v>-1.0255843888337903</v>
      </c>
      <c r="S301" s="5">
        <f t="shared" si="271"/>
        <v>-1.47</v>
      </c>
      <c r="T301" s="1">
        <v>6550</v>
      </c>
      <c r="U301" s="2">
        <v>-1.73</v>
      </c>
      <c r="V301" s="2">
        <f t="shared" si="272"/>
        <v>-0.90661259522569815</v>
      </c>
      <c r="W301" s="2">
        <f t="shared" si="273"/>
        <v>-1.73</v>
      </c>
      <c r="X301" s="2">
        <v>-1.0773999999999999</v>
      </c>
      <c r="Y301" s="76">
        <f t="shared" si="309"/>
        <v>-0.85037768190002949</v>
      </c>
      <c r="Z301" s="76">
        <f t="shared" si="310"/>
        <v>-2</v>
      </c>
      <c r="AA301" s="2">
        <f t="shared" si="274"/>
        <v>0.16854999999999998</v>
      </c>
      <c r="AB301" s="2">
        <f t="shared" si="275"/>
        <v>-1.0773999999999999</v>
      </c>
      <c r="AC301" s="2">
        <v>71</v>
      </c>
      <c r="AD301" s="2">
        <v>-1.99</v>
      </c>
      <c r="AE301" s="79">
        <f t="shared" si="311"/>
        <v>-2.0511687776675807</v>
      </c>
      <c r="AF301" s="79">
        <f t="shared" si="312"/>
        <v>-2</v>
      </c>
      <c r="AG301" s="2">
        <f t="shared" si="330"/>
        <v>-5.5000000000000049E-2</v>
      </c>
      <c r="AH301" s="2">
        <f t="shared" si="276"/>
        <v>-1.99</v>
      </c>
      <c r="AI301" s="2">
        <v>7780</v>
      </c>
      <c r="AJ301" s="2">
        <v>-1.95</v>
      </c>
      <c r="AK301" s="76">
        <f t="shared" si="313"/>
        <v>-1.8132251904513963</v>
      </c>
      <c r="AL301" s="76">
        <f t="shared" si="314"/>
        <v>-2</v>
      </c>
      <c r="AM301" s="2">
        <f t="shared" si="277"/>
        <v>-1.0000000000000009E-2</v>
      </c>
      <c r="AN301" s="2">
        <f t="shared" si="278"/>
        <v>-1.95</v>
      </c>
      <c r="AO301" s="2">
        <v>-1.1329</v>
      </c>
      <c r="AP301" s="2">
        <f t="shared" si="279"/>
        <v>-1.0512932643891371</v>
      </c>
      <c r="AQ301" s="2">
        <f t="shared" si="280"/>
        <v>-1.1329</v>
      </c>
      <c r="AR301" s="2">
        <v>78</v>
      </c>
      <c r="AS301" s="2">
        <v>-1.58</v>
      </c>
      <c r="AT301" s="2">
        <f t="shared" si="281"/>
        <v>0.58727626407577682</v>
      </c>
      <c r="AU301" s="2">
        <f t="shared" si="282"/>
        <v>-1.58</v>
      </c>
      <c r="AV301" s="2">
        <v>9000</v>
      </c>
      <c r="AW301" s="2">
        <v>-1.75</v>
      </c>
      <c r="AX301" s="2">
        <f t="shared" si="283"/>
        <v>-0.42611794421476012</v>
      </c>
      <c r="AY301" s="2">
        <f t="shared" si="284"/>
        <v>-1.75</v>
      </c>
      <c r="AZ301" s="2">
        <v>-3.179986528778274</v>
      </c>
      <c r="BA301" s="78">
        <f t="shared" si="315"/>
        <v>-2.1025865287782741</v>
      </c>
      <c r="BB301" s="78">
        <f t="shared" si="316"/>
        <v>-2</v>
      </c>
      <c r="BC301" s="2" t="str">
        <f t="shared" si="285"/>
        <v/>
      </c>
      <c r="BD301" s="2">
        <f t="shared" si="286"/>
        <v>-3.179986528778274</v>
      </c>
      <c r="BE301" s="67">
        <f t="shared" si="317"/>
        <v>1</v>
      </c>
      <c r="BF301" s="2">
        <v>84</v>
      </c>
      <c r="BG301" s="2">
        <v>-0.81544747184844635</v>
      </c>
      <c r="BH301" s="2" t="str">
        <f t="shared" si="287"/>
        <v/>
      </c>
      <c r="BI301" s="2">
        <f t="shared" si="288"/>
        <v>-0.81544747184844635</v>
      </c>
      <c r="BJ301" s="67">
        <f t="shared" si="289"/>
        <v>7</v>
      </c>
      <c r="BK301" s="2">
        <v>9500</v>
      </c>
      <c r="BL301" s="2">
        <v>-2.8022358884295202</v>
      </c>
      <c r="BM301" s="77">
        <f t="shared" si="318"/>
        <v>-0.85223588842952025</v>
      </c>
      <c r="BN301" s="77">
        <f t="shared" si="319"/>
        <v>-2</v>
      </c>
      <c r="BO301" s="2" t="str">
        <f t="shared" si="290"/>
        <v/>
      </c>
      <c r="BP301" s="2">
        <f t="shared" si="291"/>
        <v>-2.8022358884295202</v>
      </c>
      <c r="BQ301" s="67">
        <f t="shared" si="320"/>
        <v>4</v>
      </c>
      <c r="BS301" s="75" t="str">
        <f t="shared" si="321"/>
        <v>UF</v>
      </c>
      <c r="BT301" s="75" t="str">
        <f t="shared" si="322"/>
        <v>UF</v>
      </c>
      <c r="BU301" s="5" t="str">
        <f>IF(G308&gt;=36, IF(AND(NOT(ISBLANK(CM:CM)), NOT(ISBLANK(BD:BD))), (CM:CM-BD:BD)/2, ""), "UF")</f>
        <v>UF</v>
      </c>
      <c r="BV301" s="5" t="str">
        <f t="shared" si="292"/>
        <v>UF</v>
      </c>
      <c r="BW301" s="69" t="str">
        <f t="shared" si="293"/>
        <v/>
      </c>
      <c r="BX301" s="2" t="s">
        <v>12</v>
      </c>
      <c r="BZ301" s="74" t="str">
        <f t="shared" si="323"/>
        <v>UF</v>
      </c>
      <c r="CA301" s="74" t="str">
        <f t="shared" si="324"/>
        <v>UF</v>
      </c>
      <c r="CB301" s="5" t="str">
        <f t="shared" si="294"/>
        <v>UF</v>
      </c>
      <c r="CC301" s="5" t="str">
        <f t="shared" si="295"/>
        <v>UF</v>
      </c>
      <c r="CD301" s="2" t="e">
        <f t="shared" si="296"/>
        <v>#VALUE!</v>
      </c>
      <c r="CE301" s="69" t="str">
        <f t="shared" si="297"/>
        <v/>
      </c>
      <c r="CF301" s="5" t="s">
        <v>12</v>
      </c>
      <c r="CH301" s="72" t="str">
        <f t="shared" si="325"/>
        <v>UF</v>
      </c>
      <c r="CI301" s="72" t="str">
        <f t="shared" si="326"/>
        <v>UF</v>
      </c>
      <c r="CJ301" s="5" t="str">
        <f t="shared" si="298"/>
        <v>UF</v>
      </c>
      <c r="CK301" s="5" t="str">
        <f t="shared" si="299"/>
        <v>UF</v>
      </c>
      <c r="CL301" s="69" t="str">
        <f t="shared" si="300"/>
        <v/>
      </c>
      <c r="CN301" s="70" t="str">
        <f t="shared" si="301"/>
        <v/>
      </c>
      <c r="CO301" s="5" t="str">
        <f t="shared" si="302"/>
        <v>UF</v>
      </c>
      <c r="CP301" s="5" t="str">
        <f>IF(G301&lt;48,"UF", IF(NOT(ISBLANK(CM:CM)), CM:CM, IF(BW:BW=1, BV:BV+Sheet2!B133, IF(Sheet1!BW:BW=2, Sheet1!BV:BV+Sheet2!B134, IF(Sheet1!BW:BW=7, Sheet1!BV:BV+Sheet2!B135,"")))))</f>
        <v>UF</v>
      </c>
      <c r="CQ301" s="69" t="str">
        <f t="shared" si="327"/>
        <v/>
      </c>
      <c r="CR301" s="5" t="s">
        <v>12</v>
      </c>
      <c r="CT301" s="5" t="str">
        <f t="shared" si="303"/>
        <v/>
      </c>
      <c r="CU301" s="80" t="str">
        <f t="shared" si="304"/>
        <v>UF</v>
      </c>
      <c r="CV301" s="80" t="str">
        <f t="shared" si="305"/>
        <v>UF</v>
      </c>
      <c r="CW301" s="20" t="str">
        <f>IF(G301&lt;48,"UF", IF(NOT(ISBLANK(CS301)), CS301, IF(CE301=5, CC301+Sheet2!B122, IF(CE301=6, CC301+Sheet2!B123, IF(CE301=7, CC301+Sheet2!B124,"")))))</f>
        <v>UF</v>
      </c>
      <c r="CX301" s="68" t="str">
        <f t="shared" si="328"/>
        <v/>
      </c>
      <c r="CY301" s="5" t="s">
        <v>12</v>
      </c>
      <c r="DA301" s="5" t="str">
        <f t="shared" si="306"/>
        <v>UF</v>
      </c>
      <c r="DB301" s="73" t="str">
        <f t="shared" si="307"/>
        <v>UF</v>
      </c>
      <c r="DC301" s="73" t="str">
        <f t="shared" si="308"/>
        <v>UF</v>
      </c>
      <c r="DD301" s="5" t="str">
        <f>IF(G301&lt;48,"UF", IF(NOT(ISBLANK(CZ:CZ)), CZ:CZ, IF(CL:CL=3, CK:CK+Sheet2!B127, IF(CL:CL=4, CK:CK+Sheet2!B128, IF(CL:CL=7, CK:CK+Sheet2!B129,"")))))</f>
        <v>UF</v>
      </c>
      <c r="DE301" s="69" t="str">
        <f t="shared" si="266"/>
        <v/>
      </c>
      <c r="DF301" s="2">
        <v>2</v>
      </c>
      <c r="DG301" s="2">
        <v>37</v>
      </c>
      <c r="DH301" s="2">
        <v>1</v>
      </c>
      <c r="DI301" s="2">
        <v>2</v>
      </c>
      <c r="DJ301" s="2">
        <v>1</v>
      </c>
      <c r="DK301" s="2" t="s">
        <v>12</v>
      </c>
      <c r="DL301" s="2" t="s">
        <v>12</v>
      </c>
      <c r="DM301" s="2" t="s">
        <v>12</v>
      </c>
      <c r="DN301" s="2" t="s">
        <v>12</v>
      </c>
      <c r="DO301" s="2" t="s">
        <v>12</v>
      </c>
      <c r="DP301" s="2" t="s">
        <v>12</v>
      </c>
      <c r="DQ301" s="2">
        <v>1</v>
      </c>
      <c r="DR301" s="2">
        <v>37</v>
      </c>
      <c r="DS301" s="2">
        <v>2</v>
      </c>
      <c r="DT301" s="2">
        <v>84</v>
      </c>
      <c r="DU301" s="2">
        <v>70</v>
      </c>
      <c r="DV301" s="2">
        <v>3</v>
      </c>
      <c r="DW301" s="2">
        <v>2</v>
      </c>
      <c r="DX301" s="2">
        <v>2</v>
      </c>
      <c r="DY301" s="2">
        <v>3</v>
      </c>
      <c r="DZ301" s="2">
        <v>34</v>
      </c>
      <c r="EA301" s="2">
        <v>34.5</v>
      </c>
      <c r="EB301" s="2">
        <v>45</v>
      </c>
      <c r="EC301" s="2">
        <v>1</v>
      </c>
      <c r="ED301" s="2">
        <v>1</v>
      </c>
    </row>
    <row r="302" spans="2:134" ht="15.75" thickBot="1" x14ac:dyDescent="0.3">
      <c r="C302" s="8" t="s">
        <v>249</v>
      </c>
      <c r="D302" s="55">
        <v>2501045866</v>
      </c>
      <c r="E302" s="5">
        <v>7</v>
      </c>
      <c r="F302" s="2">
        <v>2</v>
      </c>
      <c r="G302" s="2">
        <v>31</v>
      </c>
      <c r="H302" s="2">
        <v>-0.67754495557132166</v>
      </c>
      <c r="I302" s="2">
        <v>52</v>
      </c>
      <c r="J302" s="2">
        <v>1.117633928075521</v>
      </c>
      <c r="K302" s="2">
        <v>3400</v>
      </c>
      <c r="L302" s="2">
        <v>0.1091247039083435</v>
      </c>
      <c r="M302" s="2">
        <v>0.3543</v>
      </c>
      <c r="N302" s="2">
        <f t="shared" si="268"/>
        <v>0.54672247778566085</v>
      </c>
      <c r="O302" s="2">
        <f t="shared" si="269"/>
        <v>0.3543</v>
      </c>
      <c r="P302" s="2">
        <v>70</v>
      </c>
      <c r="Q302" s="2">
        <v>1.1000000000000001</v>
      </c>
      <c r="R302" s="5">
        <f t="shared" si="270"/>
        <v>-0.29381696403776048</v>
      </c>
      <c r="S302" s="5">
        <f t="shared" si="271"/>
        <v>1.1000000000000001</v>
      </c>
      <c r="T302" s="2">
        <v>8750</v>
      </c>
      <c r="U302" s="2">
        <v>0.89</v>
      </c>
      <c r="V302" s="2">
        <f t="shared" si="272"/>
        <v>0.24543764804582824</v>
      </c>
      <c r="W302" s="2">
        <f t="shared" si="273"/>
        <v>0.89</v>
      </c>
      <c r="X302" s="2">
        <v>0.41589999999999999</v>
      </c>
      <c r="Y302" s="76">
        <f t="shared" si="309"/>
        <v>1.0934449555713217</v>
      </c>
      <c r="Z302" s="76">
        <f t="shared" si="310"/>
        <v>2</v>
      </c>
      <c r="AA302" s="2">
        <f t="shared" si="274"/>
        <v>6.6799999999999971E-2</v>
      </c>
      <c r="AB302" s="2">
        <f t="shared" si="275"/>
        <v>0.41589999999999999</v>
      </c>
      <c r="AC302" s="2">
        <v>77</v>
      </c>
      <c r="AD302" s="2">
        <v>0.53</v>
      </c>
      <c r="AE302" s="79">
        <f t="shared" si="311"/>
        <v>-0.58763392807552095</v>
      </c>
      <c r="AF302" s="79">
        <f t="shared" si="312"/>
        <v>-1</v>
      </c>
      <c r="AG302" s="2">
        <f t="shared" si="330"/>
        <v>-0.78500000000000003</v>
      </c>
      <c r="AH302" s="2">
        <f t="shared" si="276"/>
        <v>0.53</v>
      </c>
      <c r="AI302" s="2">
        <v>10300</v>
      </c>
      <c r="AJ302" s="2">
        <v>0.6</v>
      </c>
      <c r="AK302" s="76">
        <f t="shared" si="313"/>
        <v>0.49087529609165648</v>
      </c>
      <c r="AL302" s="76">
        <f t="shared" si="314"/>
        <v>1</v>
      </c>
      <c r="AM302" s="2">
        <f t="shared" si="277"/>
        <v>-0.14500000000000002</v>
      </c>
      <c r="AN302" s="2">
        <f t="shared" si="278"/>
        <v>0.6</v>
      </c>
      <c r="AO302" s="2">
        <v>1.2336</v>
      </c>
      <c r="AP302" s="2">
        <f t="shared" si="279"/>
        <v>-0.4868236787707515</v>
      </c>
      <c r="AQ302" s="2">
        <f t="shared" si="280"/>
        <v>1.2336</v>
      </c>
      <c r="AR302" s="2">
        <v>81</v>
      </c>
      <c r="AS302" s="2">
        <v>-0.47</v>
      </c>
      <c r="AT302" s="2">
        <f t="shared" si="281"/>
        <v>-0.24527953900144023</v>
      </c>
      <c r="AU302" s="2">
        <f t="shared" si="282"/>
        <v>-0.47</v>
      </c>
      <c r="AV302" s="2">
        <v>11700</v>
      </c>
      <c r="AW302" s="2">
        <v>0.6</v>
      </c>
      <c r="AX302" s="2">
        <f t="shared" si="283"/>
        <v>-0.57897891830913839</v>
      </c>
      <c r="AY302" s="2">
        <f t="shared" si="284"/>
        <v>0.6</v>
      </c>
      <c r="AZ302" s="2">
        <v>-0.55774735754150295</v>
      </c>
      <c r="BA302" s="78">
        <f t="shared" si="315"/>
        <v>-0.973647357541503</v>
      </c>
      <c r="BB302" s="78">
        <f t="shared" si="316"/>
        <v>-2</v>
      </c>
      <c r="BC302" s="2" t="str">
        <f t="shared" si="285"/>
        <v/>
      </c>
      <c r="BD302" s="2">
        <f t="shared" si="286"/>
        <v>-0.55774735754150295</v>
      </c>
      <c r="BE302" s="67">
        <f t="shared" si="317"/>
        <v>7</v>
      </c>
      <c r="BF302" s="2">
        <v>87</v>
      </c>
      <c r="BG302" s="2">
        <v>3.9440921997119571E-2</v>
      </c>
      <c r="BH302" s="2" t="str">
        <f t="shared" si="287"/>
        <v/>
      </c>
      <c r="BI302" s="2">
        <f t="shared" si="288"/>
        <v>3.9440921997119571E-2</v>
      </c>
      <c r="BJ302" s="67">
        <f t="shared" si="289"/>
        <v>7</v>
      </c>
      <c r="BK302" s="2">
        <v>12000</v>
      </c>
      <c r="BL302" s="2">
        <v>-0.5579578366182768</v>
      </c>
      <c r="BM302" s="77">
        <f t="shared" si="318"/>
        <v>-1.1579578366182768</v>
      </c>
      <c r="BN302" s="77">
        <f t="shared" si="319"/>
        <v>-2</v>
      </c>
      <c r="BO302" s="2" t="str">
        <f t="shared" si="290"/>
        <v/>
      </c>
      <c r="BP302" s="2">
        <f t="shared" si="291"/>
        <v>-0.5579578366182768</v>
      </c>
      <c r="BQ302" s="67">
        <f t="shared" si="320"/>
        <v>7</v>
      </c>
      <c r="BS302" s="75" t="str">
        <f t="shared" si="321"/>
        <v>UF</v>
      </c>
      <c r="BT302" s="75" t="str">
        <f t="shared" si="322"/>
        <v>UF</v>
      </c>
      <c r="BU302" s="5" t="str">
        <f>IF(G309&gt;=36, IF(AND(NOT(ISBLANK(CM:CM)), NOT(ISBLANK(BD:BD))), (CM:CM-BD:BD)/2, ""), "UF")</f>
        <v>UF</v>
      </c>
      <c r="BV302" s="5" t="str">
        <f t="shared" si="292"/>
        <v>UF</v>
      </c>
      <c r="BW302" s="69" t="str">
        <f t="shared" si="293"/>
        <v/>
      </c>
      <c r="BX302" s="2" t="s">
        <v>12</v>
      </c>
      <c r="BZ302" s="74" t="str">
        <f t="shared" si="323"/>
        <v>UF</v>
      </c>
      <c r="CA302" s="74" t="str">
        <f t="shared" si="324"/>
        <v>UF</v>
      </c>
      <c r="CB302" s="5" t="str">
        <f t="shared" si="294"/>
        <v>UF</v>
      </c>
      <c r="CC302" s="5" t="str">
        <f t="shared" si="295"/>
        <v>UF</v>
      </c>
      <c r="CD302" s="2" t="e">
        <f t="shared" si="296"/>
        <v>#VALUE!</v>
      </c>
      <c r="CE302" s="69" t="str">
        <f t="shared" si="297"/>
        <v/>
      </c>
      <c r="CF302" s="5" t="s">
        <v>12</v>
      </c>
      <c r="CH302" s="72" t="str">
        <f t="shared" si="325"/>
        <v>UF</v>
      </c>
      <c r="CI302" s="72" t="str">
        <f t="shared" si="326"/>
        <v>UF</v>
      </c>
      <c r="CJ302" s="5" t="str">
        <f t="shared" si="298"/>
        <v>UF</v>
      </c>
      <c r="CK302" s="5" t="str">
        <f t="shared" si="299"/>
        <v>UF</v>
      </c>
      <c r="CL302" s="69" t="str">
        <f t="shared" si="300"/>
        <v/>
      </c>
      <c r="CN302" s="70" t="str">
        <f t="shared" si="301"/>
        <v/>
      </c>
      <c r="CO302" s="5" t="str">
        <f t="shared" si="302"/>
        <v>UF</v>
      </c>
      <c r="CP302" s="5" t="str">
        <f>IF(G302&lt;48,"UF", IF(NOT(ISBLANK(CM:CM)), CM:CM, IF(BW:BW=1, BV:BV+Sheet2!B442, IF(Sheet1!BW:BW=2, Sheet1!BV:BV+Sheet2!B443, IF(Sheet1!BW:BW=7, Sheet1!BV:BV+Sheet2!B444,"")))))</f>
        <v>UF</v>
      </c>
      <c r="CQ302" s="69" t="str">
        <f t="shared" si="327"/>
        <v/>
      </c>
      <c r="CR302" s="5" t="s">
        <v>12</v>
      </c>
      <c r="CT302" s="5" t="str">
        <f t="shared" si="303"/>
        <v/>
      </c>
      <c r="CU302" s="80" t="str">
        <f t="shared" si="304"/>
        <v>UF</v>
      </c>
      <c r="CV302" s="80" t="str">
        <f t="shared" si="305"/>
        <v>UF</v>
      </c>
      <c r="CW302" s="20" t="str">
        <f>IF(G302&lt;48,"UF", IF(NOT(ISBLANK(CS302)), CS302, IF(CE302=5, CC302+Sheet2!B431, IF(CE302=6, CC302+Sheet2!B432, IF(CE302=7, CC302+Sheet2!B433,"")))))</f>
        <v>UF</v>
      </c>
      <c r="CX302" s="68" t="str">
        <f t="shared" si="328"/>
        <v/>
      </c>
      <c r="CY302" s="5" t="s">
        <v>12</v>
      </c>
      <c r="DA302" s="5" t="str">
        <f t="shared" si="306"/>
        <v>UF</v>
      </c>
      <c r="DB302" s="73" t="str">
        <f t="shared" si="307"/>
        <v>UF</v>
      </c>
      <c r="DC302" s="73" t="str">
        <f t="shared" si="308"/>
        <v>UF</v>
      </c>
      <c r="DD302" s="5" t="str">
        <f>IF(G302&lt;48,"UF", IF(NOT(ISBLANK(CZ:CZ)), CZ:CZ, IF(CL:CL=3, CK:CK+Sheet2!B436, IF(CL:CL=4, CK:CK+Sheet2!B437, IF(CL:CL=7, CK:CK+Sheet2!B438,"")))))</f>
        <v>UF</v>
      </c>
      <c r="DE302" s="69" t="str">
        <f t="shared" si="266"/>
        <v/>
      </c>
      <c r="DF302" s="2">
        <v>1</v>
      </c>
      <c r="DG302" s="2">
        <v>22</v>
      </c>
      <c r="DH302" s="2">
        <v>2</v>
      </c>
      <c r="DI302" s="2">
        <v>2</v>
      </c>
      <c r="DJ302" s="2">
        <v>2</v>
      </c>
      <c r="DK302" s="2">
        <v>100</v>
      </c>
      <c r="DL302" s="2">
        <v>70</v>
      </c>
      <c r="DM302" s="2">
        <v>120</v>
      </c>
      <c r="DN302" s="2">
        <v>60</v>
      </c>
      <c r="DO302" s="2">
        <v>120</v>
      </c>
      <c r="DP302" s="2">
        <v>60</v>
      </c>
      <c r="DQ302" s="2">
        <v>2</v>
      </c>
      <c r="DR302" s="2">
        <v>40</v>
      </c>
      <c r="DS302" s="2">
        <v>1</v>
      </c>
      <c r="DT302" s="2">
        <v>104</v>
      </c>
      <c r="DU302" s="2">
        <v>85</v>
      </c>
      <c r="DV302" s="2">
        <v>2</v>
      </c>
      <c r="DW302" s="2">
        <v>2</v>
      </c>
      <c r="DX302" s="2">
        <v>2</v>
      </c>
      <c r="DY302" s="2">
        <v>3</v>
      </c>
      <c r="DZ302" s="2">
        <v>36.5</v>
      </c>
      <c r="EA302" s="2">
        <v>37.5</v>
      </c>
      <c r="EB302" s="2">
        <v>48</v>
      </c>
      <c r="EC302" s="2">
        <v>4</v>
      </c>
      <c r="ED302" s="2">
        <v>1</v>
      </c>
    </row>
    <row r="303" spans="2:134" x14ac:dyDescent="0.25">
      <c r="C303" s="5" t="s">
        <v>115</v>
      </c>
      <c r="D303" s="2">
        <v>2501045971</v>
      </c>
      <c r="E303" s="5" t="s">
        <v>527</v>
      </c>
      <c r="F303" s="2">
        <v>1</v>
      </c>
      <c r="G303" s="2">
        <v>31</v>
      </c>
      <c r="H303" s="2">
        <v>-1.728790607932702</v>
      </c>
      <c r="I303" s="2">
        <v>49</v>
      </c>
      <c r="J303" s="2">
        <v>-7.9294265603816944E-2</v>
      </c>
      <c r="K303" s="5">
        <v>2730</v>
      </c>
      <c r="L303" s="2">
        <v>-1.1540853995383871</v>
      </c>
      <c r="M303" s="2">
        <v>-1.7841</v>
      </c>
      <c r="N303" s="2">
        <f t="shared" si="268"/>
        <v>-0.16265469603364902</v>
      </c>
      <c r="O303" s="2">
        <f t="shared" si="269"/>
        <v>-1.7841</v>
      </c>
      <c r="P303" s="2">
        <v>62.6</v>
      </c>
      <c r="Q303" s="2">
        <v>-1.39</v>
      </c>
      <c r="R303" s="5">
        <f t="shared" si="270"/>
        <v>-0.97035286719809155</v>
      </c>
      <c r="S303" s="5">
        <f t="shared" si="271"/>
        <v>-1.39</v>
      </c>
      <c r="T303" s="1">
        <v>5650</v>
      </c>
      <c r="U303" s="2">
        <v>-2.12</v>
      </c>
      <c r="V303" s="2">
        <f t="shared" si="272"/>
        <v>-0.76795730023080644</v>
      </c>
      <c r="W303" s="2">
        <f t="shared" si="273"/>
        <v>-2.12</v>
      </c>
      <c r="X303" s="2">
        <v>-2.0541</v>
      </c>
      <c r="Y303" s="76">
        <f t="shared" si="309"/>
        <v>-0.32530939206729803</v>
      </c>
      <c r="Z303" s="76">
        <f t="shared" si="310"/>
        <v>-1</v>
      </c>
      <c r="AA303" s="2">
        <f t="shared" si="274"/>
        <v>-2.6700000000000057E-2</v>
      </c>
      <c r="AB303" s="2">
        <f t="shared" si="275"/>
        <v>-2.0541</v>
      </c>
      <c r="AC303" s="2">
        <v>68.8</v>
      </c>
      <c r="AD303" s="2">
        <v>-2.02</v>
      </c>
      <c r="AE303" s="79">
        <f t="shared" si="311"/>
        <v>-1.9407057343961831</v>
      </c>
      <c r="AF303" s="79">
        <f t="shared" si="312"/>
        <v>-2</v>
      </c>
      <c r="AG303" s="2">
        <f t="shared" si="330"/>
        <v>-0.44499999999999995</v>
      </c>
      <c r="AH303" s="2">
        <f t="shared" si="276"/>
        <v>-2.02</v>
      </c>
      <c r="AI303" s="2">
        <v>6500</v>
      </c>
      <c r="AJ303" s="2">
        <v>-2.69</v>
      </c>
      <c r="AK303" s="76">
        <f t="shared" si="313"/>
        <v>-1.5359146004616129</v>
      </c>
      <c r="AL303" s="76">
        <f t="shared" si="314"/>
        <v>-2</v>
      </c>
      <c r="AM303" s="2">
        <f t="shared" si="277"/>
        <v>-0.16999999999999993</v>
      </c>
      <c r="AN303" s="2">
        <f t="shared" si="278"/>
        <v>-2.69</v>
      </c>
      <c r="AO303" s="2">
        <v>-1.4434</v>
      </c>
      <c r="AP303" s="2">
        <f t="shared" si="279"/>
        <v>-6.8567191939137517E-2</v>
      </c>
      <c r="AQ303" s="2">
        <f t="shared" si="280"/>
        <v>-1.4434</v>
      </c>
      <c r="AR303" s="2">
        <v>74.099999999999994</v>
      </c>
      <c r="AS303" s="2">
        <v>-2.2799999999999998</v>
      </c>
      <c r="AT303" s="2">
        <f t="shared" si="281"/>
        <v>-0.11887905770912499</v>
      </c>
      <c r="AU303" s="2">
        <f t="shared" si="282"/>
        <v>-2.2799999999999998</v>
      </c>
      <c r="AV303" s="2">
        <v>7650</v>
      </c>
      <c r="AW303" s="2">
        <v>-2.46</v>
      </c>
      <c r="AX303" s="2">
        <f t="shared" si="283"/>
        <v>-0.69514526316103908</v>
      </c>
      <c r="AY303" s="2">
        <f t="shared" si="284"/>
        <v>-2.46</v>
      </c>
      <c r="AZ303" s="2">
        <v>-2.1912343838782751</v>
      </c>
      <c r="BA303" s="78">
        <f t="shared" si="315"/>
        <v>-0.13713438387827503</v>
      </c>
      <c r="BB303" s="78">
        <f t="shared" si="316"/>
        <v>-1</v>
      </c>
      <c r="BC303" s="2" t="str">
        <f t="shared" si="285"/>
        <v/>
      </c>
      <c r="BD303" s="2">
        <f t="shared" si="286"/>
        <v>-2.1912343838782751</v>
      </c>
      <c r="BE303" s="67">
        <f t="shared" si="317"/>
        <v>2</v>
      </c>
      <c r="BF303" s="2">
        <v>77.5</v>
      </c>
      <c r="BG303" s="2">
        <v>-2.25775811541825</v>
      </c>
      <c r="BH303" s="2" t="str">
        <f t="shared" si="287"/>
        <v/>
      </c>
      <c r="BI303" s="2">
        <f t="shared" si="288"/>
        <v>-2.25775811541825</v>
      </c>
      <c r="BJ303" s="67">
        <f t="shared" si="289"/>
        <v>6</v>
      </c>
      <c r="BK303" s="2">
        <v>8300</v>
      </c>
      <c r="BL303" s="2">
        <v>-4.0802905263220781</v>
      </c>
      <c r="BM303" s="77">
        <f t="shared" si="318"/>
        <v>-1.3902905263220782</v>
      </c>
      <c r="BN303" s="77">
        <f t="shared" si="319"/>
        <v>-2</v>
      </c>
      <c r="BO303" s="2" t="str">
        <f t="shared" si="290"/>
        <v/>
      </c>
      <c r="BP303" s="2">
        <f t="shared" si="291"/>
        <v>-4.0802905263220781</v>
      </c>
      <c r="BQ303" s="67">
        <f t="shared" si="320"/>
        <v>3</v>
      </c>
      <c r="BS303" s="75" t="str">
        <f t="shared" si="321"/>
        <v>UF</v>
      </c>
      <c r="BT303" s="75" t="str">
        <f t="shared" si="322"/>
        <v>UF</v>
      </c>
      <c r="BU303" s="5" t="str">
        <f>IF(G310&gt;=36, IF(AND(NOT(ISBLANK(CM:CM)), NOT(ISBLANK(BD:BD))), (CM:CM-BD:BD)/2, ""), "UF")</f>
        <v>UF</v>
      </c>
      <c r="BV303" s="5" t="str">
        <f t="shared" si="292"/>
        <v>UF</v>
      </c>
      <c r="BW303" s="69" t="str">
        <f t="shared" si="293"/>
        <v/>
      </c>
      <c r="BX303" s="2" t="s">
        <v>12</v>
      </c>
      <c r="BZ303" s="74" t="str">
        <f t="shared" si="323"/>
        <v>UF</v>
      </c>
      <c r="CA303" s="74" t="str">
        <f t="shared" si="324"/>
        <v>UF</v>
      </c>
      <c r="CB303" s="5" t="str">
        <f t="shared" si="294"/>
        <v>UF</v>
      </c>
      <c r="CC303" s="5" t="str">
        <f t="shared" si="295"/>
        <v>UF</v>
      </c>
      <c r="CD303" s="2" t="e">
        <f t="shared" si="296"/>
        <v>#VALUE!</v>
      </c>
      <c r="CE303" s="69" t="str">
        <f t="shared" si="297"/>
        <v/>
      </c>
      <c r="CF303" s="5" t="s">
        <v>12</v>
      </c>
      <c r="CH303" s="72" t="str">
        <f t="shared" si="325"/>
        <v>UF</v>
      </c>
      <c r="CI303" s="72" t="str">
        <f t="shared" si="326"/>
        <v>UF</v>
      </c>
      <c r="CJ303" s="5" t="str">
        <f t="shared" si="298"/>
        <v>UF</v>
      </c>
      <c r="CK303" s="5" t="str">
        <f t="shared" si="299"/>
        <v>UF</v>
      </c>
      <c r="CL303" s="69" t="str">
        <f t="shared" si="300"/>
        <v/>
      </c>
      <c r="CN303" s="70" t="str">
        <f t="shared" si="301"/>
        <v/>
      </c>
      <c r="CO303" s="5" t="str">
        <f t="shared" si="302"/>
        <v>UF</v>
      </c>
      <c r="CP303" s="5" t="str">
        <f>IF(G303&lt;48,"UF", IF(NOT(ISBLANK(CM:CM)), CM:CM, IF(BW:BW=1, BV:BV+Sheet2!B149, IF(Sheet1!BW:BW=2, Sheet1!BV:BV+Sheet2!B150, IF(Sheet1!BW:BW=7, Sheet1!BV:BV+Sheet2!B151,"")))))</f>
        <v>UF</v>
      </c>
      <c r="CQ303" s="69" t="str">
        <f t="shared" si="327"/>
        <v/>
      </c>
      <c r="CR303" s="5" t="s">
        <v>12</v>
      </c>
      <c r="CT303" s="5" t="str">
        <f t="shared" si="303"/>
        <v/>
      </c>
      <c r="CU303" s="80" t="str">
        <f t="shared" si="304"/>
        <v>UF</v>
      </c>
      <c r="CV303" s="80" t="str">
        <f t="shared" si="305"/>
        <v>UF</v>
      </c>
      <c r="CW303" s="20" t="str">
        <f>IF(G303&lt;48,"UF", IF(NOT(ISBLANK(CS303)), CS303, IF(CE303=5, CC303+Sheet2!B138, IF(CE303=6, CC303+Sheet2!B139, IF(CE303=7, CC303+Sheet2!B140,"")))))</f>
        <v>UF</v>
      </c>
      <c r="CX303" s="68" t="str">
        <f t="shared" si="328"/>
        <v/>
      </c>
      <c r="CY303" s="5" t="s">
        <v>12</v>
      </c>
      <c r="DA303" s="5" t="str">
        <f t="shared" si="306"/>
        <v>UF</v>
      </c>
      <c r="DB303" s="73" t="str">
        <f t="shared" si="307"/>
        <v>UF</v>
      </c>
      <c r="DC303" s="73" t="str">
        <f t="shared" si="308"/>
        <v>UF</v>
      </c>
      <c r="DD303" s="5" t="str">
        <f>IF(G303&lt;48,"UF", IF(NOT(ISBLANK(CZ:CZ)), CZ:CZ, IF(CL:CL=3, CK:CK+Sheet2!B143, IF(CL:CL=4, CK:CK+Sheet2!B144, IF(CL:CL=7, CK:CK+Sheet2!B145,"")))))</f>
        <v>UF</v>
      </c>
      <c r="DE303" s="69" t="str">
        <f t="shared" ref="DE303:DE366" si="331">IF(DD:DD&lt;-3,3,IF(AND(DD:DD&gt;=-3,DD:DD&lt;-2),4,IF(AND(DD:DD&gt;=-2,DD:DD&lt;=2),7,"")))</f>
        <v/>
      </c>
      <c r="DF303" s="2">
        <v>1</v>
      </c>
      <c r="DG303" s="2">
        <v>31</v>
      </c>
      <c r="DH303" s="2">
        <v>1</v>
      </c>
      <c r="DI303" s="2">
        <v>1</v>
      </c>
      <c r="DJ303" s="2">
        <v>2</v>
      </c>
      <c r="DK303" s="2">
        <v>105</v>
      </c>
      <c r="DL303" s="2">
        <v>60</v>
      </c>
      <c r="DM303" s="2">
        <v>90</v>
      </c>
      <c r="DN303" s="2">
        <v>60</v>
      </c>
      <c r="DO303" s="2">
        <v>90</v>
      </c>
      <c r="DP303" s="2">
        <v>60</v>
      </c>
      <c r="DQ303" s="2">
        <v>2</v>
      </c>
      <c r="DR303" s="2">
        <v>37</v>
      </c>
      <c r="DS303" s="2">
        <v>1</v>
      </c>
      <c r="DT303" s="2">
        <v>82</v>
      </c>
      <c r="DU303" s="2">
        <v>82</v>
      </c>
      <c r="DV303" s="2">
        <v>2</v>
      </c>
      <c r="DW303" s="2">
        <v>2</v>
      </c>
      <c r="DX303" s="2">
        <v>4</v>
      </c>
      <c r="DY303" s="2">
        <v>2</v>
      </c>
      <c r="DZ303" s="2">
        <v>34.5</v>
      </c>
      <c r="EA303" s="2">
        <v>34.200000000000003</v>
      </c>
      <c r="EB303" s="2">
        <v>44</v>
      </c>
      <c r="EC303" s="2">
        <v>1</v>
      </c>
      <c r="ED303" s="2">
        <v>1</v>
      </c>
    </row>
    <row r="304" spans="2:134" x14ac:dyDescent="0.25">
      <c r="C304" s="8" t="s">
        <v>228</v>
      </c>
      <c r="D304" s="8">
        <v>2501046439</v>
      </c>
      <c r="E304" s="5">
        <v>7</v>
      </c>
      <c r="F304" s="2">
        <v>2</v>
      </c>
      <c r="G304" s="2">
        <v>30</v>
      </c>
      <c r="H304" s="2">
        <v>-0.92753511867163052</v>
      </c>
      <c r="I304" s="2">
        <v>51</v>
      </c>
      <c r="J304" s="2">
        <v>0.58940135287155082</v>
      </c>
      <c r="K304" s="2">
        <v>3195</v>
      </c>
      <c r="L304" s="2">
        <v>-0.31452091201834759</v>
      </c>
      <c r="M304" s="2">
        <v>-0.95599999999999996</v>
      </c>
      <c r="N304" s="2">
        <f t="shared" si="268"/>
        <v>7.231755933581524E-2</v>
      </c>
      <c r="O304" s="2">
        <f t="shared" si="269"/>
        <v>-0.95599999999999996</v>
      </c>
      <c r="P304" s="2">
        <v>67</v>
      </c>
      <c r="Q304" s="2">
        <v>-0.3</v>
      </c>
      <c r="R304" s="5">
        <f t="shared" si="270"/>
        <v>-0.97470067643577551</v>
      </c>
      <c r="S304" s="5">
        <f t="shared" si="271"/>
        <v>-0.3</v>
      </c>
      <c r="T304" s="2">
        <v>7200</v>
      </c>
      <c r="U304" s="2">
        <v>-0.89</v>
      </c>
      <c r="V304" s="2">
        <f t="shared" si="272"/>
        <v>-0.52773954399082623</v>
      </c>
      <c r="W304" s="2">
        <f t="shared" si="273"/>
        <v>-0.89</v>
      </c>
      <c r="X304" s="2">
        <v>-0.78290000000000004</v>
      </c>
      <c r="Y304" s="76">
        <f t="shared" si="309"/>
        <v>0.14463511867163048</v>
      </c>
      <c r="Z304" s="76">
        <f t="shared" si="310"/>
        <v>1</v>
      </c>
      <c r="AA304" s="2">
        <f t="shared" si="274"/>
        <v>-0.43974999999999997</v>
      </c>
      <c r="AB304" s="2">
        <f t="shared" si="275"/>
        <v>-0.78290000000000004</v>
      </c>
      <c r="AC304" s="2">
        <v>72.5</v>
      </c>
      <c r="AD304" s="2">
        <v>-1.36</v>
      </c>
      <c r="AE304" s="79">
        <f t="shared" si="311"/>
        <v>-1.949401352871551</v>
      </c>
      <c r="AF304" s="79">
        <f t="shared" si="312"/>
        <v>-2</v>
      </c>
      <c r="AG304" s="2">
        <f t="shared" si="330"/>
        <v>-0.45499999999999996</v>
      </c>
      <c r="AH304" s="2">
        <f t="shared" si="276"/>
        <v>-1.36</v>
      </c>
      <c r="AI304" s="2">
        <v>8300</v>
      </c>
      <c r="AJ304" s="2">
        <v>-1.37</v>
      </c>
      <c r="AK304" s="76">
        <f t="shared" si="313"/>
        <v>-1.0554790879816525</v>
      </c>
      <c r="AL304" s="76">
        <f t="shared" si="314"/>
        <v>-2</v>
      </c>
      <c r="AM304" s="2">
        <f t="shared" si="277"/>
        <v>-0.33</v>
      </c>
      <c r="AN304" s="2">
        <f t="shared" si="278"/>
        <v>-1.37</v>
      </c>
      <c r="AO304" s="2">
        <v>-1.1795</v>
      </c>
      <c r="AP304" s="2">
        <f t="shared" si="279"/>
        <v>-0.16581988483356797</v>
      </c>
      <c r="AQ304" s="2">
        <f t="shared" si="280"/>
        <v>-1.1795</v>
      </c>
      <c r="AR304" s="2">
        <v>79</v>
      </c>
      <c r="AS304" s="2">
        <v>-1.21</v>
      </c>
      <c r="AT304" s="2">
        <f t="shared" si="281"/>
        <v>-0.15505788627786199</v>
      </c>
      <c r="AU304" s="2">
        <f t="shared" si="282"/>
        <v>-1.21</v>
      </c>
      <c r="AV304" s="2">
        <v>9200</v>
      </c>
      <c r="AW304" s="2">
        <v>-1.55</v>
      </c>
      <c r="AX304" s="2">
        <f t="shared" si="283"/>
        <v>-0.46485168653485354</v>
      </c>
      <c r="AY304" s="2">
        <f t="shared" si="284"/>
        <v>-1.55</v>
      </c>
      <c r="AZ304" s="2">
        <v>-1.114539769667136</v>
      </c>
      <c r="BA304" s="78">
        <f t="shared" si="315"/>
        <v>-0.33163976966713593</v>
      </c>
      <c r="BB304" s="78">
        <f t="shared" si="316"/>
        <v>-1</v>
      </c>
      <c r="BC304" s="2" t="str">
        <f t="shared" si="285"/>
        <v/>
      </c>
      <c r="BD304" s="2">
        <f t="shared" si="286"/>
        <v>-1.114539769667136</v>
      </c>
      <c r="BE304" s="67">
        <f t="shared" si="317"/>
        <v>7</v>
      </c>
      <c r="BF304" s="2">
        <v>81</v>
      </c>
      <c r="BG304" s="2">
        <v>-1.6701157725557241</v>
      </c>
      <c r="BH304" s="2" t="str">
        <f t="shared" si="287"/>
        <v/>
      </c>
      <c r="BI304" s="2">
        <f t="shared" si="288"/>
        <v>-1.6701157725557241</v>
      </c>
      <c r="BJ304" s="67">
        <f t="shared" si="289"/>
        <v>7</v>
      </c>
      <c r="BK304" s="2">
        <v>10000</v>
      </c>
      <c r="BL304" s="2">
        <v>-2.2997033730697072</v>
      </c>
      <c r="BM304" s="77">
        <f t="shared" si="318"/>
        <v>-0.92970337306970707</v>
      </c>
      <c r="BN304" s="77">
        <f t="shared" si="319"/>
        <v>-2</v>
      </c>
      <c r="BO304" s="2" t="str">
        <f t="shared" si="290"/>
        <v/>
      </c>
      <c r="BP304" s="2">
        <f t="shared" si="291"/>
        <v>-2.2997033730697072</v>
      </c>
      <c r="BQ304" s="67">
        <f t="shared" si="320"/>
        <v>4</v>
      </c>
      <c r="BS304" s="75" t="str">
        <f t="shared" si="321"/>
        <v>UF</v>
      </c>
      <c r="BT304" s="75" t="str">
        <f t="shared" si="322"/>
        <v>UF</v>
      </c>
      <c r="BU304" s="5" t="str">
        <f>IF(G312&gt;=36, IF(AND(NOT(ISBLANK(CM:CM)), NOT(ISBLANK(BD:BD))), (CM:CM-BD:BD)/2, ""), "UF")</f>
        <v>UF</v>
      </c>
      <c r="BV304" s="5" t="str">
        <f t="shared" si="292"/>
        <v>UF</v>
      </c>
      <c r="BW304" s="69" t="str">
        <f t="shared" si="293"/>
        <v/>
      </c>
      <c r="BX304" s="2" t="s">
        <v>12</v>
      </c>
      <c r="BZ304" s="74" t="str">
        <f t="shared" si="323"/>
        <v>UF</v>
      </c>
      <c r="CA304" s="74" t="str">
        <f t="shared" si="324"/>
        <v>UF</v>
      </c>
      <c r="CB304" s="5" t="str">
        <f t="shared" si="294"/>
        <v>UF</v>
      </c>
      <c r="CC304" s="5" t="str">
        <f t="shared" si="295"/>
        <v>UF</v>
      </c>
      <c r="CD304" s="2" t="e">
        <f t="shared" si="296"/>
        <v>#VALUE!</v>
      </c>
      <c r="CE304" s="69" t="str">
        <f t="shared" si="297"/>
        <v/>
      </c>
      <c r="CF304" s="5" t="s">
        <v>12</v>
      </c>
      <c r="CH304" s="72" t="str">
        <f t="shared" si="325"/>
        <v>UF</v>
      </c>
      <c r="CI304" s="72" t="str">
        <f t="shared" si="326"/>
        <v>UF</v>
      </c>
      <c r="CJ304" s="5" t="str">
        <f t="shared" si="298"/>
        <v>UF</v>
      </c>
      <c r="CK304" s="5" t="str">
        <f t="shared" si="299"/>
        <v>UF</v>
      </c>
      <c r="CL304" s="69" t="str">
        <f t="shared" si="300"/>
        <v/>
      </c>
      <c r="CN304" s="70" t="str">
        <f t="shared" si="301"/>
        <v/>
      </c>
      <c r="CO304" s="5" t="str">
        <f t="shared" si="302"/>
        <v>UF</v>
      </c>
      <c r="CP304" s="5" t="str">
        <f>IF(G304&lt;48,"UF", IF(NOT(ISBLANK(CM:CM)), CM:CM, IF(BW:BW=1, BV:BV+Sheet2!B466, IF(Sheet1!BW:BW=2, Sheet1!BV:BV+Sheet2!B467, IF(Sheet1!BW:BW=7, Sheet1!BV:BV+Sheet2!B468,"")))))</f>
        <v>UF</v>
      </c>
      <c r="CQ304" s="69" t="str">
        <f t="shared" si="327"/>
        <v/>
      </c>
      <c r="CR304" s="5" t="s">
        <v>12</v>
      </c>
      <c r="CT304" s="5" t="str">
        <f t="shared" si="303"/>
        <v/>
      </c>
      <c r="CU304" s="80" t="str">
        <f t="shared" si="304"/>
        <v>UF</v>
      </c>
      <c r="CV304" s="80" t="str">
        <f t="shared" si="305"/>
        <v>UF</v>
      </c>
      <c r="CW304" s="20" t="str">
        <f>IF(G304&lt;48,"UF", IF(NOT(ISBLANK(CS304)), CS304, IF(CE304=5, CC304+Sheet2!B455, IF(CE304=6, CC304+Sheet2!B456, IF(CE304=7, CC304+Sheet2!B457,"")))))</f>
        <v>UF</v>
      </c>
      <c r="CX304" s="68" t="str">
        <f t="shared" si="328"/>
        <v/>
      </c>
      <c r="CY304" s="5" t="s">
        <v>12</v>
      </c>
      <c r="DA304" s="5" t="str">
        <f t="shared" si="306"/>
        <v>UF</v>
      </c>
      <c r="DB304" s="73" t="str">
        <f t="shared" si="307"/>
        <v>UF</v>
      </c>
      <c r="DC304" s="73" t="str">
        <f t="shared" si="308"/>
        <v>UF</v>
      </c>
      <c r="DD304" s="5" t="str">
        <f>IF(G304&lt;48,"UF", IF(NOT(ISBLANK(CZ:CZ)), CZ:CZ, IF(CL:CL=3, CK:CK+Sheet2!B460, IF(CL:CL=4, CK:CK+Sheet2!B461, IF(CL:CL=7, CK:CK+Sheet2!B462,"")))))</f>
        <v>UF</v>
      </c>
      <c r="DE304" s="69" t="str">
        <f t="shared" si="331"/>
        <v/>
      </c>
      <c r="DF304" s="2">
        <v>3</v>
      </c>
      <c r="DG304" s="2">
        <v>39</v>
      </c>
      <c r="DH304" s="2">
        <v>1</v>
      </c>
      <c r="DI304" s="2">
        <v>2</v>
      </c>
      <c r="DJ304" s="2">
        <v>2</v>
      </c>
      <c r="DK304" s="2">
        <v>100</v>
      </c>
      <c r="DL304" s="2">
        <v>60</v>
      </c>
      <c r="DM304" s="2">
        <v>100</v>
      </c>
      <c r="DN304" s="2">
        <v>60</v>
      </c>
      <c r="DO304" s="2" t="s">
        <v>12</v>
      </c>
      <c r="DP304" s="2" t="s">
        <v>12</v>
      </c>
      <c r="DQ304" s="2">
        <v>2</v>
      </c>
      <c r="DR304" s="2">
        <v>38</v>
      </c>
      <c r="DS304" s="2">
        <v>1</v>
      </c>
      <c r="DT304" s="2">
        <v>101</v>
      </c>
      <c r="DU304" s="2">
        <v>85</v>
      </c>
      <c r="DV304" s="2">
        <v>2</v>
      </c>
      <c r="DW304" s="2">
        <v>2</v>
      </c>
      <c r="DX304" s="2">
        <v>2</v>
      </c>
      <c r="DY304" s="2">
        <v>2</v>
      </c>
      <c r="DZ304" s="2">
        <v>38</v>
      </c>
      <c r="EA304" s="2">
        <v>35.5</v>
      </c>
      <c r="EB304" s="2">
        <v>45.8</v>
      </c>
      <c r="EC304" s="2">
        <v>1</v>
      </c>
      <c r="ED304" s="2">
        <v>1</v>
      </c>
    </row>
    <row r="305" spans="2:134" x14ac:dyDescent="0.25">
      <c r="C305" s="8" t="s">
        <v>269</v>
      </c>
      <c r="D305" s="8">
        <v>2501046528</v>
      </c>
      <c r="E305" s="5">
        <v>7</v>
      </c>
      <c r="F305" s="2">
        <v>1</v>
      </c>
      <c r="G305" s="2">
        <v>31</v>
      </c>
      <c r="H305" s="2">
        <v>-2.3667576902655578</v>
      </c>
      <c r="I305" s="2">
        <v>49</v>
      </c>
      <c r="J305" s="2">
        <v>-7.9294265603816944E-2</v>
      </c>
      <c r="K305" s="2">
        <v>2575</v>
      </c>
      <c r="L305" s="2">
        <v>-1.536593152243481</v>
      </c>
      <c r="M305" s="2">
        <v>-0.65069999999999995</v>
      </c>
      <c r="N305" s="2">
        <f t="shared" si="268"/>
        <v>1.0340788451327789</v>
      </c>
      <c r="O305" s="2">
        <f t="shared" si="269"/>
        <v>-0.65069999999999995</v>
      </c>
      <c r="P305" s="2">
        <v>65.3</v>
      </c>
      <c r="Q305" s="2">
        <v>-0.2</v>
      </c>
      <c r="R305" s="5">
        <f t="shared" si="270"/>
        <v>5.9647132801908476E-2</v>
      </c>
      <c r="S305" s="5">
        <f t="shared" si="271"/>
        <v>-0.2</v>
      </c>
      <c r="T305" s="2">
        <v>6800</v>
      </c>
      <c r="U305" s="2">
        <v>-0.57999999999999996</v>
      </c>
      <c r="V305" s="2">
        <f t="shared" si="272"/>
        <v>0.67829657612174055</v>
      </c>
      <c r="W305" s="2">
        <f t="shared" si="273"/>
        <v>-0.57999999999999996</v>
      </c>
      <c r="X305" s="2">
        <v>-0.29859999999999998</v>
      </c>
      <c r="Y305" s="76">
        <f t="shared" si="309"/>
        <v>2.0681576902655578</v>
      </c>
      <c r="Z305" s="76">
        <f t="shared" si="310"/>
        <v>2</v>
      </c>
      <c r="AA305" s="2">
        <f t="shared" si="274"/>
        <v>0.40070000000000006</v>
      </c>
      <c r="AB305" s="2">
        <f t="shared" si="275"/>
        <v>-0.29859999999999998</v>
      </c>
      <c r="AC305" s="2">
        <v>74.099999999999994</v>
      </c>
      <c r="AD305" s="2">
        <v>0.04</v>
      </c>
      <c r="AE305" s="79">
        <f t="shared" si="311"/>
        <v>0.11929426560381695</v>
      </c>
      <c r="AF305" s="79">
        <f t="shared" si="312"/>
        <v>1</v>
      </c>
      <c r="AG305" s="2">
        <f t="shared" si="330"/>
        <v>-7.4999999999999983E-2</v>
      </c>
      <c r="AH305" s="2">
        <f t="shared" si="276"/>
        <v>0.04</v>
      </c>
      <c r="AI305" s="2">
        <v>8750</v>
      </c>
      <c r="AJ305" s="2">
        <v>-0.18</v>
      </c>
      <c r="AK305" s="76">
        <f t="shared" si="313"/>
        <v>1.3565931522434811</v>
      </c>
      <c r="AL305" s="76">
        <f t="shared" si="314"/>
        <v>2</v>
      </c>
      <c r="AM305" s="2">
        <f t="shared" si="277"/>
        <v>0.40499999999999997</v>
      </c>
      <c r="AN305" s="2">
        <f t="shared" si="278"/>
        <v>-0.18</v>
      </c>
      <c r="AO305" s="2">
        <v>0.60140000000000005</v>
      </c>
      <c r="AP305" s="2">
        <f t="shared" si="279"/>
        <v>-0.33453286985375441</v>
      </c>
      <c r="AQ305" s="2">
        <f t="shared" si="280"/>
        <v>0.60140000000000005</v>
      </c>
      <c r="AR305" s="2">
        <v>79.7</v>
      </c>
      <c r="AS305" s="2">
        <v>-0.35</v>
      </c>
      <c r="AT305" s="2">
        <f t="shared" si="281"/>
        <v>6.6376922184507844E-2</v>
      </c>
      <c r="AU305" s="2">
        <f t="shared" si="282"/>
        <v>-0.35</v>
      </c>
      <c r="AV305" s="2">
        <v>10530</v>
      </c>
      <c r="AW305" s="2">
        <v>0.23</v>
      </c>
      <c r="AX305" s="2">
        <f t="shared" si="283"/>
        <v>-0.29336795020202255</v>
      </c>
      <c r="AY305" s="2">
        <f t="shared" si="284"/>
        <v>0.23</v>
      </c>
      <c r="AZ305" s="2">
        <v>-0.9676657397075088</v>
      </c>
      <c r="BA305" s="78">
        <f t="shared" si="315"/>
        <v>-0.66906573970750882</v>
      </c>
      <c r="BB305" s="78">
        <f t="shared" si="316"/>
        <v>-1</v>
      </c>
      <c r="BC305" s="2" t="str">
        <f t="shared" si="285"/>
        <v/>
      </c>
      <c r="BD305" s="2">
        <f t="shared" si="286"/>
        <v>-0.9676657397075088</v>
      </c>
      <c r="BE305" s="67">
        <f t="shared" si="317"/>
        <v>7</v>
      </c>
      <c r="BF305" s="2">
        <v>86</v>
      </c>
      <c r="BG305" s="2">
        <v>0.1727538443690157</v>
      </c>
      <c r="BH305" s="2" t="str">
        <f t="shared" si="287"/>
        <v/>
      </c>
      <c r="BI305" s="2">
        <f t="shared" si="288"/>
        <v>0.1727538443690157</v>
      </c>
      <c r="BJ305" s="67">
        <f t="shared" si="289"/>
        <v>7</v>
      </c>
      <c r="BK305" s="2">
        <v>11200</v>
      </c>
      <c r="BL305" s="2">
        <v>-0.76673590040404505</v>
      </c>
      <c r="BM305" s="77">
        <f t="shared" si="318"/>
        <v>-0.58673590040404511</v>
      </c>
      <c r="BN305" s="77">
        <f t="shared" si="319"/>
        <v>-1</v>
      </c>
      <c r="BO305" s="2" t="str">
        <f t="shared" si="290"/>
        <v/>
      </c>
      <c r="BP305" s="2">
        <f t="shared" si="291"/>
        <v>-0.76673590040404505</v>
      </c>
      <c r="BQ305" s="67">
        <f t="shared" si="320"/>
        <v>7</v>
      </c>
      <c r="BS305" s="75" t="str">
        <f t="shared" si="321"/>
        <v>UF</v>
      </c>
      <c r="BT305" s="75" t="str">
        <f t="shared" si="322"/>
        <v>UF</v>
      </c>
      <c r="BU305" s="5" t="e">
        <f>IF(#REF!&gt;=36, IF(AND(NOT(ISBLANK(CM:CM)), NOT(ISBLANK(BD:BD))), (CM:CM-BD:BD)/2, ""), "UF")</f>
        <v>#REF!</v>
      </c>
      <c r="BV305" s="5" t="str">
        <f t="shared" si="292"/>
        <v>UF</v>
      </c>
      <c r="BW305" s="69" t="str">
        <f t="shared" si="293"/>
        <v/>
      </c>
      <c r="BX305" s="2" t="s">
        <v>12</v>
      </c>
      <c r="BZ305" s="74" t="str">
        <f t="shared" si="323"/>
        <v>UF</v>
      </c>
      <c r="CA305" s="74" t="str">
        <f t="shared" si="324"/>
        <v>UF</v>
      </c>
      <c r="CB305" s="5" t="str">
        <f t="shared" si="294"/>
        <v>UF</v>
      </c>
      <c r="CC305" s="5" t="str">
        <f t="shared" si="295"/>
        <v>UF</v>
      </c>
      <c r="CD305" s="2" t="e">
        <f t="shared" si="296"/>
        <v>#VALUE!</v>
      </c>
      <c r="CE305" s="69" t="str">
        <f t="shared" si="297"/>
        <v/>
      </c>
      <c r="CF305" s="5" t="s">
        <v>12</v>
      </c>
      <c r="CH305" s="72" t="str">
        <f t="shared" si="325"/>
        <v>UF</v>
      </c>
      <c r="CI305" s="72" t="str">
        <f t="shared" si="326"/>
        <v>UF</v>
      </c>
      <c r="CJ305" s="5" t="str">
        <f t="shared" si="298"/>
        <v>UF</v>
      </c>
      <c r="CK305" s="5" t="str">
        <f t="shared" si="299"/>
        <v>UF</v>
      </c>
      <c r="CL305" s="69" t="str">
        <f t="shared" si="300"/>
        <v/>
      </c>
      <c r="CN305" s="70" t="str">
        <f t="shared" si="301"/>
        <v/>
      </c>
      <c r="CO305" s="5" t="str">
        <f t="shared" si="302"/>
        <v>UF</v>
      </c>
      <c r="CP305" s="5" t="str">
        <f>IF(G305&lt;48,"UF", IF(NOT(ISBLANK(CM:CM)), CM:CM, IF(BW:BW=1, BV:BV+Sheet2!B473, IF(Sheet1!BW:BW=2, Sheet1!BV:BV+Sheet2!B474, IF(Sheet1!BW:BW=7, Sheet1!BV:BV+Sheet2!B475,"")))))</f>
        <v>UF</v>
      </c>
      <c r="CQ305" s="69" t="str">
        <f t="shared" si="327"/>
        <v/>
      </c>
      <c r="CR305" s="5" t="s">
        <v>12</v>
      </c>
      <c r="CT305" s="5" t="str">
        <f t="shared" si="303"/>
        <v/>
      </c>
      <c r="CU305" s="80" t="str">
        <f t="shared" si="304"/>
        <v>UF</v>
      </c>
      <c r="CV305" s="80" t="str">
        <f t="shared" si="305"/>
        <v>UF</v>
      </c>
      <c r="CW305" s="20" t="str">
        <f>IF(G305&lt;48,"UF", IF(NOT(ISBLANK(CS305)), CS305, IF(CE305=5, CC305+Sheet2!B462, IF(CE305=6, CC305+Sheet2!B463, IF(CE305=7, CC305+Sheet2!B464,"")))))</f>
        <v>UF</v>
      </c>
      <c r="CX305" s="68" t="str">
        <f t="shared" si="328"/>
        <v/>
      </c>
      <c r="CY305" s="5" t="s">
        <v>12</v>
      </c>
      <c r="DA305" s="5" t="str">
        <f t="shared" si="306"/>
        <v>UF</v>
      </c>
      <c r="DB305" s="73" t="str">
        <f t="shared" si="307"/>
        <v>UF</v>
      </c>
      <c r="DC305" s="73" t="str">
        <f t="shared" si="308"/>
        <v>UF</v>
      </c>
      <c r="DD305" s="5" t="str">
        <f>IF(G305&lt;48,"UF", IF(NOT(ISBLANK(CZ:CZ)), CZ:CZ, IF(CL:CL=3, CK:CK+Sheet2!B467, IF(CL:CL=4, CK:CK+Sheet2!B468, IF(CL:CL=7, CK:CK+Sheet2!B469,"")))))</f>
        <v>UF</v>
      </c>
      <c r="DE305" s="69" t="str">
        <f t="shared" si="331"/>
        <v/>
      </c>
      <c r="DF305" s="2">
        <v>3</v>
      </c>
      <c r="DG305" s="2">
        <v>48</v>
      </c>
      <c r="DH305" s="2">
        <v>1</v>
      </c>
      <c r="DI305" s="2">
        <v>2</v>
      </c>
      <c r="DJ305" s="2">
        <v>2</v>
      </c>
      <c r="DK305" s="2">
        <v>110</v>
      </c>
      <c r="DL305" s="2">
        <v>60</v>
      </c>
      <c r="DM305" s="2">
        <v>120</v>
      </c>
      <c r="DN305" s="2">
        <v>80</v>
      </c>
      <c r="DO305" s="2">
        <v>120</v>
      </c>
      <c r="DP305" s="2">
        <v>70</v>
      </c>
      <c r="DQ305" s="2">
        <v>2</v>
      </c>
      <c r="DR305" s="2">
        <v>38</v>
      </c>
      <c r="DS305" s="2">
        <v>1</v>
      </c>
      <c r="DT305" s="2">
        <v>95</v>
      </c>
      <c r="DU305" s="2">
        <v>90</v>
      </c>
      <c r="DV305" s="2">
        <v>2</v>
      </c>
      <c r="DW305" s="2">
        <v>2</v>
      </c>
      <c r="DX305" s="2">
        <v>2</v>
      </c>
      <c r="DY305" s="2">
        <v>3</v>
      </c>
      <c r="DZ305" s="2">
        <v>32.5</v>
      </c>
      <c r="EA305" s="2">
        <v>33.799999999999997</v>
      </c>
      <c r="EB305" s="2">
        <v>45.2</v>
      </c>
      <c r="EC305" s="2">
        <v>1</v>
      </c>
      <c r="ED305" s="2">
        <v>1</v>
      </c>
    </row>
    <row r="306" spans="2:134" ht="15.75" thickBot="1" x14ac:dyDescent="0.3">
      <c r="C306" s="8" t="s">
        <v>188</v>
      </c>
      <c r="D306" s="4">
        <v>2501046897</v>
      </c>
      <c r="E306" s="5">
        <v>7</v>
      </c>
      <c r="F306" s="2">
        <v>1</v>
      </c>
      <c r="G306" s="2">
        <v>30</v>
      </c>
      <c r="H306" s="2">
        <v>-0.69988662563232795</v>
      </c>
      <c r="I306" s="2">
        <v>52</v>
      </c>
      <c r="J306" s="2">
        <v>1.531272843240846</v>
      </c>
      <c r="K306" s="1">
        <v>3380</v>
      </c>
      <c r="L306" s="2">
        <v>0.31822484219303609</v>
      </c>
      <c r="M306" s="2">
        <v>-0.38869999999999999</v>
      </c>
      <c r="N306" s="2" t="str">
        <f t="shared" si="268"/>
        <v/>
      </c>
      <c r="O306" s="2">
        <f t="shared" si="269"/>
        <v>-0.38869999999999999</v>
      </c>
      <c r="P306" s="2">
        <v>70</v>
      </c>
      <c r="Q306" s="2">
        <v>1.87</v>
      </c>
      <c r="R306" s="5" t="str">
        <f t="shared" si="270"/>
        <v/>
      </c>
      <c r="S306" s="5">
        <f t="shared" si="271"/>
        <v>1.87</v>
      </c>
      <c r="T306" s="1">
        <v>8000</v>
      </c>
      <c r="U306" s="2">
        <v>0.75</v>
      </c>
      <c r="V306" s="2" t="str">
        <f t="shared" si="272"/>
        <v/>
      </c>
      <c r="W306" s="2">
        <f t="shared" si="273"/>
        <v>0.75</v>
      </c>
      <c r="Y306" s="76" t="e">
        <f t="shared" si="309"/>
        <v>#VALUE!</v>
      </c>
      <c r="Z306" s="76" t="e">
        <f t="shared" si="310"/>
        <v>#VALUE!</v>
      </c>
      <c r="AA306" s="2" t="str">
        <f t="shared" si="274"/>
        <v/>
      </c>
      <c r="AB306" s="2" t="e">
        <f t="shared" si="275"/>
        <v>#VALUE!</v>
      </c>
      <c r="AC306" s="2" t="s">
        <v>12</v>
      </c>
      <c r="AE306" s="79" t="e">
        <f t="shared" si="311"/>
        <v>#VALUE!</v>
      </c>
      <c r="AF306" s="79" t="e">
        <f t="shared" si="312"/>
        <v>#VALUE!</v>
      </c>
      <c r="AG306" s="2" t="str">
        <f t="shared" si="330"/>
        <v/>
      </c>
      <c r="AH306" s="2" t="e">
        <f t="shared" si="276"/>
        <v>#VALUE!</v>
      </c>
      <c r="AI306" s="2" t="s">
        <v>12</v>
      </c>
      <c r="AK306" s="76" t="e">
        <f t="shared" si="313"/>
        <v>#VALUE!</v>
      </c>
      <c r="AL306" s="76" t="e">
        <f t="shared" si="314"/>
        <v>#VALUE!</v>
      </c>
      <c r="AM306" s="2" t="str">
        <f t="shared" si="277"/>
        <v/>
      </c>
      <c r="AN306" s="2" t="e">
        <f t="shared" si="278"/>
        <v>#VALUE!</v>
      </c>
      <c r="AP306" s="2" t="e">
        <f t="shared" si="279"/>
        <v>#VALUE!</v>
      </c>
      <c r="AQ306" s="2" t="e">
        <f t="shared" si="280"/>
        <v>#VALUE!</v>
      </c>
      <c r="AR306" s="2" t="s">
        <v>12</v>
      </c>
      <c r="AT306" s="2" t="e">
        <f t="shared" si="281"/>
        <v>#VALUE!</v>
      </c>
      <c r="AU306" s="2" t="e">
        <f t="shared" si="282"/>
        <v>#VALUE!</v>
      </c>
      <c r="AV306" s="2" t="s">
        <v>12</v>
      </c>
      <c r="AX306" s="2" t="e">
        <f t="shared" si="283"/>
        <v>#VALUE!</v>
      </c>
      <c r="AY306" s="2" t="e">
        <f t="shared" si="284"/>
        <v>#VALUE!</v>
      </c>
      <c r="AZ306" s="2">
        <v>-4.3487511028206169</v>
      </c>
      <c r="BA306" s="78" t="e">
        <f t="shared" si="315"/>
        <v>#VALUE!</v>
      </c>
      <c r="BB306" s="78" t="e">
        <f t="shared" si="316"/>
        <v>#VALUE!</v>
      </c>
      <c r="BC306" s="2" t="str">
        <f t="shared" si="285"/>
        <v/>
      </c>
      <c r="BD306" s="2">
        <f t="shared" si="286"/>
        <v>-4.3487511028206169</v>
      </c>
      <c r="BE306" s="67">
        <f t="shared" si="317"/>
        <v>1</v>
      </c>
      <c r="BF306" s="2">
        <v>93</v>
      </c>
      <c r="BG306" s="2">
        <v>2.1836879855314102</v>
      </c>
      <c r="BH306" s="2" t="str">
        <f t="shared" si="287"/>
        <v/>
      </c>
      <c r="BI306" s="2">
        <f t="shared" si="288"/>
        <v>2.1836879855314102</v>
      </c>
      <c r="BJ306" s="67" t="str">
        <f t="shared" si="289"/>
        <v/>
      </c>
      <c r="BK306" s="2">
        <v>13000</v>
      </c>
      <c r="BL306" s="2">
        <v>-1.559174117071616</v>
      </c>
      <c r="BM306" s="77" t="e">
        <f t="shared" si="318"/>
        <v>#VALUE!</v>
      </c>
      <c r="BN306" s="77" t="e">
        <f t="shared" si="319"/>
        <v>#VALUE!</v>
      </c>
      <c r="BO306" s="2" t="str">
        <f t="shared" si="290"/>
        <v/>
      </c>
      <c r="BP306" s="2">
        <f t="shared" si="291"/>
        <v>-1.559174117071616</v>
      </c>
      <c r="BQ306" s="67">
        <f t="shared" si="320"/>
        <v>7</v>
      </c>
      <c r="BS306" s="75" t="str">
        <f t="shared" si="321"/>
        <v>UF</v>
      </c>
      <c r="BT306" s="75" t="str">
        <f t="shared" si="322"/>
        <v>UF</v>
      </c>
      <c r="BU306" s="5" t="str">
        <f t="shared" ref="BU306:BU312" si="332">IF(G313&gt;=36, IF(AND(NOT(ISBLANK(CM:CM)), NOT(ISBLANK(BD:BD))), (CM:CM-BD:BD)/2, ""), "UF")</f>
        <v>UF</v>
      </c>
      <c r="BV306" s="5" t="str">
        <f t="shared" si="292"/>
        <v>UF</v>
      </c>
      <c r="BW306" s="69" t="str">
        <f t="shared" si="293"/>
        <v/>
      </c>
      <c r="BX306" s="2" t="s">
        <v>12</v>
      </c>
      <c r="BZ306" s="74" t="str">
        <f t="shared" si="323"/>
        <v>UF</v>
      </c>
      <c r="CA306" s="74" t="str">
        <f t="shared" si="324"/>
        <v>UF</v>
      </c>
      <c r="CB306" s="5" t="str">
        <f t="shared" si="294"/>
        <v>UF</v>
      </c>
      <c r="CC306" s="5" t="str">
        <f t="shared" si="295"/>
        <v>UF</v>
      </c>
      <c r="CD306" s="2" t="e">
        <f t="shared" si="296"/>
        <v>#VALUE!</v>
      </c>
      <c r="CE306" s="69" t="str">
        <f t="shared" si="297"/>
        <v/>
      </c>
      <c r="CF306" s="5" t="s">
        <v>12</v>
      </c>
      <c r="CH306" s="72" t="str">
        <f t="shared" si="325"/>
        <v>UF</v>
      </c>
      <c r="CI306" s="72" t="str">
        <f t="shared" si="326"/>
        <v>UF</v>
      </c>
      <c r="CJ306" s="5" t="str">
        <f t="shared" si="298"/>
        <v>UF</v>
      </c>
      <c r="CK306" s="5" t="str">
        <f t="shared" si="299"/>
        <v>UF</v>
      </c>
      <c r="CL306" s="69" t="str">
        <f t="shared" si="300"/>
        <v/>
      </c>
      <c r="CN306" s="70" t="str">
        <f t="shared" si="301"/>
        <v/>
      </c>
      <c r="CO306" s="5" t="str">
        <f t="shared" si="302"/>
        <v>UF</v>
      </c>
      <c r="CP306" s="5" t="str">
        <f>IF(G306&lt;48,"UF", IF(NOT(ISBLANK(CM:CM)), CM:CM, IF(BW:BW=1, BV:BV+Sheet2!B360, IF(Sheet1!BW:BW=2, Sheet1!BV:BV+Sheet2!B361, IF(Sheet1!BW:BW=7, Sheet1!BV:BV+Sheet2!B362,"")))))</f>
        <v>UF</v>
      </c>
      <c r="CQ306" s="69" t="str">
        <f t="shared" si="327"/>
        <v/>
      </c>
      <c r="CR306" s="5" t="s">
        <v>12</v>
      </c>
      <c r="CT306" s="5" t="str">
        <f t="shared" si="303"/>
        <v/>
      </c>
      <c r="CU306" s="80" t="str">
        <f t="shared" si="304"/>
        <v>UF</v>
      </c>
      <c r="CV306" s="80" t="str">
        <f t="shared" si="305"/>
        <v>UF</v>
      </c>
      <c r="CW306" s="20" t="str">
        <f>IF(G306&lt;48,"UF", IF(NOT(ISBLANK(CS306)), CS306, IF(CE306=5, CC306+Sheet2!B349, IF(CE306=6, CC306+Sheet2!B350, IF(CE306=7, CC306+Sheet2!B351,"")))))</f>
        <v>UF</v>
      </c>
      <c r="CX306" s="68" t="str">
        <f t="shared" si="328"/>
        <v/>
      </c>
      <c r="CY306" s="5" t="s">
        <v>12</v>
      </c>
      <c r="DA306" s="5" t="str">
        <f t="shared" si="306"/>
        <v>UF</v>
      </c>
      <c r="DB306" s="73" t="str">
        <f t="shared" si="307"/>
        <v>UF</v>
      </c>
      <c r="DC306" s="73" t="str">
        <f t="shared" si="308"/>
        <v>UF</v>
      </c>
      <c r="DD306" s="5" t="str">
        <f>IF(G306&lt;48,"UF", IF(NOT(ISBLANK(CZ:CZ)), CZ:CZ, IF(CL:CL=3, CK:CK+Sheet2!B354, IF(CL:CL=4, CK:CK+Sheet2!B355, IF(CL:CL=7, CK:CK+Sheet2!B356,"")))))</f>
        <v>UF</v>
      </c>
      <c r="DE306" s="69" t="str">
        <f t="shared" si="331"/>
        <v/>
      </c>
      <c r="DF306" s="2">
        <v>2</v>
      </c>
      <c r="DG306" s="2">
        <v>41</v>
      </c>
      <c r="DH306" s="2">
        <v>1</v>
      </c>
      <c r="DI306" s="2">
        <v>2</v>
      </c>
      <c r="DJ306" s="2">
        <v>2</v>
      </c>
      <c r="DK306" s="2">
        <v>120</v>
      </c>
      <c r="DL306" s="2">
        <v>70</v>
      </c>
      <c r="DM306" s="2" t="s">
        <v>12</v>
      </c>
      <c r="DN306" s="2" t="s">
        <v>12</v>
      </c>
      <c r="DO306" s="2" t="s">
        <v>12</v>
      </c>
      <c r="DP306" s="2" t="s">
        <v>12</v>
      </c>
      <c r="DQ306" s="2">
        <v>2</v>
      </c>
      <c r="DR306" s="2">
        <v>38</v>
      </c>
      <c r="DS306" s="2">
        <v>1</v>
      </c>
      <c r="DT306" s="2">
        <v>92</v>
      </c>
      <c r="DU306" s="2">
        <v>100</v>
      </c>
      <c r="DV306" s="2">
        <v>3</v>
      </c>
      <c r="DW306" s="2">
        <v>3</v>
      </c>
      <c r="DX306" s="2">
        <v>3</v>
      </c>
      <c r="DY306" s="2">
        <v>2</v>
      </c>
      <c r="DZ306" s="2">
        <v>35</v>
      </c>
      <c r="EA306" s="2" t="s">
        <v>12</v>
      </c>
      <c r="EB306" s="2" t="s">
        <v>12</v>
      </c>
      <c r="EC306" s="2" t="s">
        <v>12</v>
      </c>
      <c r="ED306" s="2" t="s">
        <v>12</v>
      </c>
    </row>
    <row r="307" spans="2:134" ht="15.75" thickBot="1" x14ac:dyDescent="0.3">
      <c r="C307" s="8" t="s">
        <v>272</v>
      </c>
      <c r="D307" s="55">
        <v>2501047257</v>
      </c>
      <c r="E307" s="5">
        <v>7</v>
      </c>
      <c r="F307" s="2">
        <v>1</v>
      </c>
      <c r="G307" s="2">
        <v>30</v>
      </c>
      <c r="H307" s="2">
        <v>-0.82190271804282977</v>
      </c>
      <c r="I307" s="2">
        <v>50</v>
      </c>
      <c r="J307" s="2">
        <v>0.45756143734440202</v>
      </c>
      <c r="K307" s="2">
        <v>3090</v>
      </c>
      <c r="L307" s="2">
        <v>-0.31478774505170659</v>
      </c>
      <c r="M307" s="2">
        <v>-0.25059999999999999</v>
      </c>
      <c r="N307" s="2">
        <f t="shared" si="268"/>
        <v>0.65915135902141486</v>
      </c>
      <c r="O307" s="2">
        <f t="shared" si="269"/>
        <v>-0.25059999999999999</v>
      </c>
      <c r="P307" s="2">
        <v>70</v>
      </c>
      <c r="Q307" s="2">
        <v>1.87</v>
      </c>
      <c r="R307" s="5">
        <f t="shared" si="270"/>
        <v>0.54621928132779907</v>
      </c>
      <c r="S307" s="5">
        <f t="shared" si="271"/>
        <v>1.87</v>
      </c>
      <c r="T307" s="2">
        <v>8100</v>
      </c>
      <c r="U307" s="2">
        <v>0.85</v>
      </c>
      <c r="V307" s="2">
        <f t="shared" si="272"/>
        <v>0.76239387252585322</v>
      </c>
      <c r="W307" s="2">
        <f t="shared" si="273"/>
        <v>0.85</v>
      </c>
      <c r="X307" s="2">
        <v>0.49640000000000001</v>
      </c>
      <c r="Y307" s="76">
        <f t="shared" si="309"/>
        <v>1.3183027180428297</v>
      </c>
      <c r="Z307" s="76">
        <f t="shared" si="310"/>
        <v>2</v>
      </c>
      <c r="AA307" s="2">
        <f t="shared" si="274"/>
        <v>-0.63280000000000003</v>
      </c>
      <c r="AB307" s="2">
        <f t="shared" si="275"/>
        <v>0.49640000000000001</v>
      </c>
      <c r="AC307" s="2">
        <v>78</v>
      </c>
      <c r="AD307" s="2">
        <v>1.55</v>
      </c>
      <c r="AE307" s="79">
        <f t="shared" si="311"/>
        <v>1.0924385626555981</v>
      </c>
      <c r="AF307" s="79">
        <f t="shared" si="312"/>
        <v>2</v>
      </c>
      <c r="AG307" s="2">
        <f t="shared" si="330"/>
        <v>-0.37000000000000011</v>
      </c>
      <c r="AH307" s="2">
        <f t="shared" si="276"/>
        <v>1.55</v>
      </c>
      <c r="AI307" s="2">
        <v>10400</v>
      </c>
      <c r="AJ307" s="2">
        <v>1.21</v>
      </c>
      <c r="AK307" s="76">
        <f t="shared" si="313"/>
        <v>1.5247877450517064</v>
      </c>
      <c r="AL307" s="76">
        <f t="shared" si="314"/>
        <v>2</v>
      </c>
      <c r="AM307" s="2">
        <f t="shared" si="277"/>
        <v>0.11000000000000004</v>
      </c>
      <c r="AN307" s="2">
        <f t="shared" si="278"/>
        <v>1.21</v>
      </c>
      <c r="AO307" s="2">
        <v>0.60440000000000005</v>
      </c>
      <c r="AP307" s="2">
        <f t="shared" si="279"/>
        <v>-0.23959052162760677</v>
      </c>
      <c r="AQ307" s="2">
        <f t="shared" si="280"/>
        <v>0.60440000000000005</v>
      </c>
      <c r="AR307" s="2">
        <v>84</v>
      </c>
      <c r="AS307" s="2">
        <v>1.1299999999999999</v>
      </c>
      <c r="AT307" s="2">
        <f t="shared" si="281"/>
        <v>-0.25820334258441602</v>
      </c>
      <c r="AU307" s="2">
        <f t="shared" si="282"/>
        <v>1.1299999999999999</v>
      </c>
      <c r="AV307" s="2">
        <v>11700</v>
      </c>
      <c r="AW307" s="2">
        <v>1.07</v>
      </c>
      <c r="AX307" s="2">
        <f t="shared" si="283"/>
        <v>-0.29342881425978512</v>
      </c>
      <c r="AY307" s="2">
        <f t="shared" si="284"/>
        <v>1.07</v>
      </c>
      <c r="AZ307" s="2">
        <v>1.7218956744786441E-2</v>
      </c>
      <c r="BA307" s="78">
        <f t="shared" si="315"/>
        <v>-0.47918104325521355</v>
      </c>
      <c r="BB307" s="78">
        <f t="shared" si="316"/>
        <v>-1</v>
      </c>
      <c r="BC307" s="2" t="str">
        <f t="shared" si="285"/>
        <v/>
      </c>
      <c r="BD307" s="2">
        <f t="shared" si="286"/>
        <v>1.7218956744786441E-2</v>
      </c>
      <c r="BE307" s="67">
        <f t="shared" si="317"/>
        <v>7</v>
      </c>
      <c r="BF307" s="2">
        <v>89</v>
      </c>
      <c r="BG307" s="2">
        <v>1.033593314831168</v>
      </c>
      <c r="BH307" s="2" t="str">
        <f t="shared" si="287"/>
        <v/>
      </c>
      <c r="BI307" s="2">
        <f t="shared" si="288"/>
        <v>1.033593314831168</v>
      </c>
      <c r="BJ307" s="67">
        <f t="shared" si="289"/>
        <v>7</v>
      </c>
      <c r="BK307" s="2">
        <v>13000</v>
      </c>
      <c r="BL307" s="2">
        <v>0.62314237148042972</v>
      </c>
      <c r="BM307" s="77">
        <f t="shared" si="318"/>
        <v>-0.58685762851957024</v>
      </c>
      <c r="BN307" s="77">
        <f t="shared" si="319"/>
        <v>-1</v>
      </c>
      <c r="BO307" s="2" t="str">
        <f t="shared" si="290"/>
        <v/>
      </c>
      <c r="BP307" s="2">
        <f t="shared" si="291"/>
        <v>0.62314237148042972</v>
      </c>
      <c r="BQ307" s="67">
        <f t="shared" si="320"/>
        <v>7</v>
      </c>
      <c r="BS307" s="75" t="str">
        <f t="shared" si="321"/>
        <v>UF</v>
      </c>
      <c r="BT307" s="75" t="str">
        <f t="shared" si="322"/>
        <v>UF</v>
      </c>
      <c r="BU307" s="5" t="str">
        <f t="shared" si="332"/>
        <v>UF</v>
      </c>
      <c r="BV307" s="5" t="str">
        <f t="shared" si="292"/>
        <v>UF</v>
      </c>
      <c r="BW307" s="69" t="str">
        <f t="shared" si="293"/>
        <v/>
      </c>
      <c r="BX307" s="2" t="s">
        <v>12</v>
      </c>
      <c r="BZ307" s="74" t="str">
        <f t="shared" si="323"/>
        <v>UF</v>
      </c>
      <c r="CA307" s="74" t="str">
        <f t="shared" si="324"/>
        <v>UF</v>
      </c>
      <c r="CB307" s="5" t="str">
        <f t="shared" si="294"/>
        <v>UF</v>
      </c>
      <c r="CC307" s="5" t="str">
        <f t="shared" si="295"/>
        <v>UF</v>
      </c>
      <c r="CD307" s="2" t="e">
        <f t="shared" si="296"/>
        <v>#VALUE!</v>
      </c>
      <c r="CE307" s="69" t="str">
        <f t="shared" si="297"/>
        <v/>
      </c>
      <c r="CF307" s="5" t="s">
        <v>12</v>
      </c>
      <c r="CH307" s="72" t="str">
        <f t="shared" si="325"/>
        <v>UF</v>
      </c>
      <c r="CI307" s="72" t="str">
        <f t="shared" si="326"/>
        <v>UF</v>
      </c>
      <c r="CJ307" s="5" t="str">
        <f t="shared" si="298"/>
        <v>UF</v>
      </c>
      <c r="CK307" s="5" t="str">
        <f t="shared" si="299"/>
        <v>UF</v>
      </c>
      <c r="CL307" s="69" t="str">
        <f t="shared" si="300"/>
        <v/>
      </c>
      <c r="CN307" s="70" t="str">
        <f t="shared" si="301"/>
        <v/>
      </c>
      <c r="CO307" s="5" t="str">
        <f t="shared" si="302"/>
        <v>UF</v>
      </c>
      <c r="CP307" s="5" t="str">
        <f>IF(G307&lt;48,"UF", IF(NOT(ISBLANK(CM:CM)), CM:CM, IF(BW:BW=1, BV:BV+Sheet2!B477, IF(Sheet1!BW:BW=2, Sheet1!BV:BV+Sheet2!B478, IF(Sheet1!BW:BW=7, Sheet1!BV:BV+Sheet2!B479,"")))))</f>
        <v>UF</v>
      </c>
      <c r="CQ307" s="69" t="str">
        <f t="shared" si="327"/>
        <v/>
      </c>
      <c r="CR307" s="5" t="s">
        <v>12</v>
      </c>
      <c r="CT307" s="5" t="str">
        <f t="shared" si="303"/>
        <v/>
      </c>
      <c r="CU307" s="80" t="str">
        <f t="shared" si="304"/>
        <v>UF</v>
      </c>
      <c r="CV307" s="80" t="str">
        <f t="shared" si="305"/>
        <v>UF</v>
      </c>
      <c r="CW307" s="20" t="str">
        <f>IF(G307&lt;48,"UF", IF(NOT(ISBLANK(CS307)), CS307, IF(CE307=5, CC307+Sheet2!B466, IF(CE307=6, CC307+Sheet2!B467, IF(CE307=7, CC307+Sheet2!B468,"")))))</f>
        <v>UF</v>
      </c>
      <c r="CX307" s="68" t="str">
        <f t="shared" si="328"/>
        <v/>
      </c>
      <c r="CY307" s="5" t="s">
        <v>12</v>
      </c>
      <c r="DA307" s="5" t="str">
        <f t="shared" si="306"/>
        <v>UF</v>
      </c>
      <c r="DB307" s="73" t="str">
        <f t="shared" si="307"/>
        <v>UF</v>
      </c>
      <c r="DC307" s="73" t="str">
        <f t="shared" si="308"/>
        <v>UF</v>
      </c>
      <c r="DD307" s="5" t="str">
        <f>IF(G307&lt;48,"UF", IF(NOT(ISBLANK(CZ:CZ)), CZ:CZ, IF(CL:CL=3, CK:CK+Sheet2!B471, IF(CL:CL=4, CK:CK+Sheet2!B472, IF(CL:CL=7, CK:CK+Sheet2!B473,"")))))</f>
        <v>UF</v>
      </c>
      <c r="DE307" s="69" t="str">
        <f t="shared" si="331"/>
        <v/>
      </c>
      <c r="DF307" s="2">
        <v>1</v>
      </c>
      <c r="DG307" s="2">
        <v>31</v>
      </c>
      <c r="DH307" s="2">
        <v>2</v>
      </c>
      <c r="DI307" s="2">
        <v>1</v>
      </c>
      <c r="DJ307" s="2">
        <v>2</v>
      </c>
      <c r="DK307" s="2">
        <v>90</v>
      </c>
      <c r="DL307" s="2">
        <v>60</v>
      </c>
      <c r="DM307" s="2" t="s">
        <v>12</v>
      </c>
      <c r="DN307" s="2" t="s">
        <v>12</v>
      </c>
      <c r="DO307" s="2">
        <v>90</v>
      </c>
      <c r="DP307" s="2">
        <v>60</v>
      </c>
      <c r="DQ307" s="2">
        <v>2</v>
      </c>
      <c r="DR307" s="2">
        <v>40</v>
      </c>
      <c r="DS307" s="2">
        <v>2</v>
      </c>
      <c r="DT307" s="2">
        <v>85</v>
      </c>
      <c r="DU307" s="2">
        <v>71</v>
      </c>
      <c r="DV307" s="2">
        <v>2</v>
      </c>
      <c r="DW307" s="2">
        <v>2</v>
      </c>
      <c r="DX307" s="2">
        <v>2</v>
      </c>
      <c r="DY307" s="2">
        <v>3</v>
      </c>
      <c r="DZ307" s="2">
        <v>35</v>
      </c>
      <c r="EA307" s="2" t="s">
        <v>12</v>
      </c>
      <c r="EB307" s="2">
        <v>47.4</v>
      </c>
      <c r="EC307" s="2" t="s">
        <v>12</v>
      </c>
      <c r="ED307" s="2">
        <v>1</v>
      </c>
    </row>
    <row r="308" spans="2:134" x14ac:dyDescent="0.25">
      <c r="C308" s="2" t="s">
        <v>109</v>
      </c>
      <c r="D308" s="2">
        <v>2501047397</v>
      </c>
      <c r="E308" s="5" t="s">
        <v>531</v>
      </c>
      <c r="F308" s="2">
        <v>2</v>
      </c>
      <c r="G308" s="2">
        <v>30</v>
      </c>
      <c r="H308" s="2">
        <v>-0.29344687142997428</v>
      </c>
      <c r="I308" s="2">
        <v>47</v>
      </c>
      <c r="J308" s="2">
        <v>-1.5235289479443319</v>
      </c>
      <c r="K308" s="5">
        <v>2880</v>
      </c>
      <c r="L308" s="2">
        <v>-1.0014700630856399</v>
      </c>
      <c r="M308" s="2">
        <v>-0.54949999999999999</v>
      </c>
      <c r="N308" s="2">
        <f t="shared" si="268"/>
        <v>-3.4976564285012862E-2</v>
      </c>
      <c r="O308" s="2">
        <f t="shared" si="269"/>
        <v>-0.54949999999999999</v>
      </c>
      <c r="P308" s="2">
        <v>63</v>
      </c>
      <c r="Q308" s="2">
        <v>-2.17</v>
      </c>
      <c r="R308" s="5">
        <f t="shared" si="270"/>
        <v>-0.65823552602783397</v>
      </c>
      <c r="S308" s="5">
        <f t="shared" si="271"/>
        <v>-2.17</v>
      </c>
      <c r="T308" s="1">
        <v>6580</v>
      </c>
      <c r="U308" s="2">
        <v>-1.69</v>
      </c>
      <c r="V308" s="2">
        <f t="shared" si="272"/>
        <v>-0.48426496845718003</v>
      </c>
      <c r="W308" s="2">
        <f t="shared" si="273"/>
        <v>-1.69</v>
      </c>
      <c r="X308" s="2">
        <v>-0.3634</v>
      </c>
      <c r="Y308" s="76">
        <f t="shared" si="309"/>
        <v>-6.9953128570025724E-2</v>
      </c>
      <c r="Z308" s="76">
        <f t="shared" si="310"/>
        <v>-1</v>
      </c>
      <c r="AA308" s="2">
        <f t="shared" si="274"/>
        <v>0.97244999999999993</v>
      </c>
      <c r="AB308" s="2">
        <f t="shared" si="275"/>
        <v>-0.3634</v>
      </c>
      <c r="AC308" s="2">
        <v>69</v>
      </c>
      <c r="AD308" s="2">
        <v>-2.84</v>
      </c>
      <c r="AE308" s="79">
        <f t="shared" si="311"/>
        <v>-1.3164710520556679</v>
      </c>
      <c r="AF308" s="79">
        <f t="shared" si="312"/>
        <v>-2</v>
      </c>
      <c r="AG308" s="2">
        <f t="shared" si="330"/>
        <v>-0.63000000000000012</v>
      </c>
      <c r="AH308" s="2">
        <f t="shared" si="276"/>
        <v>-2.84</v>
      </c>
      <c r="AI308" s="2">
        <v>7770</v>
      </c>
      <c r="AJ308" s="2">
        <v>-1.97</v>
      </c>
      <c r="AK308" s="76">
        <f t="shared" si="313"/>
        <v>-0.96852993691436007</v>
      </c>
      <c r="AL308" s="76">
        <f t="shared" si="314"/>
        <v>-2</v>
      </c>
      <c r="AM308" s="2">
        <f t="shared" si="277"/>
        <v>-0.31499999999999995</v>
      </c>
      <c r="AN308" s="2">
        <f t="shared" si="278"/>
        <v>-1.97</v>
      </c>
      <c r="AO308" s="2">
        <v>-0.22509999999999999</v>
      </c>
      <c r="AP308" s="2" t="str">
        <f t="shared" si="279"/>
        <v/>
      </c>
      <c r="AQ308" s="2">
        <f t="shared" si="280"/>
        <v>-0.22509999999999999</v>
      </c>
      <c r="AR308" s="2">
        <v>73</v>
      </c>
      <c r="AS308" s="2">
        <v>-3.43</v>
      </c>
      <c r="AT308" s="2" t="str">
        <f t="shared" si="281"/>
        <v/>
      </c>
      <c r="AU308" s="2">
        <f t="shared" si="282"/>
        <v>-3.43</v>
      </c>
      <c r="AV308" s="2">
        <v>8450</v>
      </c>
      <c r="AW308" s="2">
        <v>-2.3199999999999998</v>
      </c>
      <c r="AX308" s="2" t="str">
        <f t="shared" si="283"/>
        <v/>
      </c>
      <c r="AY308" s="2">
        <f t="shared" si="284"/>
        <v>-2.3199999999999998</v>
      </c>
      <c r="BA308" s="78" t="e">
        <f t="shared" si="315"/>
        <v>#VALUE!</v>
      </c>
      <c r="BB308" s="78" t="e">
        <f t="shared" si="316"/>
        <v>#VALUE!</v>
      </c>
      <c r="BC308" s="2" t="str">
        <f t="shared" si="285"/>
        <v/>
      </c>
      <c r="BD308" s="2" t="e">
        <f t="shared" si="286"/>
        <v>#VALUE!</v>
      </c>
      <c r="BE308" s="67" t="e">
        <f t="shared" si="317"/>
        <v>#VALUE!</v>
      </c>
      <c r="BF308" s="2" t="s">
        <v>12</v>
      </c>
      <c r="BH308" s="2" t="str">
        <f t="shared" si="287"/>
        <v/>
      </c>
      <c r="BI308" s="2" t="e">
        <f t="shared" si="288"/>
        <v>#VALUE!</v>
      </c>
      <c r="BJ308" s="67" t="e">
        <f t="shared" si="289"/>
        <v>#VALUE!</v>
      </c>
      <c r="BK308" s="2" t="s">
        <v>12</v>
      </c>
      <c r="BM308" s="77" t="e">
        <f t="shared" si="318"/>
        <v>#VALUE!</v>
      </c>
      <c r="BN308" s="77" t="e">
        <f t="shared" si="319"/>
        <v>#VALUE!</v>
      </c>
      <c r="BO308" s="2" t="str">
        <f t="shared" si="290"/>
        <v/>
      </c>
      <c r="BP308" s="2" t="e">
        <f t="shared" si="291"/>
        <v>#VALUE!</v>
      </c>
      <c r="BQ308" s="67" t="e">
        <f t="shared" si="320"/>
        <v>#VALUE!</v>
      </c>
      <c r="BS308" s="75" t="str">
        <f t="shared" si="321"/>
        <v>UF</v>
      </c>
      <c r="BT308" s="75" t="str">
        <f t="shared" si="322"/>
        <v>UF</v>
      </c>
      <c r="BU308" s="5" t="str">
        <f t="shared" si="332"/>
        <v>UF</v>
      </c>
      <c r="BV308" s="5" t="str">
        <f t="shared" si="292"/>
        <v>UF</v>
      </c>
      <c r="BW308" s="69" t="str">
        <f t="shared" si="293"/>
        <v/>
      </c>
      <c r="BX308" s="2" t="s">
        <v>12</v>
      </c>
      <c r="BZ308" s="74" t="str">
        <f t="shared" si="323"/>
        <v>UF</v>
      </c>
      <c r="CA308" s="74" t="str">
        <f t="shared" si="324"/>
        <v>UF</v>
      </c>
      <c r="CB308" s="5" t="str">
        <f t="shared" si="294"/>
        <v>UF</v>
      </c>
      <c r="CC308" s="5" t="str">
        <f t="shared" si="295"/>
        <v>UF</v>
      </c>
      <c r="CD308" s="2" t="e">
        <f t="shared" si="296"/>
        <v>#VALUE!</v>
      </c>
      <c r="CE308" s="69" t="str">
        <f t="shared" si="297"/>
        <v/>
      </c>
      <c r="CF308" s="5" t="s">
        <v>12</v>
      </c>
      <c r="CH308" s="72" t="str">
        <f t="shared" si="325"/>
        <v>UF</v>
      </c>
      <c r="CI308" s="72" t="str">
        <f t="shared" si="326"/>
        <v>UF</v>
      </c>
      <c r="CJ308" s="5" t="str">
        <f t="shared" si="298"/>
        <v>UF</v>
      </c>
      <c r="CK308" s="5" t="str">
        <f t="shared" si="299"/>
        <v>UF</v>
      </c>
      <c r="CL308" s="69" t="str">
        <f t="shared" si="300"/>
        <v/>
      </c>
      <c r="CN308" s="70" t="str">
        <f t="shared" si="301"/>
        <v/>
      </c>
      <c r="CO308" s="5" t="str">
        <f t="shared" si="302"/>
        <v>UF</v>
      </c>
      <c r="CP308" s="5" t="str">
        <f>IF(G308&lt;48,"UF", IF(NOT(ISBLANK(CM:CM)), CM:CM, IF(BW:BW=1, BV:BV+Sheet2!B136, IF(Sheet1!BW:BW=2, Sheet1!BV:BV+Sheet2!B137, IF(Sheet1!BW:BW=7, Sheet1!BV:BV+Sheet2!B138,"")))))</f>
        <v>UF</v>
      </c>
      <c r="CQ308" s="69" t="str">
        <f t="shared" si="327"/>
        <v/>
      </c>
      <c r="CR308" s="5" t="s">
        <v>12</v>
      </c>
      <c r="CT308" s="5" t="str">
        <f t="shared" si="303"/>
        <v/>
      </c>
      <c r="CU308" s="80" t="str">
        <f t="shared" si="304"/>
        <v>UF</v>
      </c>
      <c r="CV308" s="80" t="str">
        <f t="shared" si="305"/>
        <v>UF</v>
      </c>
      <c r="CW308" s="20" t="str">
        <f>IF(G308&lt;48,"UF", IF(NOT(ISBLANK(CS308)), CS308, IF(CE308=5, CC308+Sheet2!B125, IF(CE308=6, CC308+Sheet2!B126, IF(CE308=7, CC308+Sheet2!B127,"")))))</f>
        <v>UF</v>
      </c>
      <c r="CX308" s="68" t="str">
        <f t="shared" si="328"/>
        <v/>
      </c>
      <c r="CY308" s="5" t="s">
        <v>12</v>
      </c>
      <c r="DA308" s="5" t="str">
        <f t="shared" si="306"/>
        <v>UF</v>
      </c>
      <c r="DB308" s="73" t="str">
        <f t="shared" si="307"/>
        <v>UF</v>
      </c>
      <c r="DC308" s="73" t="str">
        <f t="shared" si="308"/>
        <v>UF</v>
      </c>
      <c r="DD308" s="5" t="str">
        <f>IF(G308&lt;48,"UF", IF(NOT(ISBLANK(CZ:CZ)), CZ:CZ, IF(CL:CL=3, CK:CK+Sheet2!B130, IF(CL:CL=4, CK:CK+Sheet2!B131, IF(CL:CL=7, CK:CK+Sheet2!B132,"")))))</f>
        <v>UF</v>
      </c>
      <c r="DE308" s="69" t="str">
        <f t="shared" si="331"/>
        <v/>
      </c>
      <c r="DF308" s="2">
        <v>2</v>
      </c>
      <c r="DG308" s="2">
        <v>30</v>
      </c>
      <c r="DH308" s="2">
        <v>2</v>
      </c>
      <c r="DI308" s="2">
        <v>2</v>
      </c>
      <c r="DJ308" s="2">
        <v>2</v>
      </c>
      <c r="DK308" s="2" t="s">
        <v>12</v>
      </c>
      <c r="DL308" s="2" t="s">
        <v>12</v>
      </c>
      <c r="DM308" s="2">
        <v>102</v>
      </c>
      <c r="DN308" s="2">
        <v>53</v>
      </c>
      <c r="DO308" s="2">
        <v>91</v>
      </c>
      <c r="DP308" s="2">
        <v>52</v>
      </c>
      <c r="DQ308" s="2">
        <v>2</v>
      </c>
      <c r="DR308" s="2">
        <v>39</v>
      </c>
      <c r="DS308" s="2">
        <v>2</v>
      </c>
      <c r="DT308" s="2">
        <v>83</v>
      </c>
      <c r="DU308" s="2">
        <v>77</v>
      </c>
      <c r="DV308" s="2">
        <v>2</v>
      </c>
      <c r="DW308" s="2">
        <v>3</v>
      </c>
      <c r="DX308" s="2">
        <v>2</v>
      </c>
      <c r="DY308" s="2">
        <v>3</v>
      </c>
      <c r="DZ308" s="2">
        <v>34</v>
      </c>
      <c r="EA308" s="2" t="s">
        <v>12</v>
      </c>
      <c r="EB308" s="2">
        <v>45.5</v>
      </c>
      <c r="EC308" s="2" t="s">
        <v>12</v>
      </c>
      <c r="ED308" s="2">
        <v>4</v>
      </c>
    </row>
    <row r="309" spans="2:134" ht="15.75" thickBot="1" x14ac:dyDescent="0.3">
      <c r="C309" s="8" t="s">
        <v>51</v>
      </c>
      <c r="D309" s="2">
        <v>2501047508</v>
      </c>
      <c r="E309" s="2">
        <v>2</v>
      </c>
      <c r="F309" s="2">
        <v>2</v>
      </c>
      <c r="G309" s="2">
        <v>30</v>
      </c>
      <c r="H309" s="2">
        <v>-3.1254267270138469</v>
      </c>
      <c r="I309" s="2">
        <v>54</v>
      </c>
      <c r="J309" s="2">
        <v>2.1740990784834611</v>
      </c>
      <c r="K309" s="5">
        <v>2935</v>
      </c>
      <c r="L309" s="2">
        <v>-0.87811793934967142</v>
      </c>
      <c r="M309" s="2">
        <v>-0.53869999999999996</v>
      </c>
      <c r="N309" s="2">
        <f t="shared" si="268"/>
        <v>0.78001336350692352</v>
      </c>
      <c r="O309" s="2">
        <f t="shared" si="269"/>
        <v>-0.53869999999999996</v>
      </c>
      <c r="P309" s="2">
        <v>69</v>
      </c>
      <c r="Q309" s="2">
        <v>0.63</v>
      </c>
      <c r="R309" s="5">
        <f t="shared" si="270"/>
        <v>-0.9270495392417305</v>
      </c>
      <c r="S309" s="5">
        <f t="shared" si="271"/>
        <v>0.63</v>
      </c>
      <c r="T309" s="1">
        <v>7900</v>
      </c>
      <c r="U309" s="2">
        <v>-0.04</v>
      </c>
      <c r="V309" s="2">
        <f t="shared" si="272"/>
        <v>-3.0941030325164265E-2</v>
      </c>
      <c r="W309" s="2">
        <f t="shared" si="273"/>
        <v>-0.04</v>
      </c>
      <c r="X309" s="2">
        <v>-1.5653999999999999</v>
      </c>
      <c r="Y309" s="76">
        <f t="shared" si="309"/>
        <v>1.560026727013847</v>
      </c>
      <c r="Z309" s="76">
        <f t="shared" si="310"/>
        <v>2</v>
      </c>
      <c r="AA309" s="2">
        <f t="shared" si="274"/>
        <v>-1.8293999999999999</v>
      </c>
      <c r="AB309" s="2">
        <f t="shared" si="275"/>
        <v>-1.5653999999999999</v>
      </c>
      <c r="AC309" s="2">
        <v>76.5</v>
      </c>
      <c r="AD309" s="2">
        <v>0.32</v>
      </c>
      <c r="AE309" s="79">
        <f t="shared" si="311"/>
        <v>-1.854099078483461</v>
      </c>
      <c r="AF309" s="79">
        <f t="shared" si="312"/>
        <v>-2</v>
      </c>
      <c r="AG309" s="2">
        <f t="shared" si="330"/>
        <v>0.47000000000000003</v>
      </c>
      <c r="AH309" s="2">
        <f t="shared" si="276"/>
        <v>0.32</v>
      </c>
      <c r="AI309" s="2">
        <v>8700</v>
      </c>
      <c r="AJ309" s="2">
        <v>-0.94</v>
      </c>
      <c r="AK309" s="76">
        <f t="shared" si="313"/>
        <v>-6.188206065032853E-2</v>
      </c>
      <c r="AL309" s="76">
        <f t="shared" si="314"/>
        <v>-1</v>
      </c>
      <c r="AM309" s="2">
        <f t="shared" si="277"/>
        <v>-0.54499999999999993</v>
      </c>
      <c r="AN309" s="2">
        <f t="shared" si="278"/>
        <v>-0.94</v>
      </c>
      <c r="AO309" s="2">
        <v>-3.0287999999999999</v>
      </c>
      <c r="AP309" s="2">
        <f t="shared" si="279"/>
        <v>-1.2098075951642515</v>
      </c>
      <c r="AQ309" s="2">
        <f t="shared" si="280"/>
        <v>-3.0287999999999999</v>
      </c>
      <c r="AR309" s="2">
        <v>86.5</v>
      </c>
      <c r="AS309" s="2">
        <v>1.57</v>
      </c>
      <c r="AT309" s="2">
        <f t="shared" si="281"/>
        <v>0.42981076209864399</v>
      </c>
      <c r="AU309" s="2">
        <f t="shared" si="282"/>
        <v>1.57</v>
      </c>
      <c r="AV309" s="2">
        <v>9650</v>
      </c>
      <c r="AW309" s="2">
        <v>-1.1299999999999999</v>
      </c>
      <c r="AX309" s="2">
        <f t="shared" si="283"/>
        <v>-0.35265695452153156</v>
      </c>
      <c r="AY309" s="2">
        <f t="shared" si="284"/>
        <v>-1.1299999999999999</v>
      </c>
      <c r="AZ309" s="2">
        <v>-3.9850151903285029</v>
      </c>
      <c r="BA309" s="78">
        <f t="shared" si="315"/>
        <v>-2.419615190328503</v>
      </c>
      <c r="BB309" s="78">
        <f t="shared" si="316"/>
        <v>-2</v>
      </c>
      <c r="BC309" s="2" t="str">
        <f t="shared" si="285"/>
        <v/>
      </c>
      <c r="BD309" s="2">
        <f t="shared" si="286"/>
        <v>-3.9850151903285029</v>
      </c>
      <c r="BE309" s="67">
        <f t="shared" si="317"/>
        <v>1</v>
      </c>
      <c r="BF309" s="2">
        <v>91</v>
      </c>
      <c r="BG309" s="2">
        <v>1.1796215241972881</v>
      </c>
      <c r="BH309" s="2" t="str">
        <f t="shared" si="287"/>
        <v/>
      </c>
      <c r="BI309" s="2">
        <f t="shared" si="288"/>
        <v>1.1796215241972881</v>
      </c>
      <c r="BJ309" s="67">
        <f t="shared" si="289"/>
        <v>7</v>
      </c>
      <c r="BK309" s="2">
        <v>10700</v>
      </c>
      <c r="BL309" s="2">
        <v>-1.6453139090430631</v>
      </c>
      <c r="BM309" s="77">
        <f t="shared" si="318"/>
        <v>-0.70531390904306313</v>
      </c>
      <c r="BN309" s="77">
        <f t="shared" si="319"/>
        <v>-2</v>
      </c>
      <c r="BO309" s="2" t="str">
        <f t="shared" si="290"/>
        <v/>
      </c>
      <c r="BP309" s="2">
        <f t="shared" si="291"/>
        <v>-1.6453139090430631</v>
      </c>
      <c r="BQ309" s="67">
        <f t="shared" si="320"/>
        <v>7</v>
      </c>
      <c r="BS309" s="75" t="str">
        <f t="shared" si="321"/>
        <v>UF</v>
      </c>
      <c r="BT309" s="75" t="str">
        <f t="shared" si="322"/>
        <v>UF</v>
      </c>
      <c r="BU309" s="5" t="str">
        <f t="shared" si="332"/>
        <v>UF</v>
      </c>
      <c r="BV309" s="5" t="str">
        <f t="shared" si="292"/>
        <v>UF</v>
      </c>
      <c r="BW309" s="69" t="str">
        <f t="shared" si="293"/>
        <v/>
      </c>
      <c r="BX309" s="2" t="s">
        <v>12</v>
      </c>
      <c r="BZ309" s="74" t="str">
        <f t="shared" si="323"/>
        <v>UF</v>
      </c>
      <c r="CA309" s="74" t="str">
        <f t="shared" si="324"/>
        <v>UF</v>
      </c>
      <c r="CB309" s="5" t="str">
        <f t="shared" si="294"/>
        <v>UF</v>
      </c>
      <c r="CC309" s="5" t="str">
        <f t="shared" si="295"/>
        <v>UF</v>
      </c>
      <c r="CD309" s="2" t="e">
        <f t="shared" si="296"/>
        <v>#VALUE!</v>
      </c>
      <c r="CE309" s="69" t="str">
        <f t="shared" si="297"/>
        <v/>
      </c>
      <c r="CF309" s="5" t="s">
        <v>12</v>
      </c>
      <c r="CH309" s="72" t="str">
        <f t="shared" si="325"/>
        <v>UF</v>
      </c>
      <c r="CI309" s="72" t="str">
        <f t="shared" si="326"/>
        <v>UF</v>
      </c>
      <c r="CJ309" s="5" t="str">
        <f t="shared" si="298"/>
        <v>UF</v>
      </c>
      <c r="CK309" s="5" t="str">
        <f t="shared" si="299"/>
        <v>UF</v>
      </c>
      <c r="CL309" s="69" t="str">
        <f t="shared" si="300"/>
        <v/>
      </c>
      <c r="CN309" s="70" t="str">
        <f t="shared" si="301"/>
        <v/>
      </c>
      <c r="CO309" s="5" t="str">
        <f t="shared" si="302"/>
        <v>UF</v>
      </c>
      <c r="CP309" s="5" t="str">
        <f>IF(G309&lt;48,"UF", IF(NOT(ISBLANK(CM:CM)), CM:CM, IF(BW:BW=1, BV:BV+Sheet2!B74, IF(Sheet1!BW:BW=2, Sheet1!BV:BV+Sheet2!B75, IF(Sheet1!BW:BW=7, Sheet1!BV:BV+Sheet2!B76,"")))))</f>
        <v>UF</v>
      </c>
      <c r="CQ309" s="69" t="str">
        <f t="shared" si="327"/>
        <v/>
      </c>
      <c r="CR309" s="5" t="s">
        <v>12</v>
      </c>
      <c r="CT309" s="5" t="str">
        <f t="shared" si="303"/>
        <v/>
      </c>
      <c r="CU309" s="80" t="str">
        <f t="shared" si="304"/>
        <v>UF</v>
      </c>
      <c r="CV309" s="80" t="str">
        <f t="shared" si="305"/>
        <v>UF</v>
      </c>
      <c r="CW309" s="20" t="str">
        <f>IF(G309&lt;48,"UF", IF(NOT(ISBLANK(CS309)), CS309, IF(CE309=5, CC309+Sheet2!B63, IF(CE309=6, CC309+Sheet2!B64, IF(CE309=7, CC309+Sheet2!B65,"")))))</f>
        <v>UF</v>
      </c>
      <c r="CX309" s="68" t="str">
        <f t="shared" si="328"/>
        <v/>
      </c>
      <c r="CY309" s="5" t="s">
        <v>12</v>
      </c>
      <c r="DA309" s="5" t="str">
        <f t="shared" si="306"/>
        <v>UF</v>
      </c>
      <c r="DB309" s="73" t="str">
        <f t="shared" si="307"/>
        <v>UF</v>
      </c>
      <c r="DC309" s="73" t="str">
        <f t="shared" si="308"/>
        <v>UF</v>
      </c>
      <c r="DD309" s="5" t="str">
        <f>IF(G309&lt;48,"UF", IF(NOT(ISBLANK(CZ:CZ)), CZ:CZ, IF(CL:CL=3, CK:CK+Sheet2!B68, IF(CL:CL=4, CK:CK+Sheet2!B69, IF(CL:CL=7, CK:CK+Sheet2!B70,"")))))</f>
        <v>UF</v>
      </c>
      <c r="DE309" s="69" t="str">
        <f t="shared" si="331"/>
        <v/>
      </c>
      <c r="DF309" s="2">
        <v>1</v>
      </c>
      <c r="DG309" s="2">
        <v>32</v>
      </c>
      <c r="DH309" s="2">
        <v>2</v>
      </c>
      <c r="DI309" s="2">
        <v>2</v>
      </c>
      <c r="DJ309" s="2">
        <v>2</v>
      </c>
      <c r="DK309" s="2">
        <v>100</v>
      </c>
      <c r="DL309" s="2">
        <v>60</v>
      </c>
      <c r="DM309" s="2">
        <v>105</v>
      </c>
      <c r="DN309" s="2">
        <v>70</v>
      </c>
      <c r="DO309" s="2">
        <v>95</v>
      </c>
      <c r="DP309" s="2">
        <v>60</v>
      </c>
      <c r="DQ309" s="2">
        <v>2</v>
      </c>
      <c r="DR309" s="2">
        <v>40</v>
      </c>
      <c r="DS309" s="2">
        <v>2</v>
      </c>
      <c r="DT309" s="2">
        <v>88</v>
      </c>
      <c r="DU309" s="2">
        <v>82</v>
      </c>
      <c r="DV309" s="2">
        <v>2</v>
      </c>
      <c r="DW309" s="2">
        <v>3</v>
      </c>
      <c r="DX309" s="2">
        <v>2</v>
      </c>
      <c r="DY309" s="2">
        <v>2</v>
      </c>
      <c r="DZ309" s="2">
        <v>36</v>
      </c>
      <c r="EA309" s="2">
        <v>37</v>
      </c>
      <c r="EB309" s="2">
        <v>48</v>
      </c>
      <c r="EC309" s="2">
        <v>1</v>
      </c>
      <c r="ED309" s="2">
        <v>1</v>
      </c>
    </row>
    <row r="310" spans="2:134" ht="15.75" thickBot="1" x14ac:dyDescent="0.3">
      <c r="C310" s="8" t="s">
        <v>188</v>
      </c>
      <c r="D310" s="55">
        <v>2501047583</v>
      </c>
      <c r="E310" s="5">
        <v>7</v>
      </c>
      <c r="F310" s="2">
        <v>1</v>
      </c>
      <c r="G310" s="2">
        <v>30</v>
      </c>
      <c r="H310" s="2">
        <v>-1.6488268352914079</v>
      </c>
      <c r="I310" s="2">
        <v>54</v>
      </c>
      <c r="J310" s="2">
        <v>2.604984249137289</v>
      </c>
      <c r="K310" s="2">
        <v>3340</v>
      </c>
      <c r="L310" s="2">
        <v>0.2329663685851048</v>
      </c>
      <c r="N310" s="2">
        <f t="shared" si="268"/>
        <v>1.3422134176457039</v>
      </c>
      <c r="O310" s="2">
        <f t="shared" si="269"/>
        <v>-0.30661341764570405</v>
      </c>
      <c r="P310" s="2" t="s">
        <v>12</v>
      </c>
      <c r="R310" s="5">
        <f t="shared" si="270"/>
        <v>-0.33249212456864452</v>
      </c>
      <c r="S310" s="5">
        <f t="shared" si="271"/>
        <v>2.2724921245686445</v>
      </c>
      <c r="T310" s="2" t="s">
        <v>12</v>
      </c>
      <c r="V310" s="2">
        <f t="shared" si="272"/>
        <v>0.77851681570744757</v>
      </c>
      <c r="W310" s="2">
        <f t="shared" si="273"/>
        <v>1.0114831842925525</v>
      </c>
      <c r="X310" s="2">
        <v>1.0356000000000001</v>
      </c>
      <c r="Y310" s="76">
        <f t="shared" si="309"/>
        <v>2.6844268352914078</v>
      </c>
      <c r="Z310" s="76">
        <f t="shared" si="310"/>
        <v>2</v>
      </c>
      <c r="AA310" s="2">
        <f t="shared" si="274"/>
        <v>-0.51534606228432223</v>
      </c>
      <c r="AB310" s="2">
        <f t="shared" si="275"/>
        <v>1.0356000000000001</v>
      </c>
      <c r="AC310" s="2">
        <v>79</v>
      </c>
      <c r="AD310" s="2">
        <v>1.94</v>
      </c>
      <c r="AE310" s="79">
        <f t="shared" si="311"/>
        <v>-0.66498424913728904</v>
      </c>
      <c r="AF310" s="79">
        <f t="shared" si="312"/>
        <v>-1</v>
      </c>
      <c r="AG310" s="2">
        <f t="shared" si="330"/>
        <v>0.11875393771567766</v>
      </c>
      <c r="AH310" s="2">
        <f t="shared" si="276"/>
        <v>1.94</v>
      </c>
      <c r="AI310" s="2">
        <v>11200</v>
      </c>
      <c r="AJ310" s="2">
        <v>1.79</v>
      </c>
      <c r="AK310" s="76">
        <f t="shared" si="313"/>
        <v>1.5570336314148951</v>
      </c>
      <c r="AL310" s="76">
        <f t="shared" si="314"/>
        <v>2</v>
      </c>
      <c r="AM310" s="2">
        <f t="shared" si="277"/>
        <v>0.60925840785372376</v>
      </c>
      <c r="AN310" s="2">
        <f t="shared" si="278"/>
        <v>1.79</v>
      </c>
      <c r="AO310" s="2">
        <v>1.2418</v>
      </c>
      <c r="AP310" s="2">
        <f t="shared" si="279"/>
        <v>6.7181718102949928E-3</v>
      </c>
      <c r="AQ310" s="2">
        <f t="shared" si="280"/>
        <v>1.2418</v>
      </c>
      <c r="AR310" s="2">
        <v>88</v>
      </c>
      <c r="AS310" s="2">
        <v>2.5099999999999998</v>
      </c>
      <c r="AT310" s="2">
        <f t="shared" si="281"/>
        <v>-0.12270932919792099</v>
      </c>
      <c r="AU310" s="2">
        <f t="shared" si="282"/>
        <v>2.5099999999999998</v>
      </c>
      <c r="AV310" s="2">
        <v>13600</v>
      </c>
      <c r="AW310" s="2">
        <v>2.23</v>
      </c>
      <c r="AX310" s="2">
        <f t="shared" si="283"/>
        <v>1.4382066765269985E-2</v>
      </c>
      <c r="AY310" s="2">
        <f t="shared" si="284"/>
        <v>2.23</v>
      </c>
      <c r="AZ310" s="2">
        <v>1.0490363436205901</v>
      </c>
      <c r="BA310" s="78">
        <f t="shared" si="315"/>
        <v>1.3436343620589986E-2</v>
      </c>
      <c r="BB310" s="78">
        <f t="shared" si="316"/>
        <v>1</v>
      </c>
      <c r="BC310" s="2" t="str">
        <f t="shared" si="285"/>
        <v/>
      </c>
      <c r="BD310" s="2">
        <f t="shared" si="286"/>
        <v>1.0490363436205901</v>
      </c>
      <c r="BE310" s="67">
        <f t="shared" si="317"/>
        <v>7</v>
      </c>
      <c r="BF310" s="2">
        <v>91.3</v>
      </c>
      <c r="BG310" s="2">
        <v>1.694581341604158</v>
      </c>
      <c r="BH310" s="2" t="str">
        <f t="shared" si="287"/>
        <v/>
      </c>
      <c r="BI310" s="2">
        <f t="shared" si="288"/>
        <v>1.694581341604158</v>
      </c>
      <c r="BJ310" s="67">
        <f t="shared" si="289"/>
        <v>7</v>
      </c>
      <c r="BK310" s="2">
        <v>15000</v>
      </c>
      <c r="BL310" s="2">
        <v>1.81876413353054</v>
      </c>
      <c r="BM310" s="77">
        <f t="shared" si="318"/>
        <v>2.876413353053997E-2</v>
      </c>
      <c r="BN310" s="77">
        <f t="shared" si="319"/>
        <v>1</v>
      </c>
      <c r="BO310" s="2" t="str">
        <f t="shared" si="290"/>
        <v/>
      </c>
      <c r="BP310" s="2">
        <f t="shared" si="291"/>
        <v>1.81876413353054</v>
      </c>
      <c r="BQ310" s="67">
        <f t="shared" si="320"/>
        <v>7</v>
      </c>
      <c r="BS310" s="75" t="str">
        <f t="shared" si="321"/>
        <v>UF</v>
      </c>
      <c r="BT310" s="75" t="str">
        <f t="shared" si="322"/>
        <v>UF</v>
      </c>
      <c r="BU310" s="5" t="str">
        <f t="shared" si="332"/>
        <v>UF</v>
      </c>
      <c r="BV310" s="5" t="str">
        <f t="shared" si="292"/>
        <v>UF</v>
      </c>
      <c r="BW310" s="69" t="str">
        <f t="shared" si="293"/>
        <v/>
      </c>
      <c r="BX310" s="2" t="s">
        <v>12</v>
      </c>
      <c r="BZ310" s="74" t="str">
        <f t="shared" si="323"/>
        <v>UF</v>
      </c>
      <c r="CA310" s="74" t="str">
        <f t="shared" si="324"/>
        <v>UF</v>
      </c>
      <c r="CB310" s="5" t="str">
        <f t="shared" si="294"/>
        <v>UF</v>
      </c>
      <c r="CC310" s="5" t="str">
        <f t="shared" si="295"/>
        <v>UF</v>
      </c>
      <c r="CD310" s="2" t="e">
        <f t="shared" si="296"/>
        <v>#VALUE!</v>
      </c>
      <c r="CE310" s="69" t="str">
        <f t="shared" si="297"/>
        <v/>
      </c>
      <c r="CF310" s="5" t="s">
        <v>12</v>
      </c>
      <c r="CH310" s="72" t="str">
        <f t="shared" si="325"/>
        <v>UF</v>
      </c>
      <c r="CI310" s="72" t="str">
        <f t="shared" si="326"/>
        <v>UF</v>
      </c>
      <c r="CJ310" s="5" t="str">
        <f t="shared" si="298"/>
        <v>UF</v>
      </c>
      <c r="CK310" s="5" t="str">
        <f t="shared" si="299"/>
        <v>UF</v>
      </c>
      <c r="CL310" s="69" t="str">
        <f t="shared" si="300"/>
        <v/>
      </c>
      <c r="CN310" s="70" t="str">
        <f t="shared" si="301"/>
        <v/>
      </c>
      <c r="CO310" s="5" t="str">
        <f t="shared" si="302"/>
        <v>UF</v>
      </c>
      <c r="CP310" s="5" t="str">
        <f>IF(G310&lt;48,"UF", IF(NOT(ISBLANK(CM:CM)), CM:CM, IF(BW:BW=1, BV:BV+Sheet2!B469, IF(Sheet1!BW:BW=2, Sheet1!BV:BV+Sheet2!B470, IF(Sheet1!BW:BW=7, Sheet1!BV:BV+Sheet2!B471,"")))))</f>
        <v>UF</v>
      </c>
      <c r="CQ310" s="69" t="str">
        <f t="shared" si="327"/>
        <v/>
      </c>
      <c r="CR310" s="5" t="s">
        <v>12</v>
      </c>
      <c r="CT310" s="5" t="str">
        <f t="shared" si="303"/>
        <v/>
      </c>
      <c r="CU310" s="80" t="str">
        <f t="shared" si="304"/>
        <v>UF</v>
      </c>
      <c r="CV310" s="80" t="str">
        <f t="shared" si="305"/>
        <v>UF</v>
      </c>
      <c r="CW310" s="20" t="str">
        <f>IF(G310&lt;48,"UF", IF(NOT(ISBLANK(CS310)), CS310, IF(CE310=5, CC310+Sheet2!B458, IF(CE310=6, CC310+Sheet2!B459, IF(CE310=7, CC310+Sheet2!B460,"")))))</f>
        <v>UF</v>
      </c>
      <c r="CX310" s="68" t="str">
        <f t="shared" si="328"/>
        <v/>
      </c>
      <c r="CY310" s="5" t="s">
        <v>12</v>
      </c>
      <c r="DA310" s="5" t="str">
        <f t="shared" si="306"/>
        <v>UF</v>
      </c>
      <c r="DB310" s="73" t="str">
        <f t="shared" si="307"/>
        <v>UF</v>
      </c>
      <c r="DC310" s="73" t="str">
        <f t="shared" si="308"/>
        <v>UF</v>
      </c>
      <c r="DD310" s="5" t="str">
        <f>IF(G310&lt;48,"UF", IF(NOT(ISBLANK(CZ:CZ)), CZ:CZ, IF(CL:CL=3, CK:CK+Sheet2!B463, IF(CL:CL=4, CK:CK+Sheet2!B464, IF(CL:CL=7, CK:CK+Sheet2!B465,"")))))</f>
        <v>UF</v>
      </c>
      <c r="DE310" s="69" t="str">
        <f t="shared" si="331"/>
        <v/>
      </c>
      <c r="DF310" s="2">
        <v>1</v>
      </c>
      <c r="DG310" s="2">
        <v>42</v>
      </c>
      <c r="DH310" s="2">
        <v>1</v>
      </c>
      <c r="DI310" s="2">
        <v>2</v>
      </c>
      <c r="DJ310" s="2">
        <v>3</v>
      </c>
      <c r="DK310" s="2" t="s">
        <v>12</v>
      </c>
      <c r="DL310" s="2" t="s">
        <v>12</v>
      </c>
      <c r="DM310" s="2" t="s">
        <v>12</v>
      </c>
      <c r="DN310" s="2" t="s">
        <v>12</v>
      </c>
      <c r="DO310" s="2" t="s">
        <v>12</v>
      </c>
      <c r="DP310" s="2" t="s">
        <v>12</v>
      </c>
      <c r="DQ310" s="2">
        <v>2</v>
      </c>
      <c r="DR310" s="2">
        <v>37</v>
      </c>
      <c r="DS310" s="2">
        <v>3</v>
      </c>
      <c r="DT310" s="2" t="s">
        <v>12</v>
      </c>
      <c r="DU310" s="2" t="s">
        <v>12</v>
      </c>
      <c r="DV310" s="2">
        <v>3</v>
      </c>
      <c r="DW310" s="2">
        <v>2</v>
      </c>
      <c r="DX310" s="2">
        <v>2</v>
      </c>
      <c r="DY310" s="2">
        <v>3</v>
      </c>
      <c r="DZ310" s="2">
        <v>35</v>
      </c>
      <c r="EA310" s="2" t="s">
        <v>12</v>
      </c>
      <c r="EB310" s="2">
        <v>47</v>
      </c>
      <c r="EC310" s="2" t="s">
        <v>12</v>
      </c>
      <c r="ED310" s="2">
        <v>1</v>
      </c>
    </row>
    <row r="311" spans="2:134" x14ac:dyDescent="0.25">
      <c r="C311" s="8" t="s">
        <v>51</v>
      </c>
      <c r="D311" s="8">
        <v>2501047613</v>
      </c>
      <c r="E311" s="5">
        <v>7</v>
      </c>
      <c r="F311" s="2">
        <v>2</v>
      </c>
      <c r="G311" s="2">
        <v>30</v>
      </c>
      <c r="H311" s="2">
        <v>-0.87353790234056883</v>
      </c>
      <c r="I311" s="2">
        <v>54</v>
      </c>
      <c r="J311" s="2">
        <v>2.1740990784834611</v>
      </c>
      <c r="K311" s="2">
        <v>3600</v>
      </c>
      <c r="L311" s="2">
        <v>0.50669087134292667</v>
      </c>
      <c r="M311" s="2">
        <v>0.1633</v>
      </c>
      <c r="N311" s="2">
        <f t="shared" si="268"/>
        <v>0.68786895117028446</v>
      </c>
      <c r="O311" s="2">
        <f t="shared" si="269"/>
        <v>0.1633</v>
      </c>
      <c r="P311" s="2">
        <v>66.7</v>
      </c>
      <c r="Q311" s="2">
        <v>-0.44</v>
      </c>
      <c r="R311" s="5">
        <f t="shared" si="270"/>
        <v>-1.4520495392417305</v>
      </c>
      <c r="S311" s="5">
        <f t="shared" si="271"/>
        <v>-0.44</v>
      </c>
      <c r="T311" s="2">
        <v>7820</v>
      </c>
      <c r="U311" s="2">
        <v>-0.14000000000000001</v>
      </c>
      <c r="V311" s="2">
        <f t="shared" si="272"/>
        <v>-0.28334543567146331</v>
      </c>
      <c r="W311" s="2">
        <f t="shared" si="273"/>
        <v>-0.14000000000000001</v>
      </c>
      <c r="X311" s="2">
        <v>0.50219999999999998</v>
      </c>
      <c r="Y311" s="76">
        <f t="shared" si="309"/>
        <v>1.3757379023405689</v>
      </c>
      <c r="Z311" s="76">
        <f t="shared" si="310"/>
        <v>2</v>
      </c>
      <c r="AA311" s="2">
        <f t="shared" si="274"/>
        <v>0.57104999999999995</v>
      </c>
      <c r="AB311" s="2">
        <f t="shared" si="275"/>
        <v>0.50219999999999998</v>
      </c>
      <c r="AC311" s="2">
        <v>74</v>
      </c>
      <c r="AD311" s="2">
        <v>-0.73</v>
      </c>
      <c r="AE311" s="79">
        <f t="shared" si="311"/>
        <v>-2.904099078483461</v>
      </c>
      <c r="AF311" s="79">
        <f t="shared" si="312"/>
        <v>-2</v>
      </c>
      <c r="AG311" s="2">
        <f t="shared" si="330"/>
        <v>-1.4999999999999986E-2</v>
      </c>
      <c r="AH311" s="2">
        <f t="shared" si="276"/>
        <v>-0.73</v>
      </c>
      <c r="AI311" s="2">
        <v>9580</v>
      </c>
      <c r="AJ311" s="2">
        <v>-0.06</v>
      </c>
      <c r="AK311" s="76">
        <f t="shared" si="313"/>
        <v>-0.56669087134292662</v>
      </c>
      <c r="AL311" s="76">
        <f t="shared" si="314"/>
        <v>-1</v>
      </c>
      <c r="AM311" s="2">
        <f t="shared" si="277"/>
        <v>0.17499999999999999</v>
      </c>
      <c r="AN311" s="2">
        <f t="shared" si="278"/>
        <v>-0.06</v>
      </c>
      <c r="AO311" s="2">
        <v>0.70209999999999995</v>
      </c>
      <c r="AP311" s="2" t="str">
        <f t="shared" si="279"/>
        <v/>
      </c>
      <c r="AQ311" s="2">
        <f t="shared" si="280"/>
        <v>0.70209999999999995</v>
      </c>
      <c r="AR311" s="2">
        <v>81</v>
      </c>
      <c r="AS311" s="2">
        <v>-0.47</v>
      </c>
      <c r="AT311" s="2" t="str">
        <f t="shared" si="281"/>
        <v/>
      </c>
      <c r="AU311" s="2">
        <f t="shared" si="282"/>
        <v>-0.47</v>
      </c>
      <c r="AV311" s="2">
        <v>11200</v>
      </c>
      <c r="AW311" s="2">
        <v>0.21</v>
      </c>
      <c r="AX311" s="2" t="str">
        <f t="shared" si="283"/>
        <v/>
      </c>
      <c r="AY311" s="2">
        <f t="shared" si="284"/>
        <v>0.21</v>
      </c>
      <c r="BA311" s="78" t="e">
        <f t="shared" si="315"/>
        <v>#VALUE!</v>
      </c>
      <c r="BB311" s="78" t="e">
        <f t="shared" si="316"/>
        <v>#VALUE!</v>
      </c>
      <c r="BC311" s="2" t="str">
        <f t="shared" si="285"/>
        <v/>
      </c>
      <c r="BD311" s="2" t="e">
        <f t="shared" si="286"/>
        <v>#VALUE!</v>
      </c>
      <c r="BE311" s="67" t="e">
        <f t="shared" si="317"/>
        <v>#VALUE!</v>
      </c>
      <c r="BF311" s="2" t="s">
        <v>12</v>
      </c>
      <c r="BH311" s="2" t="str">
        <f t="shared" si="287"/>
        <v/>
      </c>
      <c r="BI311" s="2" t="e">
        <f t="shared" si="288"/>
        <v>#VALUE!</v>
      </c>
      <c r="BJ311" s="67" t="e">
        <f t="shared" si="289"/>
        <v>#VALUE!</v>
      </c>
      <c r="BK311" s="2" t="s">
        <v>12</v>
      </c>
      <c r="BM311" s="77" t="e">
        <f t="shared" si="318"/>
        <v>#VALUE!</v>
      </c>
      <c r="BN311" s="77" t="e">
        <f t="shared" si="319"/>
        <v>#VALUE!</v>
      </c>
      <c r="BO311" s="2" t="str">
        <f t="shared" si="290"/>
        <v/>
      </c>
      <c r="BP311" s="2" t="e">
        <f t="shared" si="291"/>
        <v>#VALUE!</v>
      </c>
      <c r="BQ311" s="67" t="e">
        <f t="shared" si="320"/>
        <v>#VALUE!</v>
      </c>
      <c r="BS311" s="75" t="str">
        <f t="shared" si="321"/>
        <v>UF</v>
      </c>
      <c r="BT311" s="75" t="str">
        <f t="shared" si="322"/>
        <v>UF</v>
      </c>
      <c r="BU311" s="5" t="str">
        <f t="shared" si="332"/>
        <v>UF</v>
      </c>
      <c r="BV311" s="5" t="str">
        <f t="shared" si="292"/>
        <v>UF</v>
      </c>
      <c r="BW311" s="69" t="str">
        <f t="shared" si="293"/>
        <v/>
      </c>
      <c r="BX311" s="2" t="s">
        <v>12</v>
      </c>
      <c r="BZ311" s="74" t="str">
        <f t="shared" si="323"/>
        <v>UF</v>
      </c>
      <c r="CA311" s="74" t="str">
        <f t="shared" si="324"/>
        <v>UF</v>
      </c>
      <c r="CB311" s="5" t="str">
        <f t="shared" si="294"/>
        <v>UF</v>
      </c>
      <c r="CC311" s="5" t="str">
        <f t="shared" si="295"/>
        <v>UF</v>
      </c>
      <c r="CD311" s="2" t="e">
        <f t="shared" si="296"/>
        <v>#VALUE!</v>
      </c>
      <c r="CE311" s="69" t="str">
        <f t="shared" si="297"/>
        <v/>
      </c>
      <c r="CF311" s="5" t="s">
        <v>12</v>
      </c>
      <c r="CH311" s="72" t="str">
        <f t="shared" si="325"/>
        <v>UF</v>
      </c>
      <c r="CI311" s="72" t="str">
        <f t="shared" si="326"/>
        <v>UF</v>
      </c>
      <c r="CJ311" s="5" t="str">
        <f t="shared" si="298"/>
        <v>UF</v>
      </c>
      <c r="CK311" s="5" t="str">
        <f t="shared" si="299"/>
        <v>UF</v>
      </c>
      <c r="CL311" s="69" t="str">
        <f t="shared" si="300"/>
        <v/>
      </c>
      <c r="CN311" s="70" t="str">
        <f t="shared" si="301"/>
        <v/>
      </c>
      <c r="CO311" s="5" t="str">
        <f t="shared" si="302"/>
        <v>UF</v>
      </c>
      <c r="CP311" s="5" t="str">
        <f>IF(G311&lt;48,"UF", IF(NOT(ISBLANK(CM:CM)), CM:CM, IF(BW:BW=1, BV:BV+Sheet2!B467, IF(Sheet1!BW:BW=2, Sheet1!BV:BV+Sheet2!B468, IF(Sheet1!BW:BW=7, Sheet1!BV:BV+Sheet2!B469,"")))))</f>
        <v>UF</v>
      </c>
      <c r="CQ311" s="69" t="str">
        <f t="shared" si="327"/>
        <v/>
      </c>
      <c r="CR311" s="5" t="s">
        <v>12</v>
      </c>
      <c r="CT311" s="5" t="str">
        <f t="shared" si="303"/>
        <v/>
      </c>
      <c r="CU311" s="80" t="str">
        <f t="shared" si="304"/>
        <v>UF</v>
      </c>
      <c r="CV311" s="80" t="str">
        <f t="shared" si="305"/>
        <v>UF</v>
      </c>
      <c r="CW311" s="20" t="str">
        <f>IF(G311&lt;48,"UF", IF(NOT(ISBLANK(CS311)), CS311, IF(CE311=5, CC311+Sheet2!B456, IF(CE311=6, CC311+Sheet2!B457, IF(CE311=7, CC311+Sheet2!B458,"")))))</f>
        <v>UF</v>
      </c>
      <c r="CX311" s="68" t="str">
        <f t="shared" si="328"/>
        <v/>
      </c>
      <c r="CY311" s="5" t="s">
        <v>12</v>
      </c>
      <c r="DA311" s="5" t="str">
        <f t="shared" si="306"/>
        <v>UF</v>
      </c>
      <c r="DB311" s="73" t="str">
        <f t="shared" si="307"/>
        <v>UF</v>
      </c>
      <c r="DC311" s="73" t="str">
        <f t="shared" si="308"/>
        <v>UF</v>
      </c>
      <c r="DD311" s="5" t="str">
        <f>IF(G311&lt;48,"UF", IF(NOT(ISBLANK(CZ:CZ)), CZ:CZ, IF(CL:CL=3, CK:CK+Sheet2!B461, IF(CL:CL=4, CK:CK+Sheet2!B462, IF(CL:CL=7, CK:CK+Sheet2!B463,"")))))</f>
        <v>UF</v>
      </c>
      <c r="DE311" s="69" t="str">
        <f t="shared" si="331"/>
        <v/>
      </c>
      <c r="DF311" s="2">
        <v>1</v>
      </c>
      <c r="DG311" s="2">
        <v>31</v>
      </c>
      <c r="DH311" s="2">
        <v>1</v>
      </c>
      <c r="DI311" s="2">
        <v>2</v>
      </c>
      <c r="DJ311" s="2">
        <v>2</v>
      </c>
      <c r="DK311" s="2">
        <v>90</v>
      </c>
      <c r="DL311" s="2">
        <v>60</v>
      </c>
      <c r="DM311" s="2">
        <v>90</v>
      </c>
      <c r="DN311" s="2">
        <v>60</v>
      </c>
      <c r="DO311" s="2">
        <v>80</v>
      </c>
      <c r="DP311" s="2">
        <v>60</v>
      </c>
      <c r="DQ311" s="2">
        <v>2</v>
      </c>
      <c r="DR311" s="2">
        <v>39</v>
      </c>
      <c r="DS311" s="2">
        <v>1</v>
      </c>
      <c r="DT311" s="2">
        <v>79</v>
      </c>
      <c r="DU311" s="2">
        <v>93</v>
      </c>
      <c r="DV311" s="2">
        <v>2</v>
      </c>
      <c r="DW311" s="2">
        <v>2</v>
      </c>
      <c r="DX311" s="2">
        <v>2</v>
      </c>
      <c r="DY311" s="2">
        <v>2</v>
      </c>
      <c r="DZ311" s="2">
        <v>36</v>
      </c>
      <c r="EA311" s="2">
        <v>36.799999999999997</v>
      </c>
      <c r="EB311" s="2">
        <v>47.6</v>
      </c>
      <c r="EC311" s="2">
        <v>1</v>
      </c>
      <c r="ED311" s="2">
        <v>1</v>
      </c>
    </row>
    <row r="312" spans="2:134" x14ac:dyDescent="0.25">
      <c r="C312" s="5" t="s">
        <v>127</v>
      </c>
      <c r="D312" s="2">
        <v>2501048202</v>
      </c>
      <c r="E312" s="2" t="s">
        <v>527</v>
      </c>
      <c r="F312" s="2">
        <v>2</v>
      </c>
      <c r="G312" s="2">
        <v>31</v>
      </c>
      <c r="H312" s="2">
        <v>-0.37286535351849143</v>
      </c>
      <c r="I312" s="2">
        <v>50.5</v>
      </c>
      <c r="J312" s="2">
        <v>0.32528506526956291</v>
      </c>
      <c r="K312" s="5">
        <v>3300</v>
      </c>
      <c r="L312" s="2">
        <v>-9.5389291214910729E-2</v>
      </c>
      <c r="M312" s="2">
        <v>-1.6617999999999999</v>
      </c>
      <c r="N312" s="2">
        <f t="shared" si="268"/>
        <v>-0.66896732324075436</v>
      </c>
      <c r="O312" s="2">
        <f t="shared" si="269"/>
        <v>-1.6617999999999999</v>
      </c>
      <c r="P312" s="2">
        <v>66</v>
      </c>
      <c r="Q312" s="2">
        <v>-0.77</v>
      </c>
      <c r="R312" s="5">
        <f t="shared" si="270"/>
        <v>-1.5826425326347815</v>
      </c>
      <c r="S312" s="5">
        <f t="shared" si="271"/>
        <v>-0.77</v>
      </c>
      <c r="T312" s="1">
        <v>6600</v>
      </c>
      <c r="U312" s="2">
        <v>-1.67</v>
      </c>
      <c r="V312" s="2">
        <f t="shared" si="272"/>
        <v>-1.4023053543925446</v>
      </c>
      <c r="W312" s="2">
        <f t="shared" si="273"/>
        <v>-1.67</v>
      </c>
      <c r="X312" s="2">
        <v>-1.7108000000000001</v>
      </c>
      <c r="Y312" s="76">
        <f t="shared" si="309"/>
        <v>-1.3379346464815087</v>
      </c>
      <c r="Z312" s="76">
        <f t="shared" si="310"/>
        <v>-2</v>
      </c>
      <c r="AA312" s="2">
        <f t="shared" si="274"/>
        <v>-0.18194999999999995</v>
      </c>
      <c r="AB312" s="2">
        <f t="shared" si="275"/>
        <v>-1.7108000000000001</v>
      </c>
      <c r="AC312" s="2">
        <v>69</v>
      </c>
      <c r="AD312" s="2">
        <v>-2.84</v>
      </c>
      <c r="AE312" s="79">
        <f t="shared" si="311"/>
        <v>-3.165285065269563</v>
      </c>
      <c r="AF312" s="79">
        <f t="shared" si="312"/>
        <v>-2</v>
      </c>
      <c r="AG312" s="2">
        <f t="shared" si="330"/>
        <v>-1.145</v>
      </c>
      <c r="AH312" s="2">
        <f t="shared" si="276"/>
        <v>-2.84</v>
      </c>
      <c r="AI312" s="2">
        <v>7000</v>
      </c>
      <c r="AJ312" s="2">
        <v>-2.9</v>
      </c>
      <c r="AK312" s="76">
        <f t="shared" si="313"/>
        <v>-2.8046107087850891</v>
      </c>
      <c r="AL312" s="76">
        <f t="shared" si="314"/>
        <v>-2</v>
      </c>
      <c r="AM312" s="2">
        <f t="shared" si="277"/>
        <v>-0.51</v>
      </c>
      <c r="AN312" s="2">
        <f t="shared" si="278"/>
        <v>-2.9</v>
      </c>
      <c r="AO312" s="2">
        <v>-1.1338999999999999</v>
      </c>
      <c r="AP312" s="2" t="str">
        <f t="shared" si="279"/>
        <v/>
      </c>
      <c r="AQ312" s="2">
        <f t="shared" si="280"/>
        <v>-1.1338999999999999</v>
      </c>
      <c r="AR312" s="2">
        <v>74</v>
      </c>
      <c r="AS312" s="2">
        <v>-3.06</v>
      </c>
      <c r="AT312" s="2" t="str">
        <f t="shared" si="281"/>
        <v/>
      </c>
      <c r="AU312" s="2">
        <f t="shared" si="282"/>
        <v>-3.06</v>
      </c>
      <c r="AV312" s="2">
        <v>8100</v>
      </c>
      <c r="AW312" s="2">
        <v>-2.69</v>
      </c>
      <c r="AX312" s="2" t="str">
        <f t="shared" si="283"/>
        <v/>
      </c>
      <c r="AY312" s="2">
        <f t="shared" si="284"/>
        <v>-2.69</v>
      </c>
      <c r="BA312" s="78" t="e">
        <f t="shared" si="315"/>
        <v>#VALUE!</v>
      </c>
      <c r="BB312" s="78" t="e">
        <f t="shared" si="316"/>
        <v>#VALUE!</v>
      </c>
      <c r="BC312" s="2" t="str">
        <f t="shared" si="285"/>
        <v/>
      </c>
      <c r="BD312" s="2" t="e">
        <f t="shared" si="286"/>
        <v>#VALUE!</v>
      </c>
      <c r="BE312" s="67" t="e">
        <f t="shared" si="317"/>
        <v>#VALUE!</v>
      </c>
      <c r="BF312" s="2" t="s">
        <v>12</v>
      </c>
      <c r="BH312" s="2" t="str">
        <f t="shared" si="287"/>
        <v/>
      </c>
      <c r="BI312" s="2" t="e">
        <f t="shared" si="288"/>
        <v>#VALUE!</v>
      </c>
      <c r="BJ312" s="67" t="e">
        <f t="shared" si="289"/>
        <v>#VALUE!</v>
      </c>
      <c r="BK312" s="2" t="s">
        <v>12</v>
      </c>
      <c r="BM312" s="77" t="e">
        <f t="shared" si="318"/>
        <v>#VALUE!</v>
      </c>
      <c r="BN312" s="77" t="e">
        <f t="shared" si="319"/>
        <v>#VALUE!</v>
      </c>
      <c r="BO312" s="2" t="str">
        <f t="shared" si="290"/>
        <v/>
      </c>
      <c r="BP312" s="2" t="e">
        <f t="shared" si="291"/>
        <v>#VALUE!</v>
      </c>
      <c r="BQ312" s="67" t="e">
        <f t="shared" si="320"/>
        <v>#VALUE!</v>
      </c>
      <c r="BS312" s="75" t="str">
        <f t="shared" si="321"/>
        <v>UF</v>
      </c>
      <c r="BT312" s="75" t="str">
        <f t="shared" si="322"/>
        <v>UF</v>
      </c>
      <c r="BU312" s="5" t="str">
        <f t="shared" si="332"/>
        <v>UF</v>
      </c>
      <c r="BV312" s="5" t="str">
        <f t="shared" si="292"/>
        <v>UF</v>
      </c>
      <c r="BW312" s="69" t="str">
        <f t="shared" si="293"/>
        <v/>
      </c>
      <c r="BX312" s="2" t="s">
        <v>12</v>
      </c>
      <c r="BZ312" s="74" t="str">
        <f t="shared" si="323"/>
        <v>UF</v>
      </c>
      <c r="CA312" s="74" t="str">
        <f t="shared" si="324"/>
        <v>UF</v>
      </c>
      <c r="CB312" s="5" t="str">
        <f t="shared" si="294"/>
        <v>UF</v>
      </c>
      <c r="CC312" s="5" t="str">
        <f t="shared" si="295"/>
        <v>UF</v>
      </c>
      <c r="CD312" s="2" t="e">
        <f t="shared" si="296"/>
        <v>#VALUE!</v>
      </c>
      <c r="CE312" s="69" t="str">
        <f t="shared" si="297"/>
        <v/>
      </c>
      <c r="CF312" s="5" t="s">
        <v>12</v>
      </c>
      <c r="CH312" s="72" t="str">
        <f t="shared" si="325"/>
        <v>UF</v>
      </c>
      <c r="CI312" s="72" t="str">
        <f t="shared" si="326"/>
        <v>UF</v>
      </c>
      <c r="CJ312" s="5" t="str">
        <f t="shared" si="298"/>
        <v>UF</v>
      </c>
      <c r="CK312" s="5" t="str">
        <f t="shared" si="299"/>
        <v>UF</v>
      </c>
      <c r="CL312" s="69" t="str">
        <f t="shared" si="300"/>
        <v/>
      </c>
      <c r="CN312" s="70" t="str">
        <f t="shared" si="301"/>
        <v/>
      </c>
      <c r="CO312" s="5" t="str">
        <f t="shared" si="302"/>
        <v>UF</v>
      </c>
      <c r="CP312" s="5" t="str">
        <f>IF(G312&lt;48,"UF", IF(NOT(ISBLANK(CM:CM)), CM:CM, IF(BW:BW=1, BV:BV+Sheet2!B175, IF(Sheet1!BW:BW=2, Sheet1!BV:BV+Sheet2!B176, IF(Sheet1!BW:BW=7, Sheet1!BV:BV+Sheet2!B177,"")))))</f>
        <v>UF</v>
      </c>
      <c r="CQ312" s="69" t="str">
        <f t="shared" si="327"/>
        <v/>
      </c>
      <c r="CR312" s="5" t="s">
        <v>12</v>
      </c>
      <c r="CT312" s="5" t="str">
        <f t="shared" si="303"/>
        <v/>
      </c>
      <c r="CU312" s="80" t="str">
        <f t="shared" si="304"/>
        <v>UF</v>
      </c>
      <c r="CV312" s="80" t="str">
        <f t="shared" si="305"/>
        <v>UF</v>
      </c>
      <c r="CW312" s="20" t="str">
        <f>IF(G312&lt;48,"UF", IF(NOT(ISBLANK(CS312)), CS312, IF(CE312=5, CC312+Sheet2!B164, IF(CE312=6, CC312+Sheet2!B165, IF(CE312=7, CC312+Sheet2!B166,"")))))</f>
        <v>UF</v>
      </c>
      <c r="CX312" s="68" t="str">
        <f t="shared" si="328"/>
        <v/>
      </c>
      <c r="CY312" s="5" t="s">
        <v>12</v>
      </c>
      <c r="DA312" s="5" t="str">
        <f t="shared" si="306"/>
        <v>UF</v>
      </c>
      <c r="DB312" s="73" t="str">
        <f t="shared" si="307"/>
        <v>UF</v>
      </c>
      <c r="DC312" s="73" t="str">
        <f t="shared" si="308"/>
        <v>UF</v>
      </c>
      <c r="DD312" s="5" t="str">
        <f>IF(G312&lt;48,"UF", IF(NOT(ISBLANK(CZ:CZ)), CZ:CZ, IF(CL:CL=3, CK:CK+Sheet2!B169, IF(CL:CL=4, CK:CK+Sheet2!B170, IF(CL:CL=7, CK:CK+Sheet2!B171,"")))))</f>
        <v>UF</v>
      </c>
      <c r="DE312" s="69" t="str">
        <f t="shared" si="331"/>
        <v/>
      </c>
      <c r="DF312" s="2">
        <v>5</v>
      </c>
      <c r="DG312" s="2">
        <v>38</v>
      </c>
      <c r="DH312" s="2">
        <v>2</v>
      </c>
      <c r="DI312" s="2">
        <v>2</v>
      </c>
      <c r="DJ312" s="2">
        <v>2</v>
      </c>
      <c r="DK312" s="2">
        <v>110</v>
      </c>
      <c r="DL312" s="2">
        <v>60</v>
      </c>
      <c r="DM312" s="2">
        <v>108</v>
      </c>
      <c r="DN312" s="2">
        <v>62</v>
      </c>
      <c r="DO312" s="2">
        <v>115</v>
      </c>
      <c r="DP312" s="2">
        <v>75</v>
      </c>
      <c r="DQ312" s="2">
        <v>2</v>
      </c>
      <c r="DR312" s="2">
        <v>40</v>
      </c>
      <c r="DS312" s="2">
        <v>1</v>
      </c>
      <c r="DT312" s="2">
        <v>80</v>
      </c>
      <c r="DU312" s="2">
        <v>109</v>
      </c>
      <c r="DV312" s="2">
        <v>2</v>
      </c>
      <c r="DW312" s="2">
        <v>2</v>
      </c>
      <c r="DX312" s="2">
        <v>2</v>
      </c>
      <c r="DY312" s="2">
        <v>3</v>
      </c>
      <c r="DZ312" s="2">
        <v>33.5</v>
      </c>
      <c r="EA312" s="2">
        <v>34.5</v>
      </c>
      <c r="EB312" s="2">
        <v>45</v>
      </c>
      <c r="EC312" s="2">
        <v>1</v>
      </c>
      <c r="ED312" s="2">
        <v>1</v>
      </c>
    </row>
    <row r="313" spans="2:134" x14ac:dyDescent="0.25">
      <c r="C313" s="8" t="s">
        <v>227</v>
      </c>
      <c r="D313" s="53">
        <v>2501048301</v>
      </c>
      <c r="E313" s="5">
        <v>7</v>
      </c>
      <c r="F313" s="2">
        <v>1</v>
      </c>
      <c r="G313" s="2">
        <v>29</v>
      </c>
      <c r="H313" s="2">
        <v>-3.2088759381461611</v>
      </c>
      <c r="I313" s="2">
        <v>50</v>
      </c>
      <c r="J313" s="2">
        <v>0.45756143734440202</v>
      </c>
      <c r="K313" s="2">
        <v>2480</v>
      </c>
      <c r="L313" s="2">
        <v>-1.7781252052329859</v>
      </c>
      <c r="M313" s="2">
        <v>-1.4669000000000001</v>
      </c>
      <c r="N313" s="2">
        <f t="shared" si="268"/>
        <v>1.5397379690730806</v>
      </c>
      <c r="O313" s="2">
        <f t="shared" si="269"/>
        <v>-1.4669000000000001</v>
      </c>
      <c r="P313" s="2">
        <v>62</v>
      </c>
      <c r="Q313" s="2">
        <v>-1.65</v>
      </c>
      <c r="R313" s="5">
        <f t="shared" si="270"/>
        <v>-1.198780718672201</v>
      </c>
      <c r="S313" s="5">
        <f t="shared" si="271"/>
        <v>-1.65</v>
      </c>
      <c r="T313" s="2">
        <v>5700</v>
      </c>
      <c r="U313" s="2">
        <v>-2.0499999999999998</v>
      </c>
      <c r="V313" s="2">
        <f t="shared" si="272"/>
        <v>0.26906260261649295</v>
      </c>
      <c r="W313" s="2">
        <f t="shared" si="273"/>
        <v>-2.0499999999999998</v>
      </c>
      <c r="X313" s="2">
        <v>-0.12939999999999999</v>
      </c>
      <c r="Y313" s="76">
        <f t="shared" si="309"/>
        <v>3.0794759381461612</v>
      </c>
      <c r="Z313" s="76">
        <f t="shared" si="310"/>
        <v>2</v>
      </c>
      <c r="AA313" s="2">
        <f t="shared" si="274"/>
        <v>0.77159999999999995</v>
      </c>
      <c r="AB313" s="2">
        <f t="shared" si="275"/>
        <v>-0.12939999999999999</v>
      </c>
      <c r="AC313" s="2">
        <v>69</v>
      </c>
      <c r="AD313" s="2">
        <v>-1.94</v>
      </c>
      <c r="AE313" s="79">
        <f t="shared" si="311"/>
        <v>-2.3975614373444021</v>
      </c>
      <c r="AF313" s="79">
        <f t="shared" si="312"/>
        <v>-2</v>
      </c>
      <c r="AG313" s="2">
        <f t="shared" si="330"/>
        <v>1.4999999999999902E-2</v>
      </c>
      <c r="AH313" s="2">
        <f t="shared" si="276"/>
        <v>-1.94</v>
      </c>
      <c r="AI313" s="2">
        <v>7700</v>
      </c>
      <c r="AJ313" s="2">
        <v>-1.24</v>
      </c>
      <c r="AK313" s="76">
        <f t="shared" si="313"/>
        <v>0.5381252052329859</v>
      </c>
      <c r="AL313" s="76">
        <f t="shared" si="314"/>
        <v>1</v>
      </c>
      <c r="AM313" s="2">
        <f t="shared" si="277"/>
        <v>0.49499999999999988</v>
      </c>
      <c r="AN313" s="2">
        <f t="shared" si="278"/>
        <v>-1.24</v>
      </c>
      <c r="AO313" s="2">
        <v>-0.10680000000000001</v>
      </c>
      <c r="AP313" s="2" t="str">
        <f t="shared" si="279"/>
        <v/>
      </c>
      <c r="AQ313" s="2">
        <f t="shared" si="280"/>
        <v>-0.10680000000000001</v>
      </c>
      <c r="AR313" s="2">
        <v>76</v>
      </c>
      <c r="AS313" s="2">
        <v>-1.62</v>
      </c>
      <c r="AT313" s="2" t="str">
        <f t="shared" si="281"/>
        <v/>
      </c>
      <c r="AU313" s="2">
        <f t="shared" si="282"/>
        <v>-1.62</v>
      </c>
      <c r="AV313" s="2">
        <v>9000</v>
      </c>
      <c r="AW313" s="2">
        <v>-1.06</v>
      </c>
      <c r="AX313" s="2" t="str">
        <f t="shared" si="283"/>
        <v/>
      </c>
      <c r="AY313" s="2">
        <f t="shared" si="284"/>
        <v>-1.06</v>
      </c>
      <c r="BA313" s="78" t="e">
        <f t="shared" si="315"/>
        <v>#VALUE!</v>
      </c>
      <c r="BB313" s="78" t="e">
        <f t="shared" si="316"/>
        <v>#VALUE!</v>
      </c>
      <c r="BC313" s="2" t="str">
        <f t="shared" si="285"/>
        <v/>
      </c>
      <c r="BD313" s="2" t="e">
        <f t="shared" si="286"/>
        <v>#VALUE!</v>
      </c>
      <c r="BE313" s="67" t="e">
        <f t="shared" si="317"/>
        <v>#VALUE!</v>
      </c>
      <c r="BF313" s="2" t="s">
        <v>12</v>
      </c>
      <c r="BH313" s="2" t="str">
        <f t="shared" si="287"/>
        <v/>
      </c>
      <c r="BI313" s="2" t="e">
        <f t="shared" si="288"/>
        <v>#VALUE!</v>
      </c>
      <c r="BJ313" s="67" t="e">
        <f t="shared" si="289"/>
        <v>#VALUE!</v>
      </c>
      <c r="BK313" s="2" t="s">
        <v>12</v>
      </c>
      <c r="BM313" s="77" t="e">
        <f t="shared" si="318"/>
        <v>#VALUE!</v>
      </c>
      <c r="BN313" s="77" t="e">
        <f t="shared" si="319"/>
        <v>#VALUE!</v>
      </c>
      <c r="BO313" s="2" t="str">
        <f t="shared" si="290"/>
        <v/>
      </c>
      <c r="BP313" s="2" t="e">
        <f t="shared" si="291"/>
        <v>#VALUE!</v>
      </c>
      <c r="BQ313" s="67" t="e">
        <f t="shared" si="320"/>
        <v>#VALUE!</v>
      </c>
      <c r="BS313" s="75" t="str">
        <f t="shared" si="321"/>
        <v>UF</v>
      </c>
      <c r="BT313" s="75" t="str">
        <f t="shared" si="322"/>
        <v>UF</v>
      </c>
      <c r="BU313" s="5" t="str">
        <f>IF(G321&gt;=36, IF(AND(NOT(ISBLANK(CM:CM)), NOT(ISBLANK(BD:BD))), (CM:CM-BD:BD)/2, ""), "UF")</f>
        <v>UF</v>
      </c>
      <c r="BV313" s="5" t="str">
        <f t="shared" si="292"/>
        <v>UF</v>
      </c>
      <c r="BW313" s="69" t="str">
        <f t="shared" si="293"/>
        <v/>
      </c>
      <c r="BX313" s="2" t="s">
        <v>12</v>
      </c>
      <c r="BZ313" s="74" t="str">
        <f t="shared" si="323"/>
        <v>UF</v>
      </c>
      <c r="CA313" s="74" t="str">
        <f t="shared" si="324"/>
        <v>UF</v>
      </c>
      <c r="CB313" s="5" t="str">
        <f t="shared" si="294"/>
        <v>UF</v>
      </c>
      <c r="CC313" s="5" t="str">
        <f t="shared" si="295"/>
        <v>UF</v>
      </c>
      <c r="CD313" s="2" t="e">
        <f t="shared" si="296"/>
        <v>#VALUE!</v>
      </c>
      <c r="CE313" s="69" t="str">
        <f t="shared" si="297"/>
        <v/>
      </c>
      <c r="CF313" s="5" t="s">
        <v>12</v>
      </c>
      <c r="CH313" s="72" t="str">
        <f t="shared" si="325"/>
        <v>UF</v>
      </c>
      <c r="CI313" s="72" t="str">
        <f t="shared" si="326"/>
        <v>UF</v>
      </c>
      <c r="CJ313" s="5" t="str">
        <f t="shared" si="298"/>
        <v>UF</v>
      </c>
      <c r="CK313" s="5" t="str">
        <f t="shared" si="299"/>
        <v>UF</v>
      </c>
      <c r="CL313" s="69" t="str">
        <f t="shared" si="300"/>
        <v/>
      </c>
      <c r="CN313" s="70" t="str">
        <f t="shared" si="301"/>
        <v/>
      </c>
      <c r="CO313" s="5" t="str">
        <f t="shared" si="302"/>
        <v>UF</v>
      </c>
      <c r="CP313" s="5" t="str">
        <f>IF(G313&lt;48,"UF", IF(NOT(ISBLANK(CM:CM)), CM:CM, IF(BW:BW=1, BV:BV+Sheet2!B408, IF(Sheet1!BW:BW=2, Sheet1!BV:BV+Sheet2!B409, IF(Sheet1!BW:BW=7, Sheet1!BV:BV+Sheet2!B410,"")))))</f>
        <v>UF</v>
      </c>
      <c r="CQ313" s="69" t="str">
        <f t="shared" si="327"/>
        <v/>
      </c>
      <c r="CR313" s="5" t="s">
        <v>12</v>
      </c>
      <c r="CT313" s="5" t="str">
        <f t="shared" si="303"/>
        <v/>
      </c>
      <c r="CU313" s="80" t="str">
        <f t="shared" si="304"/>
        <v>UF</v>
      </c>
      <c r="CV313" s="80" t="str">
        <f t="shared" si="305"/>
        <v>UF</v>
      </c>
      <c r="CW313" s="20" t="str">
        <f>IF(G313&lt;48,"UF", IF(NOT(ISBLANK(CS313)), CS313, IF(CE313=5, CC313+Sheet2!B397, IF(CE313=6, CC313+Sheet2!B398, IF(CE313=7, CC313+Sheet2!B399,"")))))</f>
        <v>UF</v>
      </c>
      <c r="CX313" s="68" t="str">
        <f t="shared" si="328"/>
        <v/>
      </c>
      <c r="CY313" s="5" t="s">
        <v>12</v>
      </c>
      <c r="DA313" s="5" t="str">
        <f t="shared" si="306"/>
        <v>UF</v>
      </c>
      <c r="DB313" s="73" t="str">
        <f t="shared" si="307"/>
        <v>UF</v>
      </c>
      <c r="DC313" s="73" t="str">
        <f t="shared" si="308"/>
        <v>UF</v>
      </c>
      <c r="DD313" s="5" t="str">
        <f>IF(G313&lt;48,"UF", IF(NOT(ISBLANK(CZ:CZ)), CZ:CZ, IF(CL:CL=3, CK:CK+Sheet2!B402, IF(CL:CL=4, CK:CK+Sheet2!B403, IF(CL:CL=7, CK:CK+Sheet2!B404,"")))))</f>
        <v>UF</v>
      </c>
      <c r="DE313" s="69" t="str">
        <f t="shared" si="331"/>
        <v/>
      </c>
      <c r="DF313" s="2">
        <v>1</v>
      </c>
      <c r="DG313" s="2">
        <v>30</v>
      </c>
      <c r="DH313" s="2">
        <v>1</v>
      </c>
      <c r="DI313" s="2">
        <v>2</v>
      </c>
      <c r="DJ313" s="2">
        <v>2</v>
      </c>
      <c r="DK313" s="2">
        <v>106</v>
      </c>
      <c r="DL313" s="2">
        <v>64</v>
      </c>
      <c r="DM313" s="2" t="s">
        <v>12</v>
      </c>
      <c r="DN313" s="2" t="s">
        <v>12</v>
      </c>
      <c r="DO313" s="2">
        <v>129</v>
      </c>
      <c r="DP313" s="2">
        <v>89</v>
      </c>
      <c r="DQ313" s="2">
        <v>2</v>
      </c>
      <c r="DR313" s="2">
        <v>38</v>
      </c>
      <c r="DS313" s="2">
        <v>1</v>
      </c>
      <c r="DT313" s="2">
        <v>89</v>
      </c>
      <c r="DU313" s="2">
        <v>97</v>
      </c>
      <c r="DV313" s="2">
        <v>2</v>
      </c>
      <c r="DW313" s="2">
        <v>2</v>
      </c>
      <c r="DX313" s="2">
        <v>2</v>
      </c>
      <c r="DY313" s="2">
        <v>1</v>
      </c>
      <c r="DZ313" s="2">
        <v>34</v>
      </c>
      <c r="EA313" s="2">
        <v>35</v>
      </c>
      <c r="EB313" s="2">
        <v>44.5</v>
      </c>
      <c r="EC313" s="2">
        <v>1</v>
      </c>
      <c r="ED313" s="2">
        <v>1</v>
      </c>
    </row>
    <row r="314" spans="2:134" ht="15.75" thickBot="1" x14ac:dyDescent="0.3">
      <c r="C314" s="8" t="s">
        <v>175</v>
      </c>
      <c r="D314" s="4">
        <v>2501048539</v>
      </c>
      <c r="E314" s="5">
        <v>7</v>
      </c>
      <c r="F314" s="2">
        <v>2</v>
      </c>
      <c r="G314" s="2">
        <v>28</v>
      </c>
      <c r="H314" s="2">
        <v>-0.65548757325473495</v>
      </c>
      <c r="I314" s="2">
        <v>50</v>
      </c>
      <c r="J314" s="2">
        <v>6.1168777667580831E-2</v>
      </c>
      <c r="K314" s="1">
        <v>3150</v>
      </c>
      <c r="L314" s="2">
        <v>-0.4098709608817373</v>
      </c>
      <c r="M314" s="2">
        <v>-0.53249999999999997</v>
      </c>
      <c r="N314" s="2">
        <f t="shared" si="268"/>
        <v>-0.46055621337263253</v>
      </c>
      <c r="O314" s="2">
        <f t="shared" si="269"/>
        <v>-0.53249999999999997</v>
      </c>
      <c r="P314" s="2">
        <v>64</v>
      </c>
      <c r="Q314" s="2">
        <v>-1.7</v>
      </c>
      <c r="R314" s="5">
        <f t="shared" si="270"/>
        <v>-0.81558438883379047</v>
      </c>
      <c r="S314" s="5">
        <f t="shared" si="271"/>
        <v>-1.7</v>
      </c>
      <c r="T314" s="1">
        <v>6800</v>
      </c>
      <c r="U314" s="2">
        <v>-1.4</v>
      </c>
      <c r="V314" s="2">
        <f t="shared" si="272"/>
        <v>-0.82006451955913129</v>
      </c>
      <c r="W314" s="2">
        <f t="shared" si="273"/>
        <v>-1.4</v>
      </c>
      <c r="X314" s="2">
        <v>-1.5766</v>
      </c>
      <c r="Y314" s="76">
        <f t="shared" si="309"/>
        <v>-0.92111242674526506</v>
      </c>
      <c r="Z314" s="76">
        <f t="shared" si="310"/>
        <v>-2</v>
      </c>
      <c r="AA314" s="2" t="str">
        <f t="shared" si="274"/>
        <v/>
      </c>
      <c r="AB314" s="2">
        <f t="shared" si="275"/>
        <v>-1.5766</v>
      </c>
      <c r="AC314" s="2">
        <v>72</v>
      </c>
      <c r="AD314" s="2">
        <v>-1.57</v>
      </c>
      <c r="AE314" s="79">
        <f t="shared" si="311"/>
        <v>-1.6311687776675809</v>
      </c>
      <c r="AF314" s="79">
        <f t="shared" si="312"/>
        <v>-2</v>
      </c>
      <c r="AG314" s="2" t="str">
        <f t="shared" si="330"/>
        <v/>
      </c>
      <c r="AH314" s="2">
        <f t="shared" si="276"/>
        <v>-1.57</v>
      </c>
      <c r="AI314" s="2">
        <v>7700</v>
      </c>
      <c r="AJ314" s="2">
        <v>-2.0499999999999998</v>
      </c>
      <c r="AK314" s="76">
        <f t="shared" si="313"/>
        <v>-1.6401290391182626</v>
      </c>
      <c r="AL314" s="76">
        <f t="shared" si="314"/>
        <v>-2</v>
      </c>
      <c r="AM314" s="2" t="str">
        <f t="shared" si="277"/>
        <v/>
      </c>
      <c r="AN314" s="2">
        <f t="shared" si="278"/>
        <v>-2.0499999999999998</v>
      </c>
      <c r="AP314" s="2">
        <f t="shared" si="279"/>
        <v>-1.3464935009097192</v>
      </c>
      <c r="AQ314" s="2">
        <f t="shared" si="280"/>
        <v>-2.9230935009097192</v>
      </c>
      <c r="AR314" s="2" t="s">
        <v>12</v>
      </c>
      <c r="AT314" s="2">
        <f t="shared" si="281"/>
        <v>0.38230246323640643</v>
      </c>
      <c r="AU314" s="2">
        <f t="shared" si="282"/>
        <v>-1.1876975367635936</v>
      </c>
      <c r="AV314" s="2" t="s">
        <v>12</v>
      </c>
      <c r="AX314" s="2">
        <f t="shared" si="283"/>
        <v>-0.64401081260396054</v>
      </c>
      <c r="AY314" s="2">
        <f t="shared" si="284"/>
        <v>-2.6940108126039606</v>
      </c>
      <c r="AZ314" s="2">
        <v>-4.2695870018194384</v>
      </c>
      <c r="BA314" s="78">
        <f t="shared" si="315"/>
        <v>-2.6929870018194384</v>
      </c>
      <c r="BB314" s="78">
        <f t="shared" si="316"/>
        <v>-2</v>
      </c>
      <c r="BC314" s="2" t="str">
        <f t="shared" si="285"/>
        <v/>
      </c>
      <c r="BD314" s="2">
        <f t="shared" si="286"/>
        <v>-4.2695870018194384</v>
      </c>
      <c r="BE314" s="67">
        <f t="shared" si="317"/>
        <v>1</v>
      </c>
      <c r="BF314" s="2">
        <v>79</v>
      </c>
      <c r="BG314" s="2">
        <v>-0.8053950735271872</v>
      </c>
      <c r="BH314" s="2" t="str">
        <f t="shared" si="287"/>
        <v/>
      </c>
      <c r="BI314" s="2">
        <f t="shared" si="288"/>
        <v>-0.8053950735271872</v>
      </c>
      <c r="BJ314" s="67">
        <f t="shared" si="289"/>
        <v>7</v>
      </c>
      <c r="BK314" s="2">
        <v>9000</v>
      </c>
      <c r="BL314" s="2">
        <v>-3.3380216252079209</v>
      </c>
      <c r="BM314" s="77">
        <f t="shared" si="318"/>
        <v>-1.2880216252079211</v>
      </c>
      <c r="BN314" s="77">
        <f t="shared" si="319"/>
        <v>-2</v>
      </c>
      <c r="BO314" s="2" t="str">
        <f t="shared" si="290"/>
        <v/>
      </c>
      <c r="BP314" s="2">
        <f t="shared" si="291"/>
        <v>-3.3380216252079209</v>
      </c>
      <c r="BQ314" s="67">
        <f t="shared" si="320"/>
        <v>3</v>
      </c>
      <c r="BS314" s="75" t="str">
        <f t="shared" si="321"/>
        <v>UF</v>
      </c>
      <c r="BT314" s="75" t="str">
        <f t="shared" si="322"/>
        <v>UF</v>
      </c>
      <c r="BU314" s="5" t="str">
        <f>IF(G322&gt;=36, IF(AND(NOT(ISBLANK(CM:CM)), NOT(ISBLANK(BD:BD))), (CM:CM-BD:BD)/2, ""), "UF")</f>
        <v>UF</v>
      </c>
      <c r="BV314" s="5" t="str">
        <f t="shared" si="292"/>
        <v>UF</v>
      </c>
      <c r="BW314" s="69" t="str">
        <f t="shared" si="293"/>
        <v/>
      </c>
      <c r="BX314" s="2" t="s">
        <v>12</v>
      </c>
      <c r="BZ314" s="74" t="str">
        <f t="shared" si="323"/>
        <v>UF</v>
      </c>
      <c r="CA314" s="74" t="str">
        <f t="shared" si="324"/>
        <v>UF</v>
      </c>
      <c r="CB314" s="5" t="str">
        <f t="shared" si="294"/>
        <v>UF</v>
      </c>
      <c r="CC314" s="5" t="str">
        <f t="shared" si="295"/>
        <v>UF</v>
      </c>
      <c r="CD314" s="2" t="e">
        <f t="shared" si="296"/>
        <v>#VALUE!</v>
      </c>
      <c r="CE314" s="69" t="str">
        <f t="shared" si="297"/>
        <v/>
      </c>
      <c r="CF314" s="5" t="s">
        <v>12</v>
      </c>
      <c r="CH314" s="72" t="str">
        <f t="shared" si="325"/>
        <v>UF</v>
      </c>
      <c r="CI314" s="72" t="str">
        <f t="shared" si="326"/>
        <v>UF</v>
      </c>
      <c r="CJ314" s="5" t="str">
        <f t="shared" si="298"/>
        <v>UF</v>
      </c>
      <c r="CK314" s="5" t="str">
        <f t="shared" si="299"/>
        <v>UF</v>
      </c>
      <c r="CL314" s="69" t="str">
        <f t="shared" si="300"/>
        <v/>
      </c>
      <c r="CN314" s="70" t="str">
        <f t="shared" si="301"/>
        <v/>
      </c>
      <c r="CO314" s="5" t="str">
        <f t="shared" si="302"/>
        <v>UF</v>
      </c>
      <c r="CP314" s="5" t="str">
        <f>IF(G314&lt;48,"UF", IF(NOT(ISBLANK(CM:CM)), CM:CM, IF(BW:BW=1, BV:BV+Sheet2!B342, IF(Sheet1!BW:BW=2, Sheet1!BV:BV+Sheet2!B343, IF(Sheet1!BW:BW=7, Sheet1!BV:BV+Sheet2!B344,"")))))</f>
        <v>UF</v>
      </c>
      <c r="CQ314" s="69" t="str">
        <f t="shared" si="327"/>
        <v/>
      </c>
      <c r="CR314" s="5" t="s">
        <v>12</v>
      </c>
      <c r="CT314" s="5" t="str">
        <f t="shared" si="303"/>
        <v/>
      </c>
      <c r="CU314" s="80" t="str">
        <f t="shared" si="304"/>
        <v>UF</v>
      </c>
      <c r="CV314" s="80" t="str">
        <f t="shared" si="305"/>
        <v>UF</v>
      </c>
      <c r="CW314" s="20" t="str">
        <f>IF(G314&lt;48,"UF", IF(NOT(ISBLANK(CS314)), CS314, IF(CE314=5, CC314+Sheet2!B331, IF(CE314=6, CC314+Sheet2!B332, IF(CE314=7, CC314+Sheet2!B333,"")))))</f>
        <v>UF</v>
      </c>
      <c r="CX314" s="68" t="str">
        <f t="shared" si="328"/>
        <v/>
      </c>
      <c r="CY314" s="5" t="s">
        <v>12</v>
      </c>
      <c r="DA314" s="5" t="str">
        <f t="shared" si="306"/>
        <v>UF</v>
      </c>
      <c r="DB314" s="73" t="str">
        <f t="shared" si="307"/>
        <v>UF</v>
      </c>
      <c r="DC314" s="73" t="str">
        <f t="shared" si="308"/>
        <v>UF</v>
      </c>
      <c r="DD314" s="5" t="str">
        <f>IF(G314&lt;48,"UF", IF(NOT(ISBLANK(CZ:CZ)), CZ:CZ, IF(CL:CL=3, CK:CK+Sheet2!B336, IF(CL:CL=4, CK:CK+Sheet2!B337, IF(CL:CL=7, CK:CK+Sheet2!B338,"")))))</f>
        <v>UF</v>
      </c>
      <c r="DE314" s="69" t="str">
        <f t="shared" si="331"/>
        <v/>
      </c>
      <c r="DF314" s="2">
        <v>1</v>
      </c>
      <c r="DG314" s="2">
        <v>34</v>
      </c>
      <c r="DH314" s="2">
        <v>2</v>
      </c>
      <c r="DI314" s="2">
        <v>2</v>
      </c>
      <c r="DJ314" s="2">
        <v>2</v>
      </c>
      <c r="DK314" s="2">
        <v>95</v>
      </c>
      <c r="DL314" s="2">
        <v>60</v>
      </c>
      <c r="DM314" s="2">
        <v>108</v>
      </c>
      <c r="DN314" s="2">
        <v>60</v>
      </c>
      <c r="DO314" s="2">
        <v>105</v>
      </c>
      <c r="DP314" s="2">
        <v>60</v>
      </c>
      <c r="DQ314" s="2">
        <v>2</v>
      </c>
      <c r="DR314" s="2">
        <v>40</v>
      </c>
      <c r="DS314" s="2">
        <v>2</v>
      </c>
      <c r="DT314" s="2">
        <v>79</v>
      </c>
      <c r="DU314" s="2">
        <v>81</v>
      </c>
      <c r="DV314" s="2">
        <v>2</v>
      </c>
      <c r="DW314" s="2">
        <v>2</v>
      </c>
      <c r="DX314" s="2">
        <v>3</v>
      </c>
      <c r="DY314" s="2">
        <v>2</v>
      </c>
      <c r="DZ314" s="2">
        <v>34</v>
      </c>
      <c r="EA314" s="2">
        <v>36.299999999999997</v>
      </c>
      <c r="EB314" s="2">
        <v>45.5</v>
      </c>
      <c r="EC314" s="2">
        <v>1</v>
      </c>
      <c r="ED314" s="2">
        <v>1</v>
      </c>
    </row>
    <row r="315" spans="2:134" ht="15.75" thickBot="1" x14ac:dyDescent="0.3">
      <c r="C315" s="5" t="s">
        <v>35</v>
      </c>
      <c r="D315" s="56">
        <v>2501048555</v>
      </c>
      <c r="E315" s="5" t="s">
        <v>528</v>
      </c>
      <c r="F315" s="2">
        <v>2</v>
      </c>
      <c r="G315" s="2">
        <v>30</v>
      </c>
      <c r="H315" s="2">
        <v>-0.82647443910598217</v>
      </c>
      <c r="I315" s="2">
        <v>50</v>
      </c>
      <c r="J315" s="2">
        <v>6.1168777667580831E-2</v>
      </c>
      <c r="K315" s="5">
        <v>3100</v>
      </c>
      <c r="L315" s="2">
        <v>-0.51686178682742712</v>
      </c>
      <c r="M315" s="2">
        <v>-2.0350000000000001</v>
      </c>
      <c r="N315" s="2">
        <f t="shared" si="268"/>
        <v>-0.40236278044700891</v>
      </c>
      <c r="O315" s="2">
        <f t="shared" si="269"/>
        <v>-2.0350000000000001</v>
      </c>
      <c r="P315" s="2">
        <v>68</v>
      </c>
      <c r="Q315" s="2">
        <v>0.17</v>
      </c>
      <c r="R315" s="5">
        <f t="shared" si="270"/>
        <v>-0.39558438883379043</v>
      </c>
      <c r="S315" s="5">
        <f t="shared" si="271"/>
        <v>0.17</v>
      </c>
      <c r="T315" s="1">
        <v>6800</v>
      </c>
      <c r="U315" s="2">
        <v>-1.4</v>
      </c>
      <c r="V315" s="2">
        <f t="shared" si="272"/>
        <v>-0.53656910658628654</v>
      </c>
      <c r="W315" s="2">
        <f t="shared" si="273"/>
        <v>-1.4</v>
      </c>
      <c r="X315" s="2">
        <v>-1.6312</v>
      </c>
      <c r="Y315" s="76">
        <f t="shared" si="309"/>
        <v>-0.80472556089401781</v>
      </c>
      <c r="Z315" s="76">
        <f t="shared" si="310"/>
        <v>-2</v>
      </c>
      <c r="AA315" s="2">
        <f t="shared" si="274"/>
        <v>-1.6916</v>
      </c>
      <c r="AB315" s="2">
        <f t="shared" si="275"/>
        <v>-1.6312</v>
      </c>
      <c r="AC315" s="2">
        <v>74</v>
      </c>
      <c r="AD315" s="2">
        <v>-0.73</v>
      </c>
      <c r="AE315" s="79">
        <f t="shared" si="311"/>
        <v>-0.79116877766758087</v>
      </c>
      <c r="AF315" s="79">
        <f t="shared" si="312"/>
        <v>-2</v>
      </c>
      <c r="AG315" s="2">
        <f t="shared" si="330"/>
        <v>-0.22500000000000003</v>
      </c>
      <c r="AH315" s="2">
        <f t="shared" si="276"/>
        <v>-0.73</v>
      </c>
      <c r="AI315" s="2">
        <v>8100</v>
      </c>
      <c r="AJ315" s="2">
        <v>-1.59</v>
      </c>
      <c r="AK315" s="76">
        <f t="shared" si="313"/>
        <v>-1.0731382131725731</v>
      </c>
      <c r="AL315" s="76">
        <f t="shared" si="314"/>
        <v>-2</v>
      </c>
      <c r="AM315" s="2">
        <f t="shared" si="277"/>
        <v>-0.45999999999999996</v>
      </c>
      <c r="AN315" s="2">
        <f t="shared" si="278"/>
        <v>-1.59</v>
      </c>
      <c r="AO315" s="2">
        <v>-3.2132000000000001</v>
      </c>
      <c r="AP315" s="2">
        <f t="shared" si="279"/>
        <v>-1.6937843125248988</v>
      </c>
      <c r="AQ315" s="2">
        <f t="shared" si="280"/>
        <v>-3.2132000000000001</v>
      </c>
      <c r="AR315" s="2">
        <v>81.5</v>
      </c>
      <c r="AS315" s="2">
        <v>-0.28000000000000003</v>
      </c>
      <c r="AT315" s="2">
        <f t="shared" si="281"/>
        <v>0.17098484847931994</v>
      </c>
      <c r="AU315" s="2">
        <f t="shared" si="282"/>
        <v>-0.28000000000000003</v>
      </c>
      <c r="AV315" s="2">
        <v>8450</v>
      </c>
      <c r="AW315" s="2">
        <v>-2.3199999999999998</v>
      </c>
      <c r="AX315" s="2">
        <f t="shared" si="283"/>
        <v>-0.87401081260396041</v>
      </c>
      <c r="AY315" s="2">
        <f t="shared" si="284"/>
        <v>-2.3199999999999998</v>
      </c>
      <c r="AZ315" s="2">
        <v>-5.0187686250497974</v>
      </c>
      <c r="BA315" s="78">
        <f t="shared" si="315"/>
        <v>-3.3875686250497976</v>
      </c>
      <c r="BB315" s="78">
        <f t="shared" si="316"/>
        <v>-2</v>
      </c>
      <c r="BC315" s="2" t="str">
        <f t="shared" si="285"/>
        <v/>
      </c>
      <c r="BD315" s="2">
        <f t="shared" si="286"/>
        <v>-5.0187686250497974</v>
      </c>
      <c r="BE315" s="67">
        <f t="shared" si="317"/>
        <v>1</v>
      </c>
      <c r="BF315" s="2">
        <v>85.5</v>
      </c>
      <c r="BG315" s="2">
        <v>-0.3880303030413601</v>
      </c>
      <c r="BH315" s="2" t="str">
        <f t="shared" si="287"/>
        <v/>
      </c>
      <c r="BI315" s="2">
        <f t="shared" si="288"/>
        <v>-0.3880303030413601</v>
      </c>
      <c r="BJ315" s="67">
        <f t="shared" si="289"/>
        <v>7</v>
      </c>
      <c r="BK315" s="2">
        <v>9000</v>
      </c>
      <c r="BL315" s="2">
        <v>-3.3380216252079209</v>
      </c>
      <c r="BM315" s="77">
        <f t="shared" si="318"/>
        <v>-1.7480216252079208</v>
      </c>
      <c r="BN315" s="77">
        <f t="shared" si="319"/>
        <v>-2</v>
      </c>
      <c r="BO315" s="2" t="str">
        <f t="shared" si="290"/>
        <v/>
      </c>
      <c r="BP315" s="2">
        <f t="shared" si="291"/>
        <v>-3.3380216252079209</v>
      </c>
      <c r="BQ315" s="67">
        <f t="shared" si="320"/>
        <v>3</v>
      </c>
      <c r="BS315" s="75" t="str">
        <f t="shared" si="321"/>
        <v>UF</v>
      </c>
      <c r="BT315" s="75" t="str">
        <f t="shared" si="322"/>
        <v>UF</v>
      </c>
      <c r="BU315" s="5" t="str">
        <f>IF(G323&gt;=36, IF(AND(NOT(ISBLANK(CM:CM)), NOT(ISBLANK(BD:BD))), (CM:CM-BD:BD)/2, ""), "UF")</f>
        <v>UF</v>
      </c>
      <c r="BV315" s="5" t="str">
        <f t="shared" si="292"/>
        <v>UF</v>
      </c>
      <c r="BW315" s="69" t="str">
        <f t="shared" si="293"/>
        <v/>
      </c>
      <c r="BX315" s="2" t="s">
        <v>12</v>
      </c>
      <c r="BZ315" s="74" t="str">
        <f t="shared" si="323"/>
        <v>UF</v>
      </c>
      <c r="CA315" s="74" t="str">
        <f t="shared" si="324"/>
        <v>UF</v>
      </c>
      <c r="CB315" s="5" t="str">
        <f t="shared" si="294"/>
        <v>UF</v>
      </c>
      <c r="CC315" s="5" t="str">
        <f t="shared" si="295"/>
        <v>UF</v>
      </c>
      <c r="CD315" s="2" t="e">
        <f t="shared" si="296"/>
        <v>#VALUE!</v>
      </c>
      <c r="CE315" s="69" t="str">
        <f t="shared" si="297"/>
        <v/>
      </c>
      <c r="CF315" s="5" t="s">
        <v>12</v>
      </c>
      <c r="CH315" s="72" t="str">
        <f t="shared" si="325"/>
        <v>UF</v>
      </c>
      <c r="CI315" s="72" t="str">
        <f t="shared" si="326"/>
        <v>UF</v>
      </c>
      <c r="CJ315" s="5" t="str">
        <f t="shared" si="298"/>
        <v>UF</v>
      </c>
      <c r="CK315" s="5" t="str">
        <f t="shared" si="299"/>
        <v>UF</v>
      </c>
      <c r="CL315" s="69" t="str">
        <f t="shared" si="300"/>
        <v/>
      </c>
      <c r="CN315" s="70" t="str">
        <f t="shared" si="301"/>
        <v/>
      </c>
      <c r="CO315" s="5" t="str">
        <f t="shared" si="302"/>
        <v>UF</v>
      </c>
      <c r="CP315" s="5" t="str">
        <f>IF(G315&lt;48,"UF", IF(NOT(ISBLANK(CM:CM)), CM:CM, IF(BW:BW=1, BV:BV+Sheet2!B56, IF(Sheet1!BW:BW=2, Sheet1!BV:BV+Sheet2!B57, IF(Sheet1!BW:BW=7, Sheet1!BV:BV+Sheet2!B58,"")))))</f>
        <v>UF</v>
      </c>
      <c r="CQ315" s="69" t="str">
        <f t="shared" si="327"/>
        <v/>
      </c>
      <c r="CR315" s="5" t="s">
        <v>12</v>
      </c>
      <c r="CT315" s="5" t="str">
        <f t="shared" si="303"/>
        <v/>
      </c>
      <c r="CU315" s="80" t="str">
        <f t="shared" si="304"/>
        <v>UF</v>
      </c>
      <c r="CV315" s="80" t="str">
        <f t="shared" si="305"/>
        <v>UF</v>
      </c>
      <c r="CW315" s="20" t="str">
        <f>IF(G315&lt;48,"UF", IF(NOT(ISBLANK(CS315)), CS315, IF(CE315=5, CC315+Sheet2!B45, IF(CE315=6, CC315+Sheet2!B46, IF(CE315=7, CC315+Sheet2!B47,"")))))</f>
        <v>UF</v>
      </c>
      <c r="CX315" s="68" t="str">
        <f t="shared" si="328"/>
        <v/>
      </c>
      <c r="CY315" s="5" t="s">
        <v>12</v>
      </c>
      <c r="DA315" s="5" t="str">
        <f t="shared" si="306"/>
        <v>UF</v>
      </c>
      <c r="DB315" s="73" t="str">
        <f t="shared" si="307"/>
        <v>UF</v>
      </c>
      <c r="DC315" s="73" t="str">
        <f t="shared" si="308"/>
        <v>UF</v>
      </c>
      <c r="DD315" s="5" t="str">
        <f>IF(G315&lt;48,"UF", IF(NOT(ISBLANK(CZ:CZ)), CZ:CZ, IF(CL:CL=3, CK:CK+Sheet2!B50, IF(CL:CL=4, CK:CK+Sheet2!B51, IF(CL:CL=7, CK:CK+Sheet2!B52,"")))))</f>
        <v>UF</v>
      </c>
      <c r="DE315" s="69" t="str">
        <f t="shared" si="331"/>
        <v/>
      </c>
      <c r="DF315" s="2">
        <v>2</v>
      </c>
      <c r="DG315" s="2">
        <v>30</v>
      </c>
      <c r="DH315" s="2">
        <v>2</v>
      </c>
      <c r="DI315" s="2">
        <v>2</v>
      </c>
      <c r="DJ315" s="2">
        <v>3</v>
      </c>
      <c r="DK315" s="2" t="s">
        <v>12</v>
      </c>
      <c r="DL315" s="2" t="s">
        <v>12</v>
      </c>
      <c r="DM315" s="2" t="s">
        <v>12</v>
      </c>
      <c r="DN315" s="2" t="s">
        <v>12</v>
      </c>
      <c r="DO315" s="2" t="s">
        <v>12</v>
      </c>
      <c r="DP315" s="2" t="s">
        <v>12</v>
      </c>
      <c r="DQ315" s="2">
        <v>2</v>
      </c>
      <c r="DR315" s="2">
        <v>41</v>
      </c>
      <c r="DS315" s="2">
        <v>1</v>
      </c>
      <c r="DT315" s="2">
        <v>86</v>
      </c>
      <c r="DU315" s="2">
        <v>93</v>
      </c>
      <c r="DV315" s="2">
        <v>4</v>
      </c>
      <c r="DW315" s="2">
        <v>2</v>
      </c>
      <c r="DX315" s="2">
        <v>2</v>
      </c>
      <c r="DY315" s="2">
        <v>2</v>
      </c>
      <c r="DZ315" s="2">
        <v>33</v>
      </c>
      <c r="EA315" s="2" t="s">
        <v>12</v>
      </c>
      <c r="EB315" s="2">
        <v>43.5</v>
      </c>
      <c r="EC315" s="2" t="s">
        <v>12</v>
      </c>
      <c r="ED315" s="2">
        <v>1</v>
      </c>
    </row>
    <row r="316" spans="2:134" x14ac:dyDescent="0.25">
      <c r="C316" s="8" t="s">
        <v>175</v>
      </c>
      <c r="D316" s="8">
        <v>2501048563</v>
      </c>
      <c r="E316" s="5">
        <v>7</v>
      </c>
      <c r="F316" s="2">
        <v>1</v>
      </c>
      <c r="G316" s="2">
        <v>29</v>
      </c>
      <c r="H316" s="2">
        <v>-2.8304427119775171</v>
      </c>
      <c r="I316" s="2">
        <v>50</v>
      </c>
      <c r="J316" s="2">
        <v>0.45756143734440202</v>
      </c>
      <c r="K316" s="2">
        <v>2570</v>
      </c>
      <c r="L316" s="2">
        <v>-1.5491664932165681</v>
      </c>
      <c r="M316" s="2">
        <v>5.1900000000000002E-2</v>
      </c>
      <c r="N316" s="2">
        <f t="shared" si="268"/>
        <v>2.3933213559887587</v>
      </c>
      <c r="O316" s="2">
        <f t="shared" si="269"/>
        <v>5.1900000000000002E-2</v>
      </c>
      <c r="P316" s="2">
        <v>66</v>
      </c>
      <c r="Q316" s="2">
        <v>0.11</v>
      </c>
      <c r="R316" s="5">
        <f t="shared" si="270"/>
        <v>-0.22878071867220101</v>
      </c>
      <c r="S316" s="5">
        <f t="shared" si="271"/>
        <v>0.11</v>
      </c>
      <c r="T316" s="2">
        <v>7400</v>
      </c>
      <c r="U316" s="2">
        <v>0.11</v>
      </c>
      <c r="V316" s="2">
        <f t="shared" si="272"/>
        <v>1.4895832466082841</v>
      </c>
      <c r="W316" s="2">
        <f t="shared" si="273"/>
        <v>0.11</v>
      </c>
      <c r="X316" s="2">
        <v>1.9561999999999999</v>
      </c>
      <c r="Y316" s="76">
        <f t="shared" si="309"/>
        <v>4.7866427119775175</v>
      </c>
      <c r="Z316" s="76">
        <f t="shared" si="310"/>
        <v>2</v>
      </c>
      <c r="AA316" s="2">
        <f t="shared" si="274"/>
        <v>0.19880000000000003</v>
      </c>
      <c r="AB316" s="2">
        <f t="shared" si="275"/>
        <v>1.9561999999999999</v>
      </c>
      <c r="AC316" s="2">
        <v>74</v>
      </c>
      <c r="AD316" s="2">
        <v>0</v>
      </c>
      <c r="AE316" s="79">
        <f t="shared" si="311"/>
        <v>-0.45756143734440202</v>
      </c>
      <c r="AF316" s="79">
        <f t="shared" si="312"/>
        <v>-1</v>
      </c>
      <c r="AG316" s="2">
        <f t="shared" si="330"/>
        <v>0.5099999999999999</v>
      </c>
      <c r="AH316" s="2">
        <f t="shared" si="276"/>
        <v>0</v>
      </c>
      <c r="AI316" s="2">
        <v>10700</v>
      </c>
      <c r="AJ316" s="2">
        <v>1.43</v>
      </c>
      <c r="AK316" s="76">
        <f t="shared" si="313"/>
        <v>2.9791664932165682</v>
      </c>
      <c r="AL316" s="76">
        <f t="shared" si="314"/>
        <v>2</v>
      </c>
      <c r="AM316" s="2">
        <f t="shared" si="277"/>
        <v>0.44500000000000001</v>
      </c>
      <c r="AN316" s="2">
        <f t="shared" si="278"/>
        <v>1.43</v>
      </c>
      <c r="AO316" s="2">
        <v>0.50760000000000005</v>
      </c>
      <c r="AP316" s="2">
        <f t="shared" si="279"/>
        <v>-1.4592890440104207</v>
      </c>
      <c r="AQ316" s="2">
        <f t="shared" si="280"/>
        <v>0.50760000000000005</v>
      </c>
      <c r="AR316" s="2">
        <v>84</v>
      </c>
      <c r="AS316" s="2">
        <v>1.1299999999999999</v>
      </c>
      <c r="AT316" s="2">
        <f t="shared" si="281"/>
        <v>0.516796657415584</v>
      </c>
      <c r="AU316" s="2">
        <f t="shared" si="282"/>
        <v>1.1299999999999999</v>
      </c>
      <c r="AV316" s="2">
        <v>11600</v>
      </c>
      <c r="AW316" s="2">
        <v>1</v>
      </c>
      <c r="AX316" s="2">
        <f t="shared" si="283"/>
        <v>-0.76696489070164364</v>
      </c>
      <c r="AY316" s="2">
        <f t="shared" si="284"/>
        <v>1</v>
      </c>
      <c r="AZ316" s="2">
        <v>-0.96237808802084124</v>
      </c>
      <c r="BA316" s="78">
        <f t="shared" si="315"/>
        <v>-2.9185780880208414</v>
      </c>
      <c r="BB316" s="78">
        <f t="shared" si="316"/>
        <v>-2</v>
      </c>
      <c r="BC316" s="2" t="str">
        <f t="shared" si="285"/>
        <v/>
      </c>
      <c r="BD316" s="2">
        <f t="shared" si="286"/>
        <v>-0.96237808802084124</v>
      </c>
      <c r="BE316" s="67">
        <f t="shared" si="317"/>
        <v>7</v>
      </c>
      <c r="BF316" s="2">
        <v>89</v>
      </c>
      <c r="BG316" s="2">
        <v>1.033593314831168</v>
      </c>
      <c r="BH316" s="2" t="str">
        <f t="shared" si="287"/>
        <v/>
      </c>
      <c r="BI316" s="2">
        <f t="shared" si="288"/>
        <v>1.033593314831168</v>
      </c>
      <c r="BJ316" s="67">
        <f t="shared" si="289"/>
        <v>7</v>
      </c>
      <c r="BK316" s="2">
        <v>12000</v>
      </c>
      <c r="BL316" s="2">
        <v>-0.10392978140328731</v>
      </c>
      <c r="BM316" s="77">
        <f t="shared" si="318"/>
        <v>-1.5339297814032873</v>
      </c>
      <c r="BN316" s="77">
        <f t="shared" si="319"/>
        <v>-2</v>
      </c>
      <c r="BO316" s="2" t="str">
        <f t="shared" si="290"/>
        <v/>
      </c>
      <c r="BP316" s="2">
        <f t="shared" si="291"/>
        <v>-0.10392978140328731</v>
      </c>
      <c r="BQ316" s="67">
        <f t="shared" si="320"/>
        <v>7</v>
      </c>
      <c r="BS316" s="75" t="str">
        <f t="shared" si="321"/>
        <v>UF</v>
      </c>
      <c r="BT316" s="75" t="str">
        <f t="shared" si="322"/>
        <v>UF</v>
      </c>
      <c r="BU316" s="5" t="str">
        <f t="shared" ref="BU316:BU325" si="333">IF(G325&gt;=36, IF(AND(NOT(ISBLANK(CM:CM)), NOT(ISBLANK(BD:BD))), (CM:CM-BD:BD)/2, ""), "UF")</f>
        <v>UF</v>
      </c>
      <c r="BV316" s="5" t="str">
        <f t="shared" si="292"/>
        <v>UF</v>
      </c>
      <c r="BW316" s="69" t="str">
        <f t="shared" si="293"/>
        <v/>
      </c>
      <c r="BX316" s="2" t="s">
        <v>12</v>
      </c>
      <c r="BZ316" s="74" t="str">
        <f t="shared" si="323"/>
        <v>UF</v>
      </c>
      <c r="CA316" s="74" t="str">
        <f t="shared" si="324"/>
        <v>UF</v>
      </c>
      <c r="CB316" s="5" t="str">
        <f t="shared" si="294"/>
        <v>UF</v>
      </c>
      <c r="CC316" s="5" t="str">
        <f t="shared" si="295"/>
        <v>UF</v>
      </c>
      <c r="CD316" s="2" t="e">
        <f t="shared" si="296"/>
        <v>#VALUE!</v>
      </c>
      <c r="CE316" s="69" t="str">
        <f t="shared" si="297"/>
        <v/>
      </c>
      <c r="CF316" s="5" t="s">
        <v>12</v>
      </c>
      <c r="CH316" s="72" t="str">
        <f t="shared" si="325"/>
        <v>UF</v>
      </c>
      <c r="CI316" s="72" t="str">
        <f t="shared" si="326"/>
        <v>UF</v>
      </c>
      <c r="CJ316" s="5" t="str">
        <f t="shared" si="298"/>
        <v>UF</v>
      </c>
      <c r="CK316" s="5" t="str">
        <f t="shared" si="299"/>
        <v>UF</v>
      </c>
      <c r="CL316" s="69" t="str">
        <f t="shared" si="300"/>
        <v/>
      </c>
      <c r="CN316" s="70" t="str">
        <f t="shared" si="301"/>
        <v/>
      </c>
      <c r="CO316" s="5" t="str">
        <f t="shared" si="302"/>
        <v>UF</v>
      </c>
      <c r="CP316" s="5" t="str">
        <f>IF(G316&lt;48,"UF", IF(NOT(ISBLANK(CM:CM)), CM:CM, IF(BW:BW=1, BV:BV+Sheet2!B455, IF(Sheet1!BW:BW=2, Sheet1!BV:BV+Sheet2!B456, IF(Sheet1!BW:BW=7, Sheet1!BV:BV+Sheet2!B457,"")))))</f>
        <v>UF</v>
      </c>
      <c r="CQ316" s="69" t="str">
        <f t="shared" si="327"/>
        <v/>
      </c>
      <c r="CR316" s="5" t="s">
        <v>12</v>
      </c>
      <c r="CT316" s="5" t="str">
        <f t="shared" si="303"/>
        <v/>
      </c>
      <c r="CU316" s="80" t="str">
        <f t="shared" si="304"/>
        <v>UF</v>
      </c>
      <c r="CV316" s="80" t="str">
        <f t="shared" si="305"/>
        <v>UF</v>
      </c>
      <c r="CW316" s="20" t="str">
        <f>IF(G316&lt;48,"UF", IF(NOT(ISBLANK(CS316)), CS316, IF(CE316=5, CC316+Sheet2!B444, IF(CE316=6, CC316+Sheet2!B445, IF(CE316=7, CC316+Sheet2!B446,"")))))</f>
        <v>UF</v>
      </c>
      <c r="CX316" s="68" t="str">
        <f t="shared" si="328"/>
        <v/>
      </c>
      <c r="CY316" s="5" t="s">
        <v>12</v>
      </c>
      <c r="DA316" s="5" t="str">
        <f t="shared" si="306"/>
        <v>UF</v>
      </c>
      <c r="DB316" s="73" t="str">
        <f t="shared" si="307"/>
        <v>UF</v>
      </c>
      <c r="DC316" s="73" t="str">
        <f t="shared" si="308"/>
        <v>UF</v>
      </c>
      <c r="DD316" s="5" t="str">
        <f>IF(G316&lt;48,"UF", IF(NOT(ISBLANK(CZ:CZ)), CZ:CZ, IF(CL:CL=3, CK:CK+Sheet2!B449, IF(CL:CL=4, CK:CK+Sheet2!B450, IF(CL:CL=7, CK:CK+Sheet2!B451,"")))))</f>
        <v>UF</v>
      </c>
      <c r="DE316" s="69" t="str">
        <f t="shared" si="331"/>
        <v/>
      </c>
      <c r="DF316" s="2">
        <v>2</v>
      </c>
      <c r="DG316" s="2">
        <v>30</v>
      </c>
      <c r="DH316" s="2">
        <v>1</v>
      </c>
      <c r="DI316" s="2">
        <v>2</v>
      </c>
      <c r="DJ316" s="2">
        <v>2</v>
      </c>
      <c r="DK316" s="2">
        <v>115</v>
      </c>
      <c r="DL316" s="2">
        <v>60</v>
      </c>
      <c r="DM316" s="2">
        <v>110</v>
      </c>
      <c r="DN316" s="2">
        <v>60</v>
      </c>
      <c r="DO316" s="2">
        <v>100</v>
      </c>
      <c r="DP316" s="2">
        <v>70</v>
      </c>
      <c r="DQ316" s="2">
        <v>1</v>
      </c>
      <c r="DR316" s="2">
        <v>36</v>
      </c>
      <c r="DS316" s="2">
        <v>2</v>
      </c>
      <c r="DT316" s="2">
        <v>85</v>
      </c>
      <c r="DU316" s="2">
        <v>83</v>
      </c>
      <c r="DV316" s="2">
        <v>2</v>
      </c>
      <c r="DW316" s="2">
        <v>2</v>
      </c>
      <c r="DX316" s="2">
        <v>2</v>
      </c>
      <c r="DY316" s="2">
        <v>2</v>
      </c>
      <c r="DZ316" s="2">
        <v>33</v>
      </c>
      <c r="EA316" s="2">
        <v>34</v>
      </c>
      <c r="EB316" s="2">
        <v>45</v>
      </c>
      <c r="EC316" s="2">
        <v>1</v>
      </c>
      <c r="ED316" s="2">
        <v>1</v>
      </c>
    </row>
    <row r="317" spans="2:134" x14ac:dyDescent="0.25">
      <c r="B317" s="2"/>
      <c r="C317" s="2" t="s">
        <v>219</v>
      </c>
      <c r="D317" s="2">
        <v>2501048652</v>
      </c>
      <c r="E317" s="5">
        <v>4</v>
      </c>
      <c r="F317" s="2">
        <v>2</v>
      </c>
      <c r="G317" s="2">
        <v>34</v>
      </c>
      <c r="H317">
        <v>-5.8603118783386972</v>
      </c>
      <c r="I317" s="2">
        <v>47</v>
      </c>
      <c r="J317">
        <v>-1.5235289479443319</v>
      </c>
      <c r="K317" s="5">
        <v>1650</v>
      </c>
      <c r="L317" s="2">
        <v>-4.1353631211418067</v>
      </c>
      <c r="N317" s="2">
        <f t="shared" si="268"/>
        <v>1.4372902891855797</v>
      </c>
      <c r="O317" s="2">
        <f t="shared" si="269"/>
        <v>-4.4230215891531177</v>
      </c>
      <c r="P317" s="2" t="s">
        <v>12</v>
      </c>
      <c r="R317" s="5">
        <f t="shared" si="270"/>
        <v>0.48665109634493753</v>
      </c>
      <c r="S317" s="5">
        <f t="shared" si="271"/>
        <v>-1.0368778515993944</v>
      </c>
      <c r="T317" s="1" t="s">
        <v>12</v>
      </c>
      <c r="V317" s="2">
        <f t="shared" si="272"/>
        <v>0.87354816971136739</v>
      </c>
      <c r="W317" s="2">
        <f t="shared" si="273"/>
        <v>-3.2618149514304395</v>
      </c>
      <c r="X317" s="2">
        <v>-2.9857312999675378</v>
      </c>
      <c r="Y317" s="76">
        <f t="shared" si="309"/>
        <v>2.8745805783711593</v>
      </c>
      <c r="Z317" s="76">
        <f t="shared" si="310"/>
        <v>2</v>
      </c>
      <c r="AA317" s="2">
        <f t="shared" si="274"/>
        <v>-0.33889086633406629</v>
      </c>
      <c r="AB317" s="2">
        <f t="shared" si="275"/>
        <v>-2.9857312999675378</v>
      </c>
      <c r="AC317" s="2">
        <v>75</v>
      </c>
      <c r="AD317" s="2">
        <v>-0.55022675525445686</v>
      </c>
      <c r="AE317" s="79">
        <f t="shared" si="311"/>
        <v>0.97330219268987506</v>
      </c>
      <c r="AF317" s="79">
        <f t="shared" si="312"/>
        <v>2</v>
      </c>
      <c r="AG317" s="2">
        <f t="shared" si="330"/>
        <v>-0.34763224547892635</v>
      </c>
      <c r="AH317" s="2">
        <f t="shared" si="276"/>
        <v>-0.55022675525445686</v>
      </c>
      <c r="AI317" s="2">
        <v>7500</v>
      </c>
      <c r="AJ317" s="2">
        <v>-2.3882667817190719</v>
      </c>
      <c r="AK317" s="76">
        <f t="shared" si="313"/>
        <v>1.7470963394227348</v>
      </c>
      <c r="AL317" s="76">
        <f t="shared" si="314"/>
        <v>2</v>
      </c>
      <c r="AM317" s="2">
        <f t="shared" si="277"/>
        <v>0.51491029729741977</v>
      </c>
      <c r="AN317" s="2">
        <f t="shared" si="278"/>
        <v>-2.3882667817190719</v>
      </c>
      <c r="AO317" s="2">
        <v>-1.714659584267527</v>
      </c>
      <c r="AP317" s="2" t="str">
        <f t="shared" si="279"/>
        <v/>
      </c>
      <c r="AQ317" s="2">
        <f t="shared" si="280"/>
        <v>-1.714659584267527</v>
      </c>
      <c r="AR317" s="2">
        <v>78</v>
      </c>
      <c r="AS317" s="2">
        <v>-1.7321423425572471</v>
      </c>
      <c r="AT317" s="2" t="str">
        <f t="shared" si="281"/>
        <v/>
      </c>
      <c r="AU317" s="2">
        <f t="shared" si="282"/>
        <v>-1.7321423425572471</v>
      </c>
      <c r="AV317" s="2">
        <v>8600</v>
      </c>
      <c r="AW317" s="2">
        <v>-2.2319943568356</v>
      </c>
      <c r="AX317" s="2" t="str">
        <f t="shared" si="283"/>
        <v/>
      </c>
      <c r="AY317" s="2">
        <f t="shared" si="284"/>
        <v>-2.2319943568356</v>
      </c>
      <c r="BA317" s="78" t="e">
        <f t="shared" si="315"/>
        <v>#VALUE!</v>
      </c>
      <c r="BB317" s="78" t="e">
        <f t="shared" si="316"/>
        <v>#VALUE!</v>
      </c>
      <c r="BC317" s="2" t="str">
        <f t="shared" si="285"/>
        <v/>
      </c>
      <c r="BD317" s="2" t="e">
        <f t="shared" si="286"/>
        <v>#VALUE!</v>
      </c>
      <c r="BE317" s="67" t="e">
        <f t="shared" si="317"/>
        <v>#VALUE!</v>
      </c>
      <c r="BF317" s="2" t="s">
        <v>12</v>
      </c>
      <c r="BH317" s="2" t="str">
        <f t="shared" si="287"/>
        <v/>
      </c>
      <c r="BI317" s="2" t="e">
        <f t="shared" si="288"/>
        <v>#VALUE!</v>
      </c>
      <c r="BJ317" s="67" t="e">
        <f t="shared" si="289"/>
        <v>#VALUE!</v>
      </c>
      <c r="BK317" s="2" t="s">
        <v>12</v>
      </c>
      <c r="BM317" s="77" t="e">
        <f t="shared" si="318"/>
        <v>#VALUE!</v>
      </c>
      <c r="BN317" s="77" t="e">
        <f t="shared" si="319"/>
        <v>#VALUE!</v>
      </c>
      <c r="BO317" s="2" t="str">
        <f t="shared" si="290"/>
        <v/>
      </c>
      <c r="BP317" s="2" t="e">
        <f t="shared" si="291"/>
        <v>#VALUE!</v>
      </c>
      <c r="BQ317" s="67" t="e">
        <f t="shared" si="320"/>
        <v>#VALUE!</v>
      </c>
      <c r="BR317" s="2"/>
      <c r="BS317" s="75" t="str">
        <f t="shared" si="321"/>
        <v>UF</v>
      </c>
      <c r="BT317" s="75" t="str">
        <f t="shared" si="322"/>
        <v>UF</v>
      </c>
      <c r="BU317" s="5" t="str">
        <f t="shared" si="333"/>
        <v>UF</v>
      </c>
      <c r="BV317" s="5" t="str">
        <f t="shared" si="292"/>
        <v>UF</v>
      </c>
      <c r="BW317" s="69" t="str">
        <f t="shared" si="293"/>
        <v/>
      </c>
      <c r="BX317" s="2" t="s">
        <v>12</v>
      </c>
      <c r="BY317" s="2"/>
      <c r="BZ317" s="74" t="str">
        <f t="shared" si="323"/>
        <v>UF</v>
      </c>
      <c r="CA317" s="74" t="str">
        <f t="shared" si="324"/>
        <v>UF</v>
      </c>
      <c r="CB317" s="5" t="str">
        <f t="shared" si="294"/>
        <v>UF</v>
      </c>
      <c r="CC317" s="5" t="str">
        <f t="shared" si="295"/>
        <v>UF</v>
      </c>
      <c r="CD317" s="2" t="e">
        <f t="shared" si="296"/>
        <v>#VALUE!</v>
      </c>
      <c r="CE317" s="69" t="str">
        <f t="shared" si="297"/>
        <v/>
      </c>
      <c r="CF317" s="5" t="s">
        <v>12</v>
      </c>
      <c r="CG317" s="2"/>
      <c r="CH317" s="72" t="str">
        <f t="shared" si="325"/>
        <v>UF</v>
      </c>
      <c r="CI317" s="72" t="str">
        <f t="shared" si="326"/>
        <v>UF</v>
      </c>
      <c r="CJ317" s="5" t="str">
        <f t="shared" si="298"/>
        <v>UF</v>
      </c>
      <c r="CK317" s="5" t="str">
        <f t="shared" si="299"/>
        <v>UF</v>
      </c>
      <c r="CL317" s="69" t="str">
        <f t="shared" si="300"/>
        <v/>
      </c>
      <c r="CM317" s="2"/>
      <c r="CN317" s="70" t="str">
        <f t="shared" si="301"/>
        <v/>
      </c>
      <c r="CO317" s="5" t="str">
        <f t="shared" si="302"/>
        <v>UF</v>
      </c>
      <c r="CP317" s="5" t="str">
        <f>IF(G317&lt;48,"UF", IF(NOT(ISBLANK(CM:CM)), CM:CM, IF(BW:BW=1, BV:BV+Sheet2!B618, IF(Sheet1!BW:BW=2, Sheet1!BV:BV+Sheet2!B619, IF(Sheet1!BW:BW=7, Sheet1!BV:BV+Sheet2!B620,"")))))</f>
        <v>UF</v>
      </c>
      <c r="CQ317" s="69" t="str">
        <f t="shared" si="327"/>
        <v/>
      </c>
      <c r="CR317" s="5" t="s">
        <v>12</v>
      </c>
      <c r="CS317" s="2"/>
      <c r="CT317" s="5" t="str">
        <f t="shared" si="303"/>
        <v/>
      </c>
      <c r="CU317" s="80" t="str">
        <f t="shared" si="304"/>
        <v>UF</v>
      </c>
      <c r="CV317" s="80" t="str">
        <f t="shared" si="305"/>
        <v>UF</v>
      </c>
      <c r="CW317" s="20" t="str">
        <f>IF(G317&lt;48,"UF", IF(NOT(ISBLANK(CS317)), CS317, IF(CE317=5, CC317+Sheet2!B607, IF(CE317=6, CC317+Sheet2!B608, IF(CE317=7, CC317+Sheet2!B609,"")))))</f>
        <v>UF</v>
      </c>
      <c r="CX317" s="68" t="str">
        <f t="shared" si="328"/>
        <v/>
      </c>
      <c r="CY317" s="5" t="s">
        <v>12</v>
      </c>
      <c r="DA317" s="5" t="str">
        <f t="shared" si="306"/>
        <v>UF</v>
      </c>
      <c r="DB317" s="73" t="str">
        <f t="shared" si="307"/>
        <v>UF</v>
      </c>
      <c r="DC317" s="73" t="str">
        <f t="shared" si="308"/>
        <v>UF</v>
      </c>
      <c r="DD317" s="5" t="str">
        <f>IF(G317&lt;48,"UF", IF(NOT(ISBLANK(CZ:CZ)), CZ:CZ, IF(CL:CL=3, CK:CK+Sheet2!B612, IF(CL:CL=4, CK:CK+Sheet2!B613, IF(CL:CL=7, CK:CK+Sheet2!B614,"")))))</f>
        <v>UF</v>
      </c>
      <c r="DE317" s="69" t="str">
        <f t="shared" si="331"/>
        <v/>
      </c>
      <c r="DF317" s="2">
        <v>2</v>
      </c>
      <c r="DG317" s="2">
        <v>31</v>
      </c>
      <c r="DH317" s="2">
        <v>1</v>
      </c>
      <c r="DI317" s="2">
        <v>2</v>
      </c>
      <c r="DJ317" s="2">
        <v>3</v>
      </c>
      <c r="DK317" s="2" t="s">
        <v>12</v>
      </c>
      <c r="DL317" s="2" t="s">
        <v>12</v>
      </c>
      <c r="DM317" s="2" t="s">
        <v>12</v>
      </c>
      <c r="DN317" s="2" t="s">
        <v>12</v>
      </c>
      <c r="DO317" s="2" t="s">
        <v>12</v>
      </c>
      <c r="DP317" s="2" t="s">
        <v>12</v>
      </c>
      <c r="DQ317" s="2">
        <v>2</v>
      </c>
      <c r="DR317" s="2">
        <v>37</v>
      </c>
      <c r="DS317" s="2">
        <v>3</v>
      </c>
      <c r="DT317" s="2" t="s">
        <v>12</v>
      </c>
      <c r="DU317" s="2" t="s">
        <v>12</v>
      </c>
      <c r="DV317" s="2">
        <v>2</v>
      </c>
      <c r="DW317" s="2">
        <v>3</v>
      </c>
      <c r="DX317" s="2">
        <v>2</v>
      </c>
      <c r="DY317" s="2">
        <v>3</v>
      </c>
      <c r="DZ317" s="2">
        <v>33</v>
      </c>
      <c r="EA317" s="2">
        <v>34</v>
      </c>
      <c r="EB317" s="2">
        <v>45</v>
      </c>
      <c r="EC317" s="2">
        <v>1</v>
      </c>
      <c r="ED317" s="2">
        <v>1</v>
      </c>
    </row>
    <row r="318" spans="2:134" ht="15.75" thickBot="1" x14ac:dyDescent="0.3">
      <c r="C318" s="9" t="s">
        <v>177</v>
      </c>
      <c r="D318" s="53">
        <v>2501048741</v>
      </c>
      <c r="E318" s="5">
        <v>7</v>
      </c>
      <c r="F318" s="2">
        <v>2</v>
      </c>
      <c r="G318" s="2">
        <v>28</v>
      </c>
      <c r="H318" s="2">
        <v>0.68302263761427084</v>
      </c>
      <c r="I318" s="2">
        <v>45</v>
      </c>
      <c r="J318" s="2">
        <v>-2.5799940983522691</v>
      </c>
      <c r="K318" s="1">
        <v>2900</v>
      </c>
      <c r="L318" s="2">
        <v>-0.95643865409467577</v>
      </c>
      <c r="M318" s="2">
        <v>-0.27350000000000002</v>
      </c>
      <c r="N318" s="2">
        <f t="shared" si="268"/>
        <v>-1.0255613188071355</v>
      </c>
      <c r="O318" s="2">
        <f t="shared" si="269"/>
        <v>-0.27350000000000002</v>
      </c>
      <c r="P318" s="2">
        <v>70.8</v>
      </c>
      <c r="Q318" s="2">
        <v>1.47</v>
      </c>
      <c r="R318" s="5">
        <f t="shared" si="270"/>
        <v>1.8699970491761344</v>
      </c>
      <c r="S318" s="5">
        <f t="shared" si="271"/>
        <v>1.47</v>
      </c>
      <c r="T318" s="1">
        <v>8500</v>
      </c>
      <c r="U318" s="2">
        <v>0.63</v>
      </c>
      <c r="V318" s="2">
        <f t="shared" si="272"/>
        <v>0.3132193270473379</v>
      </c>
      <c r="W318" s="2">
        <f t="shared" si="273"/>
        <v>0.63</v>
      </c>
      <c r="X318" s="2">
        <v>-1.3681000000000001</v>
      </c>
      <c r="Y318" s="76">
        <f t="shared" si="309"/>
        <v>-2.051122637614271</v>
      </c>
      <c r="Z318" s="76">
        <f t="shared" si="310"/>
        <v>-2</v>
      </c>
      <c r="AA318" s="2">
        <f t="shared" si="274"/>
        <v>-0.93459999999999999</v>
      </c>
      <c r="AB318" s="2">
        <f t="shared" si="275"/>
        <v>-1.3681000000000001</v>
      </c>
      <c r="AC318" s="2">
        <v>78.5</v>
      </c>
      <c r="AD318" s="2">
        <v>1.1599999999999999</v>
      </c>
      <c r="AE318" s="79">
        <f t="shared" si="311"/>
        <v>3.7399940983522688</v>
      </c>
      <c r="AF318" s="79">
        <f t="shared" si="312"/>
        <v>2</v>
      </c>
      <c r="AG318" s="2">
        <f t="shared" si="330"/>
        <v>-0.32</v>
      </c>
      <c r="AH318" s="2">
        <f t="shared" si="276"/>
        <v>1.1599999999999999</v>
      </c>
      <c r="AI318" s="2">
        <v>9300</v>
      </c>
      <c r="AJ318" s="2">
        <v>-0.33</v>
      </c>
      <c r="AK318" s="76">
        <f t="shared" si="313"/>
        <v>0.62643865409467581</v>
      </c>
      <c r="AL318" s="76">
        <f t="shared" si="314"/>
        <v>1</v>
      </c>
      <c r="AM318" s="2">
        <f t="shared" si="277"/>
        <v>-0.22</v>
      </c>
      <c r="AN318" s="2">
        <f t="shared" si="278"/>
        <v>-0.33</v>
      </c>
      <c r="AO318" s="2">
        <v>-0.3992</v>
      </c>
      <c r="AP318" s="2">
        <f t="shared" si="279"/>
        <v>0.2104218229487459</v>
      </c>
      <c r="AQ318" s="2">
        <f t="shared" si="280"/>
        <v>-0.3992</v>
      </c>
      <c r="AR318" s="2">
        <v>84.5</v>
      </c>
      <c r="AS318" s="2">
        <v>0.83</v>
      </c>
      <c r="AT318" s="2">
        <f t="shared" si="281"/>
        <v>-0.56027953900144012</v>
      </c>
      <c r="AU318" s="2">
        <f t="shared" si="282"/>
        <v>0.83</v>
      </c>
      <c r="AV318" s="2">
        <v>11170</v>
      </c>
      <c r="AW318" s="2">
        <v>0.19</v>
      </c>
      <c r="AX318" s="2">
        <f t="shared" si="283"/>
        <v>-0.24495817224730268</v>
      </c>
      <c r="AY318" s="2">
        <f t="shared" si="284"/>
        <v>0.19</v>
      </c>
      <c r="AZ318" s="2">
        <v>-0.9472563541025083</v>
      </c>
      <c r="BA318" s="78">
        <f t="shared" si="315"/>
        <v>0.42084364589749179</v>
      </c>
      <c r="BB318" s="78">
        <f t="shared" si="316"/>
        <v>1</v>
      </c>
      <c r="BC318" s="2" t="str">
        <f t="shared" si="285"/>
        <v/>
      </c>
      <c r="BD318" s="2">
        <f t="shared" si="286"/>
        <v>-0.9472563541025083</v>
      </c>
      <c r="BE318" s="67">
        <f t="shared" si="317"/>
        <v>7</v>
      </c>
      <c r="BF318" s="2">
        <v>87</v>
      </c>
      <c r="BG318" s="2">
        <v>3.9440921997119571E-2</v>
      </c>
      <c r="BH318" s="2" t="str">
        <f t="shared" si="287"/>
        <v/>
      </c>
      <c r="BI318" s="2">
        <f t="shared" si="288"/>
        <v>3.9440921997119571E-2</v>
      </c>
      <c r="BJ318" s="67">
        <f t="shared" si="289"/>
        <v>7</v>
      </c>
      <c r="BK318" s="2">
        <v>11670</v>
      </c>
      <c r="BL318" s="2">
        <v>-0.81991634449460538</v>
      </c>
      <c r="BM318" s="77">
        <f t="shared" si="318"/>
        <v>-0.48991634449460536</v>
      </c>
      <c r="BN318" s="77">
        <f t="shared" si="319"/>
        <v>-1</v>
      </c>
      <c r="BO318" s="2" t="str">
        <f t="shared" si="290"/>
        <v/>
      </c>
      <c r="BP318" s="2">
        <f t="shared" si="291"/>
        <v>-0.81991634449460538</v>
      </c>
      <c r="BQ318" s="67">
        <f t="shared" si="320"/>
        <v>7</v>
      </c>
      <c r="BS318" s="75" t="str">
        <f t="shared" si="321"/>
        <v>UF</v>
      </c>
      <c r="BT318" s="75" t="str">
        <f t="shared" si="322"/>
        <v>UF</v>
      </c>
      <c r="BU318" s="5" t="str">
        <f t="shared" si="333"/>
        <v>UF</v>
      </c>
      <c r="BV318" s="5" t="str">
        <f t="shared" si="292"/>
        <v>UF</v>
      </c>
      <c r="BW318" s="69" t="str">
        <f t="shared" si="293"/>
        <v/>
      </c>
      <c r="BX318" s="2" t="s">
        <v>12</v>
      </c>
      <c r="BZ318" s="74" t="str">
        <f t="shared" si="323"/>
        <v>UF</v>
      </c>
      <c r="CA318" s="74" t="str">
        <f t="shared" si="324"/>
        <v>UF</v>
      </c>
      <c r="CB318" s="5" t="str">
        <f t="shared" si="294"/>
        <v>UF</v>
      </c>
      <c r="CC318" s="5" t="str">
        <f t="shared" si="295"/>
        <v>UF</v>
      </c>
      <c r="CD318" s="2" t="e">
        <f t="shared" si="296"/>
        <v>#VALUE!</v>
      </c>
      <c r="CE318" s="69" t="str">
        <f t="shared" si="297"/>
        <v/>
      </c>
      <c r="CF318" s="5" t="s">
        <v>12</v>
      </c>
      <c r="CH318" s="72" t="str">
        <f t="shared" si="325"/>
        <v>UF</v>
      </c>
      <c r="CI318" s="72" t="str">
        <f t="shared" si="326"/>
        <v>UF</v>
      </c>
      <c r="CJ318" s="5" t="str">
        <f t="shared" si="298"/>
        <v>UF</v>
      </c>
      <c r="CK318" s="5" t="str">
        <f t="shared" si="299"/>
        <v>UF</v>
      </c>
      <c r="CL318" s="69" t="str">
        <f t="shared" si="300"/>
        <v/>
      </c>
      <c r="CN318" s="70" t="str">
        <f t="shared" si="301"/>
        <v/>
      </c>
      <c r="CO318" s="5" t="str">
        <f t="shared" si="302"/>
        <v>UF</v>
      </c>
      <c r="CP318" s="5" t="str">
        <f>IF(G318&lt;48,"UF", IF(NOT(ISBLANK(CM:CM)), CM:CM, IF(BW:BW=1, BV:BV+Sheet2!B344, IF(Sheet1!BW:BW=2, Sheet1!BV:BV+Sheet2!B345, IF(Sheet1!BW:BW=7, Sheet1!BV:BV+Sheet2!B346,"")))))</f>
        <v>UF</v>
      </c>
      <c r="CQ318" s="69" t="str">
        <f t="shared" si="327"/>
        <v/>
      </c>
      <c r="CR318" s="5" t="s">
        <v>12</v>
      </c>
      <c r="CT318" s="5" t="str">
        <f t="shared" si="303"/>
        <v/>
      </c>
      <c r="CU318" s="80" t="str">
        <f t="shared" si="304"/>
        <v>UF</v>
      </c>
      <c r="CV318" s="80" t="str">
        <f t="shared" si="305"/>
        <v>UF</v>
      </c>
      <c r="CW318" s="20" t="str">
        <f>IF(G318&lt;48,"UF", IF(NOT(ISBLANK(CS318)), CS318, IF(CE318=5, CC318+Sheet2!B333, IF(CE318=6, CC318+Sheet2!B334, IF(CE318=7, CC318+Sheet2!B335,"")))))</f>
        <v>UF</v>
      </c>
      <c r="CX318" s="68" t="str">
        <f t="shared" si="328"/>
        <v/>
      </c>
      <c r="CY318" s="5" t="s">
        <v>12</v>
      </c>
      <c r="DA318" s="5" t="str">
        <f t="shared" si="306"/>
        <v>UF</v>
      </c>
      <c r="DB318" s="73" t="str">
        <f t="shared" si="307"/>
        <v>UF</v>
      </c>
      <c r="DC318" s="73" t="str">
        <f t="shared" si="308"/>
        <v>UF</v>
      </c>
      <c r="DD318" s="5" t="str">
        <f>IF(G318&lt;48,"UF", IF(NOT(ISBLANK(CZ:CZ)), CZ:CZ, IF(CL:CL=3, CK:CK+Sheet2!B338, IF(CL:CL=4, CK:CK+Sheet2!B339, IF(CL:CL=7, CK:CK+Sheet2!B340,"")))))</f>
        <v>UF</v>
      </c>
      <c r="DE318" s="69" t="str">
        <f t="shared" si="331"/>
        <v/>
      </c>
      <c r="DF318" s="2">
        <v>3</v>
      </c>
      <c r="DG318" s="2">
        <v>35</v>
      </c>
      <c r="DH318" s="2">
        <v>1</v>
      </c>
      <c r="DI318" s="2">
        <v>2</v>
      </c>
      <c r="DJ318" s="2">
        <v>2</v>
      </c>
      <c r="DK318" s="2">
        <v>120</v>
      </c>
      <c r="DL318" s="2">
        <v>60</v>
      </c>
      <c r="DM318" s="2">
        <v>110</v>
      </c>
      <c r="DN318" s="2">
        <v>60</v>
      </c>
      <c r="DO318" s="2">
        <v>120</v>
      </c>
      <c r="DP318" s="2">
        <v>70</v>
      </c>
      <c r="DQ318" s="2">
        <v>2</v>
      </c>
      <c r="DR318" s="2">
        <v>38</v>
      </c>
      <c r="DS318" s="2">
        <v>2</v>
      </c>
      <c r="DT318" s="2">
        <v>92</v>
      </c>
      <c r="DU318" s="2">
        <v>73</v>
      </c>
      <c r="DV318" s="2">
        <v>2</v>
      </c>
      <c r="DW318" s="2">
        <v>2</v>
      </c>
      <c r="DX318" s="2">
        <v>2</v>
      </c>
      <c r="DY318" s="2">
        <v>3</v>
      </c>
      <c r="DZ318" s="2">
        <v>34</v>
      </c>
      <c r="EA318" s="2">
        <v>34.700000000000003</v>
      </c>
      <c r="EB318" s="2">
        <v>45.5</v>
      </c>
      <c r="EC318" s="2">
        <v>1</v>
      </c>
      <c r="ED318" s="2">
        <v>1</v>
      </c>
    </row>
    <row r="319" spans="2:134" ht="15.75" thickBot="1" x14ac:dyDescent="0.3">
      <c r="C319" s="9" t="s">
        <v>176</v>
      </c>
      <c r="D319" s="13">
        <v>2501048768</v>
      </c>
      <c r="E319" s="5">
        <v>7</v>
      </c>
      <c r="F319" s="2">
        <v>1</v>
      </c>
      <c r="G319" s="2">
        <v>28</v>
      </c>
      <c r="H319" s="2">
        <v>-0.70346719607649988</v>
      </c>
      <c r="I319" s="2">
        <v>55</v>
      </c>
      <c r="J319" s="2">
        <v>3.141839952085506</v>
      </c>
      <c r="K319" s="1">
        <v>3780</v>
      </c>
      <c r="L319" s="2">
        <v>1.138405206767122</v>
      </c>
      <c r="M319" s="2">
        <v>-0.52880000000000005</v>
      </c>
      <c r="N319" s="2">
        <f t="shared" si="268"/>
        <v>3.6483598038249965E-2</v>
      </c>
      <c r="O319" s="2">
        <f t="shared" si="269"/>
        <v>-0.52880000000000005</v>
      </c>
      <c r="P319" s="2">
        <v>70</v>
      </c>
      <c r="Q319" s="2">
        <v>1.87</v>
      </c>
      <c r="R319" s="5">
        <f t="shared" si="270"/>
        <v>-0.89091997604275297</v>
      </c>
      <c r="S319" s="5">
        <f t="shared" si="271"/>
        <v>1.87</v>
      </c>
      <c r="T319" s="1">
        <v>7900</v>
      </c>
      <c r="U319" s="2">
        <v>0.64</v>
      </c>
      <c r="V319" s="2">
        <f t="shared" si="272"/>
        <v>-0.41420260338356096</v>
      </c>
      <c r="W319" s="2">
        <f t="shared" si="273"/>
        <v>0.64</v>
      </c>
      <c r="X319" s="2">
        <v>-0.63049999999999995</v>
      </c>
      <c r="Y319" s="76">
        <f t="shared" si="309"/>
        <v>7.2967196076499929E-2</v>
      </c>
      <c r="Z319" s="76">
        <f t="shared" si="310"/>
        <v>1</v>
      </c>
      <c r="AA319" s="2" t="str">
        <f t="shared" si="274"/>
        <v/>
      </c>
      <c r="AB319" s="2">
        <f t="shared" si="275"/>
        <v>-0.63049999999999995</v>
      </c>
      <c r="AC319" s="2">
        <v>77.5</v>
      </c>
      <c r="AD319" s="2">
        <v>1.36</v>
      </c>
      <c r="AE319" s="79">
        <f t="shared" si="311"/>
        <v>-1.7818399520855059</v>
      </c>
      <c r="AF319" s="79">
        <f t="shared" si="312"/>
        <v>-2</v>
      </c>
      <c r="AG319" s="2" t="str">
        <f t="shared" si="330"/>
        <v/>
      </c>
      <c r="AH319" s="2">
        <f t="shared" si="276"/>
        <v>1.36</v>
      </c>
      <c r="AI319" s="2">
        <v>9300</v>
      </c>
      <c r="AJ319" s="2">
        <v>0.31</v>
      </c>
      <c r="AK319" s="76">
        <f t="shared" si="313"/>
        <v>-0.82840520676712193</v>
      </c>
      <c r="AL319" s="76">
        <f t="shared" si="314"/>
        <v>-2</v>
      </c>
      <c r="AM319" s="2" t="str">
        <f t="shared" si="277"/>
        <v/>
      </c>
      <c r="AN319" s="2">
        <f t="shared" si="278"/>
        <v>0.31</v>
      </c>
      <c r="AP319" s="2">
        <f t="shared" si="279"/>
        <v>-0.55546571196219308</v>
      </c>
      <c r="AQ319" s="2">
        <f t="shared" si="280"/>
        <v>-1.1859657119621931</v>
      </c>
      <c r="AR319" s="2" t="s">
        <v>12</v>
      </c>
      <c r="AT319" s="2">
        <f t="shared" si="281"/>
        <v>-7.2719793050364578E-2</v>
      </c>
      <c r="AU319" s="2">
        <f t="shared" si="282"/>
        <v>1.2872802069496356</v>
      </c>
      <c r="AV319" s="2" t="s">
        <v>12</v>
      </c>
      <c r="AX319" s="2">
        <f t="shared" si="283"/>
        <v>-0.42199542121945888</v>
      </c>
      <c r="AY319" s="2">
        <f t="shared" si="284"/>
        <v>-0.11199542121945888</v>
      </c>
      <c r="AZ319" s="2">
        <v>-1.741431423924386</v>
      </c>
      <c r="BA319" s="78">
        <f t="shared" si="315"/>
        <v>-1.1109314239243862</v>
      </c>
      <c r="BB319" s="78">
        <f t="shared" si="316"/>
        <v>-2</v>
      </c>
      <c r="BC319" s="2" t="str">
        <f t="shared" si="285"/>
        <v/>
      </c>
      <c r="BD319" s="2">
        <f t="shared" si="286"/>
        <v>-1.741431423924386</v>
      </c>
      <c r="BE319" s="67">
        <f t="shared" si="317"/>
        <v>7</v>
      </c>
      <c r="BF319" s="2">
        <v>89.63</v>
      </c>
      <c r="BG319" s="2">
        <v>1.2145604138992709</v>
      </c>
      <c r="BH319" s="2" t="str">
        <f t="shared" si="287"/>
        <v/>
      </c>
      <c r="BI319" s="2">
        <f t="shared" si="288"/>
        <v>1.2145604138992709</v>
      </c>
      <c r="BJ319" s="67">
        <f t="shared" si="289"/>
        <v>7</v>
      </c>
      <c r="BK319" s="2">
        <v>11470</v>
      </c>
      <c r="BL319" s="2">
        <v>-0.5339908424389177</v>
      </c>
      <c r="BM319" s="77">
        <f t="shared" si="318"/>
        <v>-0.84399084243891775</v>
      </c>
      <c r="BN319" s="77">
        <f t="shared" si="319"/>
        <v>-2</v>
      </c>
      <c r="BO319" s="2" t="str">
        <f t="shared" si="290"/>
        <v/>
      </c>
      <c r="BP319" s="2">
        <f t="shared" si="291"/>
        <v>-0.5339908424389177</v>
      </c>
      <c r="BQ319" s="67">
        <f t="shared" si="320"/>
        <v>7</v>
      </c>
      <c r="BS319" s="75" t="str">
        <f t="shared" si="321"/>
        <v>UF</v>
      </c>
      <c r="BT319" s="75" t="str">
        <f t="shared" si="322"/>
        <v>UF</v>
      </c>
      <c r="BU319" s="5" t="str">
        <f t="shared" si="333"/>
        <v>UF</v>
      </c>
      <c r="BV319" s="5" t="str">
        <f t="shared" si="292"/>
        <v>UF</v>
      </c>
      <c r="BW319" s="69" t="str">
        <f t="shared" si="293"/>
        <v/>
      </c>
      <c r="BX319" s="2" t="s">
        <v>12</v>
      </c>
      <c r="BZ319" s="74" t="str">
        <f t="shared" si="323"/>
        <v>UF</v>
      </c>
      <c r="CA319" s="74" t="str">
        <f t="shared" si="324"/>
        <v>UF</v>
      </c>
      <c r="CB319" s="5" t="str">
        <f t="shared" si="294"/>
        <v>UF</v>
      </c>
      <c r="CC319" s="5" t="str">
        <f t="shared" si="295"/>
        <v>UF</v>
      </c>
      <c r="CD319" s="2" t="e">
        <f t="shared" si="296"/>
        <v>#VALUE!</v>
      </c>
      <c r="CE319" s="69" t="str">
        <f t="shared" si="297"/>
        <v/>
      </c>
      <c r="CF319" s="5" t="s">
        <v>12</v>
      </c>
      <c r="CH319" s="72" t="str">
        <f t="shared" si="325"/>
        <v>UF</v>
      </c>
      <c r="CI319" s="72" t="str">
        <f t="shared" si="326"/>
        <v>UF</v>
      </c>
      <c r="CJ319" s="5" t="str">
        <f t="shared" si="298"/>
        <v>UF</v>
      </c>
      <c r="CK319" s="5" t="str">
        <f t="shared" si="299"/>
        <v>UF</v>
      </c>
      <c r="CL319" s="69" t="str">
        <f t="shared" si="300"/>
        <v/>
      </c>
      <c r="CN319" s="70" t="str">
        <f t="shared" si="301"/>
        <v/>
      </c>
      <c r="CO319" s="5" t="str">
        <f t="shared" si="302"/>
        <v>UF</v>
      </c>
      <c r="CP319" s="5" t="str">
        <f>IF(G319&lt;48,"UF", IF(NOT(ISBLANK(CM:CM)), CM:CM, IF(BW:BW=1, BV:BV+Sheet2!B343, IF(Sheet1!BW:BW=2, Sheet1!BV:BV+Sheet2!B344, IF(Sheet1!BW:BW=7, Sheet1!BV:BV+Sheet2!B345,"")))))</f>
        <v>UF</v>
      </c>
      <c r="CQ319" s="69" t="str">
        <f t="shared" si="327"/>
        <v/>
      </c>
      <c r="CR319" s="5" t="s">
        <v>12</v>
      </c>
      <c r="CT319" s="5" t="str">
        <f t="shared" si="303"/>
        <v/>
      </c>
      <c r="CU319" s="80" t="str">
        <f t="shared" si="304"/>
        <v>UF</v>
      </c>
      <c r="CV319" s="80" t="str">
        <f t="shared" si="305"/>
        <v>UF</v>
      </c>
      <c r="CW319" s="20" t="str">
        <f>IF(G319&lt;48,"UF", IF(NOT(ISBLANK(CS319)), CS319, IF(CE319=5, CC319+Sheet2!B332, IF(CE319=6, CC319+Sheet2!B333, IF(CE319=7, CC319+Sheet2!B334,"")))))</f>
        <v>UF</v>
      </c>
      <c r="CX319" s="68" t="str">
        <f t="shared" si="328"/>
        <v/>
      </c>
      <c r="CY319" s="5" t="s">
        <v>12</v>
      </c>
      <c r="DA319" s="5" t="str">
        <f t="shared" si="306"/>
        <v>UF</v>
      </c>
      <c r="DB319" s="73" t="str">
        <f t="shared" si="307"/>
        <v>UF</v>
      </c>
      <c r="DC319" s="73" t="str">
        <f t="shared" si="308"/>
        <v>UF</v>
      </c>
      <c r="DD319" s="5" t="str">
        <f>IF(G319&lt;48,"UF", IF(NOT(ISBLANK(CZ:CZ)), CZ:CZ, IF(CL:CL=3, CK:CK+Sheet2!B337, IF(CL:CL=4, CK:CK+Sheet2!B338, IF(CL:CL=7, CK:CK+Sheet2!B339,"")))))</f>
        <v>UF</v>
      </c>
      <c r="DE319" s="69" t="str">
        <f t="shared" si="331"/>
        <v/>
      </c>
      <c r="DF319" s="2">
        <v>1</v>
      </c>
      <c r="DG319" s="2">
        <v>30</v>
      </c>
      <c r="DH319" s="2">
        <v>2</v>
      </c>
      <c r="DI319" s="2">
        <v>2</v>
      </c>
      <c r="DJ319" s="2">
        <v>3</v>
      </c>
      <c r="DK319" s="2" t="s">
        <v>12</v>
      </c>
      <c r="DL319" s="2" t="s">
        <v>12</v>
      </c>
      <c r="DM319" s="2" t="s">
        <v>12</v>
      </c>
      <c r="DN319" s="2" t="s">
        <v>12</v>
      </c>
      <c r="DO319" s="2" t="s">
        <v>12</v>
      </c>
      <c r="DP319" s="2" t="s">
        <v>12</v>
      </c>
      <c r="DQ319" s="2">
        <v>2</v>
      </c>
      <c r="DR319" s="2">
        <v>38</v>
      </c>
      <c r="DS319" s="2">
        <v>1</v>
      </c>
      <c r="DT319" s="2">
        <v>98</v>
      </c>
      <c r="DU319" s="2">
        <v>95</v>
      </c>
      <c r="DV319" s="2">
        <v>2</v>
      </c>
      <c r="DW319" s="2">
        <v>2</v>
      </c>
      <c r="DX319" s="2">
        <v>2</v>
      </c>
      <c r="DY319" s="2">
        <v>2</v>
      </c>
      <c r="DZ319" s="2">
        <v>35</v>
      </c>
      <c r="EA319" s="2">
        <v>36</v>
      </c>
      <c r="EB319" s="2">
        <v>45</v>
      </c>
      <c r="EC319" s="2">
        <v>1</v>
      </c>
      <c r="ED319" s="2">
        <v>1</v>
      </c>
    </row>
    <row r="320" spans="2:134" x14ac:dyDescent="0.25">
      <c r="B320" s="2"/>
      <c r="C320" s="2" t="s">
        <v>176</v>
      </c>
      <c r="D320" s="2">
        <v>2501048806</v>
      </c>
      <c r="E320" s="5">
        <v>2</v>
      </c>
      <c r="F320" s="2">
        <v>2</v>
      </c>
      <c r="G320" s="2">
        <v>34</v>
      </c>
      <c r="H320">
        <v>-1.1795019105887261</v>
      </c>
      <c r="I320" s="2">
        <v>50</v>
      </c>
      <c r="J320">
        <v>6.1168777667580831E-2</v>
      </c>
      <c r="K320" s="5">
        <v>3000</v>
      </c>
      <c r="L320" s="2">
        <v>-0.73426392472567259</v>
      </c>
      <c r="M320" s="2">
        <v>-1.5311439601892891</v>
      </c>
      <c r="N320" s="2">
        <f t="shared" si="268"/>
        <v>-0.38164143711748799</v>
      </c>
      <c r="O320" s="2">
        <f t="shared" si="269"/>
        <v>-1.5311439601892891</v>
      </c>
      <c r="P320" s="2">
        <v>69.5</v>
      </c>
      <c r="Q320" s="2">
        <v>0.52506415530890782</v>
      </c>
      <c r="R320" s="5">
        <f t="shared" si="270"/>
        <v>-0.30569776646101887</v>
      </c>
      <c r="S320" s="5">
        <f t="shared" si="271"/>
        <v>0.52506415530890782</v>
      </c>
      <c r="T320" s="1">
        <v>7400</v>
      </c>
      <c r="U320" s="2">
        <v>-0.83625876008165101</v>
      </c>
      <c r="V320" s="2">
        <f t="shared" si="272"/>
        <v>-0.4798838444088992</v>
      </c>
      <c r="W320" s="2">
        <f t="shared" si="273"/>
        <v>-0.83625876008165101</v>
      </c>
      <c r="X320" s="2">
        <v>-1.9427847848237021</v>
      </c>
      <c r="Y320" s="76">
        <f t="shared" si="309"/>
        <v>-0.76328287423497598</v>
      </c>
      <c r="Z320" s="76">
        <f t="shared" si="310"/>
        <v>-2</v>
      </c>
      <c r="AA320" s="2">
        <f t="shared" si="274"/>
        <v>-1.5317664304366849</v>
      </c>
      <c r="AB320" s="2">
        <f t="shared" si="275"/>
        <v>-1.9427847848237021</v>
      </c>
      <c r="AC320" s="2">
        <v>75</v>
      </c>
      <c r="AD320" s="2">
        <v>-0.55022675525445686</v>
      </c>
      <c r="AE320" s="79">
        <f t="shared" si="311"/>
        <v>-0.61139553292203774</v>
      </c>
      <c r="AF320" s="79">
        <f t="shared" si="312"/>
        <v>-1</v>
      </c>
      <c r="AG320" s="2">
        <f t="shared" si="330"/>
        <v>-2.7245469527714811E-2</v>
      </c>
      <c r="AH320" s="2">
        <f t="shared" si="276"/>
        <v>-0.55022675525445686</v>
      </c>
      <c r="AI320" s="2">
        <v>8100</v>
      </c>
      <c r="AJ320" s="2">
        <v>-1.694031613543471</v>
      </c>
      <c r="AK320" s="76">
        <f t="shared" si="313"/>
        <v>-0.95976768881779839</v>
      </c>
      <c r="AL320" s="76">
        <f t="shared" si="314"/>
        <v>-2</v>
      </c>
      <c r="AM320" s="2">
        <f t="shared" si="277"/>
        <v>-0.300082843442189</v>
      </c>
      <c r="AN320" s="2">
        <f t="shared" si="278"/>
        <v>-1.694031613543471</v>
      </c>
      <c r="AO320" s="2">
        <v>-2.5384687055644619</v>
      </c>
      <c r="AP320" s="2">
        <f t="shared" si="279"/>
        <v>-0.51944541416460854</v>
      </c>
      <c r="AQ320" s="2">
        <f t="shared" si="280"/>
        <v>-2.5384687055644619</v>
      </c>
      <c r="AR320" s="2">
        <v>84</v>
      </c>
      <c r="AS320" s="2">
        <v>0.4705732162534782</v>
      </c>
      <c r="AT320" s="2">
        <f t="shared" si="281"/>
        <v>0.29483383862578821</v>
      </c>
      <c r="AU320" s="2">
        <f t="shared" si="282"/>
        <v>0.4705732162534782</v>
      </c>
      <c r="AV320" s="2">
        <v>9400</v>
      </c>
      <c r="AW320" s="2">
        <v>-1.436424446966029</v>
      </c>
      <c r="AX320" s="2">
        <f t="shared" si="283"/>
        <v>-0.15930086802208399</v>
      </c>
      <c r="AY320" s="2">
        <f t="shared" si="284"/>
        <v>-1.436424446966029</v>
      </c>
      <c r="AZ320" s="2">
        <v>-2.9816756131529192</v>
      </c>
      <c r="BA320" s="78">
        <f t="shared" si="315"/>
        <v>-1.0388908283292171</v>
      </c>
      <c r="BB320" s="78">
        <f t="shared" si="316"/>
        <v>-2</v>
      </c>
      <c r="BC320" s="2" t="str">
        <f t="shared" si="285"/>
        <v/>
      </c>
      <c r="BD320" s="2">
        <f t="shared" si="286"/>
        <v>-2.9816756131529192</v>
      </c>
      <c r="BE320" s="67">
        <f t="shared" si="317"/>
        <v>2</v>
      </c>
      <c r="BF320" s="2">
        <v>87</v>
      </c>
      <c r="BG320" s="2">
        <v>3.9440921997119571E-2</v>
      </c>
      <c r="BH320" s="2" t="str">
        <f t="shared" si="287"/>
        <v/>
      </c>
      <c r="BI320" s="2">
        <f t="shared" si="288"/>
        <v>3.9440921997119571E-2</v>
      </c>
      <c r="BJ320" s="67">
        <f t="shared" si="289"/>
        <v>7</v>
      </c>
      <c r="BK320" s="2">
        <v>10300</v>
      </c>
      <c r="BL320" s="2">
        <v>-2.012633349587639</v>
      </c>
      <c r="BM320" s="77">
        <f t="shared" si="318"/>
        <v>-0.31860173604416797</v>
      </c>
      <c r="BN320" s="77">
        <f t="shared" si="319"/>
        <v>-1</v>
      </c>
      <c r="BO320" s="2" t="str">
        <f t="shared" si="290"/>
        <v/>
      </c>
      <c r="BP320" s="2">
        <f t="shared" si="291"/>
        <v>-2.012633349587639</v>
      </c>
      <c r="BQ320" s="67">
        <f t="shared" si="320"/>
        <v>4</v>
      </c>
      <c r="BR320" s="2"/>
      <c r="BS320" s="75" t="str">
        <f t="shared" si="321"/>
        <v>UF</v>
      </c>
      <c r="BT320" s="75" t="str">
        <f t="shared" si="322"/>
        <v>UF</v>
      </c>
      <c r="BU320" s="5" t="str">
        <f t="shared" si="333"/>
        <v>UF</v>
      </c>
      <c r="BV320" s="5" t="str">
        <f t="shared" si="292"/>
        <v>UF</v>
      </c>
      <c r="BW320" s="69" t="str">
        <f t="shared" si="293"/>
        <v/>
      </c>
      <c r="BX320" s="2" t="s">
        <v>12</v>
      </c>
      <c r="BY320" s="2"/>
      <c r="BZ320" s="74" t="str">
        <f t="shared" si="323"/>
        <v>UF</v>
      </c>
      <c r="CA320" s="74" t="str">
        <f t="shared" si="324"/>
        <v>UF</v>
      </c>
      <c r="CB320" s="5" t="str">
        <f t="shared" si="294"/>
        <v>UF</v>
      </c>
      <c r="CC320" s="5" t="str">
        <f t="shared" si="295"/>
        <v>UF</v>
      </c>
      <c r="CD320" s="2" t="e">
        <f t="shared" si="296"/>
        <v>#VALUE!</v>
      </c>
      <c r="CE320" s="69" t="str">
        <f t="shared" si="297"/>
        <v/>
      </c>
      <c r="CF320" s="5" t="s">
        <v>12</v>
      </c>
      <c r="CG320" s="2"/>
      <c r="CH320" s="72" t="str">
        <f t="shared" si="325"/>
        <v>UF</v>
      </c>
      <c r="CI320" s="72" t="str">
        <f t="shared" si="326"/>
        <v>UF</v>
      </c>
      <c r="CJ320" s="5" t="str">
        <f t="shared" si="298"/>
        <v>UF</v>
      </c>
      <c r="CK320" s="5" t="str">
        <f t="shared" si="299"/>
        <v>UF</v>
      </c>
      <c r="CL320" s="69" t="str">
        <f t="shared" si="300"/>
        <v/>
      </c>
      <c r="CM320" s="2"/>
      <c r="CN320" s="70" t="str">
        <f t="shared" si="301"/>
        <v/>
      </c>
      <c r="CO320" s="5" t="str">
        <f t="shared" si="302"/>
        <v>UF</v>
      </c>
      <c r="CP320" s="5" t="str">
        <f>IF(G320&lt;48,"UF", IF(NOT(ISBLANK(CM:CM)), CM:CM, IF(BW:BW=1, BV:BV+Sheet2!B625, IF(Sheet1!BW:BW=2, Sheet1!BV:BV+Sheet2!B626, IF(Sheet1!BW:BW=7, Sheet1!BV:BV+Sheet2!B627,"")))))</f>
        <v>UF</v>
      </c>
      <c r="CQ320" s="69" t="str">
        <f t="shared" si="327"/>
        <v/>
      </c>
      <c r="CR320" s="5" t="s">
        <v>12</v>
      </c>
      <c r="CS320" s="2"/>
      <c r="CT320" s="5" t="str">
        <f t="shared" si="303"/>
        <v/>
      </c>
      <c r="CU320" s="80" t="str">
        <f t="shared" si="304"/>
        <v>UF</v>
      </c>
      <c r="CV320" s="80" t="str">
        <f t="shared" si="305"/>
        <v>UF</v>
      </c>
      <c r="CW320" s="20" t="str">
        <f>IF(G320&lt;48,"UF", IF(NOT(ISBLANK(CS320)), CS320, IF(CE320=5, CC320+Sheet2!B614, IF(CE320=6, CC320+Sheet2!B615, IF(CE320=7, CC320+Sheet2!B616,"")))))</f>
        <v>UF</v>
      </c>
      <c r="CX320" s="68" t="str">
        <f t="shared" si="328"/>
        <v/>
      </c>
      <c r="CY320" s="5" t="s">
        <v>12</v>
      </c>
      <c r="DA320" s="5" t="str">
        <f t="shared" si="306"/>
        <v>UF</v>
      </c>
      <c r="DB320" s="73" t="str">
        <f t="shared" si="307"/>
        <v>UF</v>
      </c>
      <c r="DC320" s="73" t="str">
        <f t="shared" si="308"/>
        <v>UF</v>
      </c>
      <c r="DD320" s="5" t="str">
        <f>IF(G320&lt;48,"UF", IF(NOT(ISBLANK(CZ:CZ)), CZ:CZ, IF(CL:CL=3, CK:CK+Sheet2!B619, IF(CL:CL=4, CK:CK+Sheet2!B620, IF(CL:CL=7, CK:CK+Sheet2!B621,"")))))</f>
        <v>UF</v>
      </c>
      <c r="DE320" s="69" t="str">
        <f t="shared" si="331"/>
        <v/>
      </c>
      <c r="DF320" s="2">
        <v>2</v>
      </c>
      <c r="DG320" s="2">
        <v>37</v>
      </c>
      <c r="DH320" s="2">
        <v>2</v>
      </c>
      <c r="DI320" s="2">
        <v>2</v>
      </c>
      <c r="DJ320" s="2">
        <v>2</v>
      </c>
      <c r="DK320" s="2">
        <v>110</v>
      </c>
      <c r="DL320" s="2">
        <v>60</v>
      </c>
      <c r="DM320" s="2">
        <v>110</v>
      </c>
      <c r="DN320" s="2">
        <v>70</v>
      </c>
      <c r="DO320" s="2">
        <v>120</v>
      </c>
      <c r="DP320" s="2">
        <v>76</v>
      </c>
      <c r="DQ320" s="2">
        <v>2</v>
      </c>
      <c r="DR320" s="2">
        <v>37</v>
      </c>
      <c r="DS320" s="2">
        <v>2</v>
      </c>
      <c r="DT320" s="2">
        <v>80</v>
      </c>
      <c r="DU320" s="2">
        <v>81</v>
      </c>
      <c r="DV320" s="2">
        <v>4</v>
      </c>
      <c r="DW320" s="2">
        <v>2</v>
      </c>
      <c r="DX320" s="2">
        <v>2</v>
      </c>
      <c r="DY320" s="2">
        <v>2</v>
      </c>
      <c r="DZ320" s="2">
        <v>34</v>
      </c>
      <c r="EA320" s="2">
        <v>35</v>
      </c>
      <c r="EB320" s="2">
        <v>43</v>
      </c>
      <c r="EC320" s="2">
        <v>1</v>
      </c>
      <c r="ED320" s="2">
        <v>1</v>
      </c>
    </row>
    <row r="321" spans="3:134" x14ac:dyDescent="0.25">
      <c r="C321" s="8" t="s">
        <v>290</v>
      </c>
      <c r="D321" s="8">
        <v>2501048881</v>
      </c>
      <c r="E321" s="5">
        <v>7</v>
      </c>
      <c r="F321" s="2">
        <v>1</v>
      </c>
      <c r="G321" s="2">
        <v>30</v>
      </c>
      <c r="H321" s="2">
        <v>-0.95948012325352849</v>
      </c>
      <c r="I321" s="2">
        <v>52</v>
      </c>
      <c r="J321" s="2">
        <v>1.531272843240846</v>
      </c>
      <c r="K321" s="2">
        <v>3300</v>
      </c>
      <c r="L321" s="2">
        <v>0.14707338780410831</v>
      </c>
      <c r="M321" s="2">
        <v>-2.2480000000000002</v>
      </c>
      <c r="N321" s="2">
        <f t="shared" si="268"/>
        <v>-0.2032599383732358</v>
      </c>
      <c r="O321" s="2">
        <f t="shared" si="269"/>
        <v>-2.2480000000000002</v>
      </c>
      <c r="P321" s="2">
        <v>68</v>
      </c>
      <c r="Q321" s="2">
        <v>0.99</v>
      </c>
      <c r="R321" s="5">
        <f t="shared" si="270"/>
        <v>-0.38063642162042299</v>
      </c>
      <c r="S321" s="5">
        <f t="shared" si="271"/>
        <v>0.99</v>
      </c>
      <c r="T321" s="2">
        <v>6400</v>
      </c>
      <c r="U321" s="2">
        <v>-1.0900000000000001</v>
      </c>
      <c r="V321" s="2">
        <f t="shared" si="272"/>
        <v>-0.33353669390205415</v>
      </c>
      <c r="W321" s="2">
        <f t="shared" si="273"/>
        <v>-1.0900000000000001</v>
      </c>
      <c r="X321" s="2">
        <v>-1.3660000000000001</v>
      </c>
      <c r="Y321" s="76">
        <f t="shared" si="309"/>
        <v>-0.40651987674647161</v>
      </c>
      <c r="Z321" s="76">
        <f t="shared" si="310"/>
        <v>-1</v>
      </c>
      <c r="AA321" s="2">
        <f t="shared" si="274"/>
        <v>-1.34545</v>
      </c>
      <c r="AB321" s="2">
        <f t="shared" si="275"/>
        <v>-1.3660000000000001</v>
      </c>
      <c r="AC321" s="2">
        <v>76</v>
      </c>
      <c r="AD321" s="2">
        <v>0.77</v>
      </c>
      <c r="AE321" s="79">
        <f t="shared" si="311"/>
        <v>-0.76127284324084599</v>
      </c>
      <c r="AF321" s="79">
        <f t="shared" si="312"/>
        <v>-2</v>
      </c>
      <c r="AG321" s="2">
        <f t="shared" si="330"/>
        <v>-9.9999999999999978E-2</v>
      </c>
      <c r="AH321" s="2">
        <f t="shared" si="276"/>
        <v>0.77</v>
      </c>
      <c r="AI321" s="2">
        <v>8400</v>
      </c>
      <c r="AJ321" s="2">
        <v>-0.52</v>
      </c>
      <c r="AK321" s="76">
        <f t="shared" si="313"/>
        <v>-0.6670733878041083</v>
      </c>
      <c r="AL321" s="76">
        <f t="shared" si="314"/>
        <v>-1</v>
      </c>
      <c r="AM321" s="2">
        <f t="shared" si="277"/>
        <v>0.19500000000000006</v>
      </c>
      <c r="AN321" s="2">
        <f t="shared" si="278"/>
        <v>-0.52</v>
      </c>
      <c r="AO321" s="2">
        <v>-1.7009000000000001</v>
      </c>
      <c r="AP321" s="2">
        <f t="shared" si="279"/>
        <v>-6.8759394399738993E-2</v>
      </c>
      <c r="AQ321" s="2">
        <f t="shared" si="280"/>
        <v>-1.7009000000000001</v>
      </c>
      <c r="AR321" s="2">
        <v>83</v>
      </c>
      <c r="AS321" s="2">
        <v>0.79</v>
      </c>
      <c r="AT321" s="2">
        <f t="shared" si="281"/>
        <v>-0.15523406100756887</v>
      </c>
      <c r="AU321" s="2">
        <f t="shared" si="282"/>
        <v>0.79</v>
      </c>
      <c r="AV321" s="2">
        <v>9400</v>
      </c>
      <c r="AW321" s="2">
        <v>-0.7</v>
      </c>
      <c r="AX321" s="2">
        <f t="shared" si="283"/>
        <v>-0.21278864706458922</v>
      </c>
      <c r="AY321" s="2">
        <f t="shared" si="284"/>
        <v>-0.7</v>
      </c>
      <c r="AZ321" s="2">
        <v>-1.5035187887994781</v>
      </c>
      <c r="BA321" s="78">
        <f t="shared" si="315"/>
        <v>-0.13751878879947799</v>
      </c>
      <c r="BB321" s="78">
        <f t="shared" si="316"/>
        <v>-1</v>
      </c>
      <c r="BC321" s="2" t="str">
        <f t="shared" si="285"/>
        <v/>
      </c>
      <c r="BD321" s="2">
        <f t="shared" si="286"/>
        <v>-1.5035187887994781</v>
      </c>
      <c r="BE321" s="67">
        <f t="shared" si="317"/>
        <v>7</v>
      </c>
      <c r="BF321" s="2">
        <v>87</v>
      </c>
      <c r="BG321" s="2">
        <v>0.45953187798486228</v>
      </c>
      <c r="BH321" s="2" t="str">
        <f t="shared" si="287"/>
        <v/>
      </c>
      <c r="BI321" s="2">
        <f t="shared" si="288"/>
        <v>0.45953187798486228</v>
      </c>
      <c r="BJ321" s="67">
        <f t="shared" si="289"/>
        <v>7</v>
      </c>
      <c r="BK321" s="2">
        <v>11000</v>
      </c>
      <c r="BL321" s="2">
        <v>-0.94557729412917846</v>
      </c>
      <c r="BM321" s="77">
        <f t="shared" si="318"/>
        <v>-0.42557729412917844</v>
      </c>
      <c r="BN321" s="77">
        <f t="shared" si="319"/>
        <v>-1</v>
      </c>
      <c r="BO321" s="2" t="str">
        <f t="shared" si="290"/>
        <v/>
      </c>
      <c r="BP321" s="2">
        <f t="shared" si="291"/>
        <v>-0.94557729412917846</v>
      </c>
      <c r="BQ321" s="67">
        <f t="shared" si="320"/>
        <v>7</v>
      </c>
      <c r="BS321" s="75" t="str">
        <f t="shared" si="321"/>
        <v>UF</v>
      </c>
      <c r="BT321" s="75" t="str">
        <f t="shared" si="322"/>
        <v>UF</v>
      </c>
      <c r="BU321" s="5" t="str">
        <f t="shared" si="333"/>
        <v>UF</v>
      </c>
      <c r="BV321" s="5" t="str">
        <f t="shared" si="292"/>
        <v>UF</v>
      </c>
      <c r="BW321" s="69" t="str">
        <f t="shared" si="293"/>
        <v/>
      </c>
      <c r="BX321" s="2" t="s">
        <v>12</v>
      </c>
      <c r="BZ321" s="74" t="str">
        <f t="shared" si="323"/>
        <v>UF</v>
      </c>
      <c r="CA321" s="74" t="str">
        <f t="shared" si="324"/>
        <v>UF</v>
      </c>
      <c r="CB321" s="5" t="str">
        <f t="shared" si="294"/>
        <v>UF</v>
      </c>
      <c r="CC321" s="5" t="str">
        <f t="shared" si="295"/>
        <v>UF</v>
      </c>
      <c r="CD321" s="2" t="e">
        <f t="shared" si="296"/>
        <v>#VALUE!</v>
      </c>
      <c r="CE321" s="69" t="str">
        <f t="shared" si="297"/>
        <v/>
      </c>
      <c r="CF321" s="5" t="s">
        <v>12</v>
      </c>
      <c r="CH321" s="72" t="str">
        <f t="shared" si="325"/>
        <v>UF</v>
      </c>
      <c r="CI321" s="72" t="str">
        <f t="shared" si="326"/>
        <v>UF</v>
      </c>
      <c r="CJ321" s="5" t="str">
        <f t="shared" si="298"/>
        <v>UF</v>
      </c>
      <c r="CK321" s="5" t="str">
        <f t="shared" si="299"/>
        <v>UF</v>
      </c>
      <c r="CL321" s="69" t="str">
        <f t="shared" si="300"/>
        <v/>
      </c>
      <c r="CN321" s="70" t="str">
        <f t="shared" si="301"/>
        <v/>
      </c>
      <c r="CO321" s="5" t="str">
        <f t="shared" si="302"/>
        <v>UF</v>
      </c>
      <c r="CP321" s="5" t="str">
        <f>IF(G321&lt;48,"UF", IF(NOT(ISBLANK(CM:CM)), CM:CM, IF(BW:BW=1, BV:BV+Sheet2!B504, IF(Sheet1!BW:BW=2, Sheet1!BV:BV+Sheet2!B505, IF(Sheet1!BW:BW=7, Sheet1!BV:BV+Sheet2!B506,"")))))</f>
        <v>UF</v>
      </c>
      <c r="CQ321" s="69" t="str">
        <f t="shared" si="327"/>
        <v/>
      </c>
      <c r="CR321" s="5" t="s">
        <v>12</v>
      </c>
      <c r="CT321" s="5" t="str">
        <f t="shared" si="303"/>
        <v/>
      </c>
      <c r="CU321" s="80" t="str">
        <f t="shared" si="304"/>
        <v>UF</v>
      </c>
      <c r="CV321" s="80" t="str">
        <f t="shared" si="305"/>
        <v>UF</v>
      </c>
      <c r="CW321" s="20" t="str">
        <f>IF(G321&lt;48,"UF", IF(NOT(ISBLANK(CS321)), CS321, IF(CE321=5, CC321+Sheet2!B493, IF(CE321=6, CC321+Sheet2!B494, IF(CE321=7, CC321+Sheet2!B495,"")))))</f>
        <v>UF</v>
      </c>
      <c r="CX321" s="68" t="str">
        <f t="shared" si="328"/>
        <v/>
      </c>
      <c r="CY321" s="5" t="s">
        <v>12</v>
      </c>
      <c r="DA321" s="5" t="str">
        <f t="shared" si="306"/>
        <v>UF</v>
      </c>
      <c r="DB321" s="73" t="str">
        <f t="shared" si="307"/>
        <v>UF</v>
      </c>
      <c r="DC321" s="73" t="str">
        <f t="shared" si="308"/>
        <v>UF</v>
      </c>
      <c r="DD321" s="5" t="str">
        <f>IF(G321&lt;48,"UF", IF(NOT(ISBLANK(CZ:CZ)), CZ:CZ, IF(CL:CL=3, CK:CK+Sheet2!B498, IF(CL:CL=4, CK:CK+Sheet2!B499, IF(CL:CL=7, CK:CK+Sheet2!B500,"")))))</f>
        <v>UF</v>
      </c>
      <c r="DE321" s="69" t="str">
        <f t="shared" si="331"/>
        <v/>
      </c>
      <c r="DF321" s="2">
        <v>2</v>
      </c>
      <c r="DG321" s="2">
        <v>33</v>
      </c>
      <c r="DH321" s="2">
        <v>2</v>
      </c>
      <c r="DI321" s="2">
        <v>1</v>
      </c>
      <c r="DJ321" s="2">
        <v>2</v>
      </c>
      <c r="DK321" s="2">
        <v>110</v>
      </c>
      <c r="DL321" s="2">
        <v>70</v>
      </c>
      <c r="DM321" s="2" t="s">
        <v>12</v>
      </c>
      <c r="DN321" s="2" t="s">
        <v>12</v>
      </c>
      <c r="DO321" s="2" t="s">
        <v>12</v>
      </c>
      <c r="DP321" s="2" t="s">
        <v>12</v>
      </c>
      <c r="DQ321" s="2">
        <v>2</v>
      </c>
      <c r="DR321" s="2">
        <v>40</v>
      </c>
      <c r="DS321" s="2">
        <v>2</v>
      </c>
      <c r="DT321" s="2">
        <v>86</v>
      </c>
      <c r="DU321" s="2">
        <v>74</v>
      </c>
      <c r="DV321" s="2">
        <v>2</v>
      </c>
      <c r="DW321" s="2">
        <v>3</v>
      </c>
      <c r="DX321" s="2">
        <v>2</v>
      </c>
      <c r="DY321" s="2">
        <v>3</v>
      </c>
      <c r="DZ321" s="2">
        <v>35</v>
      </c>
      <c r="EA321" s="2" t="s">
        <v>12</v>
      </c>
      <c r="EB321" s="2">
        <v>47</v>
      </c>
      <c r="EC321" s="2" t="s">
        <v>12</v>
      </c>
      <c r="ED321" s="2">
        <v>1</v>
      </c>
    </row>
    <row r="322" spans="3:134" ht="15.75" thickBot="1" x14ac:dyDescent="0.3">
      <c r="C322" s="8" t="s">
        <v>219</v>
      </c>
      <c r="D322" s="8">
        <v>2501049195</v>
      </c>
      <c r="E322" s="5">
        <v>7</v>
      </c>
      <c r="F322" s="2">
        <v>1</v>
      </c>
      <c r="G322" s="2">
        <v>30</v>
      </c>
      <c r="H322" s="2">
        <v>-1.893236974006588</v>
      </c>
      <c r="I322" s="2">
        <v>50</v>
      </c>
      <c r="J322" s="2">
        <v>0.45756143734440202</v>
      </c>
      <c r="K322" s="2">
        <v>2800</v>
      </c>
      <c r="L322" s="2">
        <v>-0.98574519678023331</v>
      </c>
      <c r="M322" s="2">
        <v>-1.0902000000000001</v>
      </c>
      <c r="N322" s="2">
        <f t="shared" ref="N322:N385" si="334">IF(AND(NOT(ISBLANK(H:H)), NOT(ISBLANK(X:X))), (X:X - H:H)/2, "")</f>
        <v>0.97386848700329398</v>
      </c>
      <c r="O322" s="2">
        <f t="shared" ref="O322:O385" si="335">IF(NOT(ISBLANK(M:M)),M:M,IF(AND(NOT(ISBLANK(N:N)),NOT(ISBLANK(H:H))),H:H+N:N,""))</f>
        <v>-1.0902000000000001</v>
      </c>
      <c r="P322" s="2">
        <v>68</v>
      </c>
      <c r="Q322" s="2">
        <v>0.99</v>
      </c>
      <c r="R322" s="5">
        <f t="shared" ref="R322:R385" si="336">IF(AND(NOT(ISBLANK(J322)), NOT(ISBLANK(AD322))), (AD322 - J322)/2, "")</f>
        <v>0.54621928132779907</v>
      </c>
      <c r="S322" s="5">
        <f t="shared" ref="S322:S385" si="337">IF(NOT(ISBLANK(Q322)),Q322,IF(AND(NOT(ISBLANK(J322)),NOT(ISBLANK(R322))),J322+R322,""))</f>
        <v>0.99</v>
      </c>
      <c r="T322" s="2">
        <v>7090</v>
      </c>
      <c r="U322" s="2">
        <v>-0.24</v>
      </c>
      <c r="V322" s="2">
        <f t="shared" ref="V322:V385" si="338">IF(AND(NOT(ISBLANK(L322)), NOT(ISBLANK(AJ322))), (AJ322 - L322)/2, "")</f>
        <v>0.94287259839011672</v>
      </c>
      <c r="W322" s="2">
        <f t="shared" ref="W322:W385" si="339">IF(NOT(ISBLANK(U322)), U322, IF(AND(NOT(ISBLANK(L322)), NOT(ISBLANK(V322))), L322 + V322, ""))</f>
        <v>-0.24</v>
      </c>
      <c r="X322" s="2">
        <v>5.45E-2</v>
      </c>
      <c r="Y322" s="76">
        <f t="shared" si="309"/>
        <v>1.947736974006588</v>
      </c>
      <c r="Z322" s="76">
        <f t="shared" si="310"/>
        <v>2</v>
      </c>
      <c r="AA322" s="2">
        <f t="shared" ref="AA322:AA385" si="340">IF(AND(NOT(ISBLANK(S:S)), NOT(ISBLANK(AO:AO))), (AO:AO- S:S)/2, "")</f>
        <v>-1.1550000000000005E-2</v>
      </c>
      <c r="AB322" s="2">
        <f t="shared" ref="AB322:AB385" si="341">IF(NOT(ISBLANK(X:X)),X:X,IF(AND(NOT(ISBLANK(O:O)),NOT(ISBLANK(AA:AA))),O:O+AA:AA,""))</f>
        <v>5.45E-2</v>
      </c>
      <c r="AC322" s="2">
        <v>78</v>
      </c>
      <c r="AD322" s="2">
        <v>1.55</v>
      </c>
      <c r="AE322" s="79">
        <f t="shared" si="311"/>
        <v>1.0924385626555981</v>
      </c>
      <c r="AF322" s="79">
        <f t="shared" si="312"/>
        <v>2</v>
      </c>
      <c r="AG322" s="2">
        <f t="shared" si="330"/>
        <v>-9.9999999999999978E-2</v>
      </c>
      <c r="AH322" s="2">
        <f t="shared" ref="AH322:AH385" si="342">IF(NOT(ISBLANK(AD322)), AD322, IF(AND(NOT(ISBLANK(S322)), NOT(ISBLANK(AG322))), S322 + AG322, ""))</f>
        <v>1.55</v>
      </c>
      <c r="AI322" s="2">
        <v>10000</v>
      </c>
      <c r="AJ322" s="2">
        <v>0.9</v>
      </c>
      <c r="AK322" s="76">
        <f t="shared" si="313"/>
        <v>1.8857451967802334</v>
      </c>
      <c r="AL322" s="76">
        <f t="shared" si="314"/>
        <v>2</v>
      </c>
      <c r="AM322" s="2">
        <f t="shared" ref="AM322:AM385" si="343">IF(AND(NOT(ISBLANK(W322)), NOT(ISBLANK(AW322))), (AW322 - W322)/2, "")</f>
        <v>0.69</v>
      </c>
      <c r="AN322" s="2">
        <f t="shared" ref="AN322:AN385" si="344">IF(NOT(ISBLANK(AJ322)), AJ322, IF(AND(NOT(ISBLANK(W322)), NOT(ISBLANK(AM322))), W322 + AM322, ""))</f>
        <v>0.9</v>
      </c>
      <c r="AO322" s="2">
        <v>0.96689999999999998</v>
      </c>
      <c r="AP322" s="2">
        <f t="shared" ref="AP322:AP385" si="345">IF(AND(NOT(ISBLANK(AB:AB)), NOT(ISBLANK(AZ:AZ))), (AZ:AZ - AB:AB)/2, "")</f>
        <v>-0.19255755418153458</v>
      </c>
      <c r="AQ322" s="2">
        <f t="shared" ref="AQ322:AQ385" si="346">IF(NOT(ISBLANK(AO:AO)),AO:AO,IF(AND(NOT(ISBLANK(AB:AB)),NOT(ISBLANK(AP:AP))),AP:AP+AB:AB,""))</f>
        <v>0.96689999999999998</v>
      </c>
      <c r="AR322" s="2">
        <v>83</v>
      </c>
      <c r="AS322" s="2">
        <v>0.79</v>
      </c>
      <c r="AT322" s="2">
        <f t="shared" ref="AT322:AT385" si="347">IF(AND(NOT(ISBLANK(AH322)), NOT(ISBLANK(BG322))), (BG322 - AH322)/2, "")</f>
        <v>2.9158310466798509E-2</v>
      </c>
      <c r="AU322" s="2">
        <f t="shared" ref="AU322:AU385" si="348">IF(NOT(ISBLANK(AS322)), AS322, IF(AND(NOT(ISBLANK(AH322)), NOT(ISBLANK(AT322))), AH322 + AT322, ""))</f>
        <v>0.79</v>
      </c>
      <c r="AV322" s="2">
        <v>11800</v>
      </c>
      <c r="AW322" s="2">
        <v>1.1399999999999999</v>
      </c>
      <c r="AX322" s="2">
        <f t="shared" ref="AX322:AX385" si="349">IF(AND(NOT(ISBLANK(AN322)), NOT(ISBLANK(BL322))), (BL322 - AN322)/2, "")</f>
        <v>-7.1538729572448445E-2</v>
      </c>
      <c r="AY322" s="2">
        <f t="shared" ref="AY322:AY385" si="350">IF(NOT(ISBLANK(AW322)), AW322, IF(AND(NOT(ISBLANK(AN322)), NOT(ISBLANK(AX322))),AN322 + AX322, ""))</f>
        <v>1.1399999999999999</v>
      </c>
      <c r="AZ322" s="2">
        <v>-0.33061510836306918</v>
      </c>
      <c r="BA322" s="78">
        <f t="shared" si="315"/>
        <v>-0.38511510836306917</v>
      </c>
      <c r="BB322" s="78">
        <f t="shared" si="316"/>
        <v>-1</v>
      </c>
      <c r="BC322" s="2" t="str">
        <f t="shared" ref="BC322:BC385" si="351">IF(AND(NOT(ISBLANK(AQ:AQ)), NOT(ISBLANK(BR:BR))), (BR:BR - AQ:AQ)/3, "")</f>
        <v/>
      </c>
      <c r="BD322" s="2">
        <f t="shared" ref="BD322:BD385" si="352">IF(NOT(ISBLANK(AZ:AZ)),AZ:AZ,IF(AND(NOT(ISBLANK(BC:BC)),NOT(ISBLANK(AQ:AQ))),AQ:AQ+BC:BC,""))</f>
        <v>-0.33061510836306918</v>
      </c>
      <c r="BE322" s="67">
        <f t="shared" si="317"/>
        <v>7</v>
      </c>
      <c r="BF322" s="2">
        <v>91</v>
      </c>
      <c r="BG322" s="2">
        <v>1.6083166209335971</v>
      </c>
      <c r="BH322" s="2" t="str">
        <f t="shared" ref="BH322:BH385" si="353">IF(AND(NOT(ISBLANK(AU322)), NOT(ISBLANK(BY322))), (BY322 - AU322)/3, "")</f>
        <v/>
      </c>
      <c r="BI322" s="2">
        <f t="shared" ref="BI322:BI385" si="354">IF(NOT(ISBLANK(BG322)), BG322, IF(AND(NOT(ISBLANK(AU322)), NOT(ISBLANK(BH322))),AU322 + BH322, ""))</f>
        <v>1.6083166209335971</v>
      </c>
      <c r="BJ322" s="67">
        <f t="shared" ref="BJ322:BJ385" si="355">IF(BI:BI&lt;-3,5,IF(AND(BI:BI&gt;=-3,BI:BI&lt;-2),6,IF(AND(BI:BI&gt;=-2,BI:BI&lt;=2),7,"")))</f>
        <v>7</v>
      </c>
      <c r="BK322" s="2">
        <v>13200</v>
      </c>
      <c r="BL322" s="2">
        <v>0.75692254085510313</v>
      </c>
      <c r="BM322" s="77">
        <f t="shared" si="318"/>
        <v>-0.14307745914489689</v>
      </c>
      <c r="BN322" s="77">
        <f t="shared" si="319"/>
        <v>-1</v>
      </c>
      <c r="BO322" s="2" t="str">
        <f t="shared" ref="BO322:BO385" si="356">IF(AND(NOT(ISBLANK(AY322)), NOT(ISBLANK(CG322))), (CG322 - AY322)/3, "")</f>
        <v/>
      </c>
      <c r="BP322" s="2">
        <f t="shared" ref="BP322:BP385" si="357">IF(NOT(ISBLANK(BL322)), BL322, IF(AND(NOT(ISBLANK(AY322)), NOT(ISBLANK(BO322))),AY322 + BO322, ""))</f>
        <v>0.75692254085510313</v>
      </c>
      <c r="BQ322" s="67">
        <f t="shared" si="320"/>
        <v>7</v>
      </c>
      <c r="BS322" s="75" t="str">
        <f t="shared" si="321"/>
        <v>UF</v>
      </c>
      <c r="BT322" s="75" t="str">
        <f t="shared" si="322"/>
        <v>UF</v>
      </c>
      <c r="BU322" s="5" t="str">
        <f t="shared" si="333"/>
        <v>UF</v>
      </c>
      <c r="BV322" s="5" t="str">
        <f t="shared" ref="BV322:BV385" si="358">IF(G322&gt;=36, IF(NOT(ISBLANK(BR:BR)), BR:BR, IF(AND(NOT(ISBLANK(BD:BD)), NOT(ISBLANK(BU:BU))),BD:BD + BU:BU, "")), "UF")</f>
        <v>UF</v>
      </c>
      <c r="BW322" s="69" t="str">
        <f t="shared" ref="BW322:BW385" si="359">IF(BV:BV&lt;-3,1,IF(AND(BV:BV&gt;=-3,BV:BV&lt;-2),2,IF(AND(BV:BV&gt;=-2,BV:BV&lt;=2),7,"")))</f>
        <v/>
      </c>
      <c r="BX322" s="2" t="s">
        <v>12</v>
      </c>
      <c r="BZ322" s="74" t="str">
        <f t="shared" si="323"/>
        <v>UF</v>
      </c>
      <c r="CA322" s="74" t="str">
        <f t="shared" si="324"/>
        <v>UF</v>
      </c>
      <c r="CB322" s="5" t="str">
        <f t="shared" ref="CB322:CB385" si="360">IF(G322&gt;=36, IF(AND(NOT(ISBLANK(BI322)), NOT(ISBLANK(CS322))), (CS322-BI322)/2, ""), "UF")</f>
        <v>UF</v>
      </c>
      <c r="CC322" s="5" t="str">
        <f t="shared" ref="CC322:CC385" si="361">IF(G322&gt;=36, IF(NOT(ISBLANK(BY322)), BY322, IF(AND(NOT(ISBLANK(CB322)), NOT(ISBLANK(BI322))),CB322 + BI322, "")), "UF")</f>
        <v>UF</v>
      </c>
      <c r="CD322" s="2" t="e">
        <f t="shared" ref="CD322:CD385" si="362">IF(AND(NOT(ISBLANK(BI:BI)), NOT(ISBLANK(CC:CC))), CC:CC-BI:BI, "")</f>
        <v>#VALUE!</v>
      </c>
      <c r="CE322" s="69" t="str">
        <f t="shared" ref="CE322:CE385" si="363">IF(CC322&lt;-3,5,IF(AND(CC322&gt;=-3,CC322&lt;-2),6,IF(AND(CC322&gt;=-2,CC322&lt;=2),7,"")))</f>
        <v/>
      </c>
      <c r="CF322" s="5" t="s">
        <v>12</v>
      </c>
      <c r="CH322" s="72" t="str">
        <f t="shared" si="325"/>
        <v>UF</v>
      </c>
      <c r="CI322" s="72" t="str">
        <f t="shared" si="326"/>
        <v>UF</v>
      </c>
      <c r="CJ322" s="5" t="str">
        <f t="shared" ref="CJ322:CJ385" si="364">IF(G322&gt;=36, IF(AND(NOT(ISBLANK(BP322)), NOT(ISBLANK(CZ322))), (CZ322-BP322)/2, ""), "UF")</f>
        <v>UF</v>
      </c>
      <c r="CK322" s="5" t="str">
        <f t="shared" ref="CK322:CK385" si="365">IF(G322&gt;=36, IF(NOT(ISBLANK(CG322)), CG322, IF(AND(NOT(ISBLANK(BP322)), NOT(ISBLANK(CJ322))),BP322 + CJ322, "")), "UF")</f>
        <v>UF</v>
      </c>
      <c r="CL322" s="69" t="str">
        <f t="shared" ref="CL322:CL385" si="366">IF(CK:CK&lt;-3,3,IF(AND(CK:CK&gt;=-3,CK:CK&lt;-2),4,IF(AND(CK:CK&gt;=-2,CK:CK&lt;=2),7,"")))</f>
        <v/>
      </c>
      <c r="CN322" s="70" t="str">
        <f t="shared" ref="CN322:CN385" si="367">IF(AND(NOT(ISBLANK(BV:BV)), NOT(ISBLANK(CM:CM))), CM:CM-BV:BV, "")</f>
        <v/>
      </c>
      <c r="CO322" s="5" t="str">
        <f t="shared" ref="CO322:CO385" si="368">IF(G322&lt;48,"UF",IF(AND(NOT(ISBLANK(BV:BV)),NOT(ISBLANK(CP:CP))),CP:CP-BV:BV,""))</f>
        <v>UF</v>
      </c>
      <c r="CP322" s="5" t="str">
        <f>IF(G322&lt;48,"UF", IF(NOT(ISBLANK(CM:CM)), CM:CM, IF(BW:BW=1, BV:BV+Sheet2!B527, IF(Sheet1!BW:BW=2, Sheet1!BV:BV+Sheet2!B528, IF(Sheet1!BW:BW=7, Sheet1!BV:BV+Sheet2!B529,"")))))</f>
        <v>UF</v>
      </c>
      <c r="CQ322" s="69" t="str">
        <f t="shared" si="327"/>
        <v/>
      </c>
      <c r="CR322" s="5" t="s">
        <v>12</v>
      </c>
      <c r="CT322" s="5" t="str">
        <f t="shared" ref="CT322:CT385" si="369">IF(AND(NOT(ISBLANK(CC322)), NOT(ISBLANK(CS322))), CS322-CC322, "")</f>
        <v/>
      </c>
      <c r="CU322" s="80" t="str">
        <f t="shared" ref="CU322:CU385" si="370">IF(G322&lt;48,"UF",IF(AND(NOT(ISBLANK(CW:CW)), NOT(ISBLANK(CC:CC))), CW:CW-CC:CC, ""))</f>
        <v>UF</v>
      </c>
      <c r="CV322" s="80" t="str">
        <f t="shared" ref="CV322:CV385" si="371">IF(CU:CU=""," ",IF(G322&lt;48,"UF",IF(CU:CU&gt;0.67,2,IF(AND(CU:CU&gt;0,CU:CU&lt;=0.67),1,IF(AND(CU:CU&gt;=-0.67,CU:CU&lt;=0),-1,IF(CU:CU&lt;-0.67,-2))))))</f>
        <v>UF</v>
      </c>
      <c r="CW322" s="20" t="str">
        <f>IF(G322&lt;48,"UF", IF(NOT(ISBLANK(CS322)), CS322, IF(CE322=5, CC322+Sheet2!B516, IF(CE322=6, CC322+Sheet2!B517, IF(CE322=7, CC322+Sheet2!B518,"")))))</f>
        <v>UF</v>
      </c>
      <c r="CX322" s="68" t="str">
        <f t="shared" si="328"/>
        <v/>
      </c>
      <c r="CY322" s="5" t="s">
        <v>12</v>
      </c>
      <c r="DA322" s="5" t="str">
        <f t="shared" ref="DA322:DA385" si="372">IF(G322&lt;48,"UF",IF(AND(NOT(ISBLANK(CZ:CZ)), NOT(ISBLANK(CK:CK))), CZ:CZ-CK:CK, ""))</f>
        <v>UF</v>
      </c>
      <c r="DB322" s="73" t="str">
        <f t="shared" ref="DB322:DB385" si="373">IF(G322&lt;48,"UF",IF(AND(NOT(ISBLANK(DD:DD)), NOT(ISBLANK(CK:CK))), DD:DD-CK:CK, ""))</f>
        <v>UF</v>
      </c>
      <c r="DC322" s="73" t="str">
        <f t="shared" ref="DC322:DC385" si="374">IF(DB:DB=""," ",IF(G322&lt;48,"UF",IF(DB:DB&gt;0.67,2,IF(AND(DB:DB&gt;0,DB:DB&lt;=0.67),1,IF(AND(DB:DB&gt;=-0.67,DB:DB&lt;=0),-1,IF(DB:DB&lt;-0.67,-2))))))</f>
        <v>UF</v>
      </c>
      <c r="DD322" s="5" t="str">
        <f>IF(G322&lt;48,"UF", IF(NOT(ISBLANK(CZ:CZ)), CZ:CZ, IF(CL:CL=3, CK:CK+Sheet2!B521, IF(CL:CL=4, CK:CK+Sheet2!B522, IF(CL:CL=7, CK:CK+Sheet2!B523,"")))))</f>
        <v>UF</v>
      </c>
      <c r="DE322" s="69" t="str">
        <f t="shared" si="331"/>
        <v/>
      </c>
      <c r="DF322" s="2">
        <v>1</v>
      </c>
      <c r="DG322" s="2">
        <v>23</v>
      </c>
      <c r="DH322" s="2">
        <v>2</v>
      </c>
      <c r="DI322" s="2">
        <v>2</v>
      </c>
      <c r="DJ322" s="2">
        <v>2</v>
      </c>
      <c r="DK322" s="2">
        <v>110</v>
      </c>
      <c r="DL322" s="2">
        <v>60</v>
      </c>
      <c r="DM322" s="2">
        <v>112</v>
      </c>
      <c r="DN322" s="2">
        <v>72</v>
      </c>
      <c r="DO322" s="2">
        <v>108</v>
      </c>
      <c r="DP322" s="2">
        <v>65</v>
      </c>
      <c r="DQ322" s="2">
        <v>1</v>
      </c>
      <c r="DR322" s="2">
        <v>39</v>
      </c>
      <c r="DS322" s="2">
        <v>1</v>
      </c>
      <c r="DT322" s="2">
        <v>85</v>
      </c>
      <c r="DU322" s="2">
        <v>79</v>
      </c>
      <c r="DV322" s="2">
        <v>2</v>
      </c>
      <c r="DW322" s="2">
        <v>2</v>
      </c>
      <c r="DX322" s="2">
        <v>2</v>
      </c>
      <c r="DY322" s="2">
        <v>2</v>
      </c>
      <c r="DZ322" s="2">
        <v>34</v>
      </c>
      <c r="EA322" s="2">
        <v>36</v>
      </c>
      <c r="EB322" s="2">
        <v>46</v>
      </c>
      <c r="EC322" s="2">
        <v>1</v>
      </c>
      <c r="ED322" s="2">
        <v>1</v>
      </c>
    </row>
    <row r="323" spans="3:134" ht="15.75" thickBot="1" x14ac:dyDescent="0.3">
      <c r="C323" s="8" t="s">
        <v>290</v>
      </c>
      <c r="D323" s="55">
        <v>2501049330</v>
      </c>
      <c r="E323" s="5">
        <v>7</v>
      </c>
      <c r="F323" s="2">
        <v>1</v>
      </c>
      <c r="G323" s="2">
        <v>30</v>
      </c>
      <c r="H323" s="2">
        <v>0.50432434214597155</v>
      </c>
      <c r="I323" s="2">
        <v>48</v>
      </c>
      <c r="J323" s="2">
        <v>-0.61614996855203885</v>
      </c>
      <c r="K323" s="2">
        <v>3220</v>
      </c>
      <c r="L323" s="2">
        <v>-2.6666498307373911E-2</v>
      </c>
      <c r="M323" s="2">
        <v>-6.9199999999999998E-2</v>
      </c>
      <c r="N323" s="2">
        <f t="shared" si="334"/>
        <v>-0.22491217107298578</v>
      </c>
      <c r="O323" s="2">
        <f t="shared" si="335"/>
        <v>-6.9199999999999998E-2</v>
      </c>
      <c r="P323" s="2">
        <v>69</v>
      </c>
      <c r="Q323" s="2">
        <v>1.43</v>
      </c>
      <c r="R323" s="5">
        <f t="shared" si="336"/>
        <v>1.0830749842760194</v>
      </c>
      <c r="S323" s="5">
        <f t="shared" si="337"/>
        <v>1.43</v>
      </c>
      <c r="T323" s="2">
        <v>8000</v>
      </c>
      <c r="U323" s="2">
        <v>0.75</v>
      </c>
      <c r="V323" s="2">
        <f t="shared" si="338"/>
        <v>0.46333324915368695</v>
      </c>
      <c r="W323" s="2">
        <f t="shared" si="339"/>
        <v>0.75</v>
      </c>
      <c r="X323" s="2">
        <v>5.45E-2</v>
      </c>
      <c r="Y323" s="76">
        <f t="shared" ref="Y323:Y386" si="375" xml:space="preserve"> IF(AND(NOT(ISBLANK(AB:AB)), NOT(ISBLANK(H:H))), (AB:AB-H:H), "")</f>
        <v>-0.44982434214597156</v>
      </c>
      <c r="Z323" s="76">
        <f t="shared" ref="Z323:Z386" si="376">IF(Y:Y&gt;0.67,2,IF(AND(Y:Y&gt;0,Y:Y&lt;=0.67),1,IF(AND(Y:Y&gt;=-0.67,Y:Y&lt;=0),-1,IF(Y:Y&lt;-0.67,-2))))</f>
        <v>-1</v>
      </c>
      <c r="AA323" s="2" t="str">
        <f t="shared" si="340"/>
        <v/>
      </c>
      <c r="AB323" s="2">
        <f t="shared" si="341"/>
        <v>5.45E-2</v>
      </c>
      <c r="AC323" s="2">
        <v>78</v>
      </c>
      <c r="AD323" s="2">
        <v>1.55</v>
      </c>
      <c r="AE323" s="79">
        <f t="shared" ref="AE323:AE386" si="377" xml:space="preserve"> IF(AND(NOT(ISBLANK(AH:AH)), NOT(ISBLANK(J:J))), (AH:AH-J:J), "")</f>
        <v>2.1661499685520389</v>
      </c>
      <c r="AF323" s="79">
        <f t="shared" ref="AF323:AF386" si="378">IF(AE:AE&gt;0.67,2,IF(AND(AE:AE&gt;0,AE:AE&lt;=0.67),1,IF(AND(AE:AE&gt;=-0.67,AE:AE&lt;=0),-1,IF(AE:AE&lt;-0.67,-2))))</f>
        <v>2</v>
      </c>
      <c r="AG323" s="2" t="str">
        <f t="shared" si="330"/>
        <v/>
      </c>
      <c r="AH323" s="2">
        <f t="shared" si="342"/>
        <v>1.55</v>
      </c>
      <c r="AI323" s="2">
        <v>10000</v>
      </c>
      <c r="AJ323" s="2">
        <v>0.9</v>
      </c>
      <c r="AK323" s="76">
        <f t="shared" ref="AK323:AK386" si="379" xml:space="preserve"> IF(AND(NOT(ISBLANK(AN:AN)), NOT(ISBLANK(L:L))), (AN:AN-L:L), "")</f>
        <v>0.92666649830737391</v>
      </c>
      <c r="AL323" s="76">
        <f t="shared" ref="AL323:AL386" si="380">IF(AK:AK&gt;0.67,2,IF(AND(AK:AK&gt;0,AK:AK&lt;=0.67),1,IF(AND(AK:AK&gt;=-0.67,AK:AK&lt;=0),-1,IF(AK:AK&lt;-0.67,-2))))</f>
        <v>2</v>
      </c>
      <c r="AM323" s="2" t="str">
        <f t="shared" si="343"/>
        <v/>
      </c>
      <c r="AN323" s="2">
        <f t="shared" si="344"/>
        <v>0.9</v>
      </c>
      <c r="AP323" s="2">
        <f t="shared" si="345"/>
        <v>-0.2856507360627551</v>
      </c>
      <c r="AQ323" s="2">
        <f t="shared" si="346"/>
        <v>-0.2311507360627551</v>
      </c>
      <c r="AR323" s="2" t="s">
        <v>12</v>
      </c>
      <c r="AT323" s="2">
        <f t="shared" si="347"/>
        <v>2.9158310466798509E-2</v>
      </c>
      <c r="AU323" s="2">
        <f t="shared" si="348"/>
        <v>1.5791583104667986</v>
      </c>
      <c r="AV323" s="2" t="s">
        <v>12</v>
      </c>
      <c r="AX323" s="2">
        <f t="shared" si="349"/>
        <v>-0.13842881425978515</v>
      </c>
      <c r="AY323" s="2">
        <f t="shared" si="350"/>
        <v>0.76157118574021487</v>
      </c>
      <c r="AZ323" s="2">
        <v>-0.5168014721255102</v>
      </c>
      <c r="BA323" s="78">
        <f t="shared" ref="BA323:BA386" si="381" xml:space="preserve"> IF(AND(NOT(ISBLANK(BD:BD)), NOT(ISBLANK(AB:AB))), (BD:BD-AB:AB), "")</f>
        <v>-0.57130147212551019</v>
      </c>
      <c r="BB323" s="78">
        <f t="shared" ref="BB323:BB386" si="382">IF(BA:BA&gt;0.67,2,IF(AND(BA:BA&gt;0,BA:BA&lt;=0.67),1,IF(AND(BA:BA&gt;=-0.67,BA:BA&lt;=0),-1,IF(BA:BA&lt;-0.67,-2))))</f>
        <v>-1</v>
      </c>
      <c r="BC323" s="2" t="str">
        <f t="shared" si="351"/>
        <v/>
      </c>
      <c r="BD323" s="2">
        <f t="shared" si="352"/>
        <v>-0.5168014721255102</v>
      </c>
      <c r="BE323" s="67">
        <f t="shared" ref="BE323:BE386" si="383">IF(BD:BD&lt;-3,1,IF(AND(BD:BD&gt;=-3,BD:BD&lt;-2),2,IF(AND(BD:BD&gt;=-2,BD:BD&lt;=2),7,"")))</f>
        <v>7</v>
      </c>
      <c r="BF323" s="2">
        <v>91</v>
      </c>
      <c r="BG323" s="2">
        <v>1.6083166209335971</v>
      </c>
      <c r="BH323" s="2" t="str">
        <f t="shared" si="353"/>
        <v/>
      </c>
      <c r="BI323" s="2">
        <f t="shared" si="354"/>
        <v>1.6083166209335971</v>
      </c>
      <c r="BJ323" s="67">
        <f t="shared" si="355"/>
        <v>7</v>
      </c>
      <c r="BK323" s="2">
        <v>13000</v>
      </c>
      <c r="BL323" s="2">
        <v>0.62314237148042972</v>
      </c>
      <c r="BM323" s="77">
        <f t="shared" ref="BM323:BM386" si="384" xml:space="preserve"> IF(AND(NOT(ISBLANK(BP:BP)), NOT(ISBLANK(AN:AN))), (BP:BP-AN:AN), "")</f>
        <v>-0.2768576285195703</v>
      </c>
      <c r="BN323" s="77">
        <f t="shared" ref="BN323:BN386" si="385">IF(BM:BM&gt;0.67,2,IF(AND(BM:BM&gt;0,BM:BM&lt;=0.67),1,IF(AND(BM:BM&gt;=-0.67,BM:BM&lt;=0),-1,IF(BM:BM&lt;-0.67,-2))))</f>
        <v>-1</v>
      </c>
      <c r="BO323" s="2" t="str">
        <f t="shared" si="356"/>
        <v/>
      </c>
      <c r="BP323" s="2">
        <f t="shared" si="357"/>
        <v>0.62314237148042972</v>
      </c>
      <c r="BQ323" s="67">
        <f t="shared" ref="BQ323:BQ386" si="386">IF(BP:BP&lt;-3,3,IF(AND(BP:BP&gt;=-3,BP:BP&lt;-2),4,IF(AND(BP:BP&gt;=-2,BP:BP&lt;=2),7,"")))</f>
        <v>7</v>
      </c>
      <c r="BS323" s="75" t="str">
        <f t="shared" ref="BS323:BS386" si="387">IF(G323&gt;=36, IF(AND(NOT(ISBLANK(BV:BV)), NOT(ISBLANK(BD:BD))), (BV:BV-BD:BD), ""), "UF")</f>
        <v>UF</v>
      </c>
      <c r="BT323" s="75" t="str">
        <f t="shared" ref="BT323:BT386" si="388">IF(G323&lt;36,"UF",IF(BS:BS&gt;0.67,2,IF(AND(BS:BS&gt;0,BS:BS&lt;=0.67),1,IF(AND(BS:BS&gt;=-0.67,BS:BS&lt;=0),-1,IF(BS:BS&lt;-0.67,-2)))))</f>
        <v>UF</v>
      </c>
      <c r="BU323" s="5" t="str">
        <f t="shared" si="333"/>
        <v>UF</v>
      </c>
      <c r="BV323" s="5" t="str">
        <f t="shared" si="358"/>
        <v>UF</v>
      </c>
      <c r="BW323" s="69" t="str">
        <f t="shared" si="359"/>
        <v/>
      </c>
      <c r="BX323" s="2" t="s">
        <v>12</v>
      </c>
      <c r="BZ323" s="74" t="str">
        <f t="shared" ref="BZ323:BZ386" si="389">IF(G323&gt;=36, IF(AND(NOT(ISBLANK(CC:CC)), NOT(ISBLANK(BP:BP))), (CC:CC-BP:BP), ""), "UF")</f>
        <v>UF</v>
      </c>
      <c r="CA323" s="74" t="str">
        <f t="shared" ref="CA323:CA386" si="390">IF(G323&lt;36,"UF",IF(BZ:BZ&gt;0.67,2,IF(AND(BZ:BZ&gt;0,BZ:BZ&lt;=0.67),1,IF(AND(BZ:BZ&gt;=-0.67,BZ:BZ&lt;=0),-1,IF(BZ:BZ&lt;-0.67,-2)))))</f>
        <v>UF</v>
      </c>
      <c r="CB323" s="5" t="str">
        <f t="shared" si="360"/>
        <v>UF</v>
      </c>
      <c r="CC323" s="5" t="str">
        <f t="shared" si="361"/>
        <v>UF</v>
      </c>
      <c r="CD323" s="2" t="e">
        <f t="shared" si="362"/>
        <v>#VALUE!</v>
      </c>
      <c r="CE323" s="69" t="str">
        <f t="shared" si="363"/>
        <v/>
      </c>
      <c r="CF323" s="5" t="s">
        <v>12</v>
      </c>
      <c r="CH323" s="72" t="str">
        <f t="shared" ref="CH323:CH386" si="391">IF(G323&gt;=36, IF(AND(NOT(ISBLANK(CK:CK)), NOT(ISBLANK(BP:BP))), (CK:CK-BP:BP), ""), "UF")</f>
        <v>UF</v>
      </c>
      <c r="CI323" s="72" t="str">
        <f t="shared" ref="CI323:CI386" si="392">IF(G323&lt;36,"UF",IF(CH:CH&gt;0.67,2,IF(AND(CH:CH&gt;0,CH:CH&lt;=0.67),1,IF(AND(CH:CH&gt;=-0.67,CH:CH&lt;=0),-1,IF(CH:CH&lt;-0.67,-2)))))</f>
        <v>UF</v>
      </c>
      <c r="CJ323" s="5" t="str">
        <f t="shared" si="364"/>
        <v>UF</v>
      </c>
      <c r="CK323" s="5" t="str">
        <f t="shared" si="365"/>
        <v>UF</v>
      </c>
      <c r="CL323" s="69" t="str">
        <f t="shared" si="366"/>
        <v/>
      </c>
      <c r="CN323" s="70" t="str">
        <f t="shared" si="367"/>
        <v/>
      </c>
      <c r="CO323" s="5" t="str">
        <f t="shared" si="368"/>
        <v>UF</v>
      </c>
      <c r="CP323" s="5" t="str">
        <f>IF(G323&lt;48,"UF", IF(NOT(ISBLANK(CM:CM)), CM:CM, IF(BW:BW=1, BV:BV+Sheet2!B496, IF(Sheet1!BW:BW=2, Sheet1!BV:BV+Sheet2!B497, IF(Sheet1!BW:BW=7, Sheet1!BV:BV+Sheet2!B498,"")))))</f>
        <v>UF</v>
      </c>
      <c r="CQ323" s="69" t="str">
        <f t="shared" ref="CQ323:CQ386" si="393">IF(CP:CP&lt;-3,1,IF(AND(CP:CP&gt;=-3,CP:CP&lt;-2),2,IF(AND(CP:CP&gt;=-2,CP:CP&lt;=2),7,"")))</f>
        <v/>
      </c>
      <c r="CR323" s="5" t="s">
        <v>12</v>
      </c>
      <c r="CT323" s="5" t="str">
        <f t="shared" si="369"/>
        <v/>
      </c>
      <c r="CU323" s="80" t="str">
        <f t="shared" si="370"/>
        <v>UF</v>
      </c>
      <c r="CV323" s="80" t="str">
        <f t="shared" si="371"/>
        <v>UF</v>
      </c>
      <c r="CW323" s="20" t="str">
        <f>IF(G323&lt;48,"UF", IF(NOT(ISBLANK(CS323)), CS323, IF(CE323=5, CC323+Sheet2!B485, IF(CE323=6, CC323+Sheet2!B486, IF(CE323=7, CC323+Sheet2!B487,"")))))</f>
        <v>UF</v>
      </c>
      <c r="CX323" s="68" t="str">
        <f t="shared" ref="CX323:CX386" si="394">IF(CW:CW&lt;-3,5,IF(AND(CW:CW&gt;=-3,CW:CW&lt;-2),6,IF(AND(CW:CW&gt;=-2,CW:CW&lt;=2),7,"")))</f>
        <v/>
      </c>
      <c r="CY323" s="5" t="s">
        <v>12</v>
      </c>
      <c r="DA323" s="5" t="str">
        <f t="shared" si="372"/>
        <v>UF</v>
      </c>
      <c r="DB323" s="73" t="str">
        <f t="shared" si="373"/>
        <v>UF</v>
      </c>
      <c r="DC323" s="73" t="str">
        <f t="shared" si="374"/>
        <v>UF</v>
      </c>
      <c r="DD323" s="5" t="str">
        <f>IF(G323&lt;48,"UF", IF(NOT(ISBLANK(CZ:CZ)), CZ:CZ, IF(CL:CL=3, CK:CK+Sheet2!B490, IF(CL:CL=4, CK:CK+Sheet2!B491, IF(CL:CL=7, CK:CK+Sheet2!B492,"")))))</f>
        <v>UF</v>
      </c>
      <c r="DE323" s="69" t="str">
        <f t="shared" si="331"/>
        <v/>
      </c>
      <c r="DF323" s="2">
        <v>4</v>
      </c>
      <c r="DG323" s="2">
        <v>37</v>
      </c>
      <c r="DH323" s="2">
        <v>1</v>
      </c>
      <c r="DI323" s="2">
        <v>2</v>
      </c>
      <c r="DJ323" s="2">
        <v>2</v>
      </c>
      <c r="DK323" s="2" t="s">
        <v>12</v>
      </c>
      <c r="DL323" s="2" t="s">
        <v>12</v>
      </c>
      <c r="DM323" s="2">
        <v>110</v>
      </c>
      <c r="DN323" s="2">
        <v>70</v>
      </c>
      <c r="DO323" s="2" t="s">
        <v>12</v>
      </c>
      <c r="DP323" s="2" t="s">
        <v>12</v>
      </c>
      <c r="DQ323" s="2">
        <v>2</v>
      </c>
      <c r="DR323" s="2">
        <v>37</v>
      </c>
      <c r="DS323" s="2">
        <v>3</v>
      </c>
      <c r="DT323" s="2" t="s">
        <v>12</v>
      </c>
      <c r="DU323" s="2" t="s">
        <v>12</v>
      </c>
      <c r="DV323" s="2">
        <v>2</v>
      </c>
      <c r="DW323" s="2">
        <v>3</v>
      </c>
      <c r="DX323" s="2">
        <v>3</v>
      </c>
      <c r="DY323" s="2">
        <v>3</v>
      </c>
      <c r="DZ323" s="2">
        <v>32</v>
      </c>
      <c r="EA323" s="2">
        <v>35.5</v>
      </c>
      <c r="EB323" s="2">
        <v>45</v>
      </c>
      <c r="EC323" s="2">
        <v>1</v>
      </c>
      <c r="ED323" s="2">
        <v>1</v>
      </c>
    </row>
    <row r="324" spans="3:134" ht="15.75" thickBot="1" x14ac:dyDescent="0.3">
      <c r="C324" s="8" t="s">
        <v>277</v>
      </c>
      <c r="D324" s="8">
        <v>2501049421</v>
      </c>
      <c r="E324" s="5">
        <v>7</v>
      </c>
      <c r="F324" s="2">
        <v>1</v>
      </c>
      <c r="G324" s="2">
        <v>29</v>
      </c>
      <c r="H324" s="2">
        <v>-1.7376546944009801</v>
      </c>
      <c r="I324" s="2">
        <v>51</v>
      </c>
      <c r="J324" s="2">
        <v>0.99441714029262385</v>
      </c>
      <c r="K324" s="2">
        <v>2955</v>
      </c>
      <c r="L324" s="2">
        <v>-0.62204830481650331</v>
      </c>
      <c r="M324" s="2">
        <v>1.4442999999999999</v>
      </c>
      <c r="N324" s="2">
        <f t="shared" si="334"/>
        <v>1.06532734720049</v>
      </c>
      <c r="O324" s="2">
        <f t="shared" si="335"/>
        <v>1.4442999999999999</v>
      </c>
      <c r="P324" s="2">
        <v>65.2</v>
      </c>
      <c r="Q324" s="2">
        <v>-0.24</v>
      </c>
      <c r="R324" s="5">
        <f t="shared" si="336"/>
        <v>-0.63220857014631193</v>
      </c>
      <c r="S324" s="5">
        <f t="shared" si="337"/>
        <v>-0.24</v>
      </c>
      <c r="T324" s="2">
        <v>8200</v>
      </c>
      <c r="U324" s="2">
        <v>0.95</v>
      </c>
      <c r="V324" s="2">
        <f t="shared" si="338"/>
        <v>0.38102415240825166</v>
      </c>
      <c r="W324" s="2">
        <f t="shared" si="339"/>
        <v>0.95</v>
      </c>
      <c r="X324" s="2">
        <v>0.39300000000000002</v>
      </c>
      <c r="Y324" s="76">
        <f t="shared" si="375"/>
        <v>2.1306546944009801</v>
      </c>
      <c r="Z324" s="76">
        <f t="shared" si="376"/>
        <v>2</v>
      </c>
      <c r="AA324" s="2">
        <f t="shared" si="340"/>
        <v>2.4799999999999989E-2</v>
      </c>
      <c r="AB324" s="2">
        <f t="shared" si="341"/>
        <v>0.39300000000000002</v>
      </c>
      <c r="AC324" s="2">
        <v>73.3</v>
      </c>
      <c r="AD324" s="2">
        <v>-0.27</v>
      </c>
      <c r="AE324" s="79">
        <f t="shared" si="377"/>
        <v>-1.2644171402926239</v>
      </c>
      <c r="AF324" s="79">
        <f t="shared" si="378"/>
        <v>-2</v>
      </c>
      <c r="AG324" s="2">
        <f t="shared" si="330"/>
        <v>0.16999999999999998</v>
      </c>
      <c r="AH324" s="2">
        <f t="shared" si="342"/>
        <v>-0.27</v>
      </c>
      <c r="AI324" s="2">
        <v>9100</v>
      </c>
      <c r="AJ324" s="2">
        <v>0.14000000000000001</v>
      </c>
      <c r="AK324" s="76">
        <f t="shared" si="379"/>
        <v>0.76204830481650332</v>
      </c>
      <c r="AL324" s="76">
        <f t="shared" si="380"/>
        <v>2</v>
      </c>
      <c r="AM324" s="2">
        <f t="shared" si="343"/>
        <v>-0.51</v>
      </c>
      <c r="AN324" s="2">
        <f t="shared" si="344"/>
        <v>0.14000000000000001</v>
      </c>
      <c r="AO324" s="2">
        <v>-0.19040000000000001</v>
      </c>
      <c r="AP324" s="2">
        <f t="shared" si="345"/>
        <v>-7.4230695275911363E-2</v>
      </c>
      <c r="AQ324" s="2">
        <f t="shared" si="346"/>
        <v>-0.19040000000000001</v>
      </c>
      <c r="AR324" s="2">
        <v>81</v>
      </c>
      <c r="AS324" s="2">
        <v>0.1</v>
      </c>
      <c r="AT324" s="2">
        <f t="shared" si="347"/>
        <v>6.4539399802765185E-3</v>
      </c>
      <c r="AU324" s="2">
        <f t="shared" si="348"/>
        <v>0.1</v>
      </c>
      <c r="AV324" s="2">
        <v>10150</v>
      </c>
      <c r="AW324" s="2">
        <v>-7.0000000000000007E-2</v>
      </c>
      <c r="AX324" s="2">
        <f t="shared" si="349"/>
        <v>-0.14153582620077454</v>
      </c>
      <c r="AY324" s="2">
        <f t="shared" si="350"/>
        <v>-7.0000000000000007E-2</v>
      </c>
      <c r="AZ324" s="2">
        <v>0.24453860944817729</v>
      </c>
      <c r="BA324" s="78">
        <f t="shared" si="381"/>
        <v>-0.14846139055182273</v>
      </c>
      <c r="BB324" s="78">
        <f t="shared" si="382"/>
        <v>-1</v>
      </c>
      <c r="BC324" s="2" t="str">
        <f t="shared" si="351"/>
        <v/>
      </c>
      <c r="BD324" s="2">
        <f t="shared" si="352"/>
        <v>0.24453860944817729</v>
      </c>
      <c r="BE324" s="67">
        <f t="shared" si="383"/>
        <v>7</v>
      </c>
      <c r="BF324" s="2">
        <v>84.5</v>
      </c>
      <c r="BG324" s="2">
        <v>-0.25709212003944698</v>
      </c>
      <c r="BH324" s="2" t="str">
        <f t="shared" si="353"/>
        <v/>
      </c>
      <c r="BI324" s="2">
        <f t="shared" si="354"/>
        <v>-0.25709212003944698</v>
      </c>
      <c r="BJ324" s="67">
        <f t="shared" si="355"/>
        <v>7</v>
      </c>
      <c r="BK324" s="2">
        <v>11950</v>
      </c>
      <c r="BL324" s="2">
        <v>-0.14307165240154909</v>
      </c>
      <c r="BM324" s="77">
        <f t="shared" si="384"/>
        <v>-0.28307165240154908</v>
      </c>
      <c r="BN324" s="77">
        <f t="shared" si="385"/>
        <v>-1</v>
      </c>
      <c r="BO324" s="2" t="str">
        <f t="shared" si="356"/>
        <v/>
      </c>
      <c r="BP324" s="2">
        <f t="shared" si="357"/>
        <v>-0.14307165240154909</v>
      </c>
      <c r="BQ324" s="67">
        <f t="shared" si="386"/>
        <v>7</v>
      </c>
      <c r="BS324" s="75" t="str">
        <f t="shared" si="387"/>
        <v>UF</v>
      </c>
      <c r="BT324" s="75" t="str">
        <f t="shared" si="388"/>
        <v>UF</v>
      </c>
      <c r="BU324" s="5" t="str">
        <f t="shared" si="333"/>
        <v>UF</v>
      </c>
      <c r="BV324" s="5" t="str">
        <f t="shared" si="358"/>
        <v>UF</v>
      </c>
      <c r="BW324" s="69" t="str">
        <f t="shared" si="359"/>
        <v/>
      </c>
      <c r="BX324" s="2" t="s">
        <v>12</v>
      </c>
      <c r="BZ324" s="74" t="str">
        <f t="shared" si="389"/>
        <v>UF</v>
      </c>
      <c r="CA324" s="74" t="str">
        <f t="shared" si="390"/>
        <v>UF</v>
      </c>
      <c r="CB324" s="5" t="str">
        <f t="shared" si="360"/>
        <v>UF</v>
      </c>
      <c r="CC324" s="5" t="str">
        <f t="shared" si="361"/>
        <v>UF</v>
      </c>
      <c r="CD324" s="2" t="e">
        <f t="shared" si="362"/>
        <v>#VALUE!</v>
      </c>
      <c r="CE324" s="69" t="str">
        <f t="shared" si="363"/>
        <v/>
      </c>
      <c r="CF324" s="5" t="s">
        <v>12</v>
      </c>
      <c r="CH324" s="72" t="str">
        <f t="shared" si="391"/>
        <v>UF</v>
      </c>
      <c r="CI324" s="72" t="str">
        <f t="shared" si="392"/>
        <v>UF</v>
      </c>
      <c r="CJ324" s="5" t="str">
        <f t="shared" si="364"/>
        <v>UF</v>
      </c>
      <c r="CK324" s="5" t="str">
        <f t="shared" si="365"/>
        <v>UF</v>
      </c>
      <c r="CL324" s="69" t="str">
        <f t="shared" si="366"/>
        <v/>
      </c>
      <c r="CN324" s="70" t="str">
        <f t="shared" si="367"/>
        <v/>
      </c>
      <c r="CO324" s="5" t="str">
        <f t="shared" si="368"/>
        <v>UF</v>
      </c>
      <c r="CP324" s="5" t="str">
        <f>IF(G324&lt;48,"UF", IF(NOT(ISBLANK(CM:CM)), CM:CM, IF(BW:BW=1, BV:BV+Sheet2!B482, IF(Sheet1!BW:BW=2, Sheet1!BV:BV+Sheet2!B483, IF(Sheet1!BW:BW=7, Sheet1!BV:BV+Sheet2!B484,"")))))</f>
        <v>UF</v>
      </c>
      <c r="CQ324" s="69" t="str">
        <f t="shared" si="393"/>
        <v/>
      </c>
      <c r="CR324" s="5" t="s">
        <v>12</v>
      </c>
      <c r="CT324" s="5" t="str">
        <f t="shared" si="369"/>
        <v/>
      </c>
      <c r="CU324" s="80" t="str">
        <f t="shared" si="370"/>
        <v>UF</v>
      </c>
      <c r="CV324" s="80" t="str">
        <f t="shared" si="371"/>
        <v>UF</v>
      </c>
      <c r="CW324" s="20" t="str">
        <f>IF(G324&lt;48,"UF", IF(NOT(ISBLANK(CS324)), CS324, IF(CE324=5, CC324+Sheet2!B471, IF(CE324=6, CC324+Sheet2!B472, IF(CE324=7, CC324+Sheet2!B473,"")))))</f>
        <v>UF</v>
      </c>
      <c r="CX324" s="68" t="str">
        <f t="shared" si="394"/>
        <v/>
      </c>
      <c r="CY324" s="5" t="s">
        <v>12</v>
      </c>
      <c r="DA324" s="5" t="str">
        <f t="shared" si="372"/>
        <v>UF</v>
      </c>
      <c r="DB324" s="73" t="str">
        <f t="shared" si="373"/>
        <v>UF</v>
      </c>
      <c r="DC324" s="73" t="str">
        <f t="shared" si="374"/>
        <v>UF</v>
      </c>
      <c r="DD324" s="5" t="str">
        <f>IF(G324&lt;48,"UF", IF(NOT(ISBLANK(CZ:CZ)), CZ:CZ, IF(CL:CL=3, CK:CK+Sheet2!B476, IF(CL:CL=4, CK:CK+Sheet2!B477, IF(CL:CL=7, CK:CK+Sheet2!B478,"")))))</f>
        <v>UF</v>
      </c>
      <c r="DE324" s="69" t="str">
        <f t="shared" si="331"/>
        <v/>
      </c>
      <c r="DF324" s="2">
        <v>2</v>
      </c>
      <c r="DG324" s="2">
        <v>31</v>
      </c>
      <c r="DH324" s="2">
        <v>1</v>
      </c>
      <c r="DI324" s="2">
        <v>2</v>
      </c>
      <c r="DJ324" s="2">
        <v>2</v>
      </c>
      <c r="DK324" s="2">
        <v>120</v>
      </c>
      <c r="DL324" s="2">
        <v>65</v>
      </c>
      <c r="DM324" s="2">
        <v>120</v>
      </c>
      <c r="DN324" s="2">
        <v>70</v>
      </c>
      <c r="DO324" s="2" t="s">
        <v>12</v>
      </c>
      <c r="DP324" s="2" t="s">
        <v>12</v>
      </c>
      <c r="DQ324" s="2">
        <v>2</v>
      </c>
      <c r="DR324" s="2">
        <v>37</v>
      </c>
      <c r="DS324" s="2">
        <v>1</v>
      </c>
      <c r="DT324" s="2">
        <v>115</v>
      </c>
      <c r="DU324" s="2">
        <v>91</v>
      </c>
      <c r="DV324" s="2">
        <v>2</v>
      </c>
      <c r="DW324" s="2">
        <v>2</v>
      </c>
      <c r="DX324" s="2">
        <v>2</v>
      </c>
      <c r="DY324" s="2">
        <v>1</v>
      </c>
      <c r="DZ324" s="2">
        <v>33</v>
      </c>
      <c r="EA324" s="2">
        <v>33.1</v>
      </c>
      <c r="EB324" s="2">
        <v>43.3</v>
      </c>
      <c r="EC324" s="2">
        <v>1</v>
      </c>
      <c r="ED324" s="2">
        <v>1</v>
      </c>
    </row>
    <row r="325" spans="3:134" ht="15.75" thickBot="1" x14ac:dyDescent="0.3">
      <c r="C325" s="8" t="s">
        <v>226</v>
      </c>
      <c r="D325" s="54">
        <v>2501049561</v>
      </c>
      <c r="E325" s="5">
        <v>7</v>
      </c>
      <c r="F325" s="2">
        <v>1</v>
      </c>
      <c r="G325" s="2">
        <v>29</v>
      </c>
      <c r="H325" s="2">
        <v>-0.94539700816955874</v>
      </c>
      <c r="I325" s="2">
        <v>50</v>
      </c>
      <c r="J325" s="2">
        <v>0.45756143734440202</v>
      </c>
      <c r="K325" s="2">
        <v>3055</v>
      </c>
      <c r="L325" s="2">
        <v>-0.39363667537085678</v>
      </c>
      <c r="M325" s="2">
        <v>-0.87880000000000003</v>
      </c>
      <c r="N325" s="2">
        <f t="shared" si="334"/>
        <v>0.41879850408477937</v>
      </c>
      <c r="O325" s="2">
        <f t="shared" si="335"/>
        <v>-0.87880000000000003</v>
      </c>
      <c r="P325" s="2">
        <v>64</v>
      </c>
      <c r="Q325" s="2">
        <v>-0.77</v>
      </c>
      <c r="R325" s="5">
        <f t="shared" si="336"/>
        <v>-0.61878071867220097</v>
      </c>
      <c r="S325" s="5">
        <f t="shared" si="337"/>
        <v>-0.77</v>
      </c>
      <c r="T325" s="2">
        <v>6400</v>
      </c>
      <c r="U325" s="2">
        <v>-1.0900000000000001</v>
      </c>
      <c r="V325" s="2">
        <f t="shared" si="338"/>
        <v>-6.3181662314571618E-2</v>
      </c>
      <c r="W325" s="2">
        <f t="shared" si="339"/>
        <v>-1.0900000000000001</v>
      </c>
      <c r="X325" s="2">
        <v>-0.10780000000000001</v>
      </c>
      <c r="Y325" s="76">
        <f t="shared" si="375"/>
        <v>0.83759700816955873</v>
      </c>
      <c r="Z325" s="76">
        <f t="shared" si="376"/>
        <v>2</v>
      </c>
      <c r="AA325" s="2">
        <f t="shared" si="340"/>
        <v>0.13280000000000003</v>
      </c>
      <c r="AB325" s="2">
        <f t="shared" si="341"/>
        <v>-0.10780000000000001</v>
      </c>
      <c r="AC325" s="2">
        <v>72</v>
      </c>
      <c r="AD325" s="2">
        <v>-0.78</v>
      </c>
      <c r="AE325" s="79">
        <f t="shared" si="377"/>
        <v>-1.2375614373444019</v>
      </c>
      <c r="AF325" s="79">
        <f t="shared" si="378"/>
        <v>-2</v>
      </c>
      <c r="AG325" s="2">
        <f t="shared" si="330"/>
        <v>9.0000000000000024E-2</v>
      </c>
      <c r="AH325" s="2">
        <f t="shared" si="342"/>
        <v>-0.78</v>
      </c>
      <c r="AI325" s="2">
        <v>8400</v>
      </c>
      <c r="AJ325" s="2">
        <v>-0.52</v>
      </c>
      <c r="AK325" s="76">
        <f t="shared" si="379"/>
        <v>-0.12636332462914324</v>
      </c>
      <c r="AL325" s="76">
        <f t="shared" si="380"/>
        <v>-1</v>
      </c>
      <c r="AM325" s="2">
        <f t="shared" si="343"/>
        <v>0.19500000000000006</v>
      </c>
      <c r="AN325" s="2">
        <f t="shared" si="344"/>
        <v>-0.52</v>
      </c>
      <c r="AO325" s="2">
        <v>-0.50439999999999996</v>
      </c>
      <c r="AP325" s="2" t="str">
        <f t="shared" si="345"/>
        <v/>
      </c>
      <c r="AQ325" s="2">
        <f t="shared" si="346"/>
        <v>-0.50439999999999996</v>
      </c>
      <c r="AR325" s="2">
        <v>79</v>
      </c>
      <c r="AS325" s="2">
        <v>-0.59</v>
      </c>
      <c r="AT325" s="2" t="str">
        <f t="shared" si="347"/>
        <v/>
      </c>
      <c r="AU325" s="2">
        <f t="shared" si="348"/>
        <v>-0.59</v>
      </c>
      <c r="AV325" s="2">
        <v>9400</v>
      </c>
      <c r="AW325" s="2">
        <v>-0.7</v>
      </c>
      <c r="AX325" s="2" t="str">
        <f t="shared" si="349"/>
        <v/>
      </c>
      <c r="AY325" s="2">
        <f t="shared" si="350"/>
        <v>-0.7</v>
      </c>
      <c r="BA325" s="78" t="e">
        <f t="shared" si="381"/>
        <v>#VALUE!</v>
      </c>
      <c r="BB325" s="78" t="e">
        <f t="shared" si="382"/>
        <v>#VALUE!</v>
      </c>
      <c r="BC325" s="2" t="str">
        <f t="shared" si="351"/>
        <v/>
      </c>
      <c r="BD325" s="2" t="e">
        <f t="shared" si="352"/>
        <v>#VALUE!</v>
      </c>
      <c r="BE325" s="67" t="e">
        <f t="shared" si="383"/>
        <v>#VALUE!</v>
      </c>
      <c r="BF325" s="2" t="s">
        <v>12</v>
      </c>
      <c r="BH325" s="2" t="str">
        <f t="shared" si="353"/>
        <v/>
      </c>
      <c r="BI325" s="2" t="e">
        <f t="shared" si="354"/>
        <v>#VALUE!</v>
      </c>
      <c r="BJ325" s="67" t="e">
        <f t="shared" si="355"/>
        <v>#VALUE!</v>
      </c>
      <c r="BK325" s="2" t="s">
        <v>12</v>
      </c>
      <c r="BM325" s="77" t="e">
        <f t="shared" si="384"/>
        <v>#VALUE!</v>
      </c>
      <c r="BN325" s="77" t="e">
        <f t="shared" si="385"/>
        <v>#VALUE!</v>
      </c>
      <c r="BO325" s="2" t="str">
        <f t="shared" si="356"/>
        <v/>
      </c>
      <c r="BP325" s="2" t="e">
        <f t="shared" si="357"/>
        <v>#VALUE!</v>
      </c>
      <c r="BQ325" s="67" t="e">
        <f t="shared" si="386"/>
        <v>#VALUE!</v>
      </c>
      <c r="BS325" s="75" t="str">
        <f t="shared" si="387"/>
        <v>UF</v>
      </c>
      <c r="BT325" s="75" t="str">
        <f t="shared" si="388"/>
        <v>UF</v>
      </c>
      <c r="BU325" s="5" t="str">
        <f t="shared" si="333"/>
        <v>UF</v>
      </c>
      <c r="BV325" s="5" t="str">
        <f t="shared" si="358"/>
        <v>UF</v>
      </c>
      <c r="BW325" s="69" t="str">
        <f t="shared" si="359"/>
        <v/>
      </c>
      <c r="BX325" s="2" t="s">
        <v>12</v>
      </c>
      <c r="BZ325" s="74" t="str">
        <f t="shared" si="389"/>
        <v>UF</v>
      </c>
      <c r="CA325" s="74" t="str">
        <f t="shared" si="390"/>
        <v>UF</v>
      </c>
      <c r="CB325" s="5" t="str">
        <f t="shared" si="360"/>
        <v>UF</v>
      </c>
      <c r="CC325" s="5" t="str">
        <f t="shared" si="361"/>
        <v>UF</v>
      </c>
      <c r="CD325" s="2" t="e">
        <f t="shared" si="362"/>
        <v>#VALUE!</v>
      </c>
      <c r="CE325" s="69" t="str">
        <f t="shared" si="363"/>
        <v/>
      </c>
      <c r="CF325" s="5" t="s">
        <v>12</v>
      </c>
      <c r="CH325" s="72" t="str">
        <f t="shared" si="391"/>
        <v>UF</v>
      </c>
      <c r="CI325" s="72" t="str">
        <f t="shared" si="392"/>
        <v>UF</v>
      </c>
      <c r="CJ325" s="5" t="str">
        <f t="shared" si="364"/>
        <v>UF</v>
      </c>
      <c r="CK325" s="5" t="str">
        <f t="shared" si="365"/>
        <v>UF</v>
      </c>
      <c r="CL325" s="69" t="str">
        <f t="shared" si="366"/>
        <v/>
      </c>
      <c r="CN325" s="70" t="str">
        <f t="shared" si="367"/>
        <v/>
      </c>
      <c r="CO325" s="5" t="str">
        <f t="shared" si="368"/>
        <v>UF</v>
      </c>
      <c r="CP325" s="5" t="str">
        <f>IF(G325&lt;48,"UF", IF(NOT(ISBLANK(CM:CM)), CM:CM, IF(BW:BW=1, BV:BV+Sheet2!B407, IF(Sheet1!BW:BW=2, Sheet1!BV:BV+Sheet2!B408, IF(Sheet1!BW:BW=7, Sheet1!BV:BV+Sheet2!B409,"")))))</f>
        <v>UF</v>
      </c>
      <c r="CQ325" s="69" t="str">
        <f t="shared" si="393"/>
        <v/>
      </c>
      <c r="CR325" s="5" t="s">
        <v>12</v>
      </c>
      <c r="CT325" s="5" t="str">
        <f t="shared" si="369"/>
        <v/>
      </c>
      <c r="CU325" s="80" t="str">
        <f t="shared" si="370"/>
        <v>UF</v>
      </c>
      <c r="CV325" s="80" t="str">
        <f t="shared" si="371"/>
        <v>UF</v>
      </c>
      <c r="CW325" s="20" t="str">
        <f>IF(G325&lt;48,"UF", IF(NOT(ISBLANK(CS325)), CS325, IF(CE325=5, CC325+Sheet2!B396, IF(CE325=6, CC325+Sheet2!B397, IF(CE325=7, CC325+Sheet2!B398,"")))))</f>
        <v>UF</v>
      </c>
      <c r="CX325" s="68" t="str">
        <f t="shared" si="394"/>
        <v/>
      </c>
      <c r="CY325" s="5" t="s">
        <v>12</v>
      </c>
      <c r="DA325" s="5" t="str">
        <f t="shared" si="372"/>
        <v>UF</v>
      </c>
      <c r="DB325" s="73" t="str">
        <f t="shared" si="373"/>
        <v>UF</v>
      </c>
      <c r="DC325" s="73" t="str">
        <f t="shared" si="374"/>
        <v>UF</v>
      </c>
      <c r="DD325" s="5" t="str">
        <f>IF(G325&lt;48,"UF", IF(NOT(ISBLANK(CZ:CZ)), CZ:CZ, IF(CL:CL=3, CK:CK+Sheet2!B401, IF(CL:CL=4, CK:CK+Sheet2!B402, IF(CL:CL=7, CK:CK+Sheet2!B403,"")))))</f>
        <v>UF</v>
      </c>
      <c r="DE325" s="69" t="str">
        <f t="shared" si="331"/>
        <v/>
      </c>
      <c r="DF325" s="2">
        <v>2</v>
      </c>
      <c r="DG325" s="2">
        <v>29</v>
      </c>
      <c r="DH325" s="2">
        <v>2</v>
      </c>
      <c r="DI325" s="2">
        <v>2</v>
      </c>
      <c r="DJ325" s="2">
        <v>2</v>
      </c>
      <c r="DK325" s="2">
        <v>90</v>
      </c>
      <c r="DL325" s="2">
        <v>60</v>
      </c>
      <c r="DM325" s="2">
        <v>110</v>
      </c>
      <c r="DN325" s="2">
        <v>60</v>
      </c>
      <c r="DO325" s="2">
        <v>100</v>
      </c>
      <c r="DP325" s="2">
        <v>50</v>
      </c>
      <c r="DQ325" s="2">
        <v>2</v>
      </c>
      <c r="DR325" s="2">
        <v>37</v>
      </c>
      <c r="DS325" s="2">
        <v>2</v>
      </c>
      <c r="DT325" s="2">
        <v>77</v>
      </c>
      <c r="DU325" s="2">
        <v>68</v>
      </c>
      <c r="DV325" s="2">
        <v>2</v>
      </c>
      <c r="DW325" s="2">
        <v>2</v>
      </c>
      <c r="DX325" s="2">
        <v>4</v>
      </c>
      <c r="DY325" s="2">
        <v>2</v>
      </c>
      <c r="DZ325" s="2">
        <v>33</v>
      </c>
      <c r="EA325" s="2">
        <v>35</v>
      </c>
      <c r="EB325" s="2">
        <v>44.5</v>
      </c>
      <c r="EC325" s="2">
        <v>1</v>
      </c>
      <c r="ED325" s="2">
        <v>1</v>
      </c>
    </row>
    <row r="326" spans="3:134" ht="15.75" thickBot="1" x14ac:dyDescent="0.3">
      <c r="C326" s="8" t="s">
        <v>226</v>
      </c>
      <c r="D326" s="55">
        <v>2501049667</v>
      </c>
      <c r="E326" s="5">
        <v>7</v>
      </c>
      <c r="F326" s="2">
        <v>1</v>
      </c>
      <c r="G326" s="2">
        <v>29</v>
      </c>
      <c r="H326" s="2">
        <v>0.62155701215877512</v>
      </c>
      <c r="I326" s="2">
        <v>54</v>
      </c>
      <c r="J326" s="2">
        <v>2.604984249137289</v>
      </c>
      <c r="K326" s="2">
        <v>4120</v>
      </c>
      <c r="L326" s="2">
        <v>1.7942359651466611</v>
      </c>
      <c r="M326" s="2">
        <v>-0.22550000000000001</v>
      </c>
      <c r="N326" s="2">
        <f t="shared" si="334"/>
        <v>0.23937149392061247</v>
      </c>
      <c r="O326" s="2">
        <f t="shared" si="335"/>
        <v>-0.22550000000000001</v>
      </c>
      <c r="P326" s="2">
        <v>65</v>
      </c>
      <c r="Q326" s="2">
        <v>-0.33</v>
      </c>
      <c r="R326" s="5">
        <f t="shared" si="336"/>
        <v>-1.8874921245686445</v>
      </c>
      <c r="S326" s="5">
        <f t="shared" si="337"/>
        <v>-0.33</v>
      </c>
      <c r="T326" s="2">
        <v>7000</v>
      </c>
      <c r="U326" s="2">
        <v>-0.35</v>
      </c>
      <c r="V326" s="2">
        <f t="shared" si="338"/>
        <v>-0.82711798257333058</v>
      </c>
      <c r="W326" s="2">
        <f t="shared" si="339"/>
        <v>-0.35</v>
      </c>
      <c r="X326" s="2">
        <v>1.1003000000000001</v>
      </c>
      <c r="Y326" s="76">
        <f t="shared" si="375"/>
        <v>0.47874298784122493</v>
      </c>
      <c r="Z326" s="76">
        <f t="shared" si="376"/>
        <v>1</v>
      </c>
      <c r="AA326" s="2">
        <f t="shared" si="340"/>
        <v>1.1511</v>
      </c>
      <c r="AB326" s="2">
        <f t="shared" si="341"/>
        <v>1.1003000000000001</v>
      </c>
      <c r="AC326" s="2">
        <v>71</v>
      </c>
      <c r="AD326" s="2">
        <v>-1.17</v>
      </c>
      <c r="AE326" s="79">
        <f t="shared" si="377"/>
        <v>-3.7749842491372889</v>
      </c>
      <c r="AF326" s="79">
        <f t="shared" si="378"/>
        <v>-2</v>
      </c>
      <c r="AG326" s="2">
        <f t="shared" si="330"/>
        <v>-0.55999999999999994</v>
      </c>
      <c r="AH326" s="2">
        <f t="shared" si="342"/>
        <v>-1.17</v>
      </c>
      <c r="AI326" s="2">
        <v>9100</v>
      </c>
      <c r="AJ326" s="2">
        <v>0.14000000000000001</v>
      </c>
      <c r="AK326" s="76">
        <f t="shared" si="379"/>
        <v>-1.6542359651466612</v>
      </c>
      <c r="AL326" s="76">
        <f t="shared" si="380"/>
        <v>-2</v>
      </c>
      <c r="AM326" s="2">
        <f t="shared" si="343"/>
        <v>0.46499999999999997</v>
      </c>
      <c r="AN326" s="2">
        <f t="shared" si="344"/>
        <v>0.14000000000000001</v>
      </c>
      <c r="AO326" s="2">
        <v>1.9722</v>
      </c>
      <c r="AP326" s="2">
        <f t="shared" si="345"/>
        <v>-0.19575534119813071</v>
      </c>
      <c r="AQ326" s="2">
        <f t="shared" si="346"/>
        <v>1.9722</v>
      </c>
      <c r="AR326" s="2">
        <v>76.5</v>
      </c>
      <c r="AS326" s="2">
        <v>-1.45</v>
      </c>
      <c r="AT326" s="2">
        <f t="shared" si="347"/>
        <v>0.17019470895847699</v>
      </c>
      <c r="AU326" s="2">
        <f t="shared" si="348"/>
        <v>-1.45</v>
      </c>
      <c r="AV326" s="2">
        <v>11000</v>
      </c>
      <c r="AW326" s="2">
        <v>0.57999999999999996</v>
      </c>
      <c r="AX326" s="2">
        <f t="shared" si="349"/>
        <v>-0.17314955920278702</v>
      </c>
      <c r="AY326" s="2">
        <f t="shared" si="350"/>
        <v>0.57999999999999996</v>
      </c>
      <c r="AZ326" s="2">
        <v>0.70878931760373864</v>
      </c>
      <c r="BA326" s="78">
        <f t="shared" si="381"/>
        <v>-0.39151068239626141</v>
      </c>
      <c r="BB326" s="78">
        <f t="shared" si="382"/>
        <v>-1</v>
      </c>
      <c r="BC326" s="2" t="str">
        <f t="shared" si="351"/>
        <v/>
      </c>
      <c r="BD326" s="2">
        <f t="shared" si="352"/>
        <v>0.70878931760373864</v>
      </c>
      <c r="BE326" s="67">
        <f t="shared" si="383"/>
        <v>7</v>
      </c>
      <c r="BF326" s="2">
        <v>82.5</v>
      </c>
      <c r="BG326" s="2">
        <v>-0.82961058208304594</v>
      </c>
      <c r="BH326" s="2" t="str">
        <f t="shared" si="353"/>
        <v/>
      </c>
      <c r="BI326" s="2">
        <f t="shared" si="354"/>
        <v>-0.82961058208304594</v>
      </c>
      <c r="BJ326" s="67">
        <f t="shared" si="355"/>
        <v>7</v>
      </c>
      <c r="BK326" s="2">
        <v>11870</v>
      </c>
      <c r="BL326" s="2">
        <v>-0.20629911840557399</v>
      </c>
      <c r="BM326" s="77">
        <f t="shared" si="384"/>
        <v>-0.34629911840557404</v>
      </c>
      <c r="BN326" s="77">
        <f t="shared" si="385"/>
        <v>-1</v>
      </c>
      <c r="BO326" s="2" t="str">
        <f t="shared" si="356"/>
        <v/>
      </c>
      <c r="BP326" s="2">
        <f t="shared" si="357"/>
        <v>-0.20629911840557399</v>
      </c>
      <c r="BQ326" s="67">
        <f t="shared" si="386"/>
        <v>7</v>
      </c>
      <c r="BS326" s="75" t="str">
        <f t="shared" si="387"/>
        <v>UF</v>
      </c>
      <c r="BT326" s="75" t="str">
        <f t="shared" si="388"/>
        <v>UF</v>
      </c>
      <c r="BU326" s="5" t="e">
        <f>IF(#REF!&gt;=36, IF(AND(NOT(ISBLANK(CM:CM)), NOT(ISBLANK(BD:BD))), (CM:CM-BD:BD)/2, ""), "UF")</f>
        <v>#REF!</v>
      </c>
      <c r="BV326" s="5" t="str">
        <f t="shared" si="358"/>
        <v>UF</v>
      </c>
      <c r="BW326" s="69" t="str">
        <f t="shared" si="359"/>
        <v/>
      </c>
      <c r="BX326" s="2" t="s">
        <v>12</v>
      </c>
      <c r="BZ326" s="74" t="str">
        <f t="shared" si="389"/>
        <v>UF</v>
      </c>
      <c r="CA326" s="74" t="str">
        <f t="shared" si="390"/>
        <v>UF</v>
      </c>
      <c r="CB326" s="5" t="str">
        <f t="shared" si="360"/>
        <v>UF</v>
      </c>
      <c r="CC326" s="5" t="str">
        <f t="shared" si="361"/>
        <v>UF</v>
      </c>
      <c r="CD326" s="2" t="e">
        <f t="shared" si="362"/>
        <v>#VALUE!</v>
      </c>
      <c r="CE326" s="69" t="str">
        <f t="shared" si="363"/>
        <v/>
      </c>
      <c r="CF326" s="5" t="s">
        <v>12</v>
      </c>
      <c r="CH326" s="72" t="str">
        <f t="shared" si="391"/>
        <v>UF</v>
      </c>
      <c r="CI326" s="72" t="str">
        <f t="shared" si="392"/>
        <v>UF</v>
      </c>
      <c r="CJ326" s="5" t="str">
        <f t="shared" si="364"/>
        <v>UF</v>
      </c>
      <c r="CK326" s="5" t="str">
        <f t="shared" si="365"/>
        <v>UF</v>
      </c>
      <c r="CL326" s="69" t="str">
        <f t="shared" si="366"/>
        <v/>
      </c>
      <c r="CN326" s="70" t="str">
        <f t="shared" si="367"/>
        <v/>
      </c>
      <c r="CO326" s="5" t="str">
        <f t="shared" si="368"/>
        <v>UF</v>
      </c>
      <c r="CP326" s="5" t="str">
        <f>IF(G326&lt;48,"UF", IF(NOT(ISBLANK(CM:CM)), CM:CM, IF(BW:BW=1, BV:BV+Sheet2!B465, IF(Sheet1!BW:BW=2, Sheet1!BV:BV+Sheet2!B466, IF(Sheet1!BW:BW=7, Sheet1!BV:BV+Sheet2!B467,"")))))</f>
        <v>UF</v>
      </c>
      <c r="CQ326" s="69" t="str">
        <f t="shared" si="393"/>
        <v/>
      </c>
      <c r="CR326" s="5" t="s">
        <v>12</v>
      </c>
      <c r="CT326" s="5" t="str">
        <f t="shared" si="369"/>
        <v/>
      </c>
      <c r="CU326" s="80" t="str">
        <f t="shared" si="370"/>
        <v>UF</v>
      </c>
      <c r="CV326" s="80" t="str">
        <f t="shared" si="371"/>
        <v>UF</v>
      </c>
      <c r="CW326" s="20" t="str">
        <f>IF(G326&lt;48,"UF", IF(NOT(ISBLANK(CS326)), CS326, IF(CE326=5, CC326+Sheet2!B454, IF(CE326=6, CC326+Sheet2!B455, IF(CE326=7, CC326+Sheet2!B456,"")))))</f>
        <v>UF</v>
      </c>
      <c r="CX326" s="68" t="str">
        <f t="shared" si="394"/>
        <v/>
      </c>
      <c r="CY326" s="5" t="s">
        <v>12</v>
      </c>
      <c r="DA326" s="5" t="str">
        <f t="shared" si="372"/>
        <v>UF</v>
      </c>
      <c r="DB326" s="73" t="str">
        <f t="shared" si="373"/>
        <v>UF</v>
      </c>
      <c r="DC326" s="73" t="str">
        <f t="shared" si="374"/>
        <v>UF</v>
      </c>
      <c r="DD326" s="5" t="str">
        <f>IF(G326&lt;48,"UF", IF(NOT(ISBLANK(CZ:CZ)), CZ:CZ, IF(CL:CL=3, CK:CK+Sheet2!B459, IF(CL:CL=4, CK:CK+Sheet2!B460, IF(CL:CL=7, CK:CK+Sheet2!B461,"")))))</f>
        <v>UF</v>
      </c>
      <c r="DE326" s="69" t="str">
        <f t="shared" si="331"/>
        <v/>
      </c>
      <c r="DF326" s="2">
        <v>3</v>
      </c>
      <c r="DG326" s="2">
        <v>41</v>
      </c>
      <c r="DH326" s="2">
        <v>1</v>
      </c>
      <c r="DI326" s="2">
        <v>2</v>
      </c>
      <c r="DJ326" s="2">
        <v>2</v>
      </c>
      <c r="DK326" s="2">
        <v>110</v>
      </c>
      <c r="DL326" s="2">
        <v>66</v>
      </c>
      <c r="DM326" s="2">
        <v>100</v>
      </c>
      <c r="DN326" s="2">
        <v>68</v>
      </c>
      <c r="DO326" s="2">
        <v>117</v>
      </c>
      <c r="DP326" s="2">
        <v>76</v>
      </c>
      <c r="DQ326" s="2">
        <v>2</v>
      </c>
      <c r="DR326" s="2">
        <v>38</v>
      </c>
      <c r="DS326" s="2">
        <v>1</v>
      </c>
      <c r="DT326" s="2">
        <v>85</v>
      </c>
      <c r="DU326" s="2">
        <v>89</v>
      </c>
      <c r="DV326" s="2">
        <v>2</v>
      </c>
      <c r="DW326" s="2">
        <v>2</v>
      </c>
      <c r="DX326" s="2">
        <v>2</v>
      </c>
      <c r="DY326" s="2">
        <v>3</v>
      </c>
      <c r="DZ326" s="2">
        <v>36</v>
      </c>
      <c r="EA326" s="2" t="s">
        <v>12</v>
      </c>
      <c r="EB326" s="2">
        <v>46</v>
      </c>
      <c r="EC326" s="2" t="s">
        <v>12</v>
      </c>
      <c r="ED326" s="2">
        <v>1</v>
      </c>
    </row>
    <row r="327" spans="3:134" ht="15.75" thickBot="1" x14ac:dyDescent="0.3">
      <c r="C327" s="8" t="s">
        <v>263</v>
      </c>
      <c r="D327" s="8">
        <v>2501049985</v>
      </c>
      <c r="E327" s="5">
        <v>7</v>
      </c>
      <c r="F327" s="2">
        <v>2</v>
      </c>
      <c r="G327" s="2">
        <v>28</v>
      </c>
      <c r="H327" s="2">
        <v>-0.30700421681893753</v>
      </c>
      <c r="I327" s="2">
        <v>48</v>
      </c>
      <c r="J327" s="2">
        <v>-0.99529637274036198</v>
      </c>
      <c r="K327" s="2">
        <v>3000</v>
      </c>
      <c r="L327" s="2">
        <v>-0.73426392472567259</v>
      </c>
      <c r="M327" s="2">
        <v>0.68359999999999999</v>
      </c>
      <c r="N327" s="2">
        <f t="shared" si="334"/>
        <v>0.28855210840946877</v>
      </c>
      <c r="O327" s="2">
        <f t="shared" si="335"/>
        <v>0.68359999999999999</v>
      </c>
      <c r="P327" s="2">
        <v>63.5</v>
      </c>
      <c r="Q327" s="2">
        <v>-1.94</v>
      </c>
      <c r="R327" s="5">
        <f t="shared" si="336"/>
        <v>-0.28735181362981904</v>
      </c>
      <c r="S327" s="5">
        <f t="shared" si="337"/>
        <v>-1.94</v>
      </c>
      <c r="T327" s="2">
        <v>7400</v>
      </c>
      <c r="U327" s="2">
        <v>-0.64</v>
      </c>
      <c r="V327" s="2">
        <f t="shared" si="338"/>
        <v>2.1319623628363038E-3</v>
      </c>
      <c r="W327" s="2">
        <f t="shared" si="339"/>
        <v>-0.64</v>
      </c>
      <c r="X327" s="2">
        <v>0.27010000000000001</v>
      </c>
      <c r="Y327" s="76">
        <f t="shared" si="375"/>
        <v>0.57710421681893753</v>
      </c>
      <c r="Z327" s="76">
        <f t="shared" si="376"/>
        <v>1</v>
      </c>
      <c r="AA327" s="2">
        <f t="shared" si="340"/>
        <v>1.2020999999999999</v>
      </c>
      <c r="AB327" s="2">
        <f t="shared" si="341"/>
        <v>0.27010000000000001</v>
      </c>
      <c r="AC327" s="2">
        <v>72</v>
      </c>
      <c r="AD327" s="2">
        <v>-1.57</v>
      </c>
      <c r="AE327" s="79">
        <f t="shared" si="377"/>
        <v>-0.57470362725963808</v>
      </c>
      <c r="AF327" s="79">
        <f t="shared" si="378"/>
        <v>-1</v>
      </c>
      <c r="AG327" s="2">
        <f t="shared" si="330"/>
        <v>-0.10000000000000009</v>
      </c>
      <c r="AH327" s="2">
        <f t="shared" si="342"/>
        <v>-1.57</v>
      </c>
      <c r="AI327" s="2">
        <v>8900</v>
      </c>
      <c r="AJ327" s="2">
        <v>-0.73</v>
      </c>
      <c r="AK327" s="76">
        <f t="shared" si="379"/>
        <v>4.2639247256726076E-3</v>
      </c>
      <c r="AL327" s="76">
        <f t="shared" si="380"/>
        <v>1</v>
      </c>
      <c r="AM327" s="2">
        <f t="shared" si="343"/>
        <v>-0.17499999999999999</v>
      </c>
      <c r="AN327" s="2">
        <f t="shared" si="344"/>
        <v>-0.73</v>
      </c>
      <c r="AO327" s="2">
        <v>0.4642</v>
      </c>
      <c r="AP327" s="2">
        <f t="shared" si="345"/>
        <v>-0.12950460680343523</v>
      </c>
      <c r="AQ327" s="2">
        <f t="shared" si="346"/>
        <v>0.4642</v>
      </c>
      <c r="AR327" s="2">
        <v>76.5</v>
      </c>
      <c r="AS327" s="2">
        <v>-2.14</v>
      </c>
      <c r="AT327" s="2">
        <f t="shared" si="347"/>
        <v>-0.19247745727585097</v>
      </c>
      <c r="AU327" s="2">
        <f t="shared" si="348"/>
        <v>-2.14</v>
      </c>
      <c r="AV327" s="2">
        <v>9800</v>
      </c>
      <c r="AW327" s="2">
        <v>-0.99</v>
      </c>
      <c r="AX327" s="2">
        <f t="shared" si="349"/>
        <v>-0.50277947849485005</v>
      </c>
      <c r="AY327" s="2">
        <f t="shared" si="350"/>
        <v>-0.99</v>
      </c>
      <c r="AZ327" s="2">
        <v>1.1090786393129539E-2</v>
      </c>
      <c r="BA327" s="78">
        <f t="shared" si="381"/>
        <v>-0.25900921360687046</v>
      </c>
      <c r="BB327" s="78">
        <f t="shared" si="382"/>
        <v>-1</v>
      </c>
      <c r="BC327" s="2" t="str">
        <f t="shared" si="351"/>
        <v/>
      </c>
      <c r="BD327" s="2">
        <f t="shared" si="352"/>
        <v>1.1090786393129539E-2</v>
      </c>
      <c r="BE327" s="67">
        <f t="shared" si="383"/>
        <v>7</v>
      </c>
      <c r="BF327" s="2">
        <v>80</v>
      </c>
      <c r="BG327" s="2">
        <v>-1.954954914551702</v>
      </c>
      <c r="BH327" s="2" t="str">
        <f t="shared" si="353"/>
        <v/>
      </c>
      <c r="BI327" s="2">
        <f t="shared" si="354"/>
        <v>-1.954954914551702</v>
      </c>
      <c r="BJ327" s="67">
        <f t="shared" si="355"/>
        <v>7</v>
      </c>
      <c r="BK327" s="2">
        <v>10600</v>
      </c>
      <c r="BL327" s="2">
        <v>-1.7355589569897001</v>
      </c>
      <c r="BM327" s="77">
        <f t="shared" si="384"/>
        <v>-1.0055589569897001</v>
      </c>
      <c r="BN327" s="77">
        <f t="shared" si="385"/>
        <v>-2</v>
      </c>
      <c r="BO327" s="2" t="str">
        <f t="shared" si="356"/>
        <v/>
      </c>
      <c r="BP327" s="2">
        <f t="shared" si="357"/>
        <v>-1.7355589569897001</v>
      </c>
      <c r="BQ327" s="67">
        <f t="shared" si="386"/>
        <v>7</v>
      </c>
      <c r="BS327" s="75" t="str">
        <f t="shared" si="387"/>
        <v>UF</v>
      </c>
      <c r="BT327" s="75" t="str">
        <f t="shared" si="388"/>
        <v>UF</v>
      </c>
      <c r="BU327" s="5" t="str">
        <f>IF(G335&gt;=36, IF(AND(NOT(ISBLANK(CM:CM)), NOT(ISBLANK(BD:BD))), (CM:CM-BD:BD)/2, ""), "UF")</f>
        <v>UF</v>
      </c>
      <c r="BV327" s="5" t="str">
        <f t="shared" si="358"/>
        <v>UF</v>
      </c>
      <c r="BW327" s="69" t="str">
        <f t="shared" si="359"/>
        <v/>
      </c>
      <c r="BX327" s="2" t="s">
        <v>12</v>
      </c>
      <c r="BZ327" s="74" t="str">
        <f t="shared" si="389"/>
        <v>UF</v>
      </c>
      <c r="CA327" s="74" t="str">
        <f t="shared" si="390"/>
        <v>UF</v>
      </c>
      <c r="CB327" s="5" t="str">
        <f t="shared" si="360"/>
        <v>UF</v>
      </c>
      <c r="CC327" s="5" t="str">
        <f t="shared" si="361"/>
        <v>UF</v>
      </c>
      <c r="CD327" s="2" t="e">
        <f t="shared" si="362"/>
        <v>#VALUE!</v>
      </c>
      <c r="CE327" s="69" t="str">
        <f t="shared" si="363"/>
        <v/>
      </c>
      <c r="CF327" s="5" t="s">
        <v>12</v>
      </c>
      <c r="CH327" s="72" t="str">
        <f t="shared" si="391"/>
        <v>UF</v>
      </c>
      <c r="CI327" s="72" t="str">
        <f t="shared" si="392"/>
        <v>UF</v>
      </c>
      <c r="CJ327" s="5" t="str">
        <f t="shared" si="364"/>
        <v>UF</v>
      </c>
      <c r="CK327" s="5" t="str">
        <f t="shared" si="365"/>
        <v>UF</v>
      </c>
      <c r="CL327" s="69" t="str">
        <f t="shared" si="366"/>
        <v/>
      </c>
      <c r="CN327" s="70" t="str">
        <f t="shared" si="367"/>
        <v/>
      </c>
      <c r="CO327" s="5" t="str">
        <f t="shared" si="368"/>
        <v>UF</v>
      </c>
      <c r="CP327" s="5" t="str">
        <f>IF(G327&lt;48,"UF", IF(NOT(ISBLANK(CM:CM)), CM:CM, IF(BW:BW=1, BV:BV+Sheet2!B460, IF(Sheet1!BW:BW=2, Sheet1!BV:BV+Sheet2!B461, IF(Sheet1!BW:BW=7, Sheet1!BV:BV+Sheet2!B462,"")))))</f>
        <v>UF</v>
      </c>
      <c r="CQ327" s="69" t="str">
        <f t="shared" si="393"/>
        <v/>
      </c>
      <c r="CR327" s="5" t="s">
        <v>12</v>
      </c>
      <c r="CT327" s="5" t="str">
        <f t="shared" si="369"/>
        <v/>
      </c>
      <c r="CU327" s="80" t="str">
        <f t="shared" si="370"/>
        <v>UF</v>
      </c>
      <c r="CV327" s="80" t="str">
        <f t="shared" si="371"/>
        <v>UF</v>
      </c>
      <c r="CW327" s="20" t="str">
        <f>IF(G327&lt;48,"UF", IF(NOT(ISBLANK(CS327)), CS327, IF(CE327=5, CC327+Sheet2!B449, IF(CE327=6, CC327+Sheet2!B450, IF(CE327=7, CC327+Sheet2!B451,"")))))</f>
        <v>UF</v>
      </c>
      <c r="CX327" s="68" t="str">
        <f t="shared" si="394"/>
        <v/>
      </c>
      <c r="CY327" s="5" t="s">
        <v>12</v>
      </c>
      <c r="DA327" s="5" t="str">
        <f t="shared" si="372"/>
        <v>UF</v>
      </c>
      <c r="DB327" s="73" t="str">
        <f t="shared" si="373"/>
        <v>UF</v>
      </c>
      <c r="DC327" s="73" t="str">
        <f t="shared" si="374"/>
        <v>UF</v>
      </c>
      <c r="DD327" s="5" t="str">
        <f>IF(G327&lt;48,"UF", IF(NOT(ISBLANK(CZ:CZ)), CZ:CZ, IF(CL:CL=3, CK:CK+Sheet2!B454, IF(CL:CL=4, CK:CK+Sheet2!B455, IF(CL:CL=7, CK:CK+Sheet2!B456,"")))))</f>
        <v>UF</v>
      </c>
      <c r="DE327" s="69" t="str">
        <f t="shared" si="331"/>
        <v/>
      </c>
      <c r="DF327" s="2">
        <v>2</v>
      </c>
      <c r="DG327" s="2">
        <v>39</v>
      </c>
      <c r="DH327" s="2">
        <v>1</v>
      </c>
      <c r="DI327" s="2">
        <v>2</v>
      </c>
      <c r="DJ327" s="2">
        <v>2</v>
      </c>
      <c r="DK327" s="2">
        <v>110</v>
      </c>
      <c r="DL327" s="2">
        <v>65</v>
      </c>
      <c r="DM327" s="2">
        <v>100</v>
      </c>
      <c r="DN327" s="2">
        <v>60</v>
      </c>
      <c r="DO327" s="2">
        <v>90</v>
      </c>
      <c r="DP327" s="2">
        <v>60</v>
      </c>
      <c r="DQ327" s="2">
        <v>2</v>
      </c>
      <c r="DR327" s="2">
        <v>39</v>
      </c>
      <c r="DS327" s="2">
        <v>1</v>
      </c>
      <c r="DT327" s="2">
        <v>101</v>
      </c>
      <c r="DU327" s="2">
        <v>97</v>
      </c>
      <c r="DV327" s="2">
        <v>2</v>
      </c>
      <c r="DW327" s="2">
        <v>2</v>
      </c>
      <c r="DX327" s="2">
        <v>2</v>
      </c>
      <c r="DY327" s="2">
        <v>2</v>
      </c>
      <c r="DZ327" s="2">
        <v>34.5</v>
      </c>
      <c r="EA327" s="2">
        <v>35.5</v>
      </c>
      <c r="EB327" s="2">
        <v>46.5</v>
      </c>
      <c r="EC327" s="2">
        <v>1</v>
      </c>
      <c r="ED327" s="2">
        <v>1</v>
      </c>
    </row>
    <row r="328" spans="3:134" ht="15.75" thickBot="1" x14ac:dyDescent="0.3">
      <c r="C328" s="8" t="s">
        <v>185</v>
      </c>
      <c r="D328" s="54">
        <v>2501050053</v>
      </c>
      <c r="E328" s="5">
        <v>7</v>
      </c>
      <c r="F328" s="2">
        <v>1</v>
      </c>
      <c r="G328" s="2">
        <v>28</v>
      </c>
      <c r="H328" s="2">
        <v>-1.586317059408934</v>
      </c>
      <c r="I328" s="2">
        <v>50</v>
      </c>
      <c r="J328" s="2">
        <v>0.45756143734440202</v>
      </c>
      <c r="K328" s="1">
        <v>2880</v>
      </c>
      <c r="L328" s="2">
        <v>-0.79651665840700692</v>
      </c>
      <c r="M328" s="2">
        <v>0.96389999999999998</v>
      </c>
      <c r="N328" s="2">
        <f t="shared" si="334"/>
        <v>1.1054085297044671</v>
      </c>
      <c r="O328" s="2">
        <f t="shared" si="335"/>
        <v>0.96389999999999998</v>
      </c>
      <c r="P328" s="2">
        <v>66</v>
      </c>
      <c r="Q328" s="2">
        <v>0.11</v>
      </c>
      <c r="R328" s="5">
        <f t="shared" si="336"/>
        <v>0.54621928132779907</v>
      </c>
      <c r="S328" s="5">
        <f t="shared" si="337"/>
        <v>0.11</v>
      </c>
      <c r="T328" s="1">
        <v>8040</v>
      </c>
      <c r="U328" s="2">
        <v>0.79</v>
      </c>
      <c r="V328" s="2">
        <f t="shared" si="338"/>
        <v>1.0482583292035035</v>
      </c>
      <c r="W328" s="2">
        <f t="shared" si="339"/>
        <v>0.79</v>
      </c>
      <c r="X328" s="2">
        <v>0.62450000000000006</v>
      </c>
      <c r="Y328" s="76">
        <f t="shared" si="375"/>
        <v>2.2108170594089342</v>
      </c>
      <c r="Z328" s="76">
        <f t="shared" si="376"/>
        <v>2</v>
      </c>
      <c r="AA328" s="2">
        <f t="shared" si="340"/>
        <v>0.30304999999999999</v>
      </c>
      <c r="AB328" s="2">
        <f t="shared" si="341"/>
        <v>0.62450000000000006</v>
      </c>
      <c r="AC328" s="2">
        <v>78</v>
      </c>
      <c r="AD328" s="2">
        <v>1.55</v>
      </c>
      <c r="AE328" s="79">
        <f t="shared" si="377"/>
        <v>1.0924385626555981</v>
      </c>
      <c r="AF328" s="79">
        <f t="shared" si="378"/>
        <v>2</v>
      </c>
      <c r="AG328" s="2">
        <f t="shared" si="330"/>
        <v>0.68499999999999994</v>
      </c>
      <c r="AH328" s="2">
        <f t="shared" si="342"/>
        <v>1.55</v>
      </c>
      <c r="AI328" s="2">
        <v>10520</v>
      </c>
      <c r="AJ328" s="2">
        <v>1.3</v>
      </c>
      <c r="AK328" s="76">
        <f t="shared" si="379"/>
        <v>2.096516658407007</v>
      </c>
      <c r="AL328" s="76">
        <f t="shared" si="380"/>
        <v>2</v>
      </c>
      <c r="AM328" s="2">
        <f t="shared" si="343"/>
        <v>0.27</v>
      </c>
      <c r="AN328" s="2">
        <f t="shared" si="344"/>
        <v>1.3</v>
      </c>
      <c r="AO328" s="2">
        <v>0.71609999999999996</v>
      </c>
      <c r="AP328" s="2">
        <f t="shared" si="345"/>
        <v>-0.21694852943479609</v>
      </c>
      <c r="AQ328" s="2">
        <f t="shared" si="346"/>
        <v>0.71609999999999996</v>
      </c>
      <c r="AR328" s="2">
        <v>85</v>
      </c>
      <c r="AS328" s="2">
        <v>1.48</v>
      </c>
      <c r="AT328" s="2">
        <f t="shared" si="347"/>
        <v>-0.40176051204878693</v>
      </c>
      <c r="AU328" s="2">
        <f t="shared" si="348"/>
        <v>1.48</v>
      </c>
      <c r="AV328" s="2">
        <v>12100</v>
      </c>
      <c r="AW328" s="2">
        <v>1.33</v>
      </c>
      <c r="AX328" s="2">
        <f t="shared" si="349"/>
        <v>-0.37255441628932973</v>
      </c>
      <c r="AY328" s="2">
        <f t="shared" si="350"/>
        <v>1.33</v>
      </c>
      <c r="AZ328" s="2">
        <v>0.1906029411304079</v>
      </c>
      <c r="BA328" s="78">
        <f t="shared" si="381"/>
        <v>-0.43389705886959218</v>
      </c>
      <c r="BB328" s="78">
        <f t="shared" si="382"/>
        <v>-1</v>
      </c>
      <c r="BC328" s="2" t="str">
        <f t="shared" si="351"/>
        <v/>
      </c>
      <c r="BD328" s="2">
        <f t="shared" si="352"/>
        <v>0.1906029411304079</v>
      </c>
      <c r="BE328" s="67">
        <f t="shared" si="383"/>
        <v>7</v>
      </c>
      <c r="BF328" s="2">
        <v>88</v>
      </c>
      <c r="BG328" s="2">
        <v>0.74647897590242618</v>
      </c>
      <c r="BH328" s="2" t="str">
        <f t="shared" si="353"/>
        <v/>
      </c>
      <c r="BI328" s="2">
        <f t="shared" si="354"/>
        <v>0.74647897590242618</v>
      </c>
      <c r="BJ328" s="67">
        <f t="shared" si="355"/>
        <v>7</v>
      </c>
      <c r="BK328" s="2">
        <v>12900</v>
      </c>
      <c r="BL328" s="2">
        <v>0.55489116742134059</v>
      </c>
      <c r="BM328" s="77">
        <f t="shared" si="384"/>
        <v>-0.74510883257865945</v>
      </c>
      <c r="BN328" s="77">
        <f t="shared" si="385"/>
        <v>-2</v>
      </c>
      <c r="BO328" s="2" t="str">
        <f t="shared" si="356"/>
        <v/>
      </c>
      <c r="BP328" s="2">
        <f t="shared" si="357"/>
        <v>0.55489116742134059</v>
      </c>
      <c r="BQ328" s="67">
        <f t="shared" si="386"/>
        <v>7</v>
      </c>
      <c r="BS328" s="75" t="str">
        <f t="shared" si="387"/>
        <v>UF</v>
      </c>
      <c r="BT328" s="75" t="str">
        <f t="shared" si="388"/>
        <v>UF</v>
      </c>
      <c r="BU328" s="5" t="e">
        <f>IF(#REF!&gt;=36, IF(AND(NOT(ISBLANK(CM:CM)), NOT(ISBLANK(BD:BD))), (CM:CM-BD:BD)/2, ""), "UF")</f>
        <v>#REF!</v>
      </c>
      <c r="BV328" s="5" t="str">
        <f t="shared" si="358"/>
        <v>UF</v>
      </c>
      <c r="BW328" s="69" t="str">
        <f t="shared" si="359"/>
        <v/>
      </c>
      <c r="BX328" s="2" t="s">
        <v>12</v>
      </c>
      <c r="BZ328" s="74" t="str">
        <f t="shared" si="389"/>
        <v>UF</v>
      </c>
      <c r="CA328" s="74" t="str">
        <f t="shared" si="390"/>
        <v>UF</v>
      </c>
      <c r="CB328" s="5" t="str">
        <f t="shared" si="360"/>
        <v>UF</v>
      </c>
      <c r="CC328" s="5" t="str">
        <f t="shared" si="361"/>
        <v>UF</v>
      </c>
      <c r="CD328" s="2" t="e">
        <f t="shared" si="362"/>
        <v>#VALUE!</v>
      </c>
      <c r="CE328" s="69" t="str">
        <f t="shared" si="363"/>
        <v/>
      </c>
      <c r="CF328" s="5" t="s">
        <v>12</v>
      </c>
      <c r="CH328" s="72" t="str">
        <f t="shared" si="391"/>
        <v>UF</v>
      </c>
      <c r="CI328" s="72" t="str">
        <f t="shared" si="392"/>
        <v>UF</v>
      </c>
      <c r="CJ328" s="5" t="str">
        <f t="shared" si="364"/>
        <v>UF</v>
      </c>
      <c r="CK328" s="5" t="str">
        <f t="shared" si="365"/>
        <v>UF</v>
      </c>
      <c r="CL328" s="69" t="str">
        <f t="shared" si="366"/>
        <v/>
      </c>
      <c r="CN328" s="70" t="str">
        <f t="shared" si="367"/>
        <v/>
      </c>
      <c r="CO328" s="5" t="str">
        <f t="shared" si="368"/>
        <v>UF</v>
      </c>
      <c r="CP328" s="5" t="str">
        <f>IF(G328&lt;48,"UF", IF(NOT(ISBLANK(CM:CM)), CM:CM, IF(BW:BW=1, BV:BV+Sheet2!B357, IF(Sheet1!BW:BW=2, Sheet1!BV:BV+Sheet2!B358, IF(Sheet1!BW:BW=7, Sheet1!BV:BV+Sheet2!B359,"")))))</f>
        <v>UF</v>
      </c>
      <c r="CQ328" s="69" t="str">
        <f t="shared" si="393"/>
        <v/>
      </c>
      <c r="CR328" s="5" t="s">
        <v>12</v>
      </c>
      <c r="CT328" s="5" t="str">
        <f t="shared" si="369"/>
        <v/>
      </c>
      <c r="CU328" s="80" t="str">
        <f t="shared" si="370"/>
        <v>UF</v>
      </c>
      <c r="CV328" s="80" t="str">
        <f t="shared" si="371"/>
        <v>UF</v>
      </c>
      <c r="CW328" s="20" t="str">
        <f>IF(G328&lt;48,"UF", IF(NOT(ISBLANK(CS328)), CS328, IF(CE328=5, CC328+Sheet2!B346, IF(CE328=6, CC328+Sheet2!B347, IF(CE328=7, CC328+Sheet2!B348,"")))))</f>
        <v>UF</v>
      </c>
      <c r="CX328" s="68" t="str">
        <f t="shared" si="394"/>
        <v/>
      </c>
      <c r="CY328" s="5" t="s">
        <v>12</v>
      </c>
      <c r="DA328" s="5" t="str">
        <f t="shared" si="372"/>
        <v>UF</v>
      </c>
      <c r="DB328" s="73" t="str">
        <f t="shared" si="373"/>
        <v>UF</v>
      </c>
      <c r="DC328" s="73" t="str">
        <f t="shared" si="374"/>
        <v>UF</v>
      </c>
      <c r="DD328" s="5" t="str">
        <f>IF(G328&lt;48,"UF", IF(NOT(ISBLANK(CZ:CZ)), CZ:CZ, IF(CL:CL=3, CK:CK+Sheet2!B351, IF(CL:CL=4, CK:CK+Sheet2!B352, IF(CL:CL=7, CK:CK+Sheet2!B353,"")))))</f>
        <v>UF</v>
      </c>
      <c r="DE328" s="69" t="str">
        <f t="shared" si="331"/>
        <v/>
      </c>
      <c r="DF328" s="2">
        <v>1</v>
      </c>
      <c r="DG328" s="2">
        <v>31</v>
      </c>
      <c r="DH328" s="2">
        <v>1</v>
      </c>
      <c r="DI328" s="2">
        <v>2</v>
      </c>
      <c r="DJ328" s="2">
        <v>2</v>
      </c>
      <c r="DK328" s="2">
        <v>100</v>
      </c>
      <c r="DL328" s="2">
        <v>60</v>
      </c>
      <c r="DM328" s="2">
        <v>116</v>
      </c>
      <c r="DN328" s="2">
        <v>65</v>
      </c>
      <c r="DO328" s="2" t="s">
        <v>12</v>
      </c>
      <c r="DP328" s="2" t="s">
        <v>12</v>
      </c>
      <c r="DQ328" s="2">
        <v>2</v>
      </c>
      <c r="DR328" s="2">
        <v>36</v>
      </c>
      <c r="DS328" s="2">
        <v>2</v>
      </c>
      <c r="DT328" s="2">
        <v>76</v>
      </c>
      <c r="DU328" s="2">
        <v>68</v>
      </c>
      <c r="DV328" s="2">
        <v>2</v>
      </c>
      <c r="DW328" s="2">
        <v>2</v>
      </c>
      <c r="DX328" s="2">
        <v>2</v>
      </c>
      <c r="DY328" s="2">
        <v>3</v>
      </c>
      <c r="DZ328" s="2">
        <v>36</v>
      </c>
      <c r="EA328" s="2">
        <v>36.5</v>
      </c>
      <c r="EB328" s="2">
        <v>47</v>
      </c>
      <c r="EC328" s="2">
        <v>1</v>
      </c>
      <c r="ED328" s="2">
        <v>1</v>
      </c>
    </row>
    <row r="329" spans="3:134" x14ac:dyDescent="0.25">
      <c r="C329" s="2" t="s">
        <v>277</v>
      </c>
      <c r="D329" s="2">
        <v>2501050101</v>
      </c>
      <c r="E329" s="5">
        <v>6</v>
      </c>
      <c r="F329" s="2">
        <v>2</v>
      </c>
      <c r="G329" s="2">
        <v>32</v>
      </c>
      <c r="H329" s="2">
        <v>-2.1599807794989201</v>
      </c>
      <c r="I329" s="2">
        <v>54</v>
      </c>
      <c r="J329" s="2">
        <v>2.1740990784834611</v>
      </c>
      <c r="K329" s="5">
        <v>3200</v>
      </c>
      <c r="L329" s="2">
        <v>-0.30398057951686752</v>
      </c>
      <c r="M329" s="2">
        <v>7.3099999999999998E-2</v>
      </c>
      <c r="N329" s="2">
        <f t="shared" si="334"/>
        <v>2.5145903897494604</v>
      </c>
      <c r="O329" s="2">
        <f t="shared" si="335"/>
        <v>7.3099999999999998E-2</v>
      </c>
      <c r="P329" s="2">
        <v>66</v>
      </c>
      <c r="Q329" s="2">
        <v>-0.77</v>
      </c>
      <c r="R329" s="5">
        <f t="shared" si="336"/>
        <v>-2.9270495392417306</v>
      </c>
      <c r="S329" s="5">
        <f t="shared" si="337"/>
        <v>-0.77</v>
      </c>
      <c r="T329" s="1">
        <v>7600</v>
      </c>
      <c r="U329" s="2">
        <v>-0.4</v>
      </c>
      <c r="V329" s="2">
        <f t="shared" si="338"/>
        <v>0.13199028975843377</v>
      </c>
      <c r="W329" s="2">
        <f t="shared" si="339"/>
        <v>-0.4</v>
      </c>
      <c r="X329" s="2">
        <v>2.8692000000000002</v>
      </c>
      <c r="Y329" s="76">
        <f t="shared" si="375"/>
        <v>5.0291807794989207</v>
      </c>
      <c r="Z329" s="76">
        <f t="shared" si="376"/>
        <v>2</v>
      </c>
      <c r="AA329" s="2">
        <f t="shared" si="340"/>
        <v>0.76095000000000002</v>
      </c>
      <c r="AB329" s="2">
        <f t="shared" si="341"/>
        <v>2.8692000000000002</v>
      </c>
      <c r="AC329" s="2">
        <v>67</v>
      </c>
      <c r="AD329" s="2">
        <v>-3.68</v>
      </c>
      <c r="AE329" s="79">
        <f t="shared" si="377"/>
        <v>-5.8540990784834612</v>
      </c>
      <c r="AF329" s="79">
        <f t="shared" si="378"/>
        <v>-2</v>
      </c>
      <c r="AG329" s="2">
        <f t="shared" si="330"/>
        <v>-0.77499999999999991</v>
      </c>
      <c r="AH329" s="2">
        <f t="shared" si="342"/>
        <v>-3.68</v>
      </c>
      <c r="AI329" s="2">
        <v>9600</v>
      </c>
      <c r="AJ329" s="2">
        <v>-0.04</v>
      </c>
      <c r="AK329" s="76">
        <f t="shared" si="379"/>
        <v>0.26398057951686754</v>
      </c>
      <c r="AL329" s="76">
        <f t="shared" si="380"/>
        <v>1</v>
      </c>
      <c r="AM329" s="2">
        <f t="shared" si="343"/>
        <v>-0.25</v>
      </c>
      <c r="AN329" s="2">
        <f t="shared" si="344"/>
        <v>-0.04</v>
      </c>
      <c r="AO329" s="2">
        <v>0.75190000000000001</v>
      </c>
      <c r="AP329" s="2">
        <f t="shared" si="345"/>
        <v>-1.4886565607213322</v>
      </c>
      <c r="AQ329" s="2">
        <f t="shared" si="346"/>
        <v>0.75190000000000001</v>
      </c>
      <c r="AR329" s="2">
        <v>76</v>
      </c>
      <c r="AS329" s="2">
        <v>-2.3199999999999998</v>
      </c>
      <c r="AT329" s="2">
        <f t="shared" si="347"/>
        <v>0.86252254272414908</v>
      </c>
      <c r="AU329" s="2">
        <f t="shared" si="348"/>
        <v>-2.3199999999999998</v>
      </c>
      <c r="AV329" s="2">
        <v>9900</v>
      </c>
      <c r="AW329" s="2">
        <v>-0.9</v>
      </c>
      <c r="AX329" s="2">
        <f t="shared" si="349"/>
        <v>-0.89342284320353549</v>
      </c>
      <c r="AY329" s="2">
        <f t="shared" si="350"/>
        <v>-0.9</v>
      </c>
      <c r="AZ329" s="2">
        <v>-0.1081131214426644</v>
      </c>
      <c r="BA329" s="78">
        <f t="shared" si="381"/>
        <v>-2.9773131214426645</v>
      </c>
      <c r="BB329" s="78">
        <f t="shared" si="382"/>
        <v>-2</v>
      </c>
      <c r="BC329" s="2" t="str">
        <f t="shared" si="351"/>
        <v/>
      </c>
      <c r="BD329" s="2">
        <f t="shared" si="352"/>
        <v>-0.1081131214426644</v>
      </c>
      <c r="BE329" s="67">
        <f t="shared" si="383"/>
        <v>7</v>
      </c>
      <c r="BF329" s="2">
        <v>80</v>
      </c>
      <c r="BG329" s="2">
        <v>-1.954954914551702</v>
      </c>
      <c r="BH329" s="2" t="str">
        <f t="shared" si="353"/>
        <v/>
      </c>
      <c r="BI329" s="2">
        <f t="shared" si="354"/>
        <v>-1.954954914551702</v>
      </c>
      <c r="BJ329" s="67">
        <f t="shared" si="355"/>
        <v>7</v>
      </c>
      <c r="BK329" s="2">
        <v>10500</v>
      </c>
      <c r="BL329" s="2">
        <v>-1.826845686407071</v>
      </c>
      <c r="BM329" s="77">
        <f t="shared" si="384"/>
        <v>-1.786845686407071</v>
      </c>
      <c r="BN329" s="77">
        <f t="shared" si="385"/>
        <v>-2</v>
      </c>
      <c r="BO329" s="2" t="str">
        <f t="shared" si="356"/>
        <v/>
      </c>
      <c r="BP329" s="2">
        <f t="shared" si="357"/>
        <v>-1.826845686407071</v>
      </c>
      <c r="BQ329" s="67">
        <f t="shared" si="386"/>
        <v>7</v>
      </c>
      <c r="BS329" s="75" t="str">
        <f t="shared" si="387"/>
        <v>UF</v>
      </c>
      <c r="BT329" s="75" t="str">
        <f t="shared" si="388"/>
        <v>UF</v>
      </c>
      <c r="BU329" s="5" t="str">
        <f>IF(G336&gt;=36, IF(AND(NOT(ISBLANK(CM:CM)), NOT(ISBLANK(BD:BD))), (CM:CM-BD:BD)/2, ""), "UF")</f>
        <v>UF</v>
      </c>
      <c r="BV329" s="5" t="str">
        <f t="shared" si="358"/>
        <v>UF</v>
      </c>
      <c r="BW329" s="69" t="str">
        <f t="shared" si="359"/>
        <v/>
      </c>
      <c r="BX329" s="2" t="s">
        <v>12</v>
      </c>
      <c r="BZ329" s="74" t="str">
        <f t="shared" si="389"/>
        <v>UF</v>
      </c>
      <c r="CA329" s="74" t="str">
        <f t="shared" si="390"/>
        <v>UF</v>
      </c>
      <c r="CB329" s="5" t="str">
        <f t="shared" si="360"/>
        <v>UF</v>
      </c>
      <c r="CC329" s="5" t="str">
        <f t="shared" si="361"/>
        <v>UF</v>
      </c>
      <c r="CD329" s="2" t="e">
        <f t="shared" si="362"/>
        <v>#VALUE!</v>
      </c>
      <c r="CE329" s="69" t="str">
        <f t="shared" si="363"/>
        <v/>
      </c>
      <c r="CF329" s="5" t="s">
        <v>12</v>
      </c>
      <c r="CH329" s="72" t="str">
        <f t="shared" si="391"/>
        <v>UF</v>
      </c>
      <c r="CI329" s="72" t="str">
        <f t="shared" si="392"/>
        <v>UF</v>
      </c>
      <c r="CJ329" s="5" t="str">
        <f t="shared" si="364"/>
        <v>UF</v>
      </c>
      <c r="CK329" s="5" t="str">
        <f t="shared" si="365"/>
        <v>UF</v>
      </c>
      <c r="CL329" s="69" t="str">
        <f t="shared" si="366"/>
        <v/>
      </c>
      <c r="CN329" s="70" t="str">
        <f t="shared" si="367"/>
        <v/>
      </c>
      <c r="CO329" s="5" t="str">
        <f t="shared" si="368"/>
        <v>UF</v>
      </c>
      <c r="CP329" s="5" t="str">
        <f>IF(G329&lt;48,"UF", IF(NOT(ISBLANK(CM:CM)), CM:CM, IF(BW:BW=1, BV:BV+Sheet2!B279, IF(Sheet1!BW:BW=2, Sheet1!BV:BV+Sheet2!B280, IF(Sheet1!BW:BW=7, Sheet1!BV:BV+Sheet2!B281,"")))))</f>
        <v>UF</v>
      </c>
      <c r="CQ329" s="69" t="str">
        <f t="shared" si="393"/>
        <v/>
      </c>
      <c r="CR329" s="5" t="s">
        <v>12</v>
      </c>
      <c r="CT329" s="5" t="str">
        <f t="shared" si="369"/>
        <v/>
      </c>
      <c r="CU329" s="80" t="str">
        <f t="shared" si="370"/>
        <v>UF</v>
      </c>
      <c r="CV329" s="80" t="str">
        <f t="shared" si="371"/>
        <v>UF</v>
      </c>
      <c r="CW329" s="20" t="str">
        <f>IF(G329&lt;48,"UF", IF(NOT(ISBLANK(CS329)), CS329, IF(CE329=5, CC329+Sheet2!B268, IF(CE329=6, CC329+Sheet2!B269, IF(CE329=7, CC329+Sheet2!B270,"")))))</f>
        <v>UF</v>
      </c>
      <c r="CX329" s="68" t="str">
        <f t="shared" si="394"/>
        <v/>
      </c>
      <c r="CY329" s="5" t="s">
        <v>12</v>
      </c>
      <c r="DA329" s="5" t="str">
        <f t="shared" si="372"/>
        <v>UF</v>
      </c>
      <c r="DB329" s="73" t="str">
        <f t="shared" si="373"/>
        <v>UF</v>
      </c>
      <c r="DC329" s="73" t="str">
        <f t="shared" si="374"/>
        <v>UF</v>
      </c>
      <c r="DD329" s="5" t="str">
        <f>IF(G329&lt;48,"UF", IF(NOT(ISBLANK(CZ:CZ)), CZ:CZ, IF(CL:CL=3, CK:CK+Sheet2!B273, IF(CL:CL=4, CK:CK+Sheet2!B274, IF(CL:CL=7, CK:CK+Sheet2!B275,"")))))</f>
        <v>UF</v>
      </c>
      <c r="DE329" s="69" t="str">
        <f t="shared" si="331"/>
        <v/>
      </c>
      <c r="DF329" s="2">
        <v>2</v>
      </c>
      <c r="DG329" s="2">
        <v>30</v>
      </c>
      <c r="DH329" s="2">
        <v>2</v>
      </c>
      <c r="DI329" s="2">
        <v>2</v>
      </c>
      <c r="DJ329" s="2">
        <v>2</v>
      </c>
      <c r="DK329" s="2">
        <v>105</v>
      </c>
      <c r="DL329" s="2">
        <v>55</v>
      </c>
      <c r="DM329" s="2">
        <v>105</v>
      </c>
      <c r="DN329" s="2">
        <v>60</v>
      </c>
      <c r="DO329" s="2">
        <v>110</v>
      </c>
      <c r="DP329" s="2">
        <v>60</v>
      </c>
      <c r="DQ329" s="2">
        <v>2</v>
      </c>
      <c r="DR329" s="2">
        <v>40</v>
      </c>
      <c r="DS329" s="2">
        <v>2</v>
      </c>
      <c r="DT329" s="2">
        <v>76</v>
      </c>
      <c r="DU329" s="2">
        <v>83</v>
      </c>
      <c r="DV329" s="2">
        <v>2</v>
      </c>
      <c r="DW329" s="2">
        <v>2</v>
      </c>
      <c r="DX329" s="2">
        <v>4</v>
      </c>
      <c r="DY329" s="2">
        <v>2</v>
      </c>
      <c r="DZ329" s="2">
        <v>32</v>
      </c>
      <c r="EA329" s="2">
        <v>34</v>
      </c>
      <c r="EB329" s="2">
        <v>43.5</v>
      </c>
      <c r="EC329" s="2">
        <v>1</v>
      </c>
      <c r="ED329" s="2">
        <v>1</v>
      </c>
    </row>
    <row r="330" spans="3:134" x14ac:dyDescent="0.25">
      <c r="C330" s="8" t="s">
        <v>258</v>
      </c>
      <c r="D330" s="8">
        <v>2501050347</v>
      </c>
      <c r="E330" s="5">
        <v>7</v>
      </c>
      <c r="F330" s="2">
        <v>2</v>
      </c>
      <c r="G330" s="2">
        <v>28</v>
      </c>
      <c r="H330" s="2">
        <v>-0.62344298505134377</v>
      </c>
      <c r="I330" s="2">
        <v>53</v>
      </c>
      <c r="J330" s="2">
        <v>1.645866503279491</v>
      </c>
      <c r="K330" s="2">
        <v>3550</v>
      </c>
      <c r="L330" s="2">
        <v>0.40867588260998888</v>
      </c>
      <c r="M330" s="2">
        <v>-8.3799999999999999E-2</v>
      </c>
      <c r="N330" s="2">
        <f t="shared" si="334"/>
        <v>0.2611714925256719</v>
      </c>
      <c r="O330" s="2">
        <f t="shared" si="335"/>
        <v>-8.3799999999999999E-2</v>
      </c>
      <c r="P330" s="2">
        <v>69</v>
      </c>
      <c r="Q330" s="2">
        <v>0.63</v>
      </c>
      <c r="R330" s="5">
        <f t="shared" si="336"/>
        <v>-0.13793325163974546</v>
      </c>
      <c r="S330" s="5">
        <f t="shared" si="337"/>
        <v>0.63</v>
      </c>
      <c r="T330" s="2">
        <v>8200</v>
      </c>
      <c r="U330" s="2">
        <v>0.3</v>
      </c>
      <c r="V330" s="2">
        <f t="shared" si="338"/>
        <v>0.14066205869500553</v>
      </c>
      <c r="W330" s="2">
        <f t="shared" si="339"/>
        <v>0.3</v>
      </c>
      <c r="X330" s="2">
        <v>-0.1011</v>
      </c>
      <c r="Y330" s="76">
        <f t="shared" si="375"/>
        <v>0.5223429850513438</v>
      </c>
      <c r="Z330" s="76">
        <f t="shared" si="376"/>
        <v>1</v>
      </c>
      <c r="AA330" s="2">
        <f t="shared" si="340"/>
        <v>-0.17225000000000001</v>
      </c>
      <c r="AB330" s="2">
        <f t="shared" si="341"/>
        <v>-0.1011</v>
      </c>
      <c r="AC330" s="2">
        <v>79</v>
      </c>
      <c r="AD330" s="2">
        <v>1.37</v>
      </c>
      <c r="AE330" s="79">
        <f t="shared" si="377"/>
        <v>-0.27586650327949092</v>
      </c>
      <c r="AF330" s="79">
        <f t="shared" si="378"/>
        <v>-1</v>
      </c>
      <c r="AG330" s="2">
        <f t="shared" si="330"/>
        <v>-0.36499999999999999</v>
      </c>
      <c r="AH330" s="2">
        <f t="shared" si="342"/>
        <v>1.37</v>
      </c>
      <c r="AI330" s="2">
        <v>10400</v>
      </c>
      <c r="AJ330" s="2">
        <v>0.69</v>
      </c>
      <c r="AK330" s="76">
        <f t="shared" si="379"/>
        <v>0.28132411739001106</v>
      </c>
      <c r="AL330" s="76">
        <f t="shared" si="380"/>
        <v>1</v>
      </c>
      <c r="AM330" s="2">
        <f t="shared" si="343"/>
        <v>-8.4999999999999992E-2</v>
      </c>
      <c r="AN330" s="2">
        <f t="shared" si="344"/>
        <v>0.69</v>
      </c>
      <c r="AO330" s="2">
        <v>0.28549999999999998</v>
      </c>
      <c r="AP330" s="2">
        <f t="shared" si="345"/>
        <v>0.26539089912370289</v>
      </c>
      <c r="AQ330" s="2">
        <f t="shared" si="346"/>
        <v>0.28549999999999998</v>
      </c>
      <c r="AR330" s="2">
        <v>82</v>
      </c>
      <c r="AS330" s="2">
        <v>-0.1</v>
      </c>
      <c r="AT330" s="2">
        <f t="shared" si="347"/>
        <v>-1.0927237359242232</v>
      </c>
      <c r="AU330" s="2">
        <f t="shared" si="348"/>
        <v>-0.1</v>
      </c>
      <c r="AV330" s="2">
        <v>11100</v>
      </c>
      <c r="AW330" s="2">
        <v>0.13</v>
      </c>
      <c r="AX330" s="2">
        <f t="shared" si="349"/>
        <v>-0.58515114968095039</v>
      </c>
      <c r="AY330" s="2">
        <f t="shared" si="350"/>
        <v>0.13</v>
      </c>
      <c r="AZ330" s="2">
        <v>0.42968179824740582</v>
      </c>
      <c r="BA330" s="78">
        <f t="shared" si="381"/>
        <v>0.53078179824740579</v>
      </c>
      <c r="BB330" s="78">
        <f t="shared" si="382"/>
        <v>1</v>
      </c>
      <c r="BC330" s="2" t="str">
        <f t="shared" si="351"/>
        <v/>
      </c>
      <c r="BD330" s="2">
        <f t="shared" si="352"/>
        <v>0.42968179824740582</v>
      </c>
      <c r="BE330" s="67">
        <f t="shared" si="383"/>
        <v>7</v>
      </c>
      <c r="BF330" s="2">
        <v>84</v>
      </c>
      <c r="BG330" s="2">
        <v>-0.81544747184844635</v>
      </c>
      <c r="BH330" s="2" t="str">
        <f t="shared" si="353"/>
        <v/>
      </c>
      <c r="BI330" s="2">
        <f t="shared" si="354"/>
        <v>-0.81544747184844635</v>
      </c>
      <c r="BJ330" s="67">
        <f t="shared" si="355"/>
        <v>7</v>
      </c>
      <c r="BK330" s="2">
        <v>12100</v>
      </c>
      <c r="BL330" s="2">
        <v>-0.48030229936190089</v>
      </c>
      <c r="BM330" s="77">
        <f t="shared" si="384"/>
        <v>-1.1703022993619008</v>
      </c>
      <c r="BN330" s="77">
        <f t="shared" si="385"/>
        <v>-2</v>
      </c>
      <c r="BO330" s="2" t="str">
        <f t="shared" si="356"/>
        <v/>
      </c>
      <c r="BP330" s="2">
        <f t="shared" si="357"/>
        <v>-0.48030229936190089</v>
      </c>
      <c r="BQ330" s="67">
        <f t="shared" si="386"/>
        <v>7</v>
      </c>
      <c r="BS330" s="75" t="str">
        <f t="shared" si="387"/>
        <v>UF</v>
      </c>
      <c r="BT330" s="75" t="str">
        <f t="shared" si="388"/>
        <v>UF</v>
      </c>
      <c r="BU330" s="5" t="str">
        <f>IF(G337&gt;=36, IF(AND(NOT(ISBLANK(CM:CM)), NOT(ISBLANK(BD:BD))), (CM:CM-BD:BD)/2, ""), "UF")</f>
        <v>UF</v>
      </c>
      <c r="BV330" s="5" t="str">
        <f t="shared" si="358"/>
        <v>UF</v>
      </c>
      <c r="BW330" s="69" t="str">
        <f t="shared" si="359"/>
        <v/>
      </c>
      <c r="BX330" s="2" t="s">
        <v>12</v>
      </c>
      <c r="BZ330" s="74" t="str">
        <f t="shared" si="389"/>
        <v>UF</v>
      </c>
      <c r="CA330" s="74" t="str">
        <f t="shared" si="390"/>
        <v>UF</v>
      </c>
      <c r="CB330" s="5" t="str">
        <f t="shared" si="360"/>
        <v>UF</v>
      </c>
      <c r="CC330" s="5" t="str">
        <f t="shared" si="361"/>
        <v>UF</v>
      </c>
      <c r="CD330" s="2" t="e">
        <f t="shared" si="362"/>
        <v>#VALUE!</v>
      </c>
      <c r="CE330" s="69" t="str">
        <f t="shared" si="363"/>
        <v/>
      </c>
      <c r="CF330" s="5" t="s">
        <v>12</v>
      </c>
      <c r="CH330" s="72" t="str">
        <f t="shared" si="391"/>
        <v>UF</v>
      </c>
      <c r="CI330" s="72" t="str">
        <f t="shared" si="392"/>
        <v>UF</v>
      </c>
      <c r="CJ330" s="5" t="str">
        <f t="shared" si="364"/>
        <v>UF</v>
      </c>
      <c r="CK330" s="5" t="str">
        <f t="shared" si="365"/>
        <v>UF</v>
      </c>
      <c r="CL330" s="69" t="str">
        <f t="shared" si="366"/>
        <v/>
      </c>
      <c r="CN330" s="70" t="str">
        <f t="shared" si="367"/>
        <v/>
      </c>
      <c r="CO330" s="5" t="str">
        <f t="shared" si="368"/>
        <v>UF</v>
      </c>
      <c r="CP330" s="5" t="str">
        <f>IF(G330&lt;48,"UF", IF(NOT(ISBLANK(CM:CM)), CM:CM, IF(BW:BW=1, BV:BV+Sheet2!B454, IF(Sheet1!BW:BW=2, Sheet1!BV:BV+Sheet2!B455, IF(Sheet1!BW:BW=7, Sheet1!BV:BV+Sheet2!B456,"")))))</f>
        <v>UF</v>
      </c>
      <c r="CQ330" s="69" t="str">
        <f t="shared" si="393"/>
        <v/>
      </c>
      <c r="CR330" s="5" t="s">
        <v>12</v>
      </c>
      <c r="CT330" s="5" t="str">
        <f t="shared" si="369"/>
        <v/>
      </c>
      <c r="CU330" s="80" t="str">
        <f t="shared" si="370"/>
        <v>UF</v>
      </c>
      <c r="CV330" s="80" t="str">
        <f t="shared" si="371"/>
        <v>UF</v>
      </c>
      <c r="CW330" s="20" t="str">
        <f>IF(G330&lt;48,"UF", IF(NOT(ISBLANK(CS330)), CS330, IF(CE330=5, CC330+Sheet2!B443, IF(CE330=6, CC330+Sheet2!B444, IF(CE330=7, CC330+Sheet2!B445,"")))))</f>
        <v>UF</v>
      </c>
      <c r="CX330" s="68" t="str">
        <f t="shared" si="394"/>
        <v/>
      </c>
      <c r="CY330" s="5" t="s">
        <v>12</v>
      </c>
      <c r="DA330" s="5" t="str">
        <f t="shared" si="372"/>
        <v>UF</v>
      </c>
      <c r="DB330" s="73" t="str">
        <f t="shared" si="373"/>
        <v>UF</v>
      </c>
      <c r="DC330" s="73" t="str">
        <f t="shared" si="374"/>
        <v>UF</v>
      </c>
      <c r="DD330" s="5" t="str">
        <f>IF(G330&lt;48,"UF", IF(NOT(ISBLANK(CZ:CZ)), CZ:CZ, IF(CL:CL=3, CK:CK+Sheet2!B448, IF(CL:CL=4, CK:CK+Sheet2!B449, IF(CL:CL=7, CK:CK+Sheet2!B450,"")))))</f>
        <v>UF</v>
      </c>
      <c r="DE330" s="69" t="str">
        <f t="shared" si="331"/>
        <v/>
      </c>
      <c r="DF330" s="2">
        <v>2</v>
      </c>
      <c r="DG330" s="2">
        <v>30</v>
      </c>
      <c r="DH330" s="2">
        <v>1</v>
      </c>
      <c r="DI330" s="2">
        <v>2</v>
      </c>
      <c r="DJ330" s="2">
        <v>2</v>
      </c>
      <c r="DK330" s="2">
        <v>114</v>
      </c>
      <c r="DL330" s="2">
        <v>70</v>
      </c>
      <c r="DM330" s="2">
        <v>110</v>
      </c>
      <c r="DN330" s="2">
        <v>70</v>
      </c>
      <c r="DO330" s="2">
        <v>120</v>
      </c>
      <c r="DP330" s="2">
        <v>70</v>
      </c>
      <c r="DQ330" s="2">
        <v>2</v>
      </c>
      <c r="DR330" s="2">
        <v>39</v>
      </c>
      <c r="DS330" s="2">
        <v>1</v>
      </c>
      <c r="DT330" s="2">
        <v>94</v>
      </c>
      <c r="DU330" s="2">
        <v>97</v>
      </c>
      <c r="DV330" s="2">
        <v>2</v>
      </c>
      <c r="DW330" s="2">
        <v>2</v>
      </c>
      <c r="DX330" s="2">
        <v>2</v>
      </c>
      <c r="DY330" s="2">
        <v>2</v>
      </c>
      <c r="DZ330" s="2">
        <v>32</v>
      </c>
      <c r="EA330" s="2">
        <v>34</v>
      </c>
      <c r="EB330" s="2">
        <v>44</v>
      </c>
      <c r="EC330" s="2">
        <v>1</v>
      </c>
      <c r="ED330" s="2">
        <v>1</v>
      </c>
    </row>
    <row r="331" spans="3:134" ht="15.75" thickBot="1" x14ac:dyDescent="0.3">
      <c r="C331" s="8" t="s">
        <v>225</v>
      </c>
      <c r="D331" s="4">
        <v>2501050665</v>
      </c>
      <c r="E331" s="5">
        <v>7</v>
      </c>
      <c r="F331" s="2">
        <v>2</v>
      </c>
      <c r="G331" s="2">
        <v>28</v>
      </c>
      <c r="H331" s="2">
        <v>-0.61095073198455974</v>
      </c>
      <c r="I331" s="2">
        <v>47</v>
      </c>
      <c r="J331" s="2">
        <v>-1.5235289479443319</v>
      </c>
      <c r="K331" s="2">
        <v>2795</v>
      </c>
      <c r="L331" s="2">
        <v>-1.1951598102787759</v>
      </c>
      <c r="M331" s="2">
        <v>0.48759999999999998</v>
      </c>
      <c r="N331" s="2">
        <f t="shared" si="334"/>
        <v>-0.30017463400772015</v>
      </c>
      <c r="O331" s="2">
        <f t="shared" si="335"/>
        <v>0.48759999999999998</v>
      </c>
      <c r="P331" s="2">
        <v>60</v>
      </c>
      <c r="Q331" s="2">
        <v>-3.57</v>
      </c>
      <c r="R331" s="5">
        <f t="shared" si="336"/>
        <v>-0.23323552602783404</v>
      </c>
      <c r="S331" s="5">
        <f t="shared" si="337"/>
        <v>-3.57</v>
      </c>
      <c r="T331" s="2">
        <v>6500</v>
      </c>
      <c r="U331" s="2">
        <v>-1.8</v>
      </c>
      <c r="V331" s="2">
        <f t="shared" si="338"/>
        <v>-0.42742009486061194</v>
      </c>
      <c r="W331" s="2">
        <f t="shared" si="339"/>
        <v>-1.8</v>
      </c>
      <c r="X331" s="2">
        <v>-1.2113</v>
      </c>
      <c r="Y331" s="76">
        <f t="shared" si="375"/>
        <v>-0.60034926801544031</v>
      </c>
      <c r="Z331" s="76">
        <f t="shared" si="376"/>
        <v>-1</v>
      </c>
      <c r="AA331" s="2">
        <f t="shared" si="340"/>
        <v>1.1644999999999999</v>
      </c>
      <c r="AB331" s="2">
        <f t="shared" si="341"/>
        <v>-1.2113</v>
      </c>
      <c r="AC331" s="2">
        <v>71</v>
      </c>
      <c r="AD331" s="2">
        <v>-1.99</v>
      </c>
      <c r="AE331" s="79">
        <f t="shared" si="377"/>
        <v>-0.46647105205566808</v>
      </c>
      <c r="AF331" s="79">
        <f t="shared" si="378"/>
        <v>-1</v>
      </c>
      <c r="AG331" s="2">
        <f t="shared" si="330"/>
        <v>0.80999999999999994</v>
      </c>
      <c r="AH331" s="2">
        <f t="shared" si="342"/>
        <v>-1.99</v>
      </c>
      <c r="AI331" s="2">
        <v>7700</v>
      </c>
      <c r="AJ331" s="2">
        <v>-2.0499999999999998</v>
      </c>
      <c r="AK331" s="76">
        <f t="shared" si="379"/>
        <v>-0.85484018972122389</v>
      </c>
      <c r="AL331" s="76">
        <f t="shared" si="380"/>
        <v>-2</v>
      </c>
      <c r="AM331" s="2">
        <f t="shared" si="343"/>
        <v>-0.12499999999999989</v>
      </c>
      <c r="AN331" s="2">
        <f t="shared" si="344"/>
        <v>-2.0499999999999998</v>
      </c>
      <c r="AO331" s="2">
        <v>-1.2410000000000001</v>
      </c>
      <c r="AP331" s="2">
        <f t="shared" si="345"/>
        <v>-7.8746211614495021E-2</v>
      </c>
      <c r="AQ331" s="2">
        <f t="shared" si="346"/>
        <v>-1.2410000000000001</v>
      </c>
      <c r="AR331" s="2">
        <v>77</v>
      </c>
      <c r="AS331" s="2">
        <v>-1.95</v>
      </c>
      <c r="AT331" s="2">
        <f t="shared" si="347"/>
        <v>-0.33846989140639494</v>
      </c>
      <c r="AU331" s="2">
        <f t="shared" si="348"/>
        <v>-1.95</v>
      </c>
      <c r="AV331" s="2">
        <v>8700</v>
      </c>
      <c r="AW331" s="2">
        <v>-2.0499999999999998</v>
      </c>
      <c r="AX331" s="2">
        <f t="shared" si="349"/>
        <v>-0.64401081260396054</v>
      </c>
      <c r="AY331" s="2">
        <f t="shared" si="350"/>
        <v>-2.0499999999999998</v>
      </c>
      <c r="AZ331" s="2">
        <v>-1.3687924232289901</v>
      </c>
      <c r="BA331" s="78">
        <f t="shared" si="381"/>
        <v>-0.15749242322899004</v>
      </c>
      <c r="BB331" s="78">
        <f t="shared" si="382"/>
        <v>-1</v>
      </c>
      <c r="BC331" s="2" t="str">
        <f t="shared" si="351"/>
        <v/>
      </c>
      <c r="BD331" s="2">
        <f t="shared" si="352"/>
        <v>-1.3687924232289901</v>
      </c>
      <c r="BE331" s="67">
        <f t="shared" si="383"/>
        <v>7</v>
      </c>
      <c r="BF331" s="2">
        <v>77.5</v>
      </c>
      <c r="BG331" s="2">
        <v>-2.6669397828127899</v>
      </c>
      <c r="BH331" s="2" t="str">
        <f t="shared" si="353"/>
        <v/>
      </c>
      <c r="BI331" s="2">
        <f t="shared" si="354"/>
        <v>-2.6669397828127899</v>
      </c>
      <c r="BJ331" s="67">
        <f t="shared" si="355"/>
        <v>6</v>
      </c>
      <c r="BK331" s="2">
        <v>9000</v>
      </c>
      <c r="BL331" s="2">
        <v>-3.3380216252079209</v>
      </c>
      <c r="BM331" s="77">
        <f t="shared" si="384"/>
        <v>-1.2880216252079211</v>
      </c>
      <c r="BN331" s="77">
        <f t="shared" si="385"/>
        <v>-2</v>
      </c>
      <c r="BO331" s="2" t="str">
        <f t="shared" si="356"/>
        <v/>
      </c>
      <c r="BP331" s="2">
        <f t="shared" si="357"/>
        <v>-3.3380216252079209</v>
      </c>
      <c r="BQ331" s="67">
        <f t="shared" si="386"/>
        <v>3</v>
      </c>
      <c r="BS331" s="75" t="str">
        <f t="shared" si="387"/>
        <v>UF</v>
      </c>
      <c r="BT331" s="75" t="str">
        <f t="shared" si="388"/>
        <v>UF</v>
      </c>
      <c r="BU331" s="5" t="str">
        <f>IF(G338&gt;=36, IF(AND(NOT(ISBLANK(CM:CM)), NOT(ISBLANK(BD:BD))), (CM:CM-BD:BD)/2, ""), "UF")</f>
        <v>UF</v>
      </c>
      <c r="BV331" s="5" t="str">
        <f t="shared" si="358"/>
        <v>UF</v>
      </c>
      <c r="BW331" s="69" t="str">
        <f t="shared" si="359"/>
        <v/>
      </c>
      <c r="BX331" s="2" t="s">
        <v>12</v>
      </c>
      <c r="BZ331" s="74" t="str">
        <f t="shared" si="389"/>
        <v>UF</v>
      </c>
      <c r="CA331" s="74" t="str">
        <f t="shared" si="390"/>
        <v>UF</v>
      </c>
      <c r="CB331" s="5" t="str">
        <f t="shared" si="360"/>
        <v>UF</v>
      </c>
      <c r="CC331" s="5" t="str">
        <f t="shared" si="361"/>
        <v>UF</v>
      </c>
      <c r="CD331" s="2" t="e">
        <f t="shared" si="362"/>
        <v>#VALUE!</v>
      </c>
      <c r="CE331" s="69" t="str">
        <f t="shared" si="363"/>
        <v/>
      </c>
      <c r="CF331" s="5" t="s">
        <v>12</v>
      </c>
      <c r="CH331" s="72" t="str">
        <f t="shared" si="391"/>
        <v>UF</v>
      </c>
      <c r="CI331" s="72" t="str">
        <f t="shared" si="392"/>
        <v>UF</v>
      </c>
      <c r="CJ331" s="5" t="str">
        <f t="shared" si="364"/>
        <v>UF</v>
      </c>
      <c r="CK331" s="5" t="str">
        <f t="shared" si="365"/>
        <v>UF</v>
      </c>
      <c r="CL331" s="69" t="str">
        <f t="shared" si="366"/>
        <v/>
      </c>
      <c r="CN331" s="70" t="str">
        <f t="shared" si="367"/>
        <v/>
      </c>
      <c r="CO331" s="5" t="str">
        <f t="shared" si="368"/>
        <v>UF</v>
      </c>
      <c r="CP331" s="5" t="str">
        <f>IF(G331&lt;48,"UF", IF(NOT(ISBLANK(CM:CM)), CM:CM, IF(BW:BW=1, BV:BV+Sheet2!B406, IF(Sheet1!BW:BW=2, Sheet1!BV:BV+Sheet2!B407, IF(Sheet1!BW:BW=7, Sheet1!BV:BV+Sheet2!B408,"")))))</f>
        <v>UF</v>
      </c>
      <c r="CQ331" s="69" t="str">
        <f t="shared" si="393"/>
        <v/>
      </c>
      <c r="CR331" s="5" t="s">
        <v>12</v>
      </c>
      <c r="CT331" s="5" t="str">
        <f t="shared" si="369"/>
        <v/>
      </c>
      <c r="CU331" s="80" t="str">
        <f t="shared" si="370"/>
        <v>UF</v>
      </c>
      <c r="CV331" s="80" t="str">
        <f t="shared" si="371"/>
        <v>UF</v>
      </c>
      <c r="CW331" s="20" t="str">
        <f>IF(G331&lt;48,"UF", IF(NOT(ISBLANK(CS331)), CS331, IF(CE331=5, CC331+Sheet2!B395, IF(CE331=6, CC331+Sheet2!B396, IF(CE331=7, CC331+Sheet2!B397,"")))))</f>
        <v>UF</v>
      </c>
      <c r="CX331" s="68" t="str">
        <f t="shared" si="394"/>
        <v/>
      </c>
      <c r="CY331" s="5" t="s">
        <v>12</v>
      </c>
      <c r="DA331" s="5" t="str">
        <f t="shared" si="372"/>
        <v>UF</v>
      </c>
      <c r="DB331" s="73" t="str">
        <f t="shared" si="373"/>
        <v>UF</v>
      </c>
      <c r="DC331" s="73" t="str">
        <f t="shared" si="374"/>
        <v>UF</v>
      </c>
      <c r="DD331" s="5" t="str">
        <f>IF(G331&lt;48,"UF", IF(NOT(ISBLANK(CZ:CZ)), CZ:CZ, IF(CL:CL=3, CK:CK+Sheet2!B400, IF(CL:CL=4, CK:CK+Sheet2!B401, IF(CL:CL=7, CK:CK+Sheet2!B402,"")))))</f>
        <v>UF</v>
      </c>
      <c r="DE331" s="69" t="str">
        <f t="shared" si="331"/>
        <v/>
      </c>
      <c r="DF331" s="2">
        <v>1</v>
      </c>
      <c r="DG331" s="2">
        <v>31</v>
      </c>
      <c r="DH331" s="2">
        <v>2</v>
      </c>
      <c r="DI331" s="2">
        <v>1</v>
      </c>
      <c r="DJ331" s="2">
        <v>2</v>
      </c>
      <c r="DK331" s="2">
        <v>93</v>
      </c>
      <c r="DL331" s="2">
        <v>61</v>
      </c>
      <c r="DM331" s="2">
        <v>99</v>
      </c>
      <c r="DN331" s="2">
        <v>53</v>
      </c>
      <c r="DO331" s="2">
        <v>116</v>
      </c>
      <c r="DP331" s="2">
        <v>75</v>
      </c>
      <c r="DQ331" s="2">
        <v>2</v>
      </c>
      <c r="DR331" s="2">
        <v>38</v>
      </c>
      <c r="DS331" s="2">
        <v>2</v>
      </c>
      <c r="DT331" s="2">
        <v>84</v>
      </c>
      <c r="DU331" s="2">
        <v>77</v>
      </c>
      <c r="DV331" s="2">
        <v>2</v>
      </c>
      <c r="DW331" s="2">
        <v>2</v>
      </c>
      <c r="DX331" s="2">
        <v>2</v>
      </c>
      <c r="DY331" s="2">
        <v>2</v>
      </c>
      <c r="DZ331" s="2">
        <v>34</v>
      </c>
      <c r="EA331" s="2">
        <v>34.799999999999997</v>
      </c>
      <c r="EB331" s="2">
        <v>44.5</v>
      </c>
      <c r="EC331" s="2">
        <v>1</v>
      </c>
      <c r="ED331" s="2">
        <v>1</v>
      </c>
    </row>
    <row r="332" spans="3:134" ht="15.75" thickBot="1" x14ac:dyDescent="0.3">
      <c r="C332" s="8" t="s">
        <v>99</v>
      </c>
      <c r="D332" s="56">
        <v>2501050721</v>
      </c>
      <c r="E332" s="5">
        <v>2</v>
      </c>
      <c r="F332" s="2">
        <v>1</v>
      </c>
      <c r="G332" s="2">
        <v>31</v>
      </c>
      <c r="H332" s="2">
        <v>-4.7832543972217181</v>
      </c>
      <c r="I332" s="2">
        <v>45</v>
      </c>
      <c r="J332" s="2">
        <v>-2.2267170773967009</v>
      </c>
      <c r="K332" s="5">
        <v>1700</v>
      </c>
      <c r="L332" s="2">
        <v>-3.919263417670658</v>
      </c>
      <c r="M332" s="2">
        <v>-2.5857999999999999</v>
      </c>
      <c r="N332" s="2">
        <f t="shared" si="334"/>
        <v>1.180427198610859</v>
      </c>
      <c r="O332" s="2">
        <f t="shared" si="335"/>
        <v>-2.5857999999999999</v>
      </c>
      <c r="P332" s="2">
        <v>61</v>
      </c>
      <c r="Q332" s="2">
        <v>-2.1</v>
      </c>
      <c r="R332" s="5">
        <f t="shared" si="336"/>
        <v>0.91835853869835038</v>
      </c>
      <c r="S332" s="5">
        <f t="shared" si="337"/>
        <v>-2.1</v>
      </c>
      <c r="T332" s="1">
        <v>5000</v>
      </c>
      <c r="U332" s="2">
        <v>-3.14</v>
      </c>
      <c r="V332" s="2">
        <f t="shared" si="338"/>
        <v>0.99463170883532903</v>
      </c>
      <c r="W332" s="2">
        <f t="shared" si="339"/>
        <v>-3.14</v>
      </c>
      <c r="X332" s="2">
        <v>-2.4224000000000001</v>
      </c>
      <c r="Y332" s="76">
        <f t="shared" si="375"/>
        <v>2.360854397221718</v>
      </c>
      <c r="Z332" s="76">
        <f t="shared" si="376"/>
        <v>2</v>
      </c>
      <c r="AA332" s="2" t="str">
        <f t="shared" si="340"/>
        <v/>
      </c>
      <c r="AB332" s="2">
        <f t="shared" si="341"/>
        <v>-2.4224000000000001</v>
      </c>
      <c r="AC332" s="2">
        <v>73</v>
      </c>
      <c r="AD332" s="2">
        <v>-0.39</v>
      </c>
      <c r="AE332" s="79">
        <f t="shared" si="377"/>
        <v>1.8367170773967008</v>
      </c>
      <c r="AF332" s="79">
        <f t="shared" si="378"/>
        <v>2</v>
      </c>
      <c r="AG332" s="2" t="str">
        <f t="shared" si="330"/>
        <v/>
      </c>
      <c r="AH332" s="2">
        <f t="shared" si="342"/>
        <v>-0.39</v>
      </c>
      <c r="AI332" s="2">
        <v>7100</v>
      </c>
      <c r="AJ332" s="2">
        <v>-1.93</v>
      </c>
      <c r="AK332" s="76">
        <f t="shared" si="379"/>
        <v>1.9892634176706581</v>
      </c>
      <c r="AL332" s="76">
        <f t="shared" si="380"/>
        <v>2</v>
      </c>
      <c r="AM332" s="2" t="str">
        <f t="shared" si="343"/>
        <v/>
      </c>
      <c r="AN332" s="2">
        <f t="shared" si="344"/>
        <v>-1.93</v>
      </c>
      <c r="AP332" s="2">
        <f t="shared" si="345"/>
        <v>-5.0027352147827386E-2</v>
      </c>
      <c r="AQ332" s="2">
        <f t="shared" si="346"/>
        <v>-2.4724273521478275</v>
      </c>
      <c r="AR332" s="2" t="s">
        <v>12</v>
      </c>
      <c r="AT332" s="2">
        <f t="shared" si="347"/>
        <v>-0.14827350475836804</v>
      </c>
      <c r="AU332" s="2">
        <f t="shared" si="348"/>
        <v>-0.53827350475836799</v>
      </c>
      <c r="AV332" s="2" t="s">
        <v>12</v>
      </c>
      <c r="AX332" s="2">
        <f t="shared" si="349"/>
        <v>-0.40185640682062862</v>
      </c>
      <c r="AY332" s="2">
        <f t="shared" si="350"/>
        <v>-2.3318564068206284</v>
      </c>
      <c r="AZ332" s="2">
        <v>-2.5224547042956549</v>
      </c>
      <c r="BA332" s="78">
        <f t="shared" si="381"/>
        <v>-0.10005470429565477</v>
      </c>
      <c r="BB332" s="78">
        <f t="shared" si="382"/>
        <v>-1</v>
      </c>
      <c r="BC332" s="2" t="str">
        <f t="shared" si="351"/>
        <v/>
      </c>
      <c r="BD332" s="2">
        <f t="shared" si="352"/>
        <v>-2.5224547042956549</v>
      </c>
      <c r="BE332" s="67">
        <f t="shared" si="383"/>
        <v>2</v>
      </c>
      <c r="BF332" s="2">
        <v>83</v>
      </c>
      <c r="BG332" s="2">
        <v>-0.68654700951673608</v>
      </c>
      <c r="BH332" s="2" t="str">
        <f t="shared" si="353"/>
        <v/>
      </c>
      <c r="BI332" s="2">
        <f t="shared" si="354"/>
        <v>-0.68654700951673608</v>
      </c>
      <c r="BJ332" s="67">
        <f t="shared" si="355"/>
        <v>7</v>
      </c>
      <c r="BK332" s="2">
        <v>9300</v>
      </c>
      <c r="BL332" s="2">
        <v>-2.7337128136412572</v>
      </c>
      <c r="BM332" s="77">
        <f t="shared" si="384"/>
        <v>-0.80371281364125724</v>
      </c>
      <c r="BN332" s="77">
        <f t="shared" si="385"/>
        <v>-2</v>
      </c>
      <c r="BO332" s="2" t="str">
        <f t="shared" si="356"/>
        <v/>
      </c>
      <c r="BP332" s="2">
        <f t="shared" si="357"/>
        <v>-2.7337128136412572</v>
      </c>
      <c r="BQ332" s="67">
        <f t="shared" si="386"/>
        <v>4</v>
      </c>
      <c r="BS332" s="75" t="str">
        <f t="shared" si="387"/>
        <v>UF</v>
      </c>
      <c r="BT332" s="75" t="str">
        <f t="shared" si="388"/>
        <v>UF</v>
      </c>
      <c r="BU332" s="5" t="e">
        <f>IF(#REF!&gt;=36, IF(AND(NOT(ISBLANK(CM:CM)), NOT(ISBLANK(BD:BD))), (CM:CM-BD:BD)/2, ""), "UF")</f>
        <v>#REF!</v>
      </c>
      <c r="BV332" s="5" t="str">
        <f t="shared" si="358"/>
        <v>UF</v>
      </c>
      <c r="BW332" s="69" t="str">
        <f t="shared" si="359"/>
        <v/>
      </c>
      <c r="BX332" s="2" t="s">
        <v>12</v>
      </c>
      <c r="BZ332" s="74" t="str">
        <f t="shared" si="389"/>
        <v>UF</v>
      </c>
      <c r="CA332" s="74" t="str">
        <f t="shared" si="390"/>
        <v>UF</v>
      </c>
      <c r="CB332" s="5" t="str">
        <f t="shared" si="360"/>
        <v>UF</v>
      </c>
      <c r="CC332" s="5" t="str">
        <f t="shared" si="361"/>
        <v>UF</v>
      </c>
      <c r="CD332" s="2" t="e">
        <f t="shared" si="362"/>
        <v>#VALUE!</v>
      </c>
      <c r="CE332" s="69" t="str">
        <f t="shared" si="363"/>
        <v/>
      </c>
      <c r="CF332" s="5" t="s">
        <v>12</v>
      </c>
      <c r="CH332" s="72" t="str">
        <f t="shared" si="391"/>
        <v>UF</v>
      </c>
      <c r="CI332" s="72" t="str">
        <f t="shared" si="392"/>
        <v>UF</v>
      </c>
      <c r="CJ332" s="5" t="str">
        <f t="shared" si="364"/>
        <v>UF</v>
      </c>
      <c r="CK332" s="5" t="str">
        <f t="shared" si="365"/>
        <v>UF</v>
      </c>
      <c r="CL332" s="69" t="str">
        <f t="shared" si="366"/>
        <v/>
      </c>
      <c r="CN332" s="70" t="str">
        <f t="shared" si="367"/>
        <v/>
      </c>
      <c r="CO332" s="5" t="str">
        <f t="shared" si="368"/>
        <v>UF</v>
      </c>
      <c r="CP332" s="5" t="str">
        <f>IF(G332&lt;48,"UF", IF(NOT(ISBLANK(CM:CM)), CM:CM, IF(BW:BW=1, BV:BV+Sheet2!B102, IF(Sheet1!BW:BW=2, Sheet1!BV:BV+Sheet2!B103, IF(Sheet1!BW:BW=7, Sheet1!BV:BV+Sheet2!B104,"")))))</f>
        <v>UF</v>
      </c>
      <c r="CQ332" s="69" t="str">
        <f t="shared" si="393"/>
        <v/>
      </c>
      <c r="CR332" s="5" t="s">
        <v>12</v>
      </c>
      <c r="CT332" s="5" t="str">
        <f t="shared" si="369"/>
        <v/>
      </c>
      <c r="CU332" s="80" t="str">
        <f t="shared" si="370"/>
        <v>UF</v>
      </c>
      <c r="CV332" s="80" t="str">
        <f t="shared" si="371"/>
        <v>UF</v>
      </c>
      <c r="CW332" s="20" t="str">
        <f>IF(G332&lt;48,"UF", IF(NOT(ISBLANK(CS332)), CS332, IF(CE332=5, CC332+Sheet2!B91, IF(CE332=6, CC332+Sheet2!B92, IF(CE332=7, CC332+Sheet2!B93,"")))))</f>
        <v>UF</v>
      </c>
      <c r="CX332" s="68" t="str">
        <f t="shared" si="394"/>
        <v/>
      </c>
      <c r="CY332" s="5" t="s">
        <v>12</v>
      </c>
      <c r="DA332" s="5" t="str">
        <f t="shared" si="372"/>
        <v>UF</v>
      </c>
      <c r="DB332" s="73" t="str">
        <f t="shared" si="373"/>
        <v>UF</v>
      </c>
      <c r="DC332" s="73" t="str">
        <f t="shared" si="374"/>
        <v>UF</v>
      </c>
      <c r="DD332" s="5" t="str">
        <f>IF(G332&lt;48,"UF", IF(NOT(ISBLANK(CZ:CZ)), CZ:CZ, IF(CL:CL=3, CK:CK+Sheet2!B96, IF(CL:CL=4, CK:CK+Sheet2!B97, IF(CL:CL=7, CK:CK+Sheet2!B98,"")))))</f>
        <v>UF</v>
      </c>
      <c r="DE332" s="69" t="str">
        <f t="shared" si="331"/>
        <v/>
      </c>
      <c r="DF332" s="2">
        <v>4</v>
      </c>
      <c r="DG332" s="2">
        <v>42</v>
      </c>
      <c r="DH332" s="2">
        <v>1</v>
      </c>
      <c r="DI332" s="2">
        <v>2</v>
      </c>
      <c r="DJ332" s="2">
        <v>2</v>
      </c>
      <c r="DK332" s="2" t="s">
        <v>12</v>
      </c>
      <c r="DL332" s="2" t="s">
        <v>12</v>
      </c>
      <c r="DM332" s="2">
        <v>130</v>
      </c>
      <c r="DN332" s="2">
        <v>78</v>
      </c>
      <c r="DO332" s="2" t="s">
        <v>12</v>
      </c>
      <c r="DP332" s="2" t="s">
        <v>12</v>
      </c>
      <c r="DQ332" s="2">
        <v>2</v>
      </c>
      <c r="DR332" s="2">
        <v>33</v>
      </c>
      <c r="DS332" s="2">
        <v>3</v>
      </c>
      <c r="DT332" s="2" t="s">
        <v>12</v>
      </c>
      <c r="DU332" s="2" t="s">
        <v>12</v>
      </c>
      <c r="DV332" s="2">
        <v>2</v>
      </c>
      <c r="DW332" s="2">
        <v>2</v>
      </c>
      <c r="DX332" s="2">
        <v>2</v>
      </c>
      <c r="DY332" s="2">
        <v>3</v>
      </c>
      <c r="DZ332" s="2">
        <v>31</v>
      </c>
      <c r="EA332" s="2">
        <v>31</v>
      </c>
      <c r="EB332" s="2">
        <v>44.5</v>
      </c>
      <c r="EC332" s="2">
        <v>3</v>
      </c>
      <c r="ED332" s="2">
        <v>1</v>
      </c>
    </row>
    <row r="333" spans="3:134" ht="15.75" thickBot="1" x14ac:dyDescent="0.3">
      <c r="C333" s="5" t="s">
        <v>373</v>
      </c>
      <c r="D333" s="55">
        <v>2501050940</v>
      </c>
      <c r="E333" s="2">
        <v>6</v>
      </c>
      <c r="F333" s="2">
        <v>2</v>
      </c>
      <c r="G333" s="2">
        <v>29</v>
      </c>
      <c r="H333" s="2">
        <v>-2.2857834288271879</v>
      </c>
      <c r="I333" s="2">
        <v>48</v>
      </c>
      <c r="J333" s="2">
        <v>-0.99529637274036198</v>
      </c>
      <c r="K333" s="5">
        <v>2500</v>
      </c>
      <c r="L333" s="2">
        <v>-1.8987799312803511</v>
      </c>
      <c r="M333" s="2">
        <v>0.43619999999999998</v>
      </c>
      <c r="N333" s="2">
        <f t="shared" si="334"/>
        <v>0.88399171441359392</v>
      </c>
      <c r="O333" s="2">
        <f t="shared" si="335"/>
        <v>0.43619999999999998</v>
      </c>
      <c r="P333" s="2">
        <v>61.5</v>
      </c>
      <c r="Q333" s="2">
        <v>-2.87</v>
      </c>
      <c r="R333" s="5">
        <f t="shared" si="336"/>
        <v>-0.71235181362981903</v>
      </c>
      <c r="S333" s="5">
        <f t="shared" si="337"/>
        <v>-2.87</v>
      </c>
      <c r="T333" s="1">
        <v>6800</v>
      </c>
      <c r="U333" s="2">
        <v>-1.4</v>
      </c>
      <c r="V333" s="2">
        <f t="shared" si="338"/>
        <v>3.9389965640175495E-2</v>
      </c>
      <c r="W333" s="2">
        <f t="shared" si="339"/>
        <v>-1.4</v>
      </c>
      <c r="X333" s="2">
        <v>-0.51780000000000004</v>
      </c>
      <c r="Y333" s="76">
        <f t="shared" si="375"/>
        <v>1.7679834288271878</v>
      </c>
      <c r="Z333" s="76">
        <f t="shared" si="376"/>
        <v>2</v>
      </c>
      <c r="AA333" s="2">
        <f t="shared" si="340"/>
        <v>1.0749500000000001</v>
      </c>
      <c r="AB333" s="2">
        <f t="shared" si="341"/>
        <v>-0.51780000000000004</v>
      </c>
      <c r="AC333" s="2">
        <v>70</v>
      </c>
      <c r="AD333" s="2">
        <v>-2.42</v>
      </c>
      <c r="AE333" s="79">
        <f t="shared" si="377"/>
        <v>-1.4247036272596381</v>
      </c>
      <c r="AF333" s="79">
        <f t="shared" si="378"/>
        <v>-2</v>
      </c>
      <c r="AG333" s="2">
        <f t="shared" si="330"/>
        <v>0.18000000000000016</v>
      </c>
      <c r="AH333" s="2">
        <f t="shared" si="342"/>
        <v>-2.42</v>
      </c>
      <c r="AI333" s="2">
        <v>7900</v>
      </c>
      <c r="AJ333" s="2">
        <v>-1.82</v>
      </c>
      <c r="AK333" s="76">
        <f t="shared" si="379"/>
        <v>7.877993128035099E-2</v>
      </c>
      <c r="AL333" s="76">
        <f t="shared" si="380"/>
        <v>1</v>
      </c>
      <c r="AM333" s="2">
        <f t="shared" si="343"/>
        <v>-0.32499999999999996</v>
      </c>
      <c r="AN333" s="2">
        <f t="shared" si="344"/>
        <v>-1.82</v>
      </c>
      <c r="AO333" s="2">
        <v>-0.72009999999999996</v>
      </c>
      <c r="AP333" s="2">
        <f t="shared" si="345"/>
        <v>-0.76788062776089794</v>
      </c>
      <c r="AQ333" s="2">
        <f t="shared" si="346"/>
        <v>-0.72009999999999996</v>
      </c>
      <c r="AR333" s="2">
        <v>75.5</v>
      </c>
      <c r="AS333" s="2">
        <v>-2.5099999999999998</v>
      </c>
      <c r="AT333" s="2">
        <f t="shared" si="347"/>
        <v>0.30373073415976848</v>
      </c>
      <c r="AU333" s="2">
        <f t="shared" si="348"/>
        <v>-2.5099999999999998</v>
      </c>
      <c r="AV333" s="2">
        <v>8700</v>
      </c>
      <c r="AW333" s="2">
        <v>-2.0499999999999998</v>
      </c>
      <c r="AX333" s="2">
        <f t="shared" si="349"/>
        <v>-0.59616938110834405</v>
      </c>
      <c r="AY333" s="2">
        <f t="shared" si="350"/>
        <v>-2.0499999999999998</v>
      </c>
      <c r="AZ333" s="2">
        <v>-2.0535612555217959</v>
      </c>
      <c r="BA333" s="78">
        <f t="shared" si="381"/>
        <v>-1.5357612555217959</v>
      </c>
      <c r="BB333" s="78">
        <f t="shared" si="382"/>
        <v>-2</v>
      </c>
      <c r="BC333" s="2" t="str">
        <f t="shared" si="351"/>
        <v/>
      </c>
      <c r="BD333" s="2">
        <f t="shared" si="352"/>
        <v>-2.0535612555217959</v>
      </c>
      <c r="BE333" s="67">
        <f t="shared" si="383"/>
        <v>2</v>
      </c>
      <c r="BF333" s="2">
        <v>80.5</v>
      </c>
      <c r="BG333" s="2">
        <v>-1.812538531680463</v>
      </c>
      <c r="BH333" s="2" t="str">
        <f t="shared" si="353"/>
        <v/>
      </c>
      <c r="BI333" s="2">
        <f t="shared" si="354"/>
        <v>-1.812538531680463</v>
      </c>
      <c r="BJ333" s="67">
        <f t="shared" si="355"/>
        <v>7</v>
      </c>
      <c r="BK333" s="2">
        <v>9300</v>
      </c>
      <c r="BL333" s="2">
        <v>-3.0123387622166882</v>
      </c>
      <c r="BM333" s="77">
        <f t="shared" si="384"/>
        <v>-1.1923387622166881</v>
      </c>
      <c r="BN333" s="77">
        <f t="shared" si="385"/>
        <v>-2</v>
      </c>
      <c r="BO333" s="2" t="str">
        <f t="shared" si="356"/>
        <v/>
      </c>
      <c r="BP333" s="2">
        <f t="shared" si="357"/>
        <v>-3.0123387622166882</v>
      </c>
      <c r="BQ333" s="67">
        <f t="shared" si="386"/>
        <v>3</v>
      </c>
      <c r="BS333" s="75" t="str">
        <f t="shared" si="387"/>
        <v>UF</v>
      </c>
      <c r="BT333" s="75" t="str">
        <f t="shared" si="388"/>
        <v>UF</v>
      </c>
      <c r="BU333" s="5" t="e">
        <f>IF(#REF!&gt;=36, IF(AND(NOT(ISBLANK(CM:CM)), NOT(ISBLANK(BD:BD))), (CM:CM-BD:BD)/2, ""), "UF")</f>
        <v>#REF!</v>
      </c>
      <c r="BV333" s="5" t="str">
        <f t="shared" si="358"/>
        <v>UF</v>
      </c>
      <c r="BW333" s="69" t="str">
        <f t="shared" si="359"/>
        <v/>
      </c>
      <c r="BX333" s="2" t="s">
        <v>12</v>
      </c>
      <c r="BZ333" s="74" t="str">
        <f t="shared" si="389"/>
        <v>UF</v>
      </c>
      <c r="CA333" s="74" t="str">
        <f t="shared" si="390"/>
        <v>UF</v>
      </c>
      <c r="CB333" s="5" t="str">
        <f t="shared" si="360"/>
        <v>UF</v>
      </c>
      <c r="CC333" s="5" t="str">
        <f t="shared" si="361"/>
        <v>UF</v>
      </c>
      <c r="CD333" s="2" t="e">
        <f t="shared" si="362"/>
        <v>#VALUE!</v>
      </c>
      <c r="CE333" s="69" t="str">
        <f t="shared" si="363"/>
        <v/>
      </c>
      <c r="CF333" s="5" t="s">
        <v>12</v>
      </c>
      <c r="CH333" s="72" t="str">
        <f t="shared" si="391"/>
        <v>UF</v>
      </c>
      <c r="CI333" s="72" t="str">
        <f t="shared" si="392"/>
        <v>UF</v>
      </c>
      <c r="CJ333" s="5" t="str">
        <f t="shared" si="364"/>
        <v>UF</v>
      </c>
      <c r="CK333" s="5" t="str">
        <f t="shared" si="365"/>
        <v>UF</v>
      </c>
      <c r="CL333" s="69" t="str">
        <f t="shared" si="366"/>
        <v/>
      </c>
      <c r="CN333" s="70" t="str">
        <f t="shared" si="367"/>
        <v/>
      </c>
      <c r="CO333" s="5" t="str">
        <f t="shared" si="368"/>
        <v>UF</v>
      </c>
      <c r="CP333" s="5" t="str">
        <f>IF(G333&lt;48,"UF", IF(NOT(ISBLANK(CM:CM)), CM:CM, IF(BW:BW=1, BV:BV+Sheet2!B265, IF(Sheet1!BW:BW=2, Sheet1!BV:BV+Sheet2!B266, IF(Sheet1!BW:BW=7, Sheet1!BV:BV+Sheet2!B267,"")))))</f>
        <v>UF</v>
      </c>
      <c r="CQ333" s="69" t="str">
        <f t="shared" si="393"/>
        <v/>
      </c>
      <c r="CR333" s="5" t="s">
        <v>12</v>
      </c>
      <c r="CT333" s="5" t="str">
        <f t="shared" si="369"/>
        <v/>
      </c>
      <c r="CU333" s="80" t="str">
        <f t="shared" si="370"/>
        <v>UF</v>
      </c>
      <c r="CV333" s="80" t="str">
        <f t="shared" si="371"/>
        <v>UF</v>
      </c>
      <c r="CW333" s="20" t="str">
        <f>IF(G333&lt;48,"UF", IF(NOT(ISBLANK(CS333)), CS333, IF(CE333=5, CC333+Sheet2!B254, IF(CE333=6, CC333+Sheet2!B255, IF(CE333=7, CC333+Sheet2!B256,"")))))</f>
        <v>UF</v>
      </c>
      <c r="CX333" s="68" t="str">
        <f t="shared" si="394"/>
        <v/>
      </c>
      <c r="CY333" s="5" t="s">
        <v>12</v>
      </c>
      <c r="DA333" s="5" t="str">
        <f t="shared" si="372"/>
        <v>UF</v>
      </c>
      <c r="DB333" s="73" t="str">
        <f t="shared" si="373"/>
        <v>UF</v>
      </c>
      <c r="DC333" s="73" t="str">
        <f t="shared" si="374"/>
        <v>UF</v>
      </c>
      <c r="DD333" s="5" t="str">
        <f>IF(G333&lt;48,"UF", IF(NOT(ISBLANK(CZ:CZ)), CZ:CZ, IF(CL:CL=3, CK:CK+Sheet2!B259, IF(CL:CL=4, CK:CK+Sheet2!B260, IF(CL:CL=7, CK:CK+Sheet2!B261,"")))))</f>
        <v>UF</v>
      </c>
      <c r="DE333" s="69" t="str">
        <f t="shared" si="331"/>
        <v/>
      </c>
      <c r="DF333" s="2">
        <v>4</v>
      </c>
      <c r="DG333" s="2">
        <v>27</v>
      </c>
      <c r="DH333" s="2">
        <v>2</v>
      </c>
      <c r="DI333" s="2">
        <v>2</v>
      </c>
      <c r="DJ333" s="2">
        <v>2</v>
      </c>
      <c r="DK333" s="2">
        <v>97</v>
      </c>
      <c r="DL333" s="2">
        <v>53</v>
      </c>
      <c r="DM333" s="2">
        <v>90</v>
      </c>
      <c r="DN333" s="2">
        <v>55</v>
      </c>
      <c r="DO333" s="2">
        <v>100</v>
      </c>
      <c r="DP333" s="2">
        <v>55</v>
      </c>
      <c r="DQ333" s="2">
        <v>2</v>
      </c>
      <c r="DR333" s="2">
        <v>39</v>
      </c>
      <c r="DS333" s="2">
        <v>2</v>
      </c>
      <c r="DT333" s="2">
        <v>75</v>
      </c>
      <c r="DU333" s="2">
        <v>70</v>
      </c>
      <c r="DV333" s="2">
        <v>2</v>
      </c>
      <c r="DW333" s="2">
        <v>2</v>
      </c>
      <c r="DX333" s="2">
        <v>2</v>
      </c>
      <c r="DY333" s="2">
        <v>2</v>
      </c>
      <c r="DZ333" s="2">
        <v>32</v>
      </c>
      <c r="EA333" s="2">
        <v>33.5</v>
      </c>
      <c r="EB333" s="2">
        <v>43.5</v>
      </c>
      <c r="EC333" s="2">
        <v>1</v>
      </c>
      <c r="ED333" s="2">
        <v>1</v>
      </c>
    </row>
    <row r="334" spans="3:134" x14ac:dyDescent="0.25">
      <c r="C334" s="5" t="s">
        <v>29</v>
      </c>
      <c r="D334" s="2">
        <v>2501051009</v>
      </c>
      <c r="E334" s="5" t="s">
        <v>528</v>
      </c>
      <c r="F334" s="2">
        <v>2</v>
      </c>
      <c r="G334" s="2">
        <v>28</v>
      </c>
      <c r="H334" s="2">
        <v>3.7332486423067399E-2</v>
      </c>
      <c r="I334" s="2">
        <v>48</v>
      </c>
      <c r="J334" s="2">
        <v>-0.99529637274036198</v>
      </c>
      <c r="K334" s="5">
        <v>3100</v>
      </c>
      <c r="L334" s="2">
        <v>-0.51686178682742712</v>
      </c>
      <c r="M334" s="2">
        <v>-2.2244999999999999</v>
      </c>
      <c r="N334" s="2">
        <f t="shared" si="334"/>
        <v>-1.2648662432115336</v>
      </c>
      <c r="O334" s="2">
        <f t="shared" si="335"/>
        <v>-2.2244999999999999</v>
      </c>
      <c r="P334" s="2">
        <v>67.5</v>
      </c>
      <c r="Q334" s="2">
        <v>-7.0000000000000007E-2</v>
      </c>
      <c r="R334" s="5">
        <f t="shared" si="336"/>
        <v>0.34264818637018102</v>
      </c>
      <c r="S334" s="5">
        <f t="shared" si="337"/>
        <v>-7.0000000000000007E-2</v>
      </c>
      <c r="T334" s="1">
        <v>6600</v>
      </c>
      <c r="U334" s="2">
        <v>-1.67</v>
      </c>
      <c r="V334" s="2">
        <f t="shared" si="338"/>
        <v>-0.70656910658628647</v>
      </c>
      <c r="W334" s="2">
        <f t="shared" si="339"/>
        <v>-1.67</v>
      </c>
      <c r="X334" s="2">
        <v>-2.4923999999999999</v>
      </c>
      <c r="Y334" s="76">
        <f t="shared" si="375"/>
        <v>-2.5297324864230673</v>
      </c>
      <c r="Z334" s="76">
        <f t="shared" si="376"/>
        <v>-2</v>
      </c>
      <c r="AA334" s="2">
        <f t="shared" si="340"/>
        <v>-1.01335</v>
      </c>
      <c r="AB334" s="2">
        <f t="shared" si="341"/>
        <v>-2.4923999999999999</v>
      </c>
      <c r="AC334" s="2">
        <v>75</v>
      </c>
      <c r="AD334" s="2">
        <v>-0.31</v>
      </c>
      <c r="AE334" s="79">
        <f t="shared" si="377"/>
        <v>0.68529637274036204</v>
      </c>
      <c r="AF334" s="79">
        <f t="shared" si="378"/>
        <v>2</v>
      </c>
      <c r="AG334" s="2">
        <f t="shared" si="330"/>
        <v>-0.56999999999999995</v>
      </c>
      <c r="AH334" s="2">
        <f t="shared" si="342"/>
        <v>-0.31</v>
      </c>
      <c r="AI334" s="2">
        <v>7800</v>
      </c>
      <c r="AJ334" s="2">
        <v>-1.93</v>
      </c>
      <c r="AK334" s="76">
        <f t="shared" si="379"/>
        <v>-1.4131382131725729</v>
      </c>
      <c r="AL334" s="76">
        <f t="shared" si="380"/>
        <v>-2</v>
      </c>
      <c r="AM334" s="2">
        <f t="shared" si="343"/>
        <v>-0.24500000000000011</v>
      </c>
      <c r="AN334" s="2">
        <f t="shared" si="344"/>
        <v>-1.93</v>
      </c>
      <c r="AO334" s="2">
        <v>-2.0966999999999998</v>
      </c>
      <c r="AP334" s="2">
        <f t="shared" si="345"/>
        <v>-0.87980601640528988</v>
      </c>
      <c r="AQ334" s="2">
        <f t="shared" si="346"/>
        <v>-2.0966999999999998</v>
      </c>
      <c r="AR334" s="2">
        <v>79</v>
      </c>
      <c r="AS334" s="2">
        <v>-1.21</v>
      </c>
      <c r="AT334" s="2">
        <f t="shared" si="347"/>
        <v>-0.25272373592422315</v>
      </c>
      <c r="AU334" s="2">
        <f t="shared" si="348"/>
        <v>-1.21</v>
      </c>
      <c r="AV334" s="2">
        <v>8600</v>
      </c>
      <c r="AW334" s="2">
        <v>-2.16</v>
      </c>
      <c r="AX334" s="2">
        <f t="shared" si="349"/>
        <v>-0.70401081260396048</v>
      </c>
      <c r="AY334" s="2">
        <f t="shared" si="350"/>
        <v>-2.16</v>
      </c>
      <c r="AZ334" s="2">
        <v>-4.2520120328105797</v>
      </c>
      <c r="BA334" s="78">
        <f t="shared" si="381"/>
        <v>-1.7596120328105798</v>
      </c>
      <c r="BB334" s="78">
        <f t="shared" si="382"/>
        <v>-2</v>
      </c>
      <c r="BC334" s="2" t="str">
        <f t="shared" si="351"/>
        <v/>
      </c>
      <c r="BD334" s="2">
        <f t="shared" si="352"/>
        <v>-4.2520120328105797</v>
      </c>
      <c r="BE334" s="67">
        <f t="shared" si="383"/>
        <v>1</v>
      </c>
      <c r="BF334" s="2">
        <v>84</v>
      </c>
      <c r="BG334" s="2">
        <v>-0.81544747184844635</v>
      </c>
      <c r="BH334" s="2" t="str">
        <f t="shared" si="353"/>
        <v/>
      </c>
      <c r="BI334" s="2">
        <f t="shared" si="354"/>
        <v>-0.81544747184844635</v>
      </c>
      <c r="BJ334" s="67">
        <f t="shared" si="355"/>
        <v>7</v>
      </c>
      <c r="BK334" s="2">
        <v>9000</v>
      </c>
      <c r="BL334" s="2">
        <v>-3.3380216252079209</v>
      </c>
      <c r="BM334" s="77">
        <f t="shared" si="384"/>
        <v>-1.408021625207921</v>
      </c>
      <c r="BN334" s="77">
        <f t="shared" si="385"/>
        <v>-2</v>
      </c>
      <c r="BO334" s="2" t="str">
        <f t="shared" si="356"/>
        <v/>
      </c>
      <c r="BP334" s="2">
        <f t="shared" si="357"/>
        <v>-3.3380216252079209</v>
      </c>
      <c r="BQ334" s="67">
        <f t="shared" si="386"/>
        <v>3</v>
      </c>
      <c r="BS334" s="75" t="str">
        <f t="shared" si="387"/>
        <v>UF</v>
      </c>
      <c r="BT334" s="75" t="str">
        <f t="shared" si="388"/>
        <v>UF</v>
      </c>
      <c r="BU334" s="5" t="str">
        <f>IF(G339&gt;=36, IF(AND(NOT(ISBLANK(CM:CM)), NOT(ISBLANK(BD:BD))), (CM:CM-BD:BD)/2, ""), "UF")</f>
        <v>UF</v>
      </c>
      <c r="BV334" s="5" t="str">
        <f t="shared" si="358"/>
        <v>UF</v>
      </c>
      <c r="BW334" s="69" t="str">
        <f t="shared" si="359"/>
        <v/>
      </c>
      <c r="BX334" s="2" t="s">
        <v>12</v>
      </c>
      <c r="BZ334" s="74" t="str">
        <f t="shared" si="389"/>
        <v>UF</v>
      </c>
      <c r="CA334" s="74" t="str">
        <f t="shared" si="390"/>
        <v>UF</v>
      </c>
      <c r="CB334" s="5" t="str">
        <f t="shared" si="360"/>
        <v>UF</v>
      </c>
      <c r="CC334" s="5" t="str">
        <f t="shared" si="361"/>
        <v>UF</v>
      </c>
      <c r="CD334" s="2" t="e">
        <f t="shared" si="362"/>
        <v>#VALUE!</v>
      </c>
      <c r="CE334" s="69" t="str">
        <f t="shared" si="363"/>
        <v/>
      </c>
      <c r="CF334" s="5" t="s">
        <v>12</v>
      </c>
      <c r="CH334" s="72" t="str">
        <f t="shared" si="391"/>
        <v>UF</v>
      </c>
      <c r="CI334" s="72" t="str">
        <f t="shared" si="392"/>
        <v>UF</v>
      </c>
      <c r="CJ334" s="5" t="str">
        <f t="shared" si="364"/>
        <v>UF</v>
      </c>
      <c r="CK334" s="5" t="str">
        <f t="shared" si="365"/>
        <v>UF</v>
      </c>
      <c r="CL334" s="69" t="str">
        <f t="shared" si="366"/>
        <v/>
      </c>
      <c r="CN334" s="70" t="str">
        <f t="shared" si="367"/>
        <v/>
      </c>
      <c r="CO334" s="5" t="str">
        <f t="shared" si="368"/>
        <v>UF</v>
      </c>
      <c r="CP334" s="5" t="str">
        <f>IF(G334&lt;48,"UF", IF(NOT(ISBLANK(CM:CM)), CM:CM, IF(BW:BW=1, BV:BV+Sheet2!B50, IF(Sheet1!BW:BW=2, Sheet1!BV:BV+Sheet2!B51, IF(Sheet1!BW:BW=7, Sheet1!BV:BV+Sheet2!B52,"")))))</f>
        <v>UF</v>
      </c>
      <c r="CQ334" s="69" t="str">
        <f t="shared" si="393"/>
        <v/>
      </c>
      <c r="CR334" s="5" t="s">
        <v>12</v>
      </c>
      <c r="CT334" s="5" t="str">
        <f t="shared" si="369"/>
        <v/>
      </c>
      <c r="CU334" s="80" t="str">
        <f t="shared" si="370"/>
        <v>UF</v>
      </c>
      <c r="CV334" s="80" t="str">
        <f t="shared" si="371"/>
        <v>UF</v>
      </c>
      <c r="CW334" s="20" t="str">
        <f>IF(G334&lt;48,"UF", IF(NOT(ISBLANK(CS334)), CS334, IF(CE334=5, CC334+Sheet2!B39, IF(CE334=6, CC334+Sheet2!B40, IF(CE334=7, CC334+Sheet2!B41,"")))))</f>
        <v>UF</v>
      </c>
      <c r="CX334" s="68" t="str">
        <f t="shared" si="394"/>
        <v/>
      </c>
      <c r="CY334" s="5" t="s">
        <v>12</v>
      </c>
      <c r="DA334" s="5" t="str">
        <f t="shared" si="372"/>
        <v>UF</v>
      </c>
      <c r="DB334" s="73" t="str">
        <f t="shared" si="373"/>
        <v>UF</v>
      </c>
      <c r="DC334" s="73" t="str">
        <f t="shared" si="374"/>
        <v>UF</v>
      </c>
      <c r="DD334" s="5" t="str">
        <f>IF(G334&lt;48,"UF", IF(NOT(ISBLANK(CZ:CZ)), CZ:CZ, IF(CL:CL=3, CK:CK+Sheet2!B44, IF(CL:CL=4, CK:CK+Sheet2!B45, IF(CL:CL=7, CK:CK+Sheet2!B46,"")))))</f>
        <v>UF</v>
      </c>
      <c r="DE334" s="69" t="str">
        <f t="shared" si="331"/>
        <v/>
      </c>
      <c r="DF334" s="2">
        <v>3</v>
      </c>
      <c r="DG334" s="2">
        <v>24</v>
      </c>
      <c r="DH334" s="2">
        <v>2</v>
      </c>
      <c r="DI334" s="2">
        <v>2</v>
      </c>
      <c r="DJ334" s="2">
        <v>2</v>
      </c>
      <c r="DK334" s="2">
        <v>74</v>
      </c>
      <c r="DL334" s="2">
        <v>45</v>
      </c>
      <c r="DM334" s="2">
        <v>90</v>
      </c>
      <c r="DN334" s="2">
        <v>60</v>
      </c>
      <c r="DO334" s="2">
        <v>84</v>
      </c>
      <c r="DP334" s="2">
        <v>47</v>
      </c>
      <c r="DQ334" s="2">
        <v>2</v>
      </c>
      <c r="DR334" s="2">
        <v>40</v>
      </c>
      <c r="DS334" s="2">
        <v>2</v>
      </c>
      <c r="DT334" s="2">
        <v>83</v>
      </c>
      <c r="DU334" s="2">
        <v>65</v>
      </c>
      <c r="DV334" s="2">
        <v>2</v>
      </c>
      <c r="DW334" s="2">
        <v>2</v>
      </c>
      <c r="DX334" s="2">
        <v>2</v>
      </c>
      <c r="DY334" s="2">
        <v>2</v>
      </c>
      <c r="DZ334" s="2">
        <v>35</v>
      </c>
      <c r="EA334" s="2">
        <v>35.5</v>
      </c>
      <c r="EB334" s="2">
        <v>46</v>
      </c>
      <c r="EC334" s="2">
        <v>1</v>
      </c>
      <c r="ED334" s="2">
        <v>1</v>
      </c>
    </row>
    <row r="335" spans="3:134" x14ac:dyDescent="0.25">
      <c r="C335" s="8" t="s">
        <v>141</v>
      </c>
      <c r="D335" s="8">
        <v>2501051246</v>
      </c>
      <c r="E335" s="2" t="s">
        <v>527</v>
      </c>
      <c r="F335" s="2">
        <v>1</v>
      </c>
      <c r="G335" s="2">
        <v>29</v>
      </c>
      <c r="H335" s="2">
        <v>-2.1100812587902809</v>
      </c>
      <c r="I335" s="2">
        <v>39</v>
      </c>
      <c r="J335" s="2">
        <v>-5.4478512950860267</v>
      </c>
      <c r="K335" s="5">
        <v>1670</v>
      </c>
      <c r="L335" s="2">
        <v>-4.0021484805978922</v>
      </c>
      <c r="M335" s="2">
        <v>-1.2173</v>
      </c>
      <c r="N335" s="2">
        <f t="shared" si="334"/>
        <v>0.69729062939514042</v>
      </c>
      <c r="O335" s="2">
        <f t="shared" si="335"/>
        <v>-1.2173</v>
      </c>
      <c r="P335" s="2">
        <v>58</v>
      </c>
      <c r="Q335" s="2">
        <v>-3.42</v>
      </c>
      <c r="R335" s="5">
        <f t="shared" si="336"/>
        <v>1.3639256475430133</v>
      </c>
      <c r="S335" s="5">
        <f t="shared" si="337"/>
        <v>-3.42</v>
      </c>
      <c r="T335" s="2">
        <v>5100</v>
      </c>
      <c r="U335" s="2">
        <v>-2.98</v>
      </c>
      <c r="V335" s="2">
        <f t="shared" si="338"/>
        <v>0.91607424029894613</v>
      </c>
      <c r="W335" s="2">
        <f t="shared" si="339"/>
        <v>-2.98</v>
      </c>
      <c r="X335" s="2">
        <v>-0.71550000000000002</v>
      </c>
      <c r="Y335" s="76">
        <f t="shared" si="375"/>
        <v>1.3945812587902808</v>
      </c>
      <c r="Z335" s="76">
        <f t="shared" si="376"/>
        <v>2</v>
      </c>
      <c r="AA335" s="2">
        <f t="shared" si="340"/>
        <v>0.54444999999999988</v>
      </c>
      <c r="AB335" s="2">
        <f t="shared" si="341"/>
        <v>-0.71550000000000002</v>
      </c>
      <c r="AC335" s="2">
        <v>67</v>
      </c>
      <c r="AD335" s="2">
        <v>-2.72</v>
      </c>
      <c r="AE335" s="79">
        <f t="shared" si="377"/>
        <v>2.7278512950860265</v>
      </c>
      <c r="AF335" s="79">
        <f t="shared" si="378"/>
        <v>2</v>
      </c>
      <c r="AG335" s="2">
        <f t="shared" si="330"/>
        <v>0.72499999999999998</v>
      </c>
      <c r="AH335" s="2">
        <f t="shared" si="342"/>
        <v>-2.72</v>
      </c>
      <c r="AI335" s="2">
        <v>6900</v>
      </c>
      <c r="AJ335" s="2">
        <v>-2.17</v>
      </c>
      <c r="AK335" s="76">
        <f t="shared" si="379"/>
        <v>1.8321484805978923</v>
      </c>
      <c r="AL335" s="76">
        <f t="shared" si="380"/>
        <v>2</v>
      </c>
      <c r="AM335" s="2">
        <f t="shared" si="343"/>
        <v>5.4999999999999938E-2</v>
      </c>
      <c r="AN335" s="2">
        <f t="shared" si="344"/>
        <v>-2.17</v>
      </c>
      <c r="AO335" s="2">
        <v>-2.3311000000000002</v>
      </c>
      <c r="AP335" s="2">
        <f t="shared" si="345"/>
        <v>-0.72195233929765701</v>
      </c>
      <c r="AQ335" s="2">
        <f t="shared" si="346"/>
        <v>-2.3311000000000002</v>
      </c>
      <c r="AR335" s="2">
        <v>75</v>
      </c>
      <c r="AS335" s="2">
        <v>-1.97</v>
      </c>
      <c r="AT335" s="2">
        <f t="shared" si="347"/>
        <v>1.7352334397735536E-2</v>
      </c>
      <c r="AU335" s="2">
        <f t="shared" si="348"/>
        <v>-1.97</v>
      </c>
      <c r="AV335" s="2">
        <v>7300</v>
      </c>
      <c r="AW335" s="2">
        <v>-2.87</v>
      </c>
      <c r="AX335" s="2">
        <f t="shared" si="349"/>
        <v>-1.1856631770033546</v>
      </c>
      <c r="AY335" s="2">
        <f t="shared" si="350"/>
        <v>-2.87</v>
      </c>
      <c r="AZ335" s="2">
        <v>-2.159404678595314</v>
      </c>
      <c r="BA335" s="78">
        <f t="shared" si="381"/>
        <v>-1.443904678595314</v>
      </c>
      <c r="BB335" s="78">
        <f t="shared" si="382"/>
        <v>-2</v>
      </c>
      <c r="BC335" s="2" t="str">
        <f t="shared" si="351"/>
        <v/>
      </c>
      <c r="BD335" s="2">
        <f t="shared" si="352"/>
        <v>-2.159404678595314</v>
      </c>
      <c r="BE335" s="67">
        <f t="shared" si="383"/>
        <v>2</v>
      </c>
      <c r="BF335" s="2">
        <v>76</v>
      </c>
      <c r="BG335" s="2">
        <v>-2.6852953312045291</v>
      </c>
      <c r="BH335" s="2" t="str">
        <f t="shared" si="353"/>
        <v/>
      </c>
      <c r="BI335" s="2">
        <f t="shared" si="354"/>
        <v>-2.6852953312045291</v>
      </c>
      <c r="BJ335" s="67">
        <f t="shared" si="355"/>
        <v>6</v>
      </c>
      <c r="BK335" s="2">
        <v>8000</v>
      </c>
      <c r="BL335" s="2">
        <v>-4.541326354006709</v>
      </c>
      <c r="BM335" s="77">
        <f t="shared" si="384"/>
        <v>-2.3713263540067091</v>
      </c>
      <c r="BN335" s="77">
        <f t="shared" si="385"/>
        <v>-2</v>
      </c>
      <c r="BO335" s="2" t="str">
        <f t="shared" si="356"/>
        <v/>
      </c>
      <c r="BP335" s="2">
        <f t="shared" si="357"/>
        <v>-4.541326354006709</v>
      </c>
      <c r="BQ335" s="67">
        <f t="shared" si="386"/>
        <v>3</v>
      </c>
      <c r="BS335" s="75" t="str">
        <f t="shared" si="387"/>
        <v>UF</v>
      </c>
      <c r="BT335" s="75" t="str">
        <f t="shared" si="388"/>
        <v>UF</v>
      </c>
      <c r="BU335" s="5" t="str">
        <f>IF(G341&gt;=36, IF(AND(NOT(ISBLANK(CM:CM)), NOT(ISBLANK(BD:BD))), (CM:CM-BD:BD)/2, ""), "UF")</f>
        <v>UF</v>
      </c>
      <c r="BV335" s="5" t="str">
        <f t="shared" si="358"/>
        <v>UF</v>
      </c>
      <c r="BW335" s="69" t="str">
        <f t="shared" si="359"/>
        <v/>
      </c>
      <c r="BX335" s="2" t="s">
        <v>12</v>
      </c>
      <c r="BZ335" s="74" t="str">
        <f t="shared" si="389"/>
        <v>UF</v>
      </c>
      <c r="CA335" s="74" t="str">
        <f t="shared" si="390"/>
        <v>UF</v>
      </c>
      <c r="CB335" s="5" t="str">
        <f t="shared" si="360"/>
        <v>UF</v>
      </c>
      <c r="CC335" s="5" t="str">
        <f t="shared" si="361"/>
        <v>UF</v>
      </c>
      <c r="CD335" s="2" t="e">
        <f t="shared" si="362"/>
        <v>#VALUE!</v>
      </c>
      <c r="CE335" s="69" t="str">
        <f t="shared" si="363"/>
        <v/>
      </c>
      <c r="CF335" s="5" t="s">
        <v>12</v>
      </c>
      <c r="CH335" s="72" t="str">
        <f t="shared" si="391"/>
        <v>UF</v>
      </c>
      <c r="CI335" s="72" t="str">
        <f t="shared" si="392"/>
        <v>UF</v>
      </c>
      <c r="CJ335" s="5" t="str">
        <f t="shared" si="364"/>
        <v>UF</v>
      </c>
      <c r="CK335" s="5" t="str">
        <f t="shared" si="365"/>
        <v>UF</v>
      </c>
      <c r="CL335" s="69" t="str">
        <f t="shared" si="366"/>
        <v/>
      </c>
      <c r="CN335" s="70" t="str">
        <f t="shared" si="367"/>
        <v/>
      </c>
      <c r="CO335" s="5" t="str">
        <f t="shared" si="368"/>
        <v>UF</v>
      </c>
      <c r="CP335" s="5" t="str">
        <f>IF(G335&lt;48,"UF", IF(NOT(ISBLANK(CM:CM)), CM:CM, IF(BW:BW=1, BV:BV+Sheet2!B208, IF(Sheet1!BW:BW=2, Sheet1!BV:BV+Sheet2!B209, IF(Sheet1!BW:BW=7, Sheet1!BV:BV+Sheet2!B210,"")))))</f>
        <v>UF</v>
      </c>
      <c r="CQ335" s="69" t="str">
        <f t="shared" si="393"/>
        <v/>
      </c>
      <c r="CR335" s="5" t="s">
        <v>12</v>
      </c>
      <c r="CT335" s="5" t="str">
        <f t="shared" si="369"/>
        <v/>
      </c>
      <c r="CU335" s="80" t="str">
        <f t="shared" si="370"/>
        <v>UF</v>
      </c>
      <c r="CV335" s="80" t="str">
        <f t="shared" si="371"/>
        <v>UF</v>
      </c>
      <c r="CW335" s="20" t="str">
        <f>IF(G335&lt;48,"UF", IF(NOT(ISBLANK(CS335)), CS335, IF(CE335=5, CC335+Sheet2!B197, IF(CE335=6, CC335+Sheet2!B198, IF(CE335=7, CC335+Sheet2!B199,"")))))</f>
        <v>UF</v>
      </c>
      <c r="CX335" s="68" t="str">
        <f t="shared" si="394"/>
        <v/>
      </c>
      <c r="CY335" s="5" t="s">
        <v>12</v>
      </c>
      <c r="DA335" s="5" t="str">
        <f t="shared" si="372"/>
        <v>UF</v>
      </c>
      <c r="DB335" s="73" t="str">
        <f t="shared" si="373"/>
        <v>UF</v>
      </c>
      <c r="DC335" s="73" t="str">
        <f t="shared" si="374"/>
        <v>UF</v>
      </c>
      <c r="DD335" s="5" t="str">
        <f>IF(G335&lt;48,"UF", IF(NOT(ISBLANK(CZ:CZ)), CZ:CZ, IF(CL:CL=3, CK:CK+Sheet2!B202, IF(CL:CL=4, CK:CK+Sheet2!B203, IF(CL:CL=7, CK:CK+Sheet2!B204,"")))))</f>
        <v>UF</v>
      </c>
      <c r="DE335" s="69" t="str">
        <f t="shared" si="331"/>
        <v/>
      </c>
      <c r="DF335" s="2">
        <v>1</v>
      </c>
      <c r="DG335" s="2">
        <v>32</v>
      </c>
      <c r="DH335" s="2">
        <v>1</v>
      </c>
      <c r="DI335" s="2">
        <v>2</v>
      </c>
      <c r="DJ335" s="2">
        <v>2</v>
      </c>
      <c r="DK335" s="2">
        <v>54</v>
      </c>
      <c r="DL335" s="2">
        <v>118</v>
      </c>
      <c r="DM335" s="2">
        <v>64</v>
      </c>
      <c r="DN335" s="2">
        <v>114</v>
      </c>
      <c r="DO335" s="2">
        <v>61</v>
      </c>
      <c r="DP335" s="2">
        <v>108</v>
      </c>
      <c r="DQ335" s="2">
        <v>2</v>
      </c>
      <c r="DR335" s="2">
        <v>34</v>
      </c>
      <c r="DS335" s="2">
        <v>1</v>
      </c>
      <c r="DT335" s="2">
        <v>103</v>
      </c>
      <c r="DU335" s="2">
        <v>103</v>
      </c>
      <c r="DV335" s="2">
        <v>2</v>
      </c>
      <c r="DW335" s="2">
        <v>2</v>
      </c>
      <c r="DX335" s="2">
        <v>4</v>
      </c>
      <c r="DY335" s="2">
        <v>3</v>
      </c>
      <c r="DZ335" s="2">
        <v>29.5</v>
      </c>
      <c r="EA335" s="2" t="s">
        <v>12</v>
      </c>
      <c r="EB335" s="2">
        <v>43.3</v>
      </c>
      <c r="EC335" s="2" t="s">
        <v>12</v>
      </c>
      <c r="ED335" s="2">
        <v>1</v>
      </c>
    </row>
    <row r="336" spans="3:134" x14ac:dyDescent="0.25">
      <c r="C336" s="5" t="s">
        <v>159</v>
      </c>
      <c r="D336" s="4">
        <v>2501051262</v>
      </c>
      <c r="E336" s="2">
        <v>6</v>
      </c>
      <c r="F336" s="2">
        <v>2</v>
      </c>
      <c r="G336" s="2">
        <v>28</v>
      </c>
      <c r="H336" s="2">
        <v>5.18323539487836</v>
      </c>
      <c r="I336" s="2">
        <v>34</v>
      </c>
      <c r="J336" s="2">
        <v>-8.3905524255959385</v>
      </c>
      <c r="K336" s="5">
        <v>2540</v>
      </c>
      <c r="L336" s="2">
        <v>-1.800310802253857</v>
      </c>
      <c r="M336" s="2">
        <v>-1.0962000000000001</v>
      </c>
      <c r="N336" s="2" t="str">
        <f t="shared" si="334"/>
        <v/>
      </c>
      <c r="O336" s="2">
        <f t="shared" si="335"/>
        <v>-1.0962000000000001</v>
      </c>
      <c r="P336" s="2">
        <v>65</v>
      </c>
      <c r="Q336" s="2">
        <v>-1.23</v>
      </c>
      <c r="R336" s="5" t="str">
        <f t="shared" si="336"/>
        <v/>
      </c>
      <c r="S336" s="5">
        <f t="shared" si="337"/>
        <v>-1.23</v>
      </c>
      <c r="T336" s="1">
        <v>6700</v>
      </c>
      <c r="U336" s="2">
        <v>-1.53</v>
      </c>
      <c r="V336" s="2" t="str">
        <f t="shared" si="338"/>
        <v/>
      </c>
      <c r="W336" s="2">
        <f t="shared" si="339"/>
        <v>-1.53</v>
      </c>
      <c r="Y336" s="76" t="e">
        <f t="shared" si="375"/>
        <v>#VALUE!</v>
      </c>
      <c r="Z336" s="76" t="e">
        <f t="shared" si="376"/>
        <v>#VALUE!</v>
      </c>
      <c r="AA336" s="2" t="str">
        <f t="shared" si="340"/>
        <v/>
      </c>
      <c r="AB336" s="2" t="e">
        <f t="shared" si="341"/>
        <v>#VALUE!</v>
      </c>
      <c r="AC336" s="2" t="s">
        <v>12</v>
      </c>
      <c r="AE336" s="79" t="e">
        <f t="shared" si="377"/>
        <v>#VALUE!</v>
      </c>
      <c r="AF336" s="79" t="e">
        <f t="shared" si="378"/>
        <v>#VALUE!</v>
      </c>
      <c r="AG336" s="2" t="str">
        <f t="shared" si="330"/>
        <v/>
      </c>
      <c r="AH336" s="2" t="e">
        <f t="shared" si="342"/>
        <v>#VALUE!</v>
      </c>
      <c r="AI336" s="2" t="s">
        <v>12</v>
      </c>
      <c r="AK336" s="76" t="e">
        <f t="shared" si="379"/>
        <v>#VALUE!</v>
      </c>
      <c r="AL336" s="76" t="e">
        <f t="shared" si="380"/>
        <v>#VALUE!</v>
      </c>
      <c r="AM336" s="2" t="str">
        <f t="shared" si="343"/>
        <v/>
      </c>
      <c r="AN336" s="2" t="e">
        <f t="shared" si="344"/>
        <v>#VALUE!</v>
      </c>
      <c r="AP336" s="2" t="e">
        <f t="shared" si="345"/>
        <v>#VALUE!</v>
      </c>
      <c r="AQ336" s="2" t="e">
        <f t="shared" si="346"/>
        <v>#VALUE!</v>
      </c>
      <c r="AR336" s="2" t="s">
        <v>12</v>
      </c>
      <c r="AT336" s="2" t="e">
        <f t="shared" si="347"/>
        <v>#VALUE!</v>
      </c>
      <c r="AU336" s="2" t="e">
        <f t="shared" si="348"/>
        <v>#VALUE!</v>
      </c>
      <c r="AV336" s="2" t="s">
        <v>12</v>
      </c>
      <c r="AX336" s="2" t="e">
        <f t="shared" si="349"/>
        <v>#VALUE!</v>
      </c>
      <c r="AY336" s="2" t="e">
        <f t="shared" si="350"/>
        <v>#VALUE!</v>
      </c>
      <c r="AZ336" s="2">
        <v>-6.0858138333277729</v>
      </c>
      <c r="BA336" s="78" t="e">
        <f t="shared" si="381"/>
        <v>#VALUE!</v>
      </c>
      <c r="BB336" s="78" t="e">
        <f t="shared" si="382"/>
        <v>#VALUE!</v>
      </c>
      <c r="BC336" s="2" t="str">
        <f t="shared" si="351"/>
        <v/>
      </c>
      <c r="BD336" s="2">
        <f t="shared" si="352"/>
        <v>-6.0858138333277729</v>
      </c>
      <c r="BE336" s="67">
        <f t="shared" si="383"/>
        <v>1</v>
      </c>
      <c r="BF336" s="2">
        <v>85.5</v>
      </c>
      <c r="BG336" s="2">
        <v>-0.3880303030413601</v>
      </c>
      <c r="BH336" s="2" t="str">
        <f t="shared" si="353"/>
        <v/>
      </c>
      <c r="BI336" s="2">
        <f t="shared" si="354"/>
        <v>-0.3880303030413601</v>
      </c>
      <c r="BJ336" s="67">
        <f t="shared" si="355"/>
        <v>7</v>
      </c>
      <c r="BK336" s="2">
        <v>8600</v>
      </c>
      <c r="BL336" s="2">
        <v>-3.7934159686602249</v>
      </c>
      <c r="BM336" s="77" t="e">
        <f t="shared" si="384"/>
        <v>#VALUE!</v>
      </c>
      <c r="BN336" s="77" t="e">
        <f t="shared" si="385"/>
        <v>#VALUE!</v>
      </c>
      <c r="BO336" s="2" t="str">
        <f t="shared" si="356"/>
        <v/>
      </c>
      <c r="BP336" s="2">
        <f t="shared" si="357"/>
        <v>-3.7934159686602249</v>
      </c>
      <c r="BQ336" s="67">
        <f t="shared" si="386"/>
        <v>3</v>
      </c>
      <c r="BS336" s="75" t="str">
        <f t="shared" si="387"/>
        <v>UF</v>
      </c>
      <c r="BT336" s="75" t="str">
        <f t="shared" si="388"/>
        <v>UF</v>
      </c>
      <c r="BU336" s="5" t="str">
        <f>IF(G342&gt;=36, IF(AND(NOT(ISBLANK(CM:CM)), NOT(ISBLANK(BD:BD))), (CM:CM-BD:BD)/2, ""), "UF")</f>
        <v>UF</v>
      </c>
      <c r="BV336" s="5" t="str">
        <f t="shared" si="358"/>
        <v>UF</v>
      </c>
      <c r="BW336" s="69" t="str">
        <f t="shared" si="359"/>
        <v/>
      </c>
      <c r="BX336" s="2" t="s">
        <v>12</v>
      </c>
      <c r="BZ336" s="74" t="str">
        <f t="shared" si="389"/>
        <v>UF</v>
      </c>
      <c r="CA336" s="74" t="str">
        <f t="shared" si="390"/>
        <v>UF</v>
      </c>
      <c r="CB336" s="5" t="str">
        <f t="shared" si="360"/>
        <v>UF</v>
      </c>
      <c r="CC336" s="5" t="str">
        <f t="shared" si="361"/>
        <v>UF</v>
      </c>
      <c r="CD336" s="2" t="e">
        <f t="shared" si="362"/>
        <v>#VALUE!</v>
      </c>
      <c r="CE336" s="69" t="str">
        <f t="shared" si="363"/>
        <v/>
      </c>
      <c r="CF336" s="5" t="s">
        <v>12</v>
      </c>
      <c r="CH336" s="72" t="str">
        <f t="shared" si="391"/>
        <v>UF</v>
      </c>
      <c r="CI336" s="72" t="str">
        <f t="shared" si="392"/>
        <v>UF</v>
      </c>
      <c r="CJ336" s="5" t="str">
        <f t="shared" si="364"/>
        <v>UF</v>
      </c>
      <c r="CK336" s="5" t="str">
        <f t="shared" si="365"/>
        <v>UF</v>
      </c>
      <c r="CL336" s="69" t="str">
        <f t="shared" si="366"/>
        <v/>
      </c>
      <c r="CN336" s="70" t="str">
        <f t="shared" si="367"/>
        <v/>
      </c>
      <c r="CO336" s="5" t="str">
        <f t="shared" si="368"/>
        <v>UF</v>
      </c>
      <c r="CP336" s="5" t="str">
        <f>IF(G336&lt;48,"UF", IF(NOT(ISBLANK(CM:CM)), CM:CM, IF(BW:BW=1, BV:BV+Sheet2!B305, IF(Sheet1!BW:BW=2, Sheet1!BV:BV+Sheet2!B306, IF(Sheet1!BW:BW=7, Sheet1!BV:BV+Sheet2!B307,"")))))</f>
        <v>UF</v>
      </c>
      <c r="CQ336" s="69" t="str">
        <f t="shared" si="393"/>
        <v/>
      </c>
      <c r="CR336" s="5" t="s">
        <v>12</v>
      </c>
      <c r="CT336" s="5" t="str">
        <f t="shared" si="369"/>
        <v/>
      </c>
      <c r="CU336" s="80" t="str">
        <f t="shared" si="370"/>
        <v>UF</v>
      </c>
      <c r="CV336" s="80" t="str">
        <f t="shared" si="371"/>
        <v>UF</v>
      </c>
      <c r="CW336" s="20" t="str">
        <f>IF(G336&lt;48,"UF", IF(NOT(ISBLANK(CS336)), CS336, IF(CE336=5, CC336+Sheet2!B294, IF(CE336=6, CC336+Sheet2!B295, IF(CE336=7, CC336+Sheet2!B296,"")))))</f>
        <v>UF</v>
      </c>
      <c r="CX336" s="68" t="str">
        <f t="shared" si="394"/>
        <v/>
      </c>
      <c r="CY336" s="5" t="s">
        <v>12</v>
      </c>
      <c r="DA336" s="5" t="str">
        <f t="shared" si="372"/>
        <v>UF</v>
      </c>
      <c r="DB336" s="73" t="str">
        <f t="shared" si="373"/>
        <v>UF</v>
      </c>
      <c r="DC336" s="73" t="str">
        <f t="shared" si="374"/>
        <v>UF</v>
      </c>
      <c r="DD336" s="5" t="str">
        <f>IF(G336&lt;48,"UF", IF(NOT(ISBLANK(CZ:CZ)), CZ:CZ, IF(CL:CL=3, CK:CK+Sheet2!B299, IF(CL:CL=4, CK:CK+Sheet2!B300, IF(CL:CL=7, CK:CK+Sheet2!B301,"")))))</f>
        <v>UF</v>
      </c>
      <c r="DE336" s="69" t="str">
        <f t="shared" si="331"/>
        <v/>
      </c>
      <c r="DF336" s="2">
        <v>2</v>
      </c>
      <c r="DG336" s="2">
        <v>34</v>
      </c>
      <c r="DH336" s="2">
        <v>2</v>
      </c>
      <c r="DI336" s="2">
        <v>1</v>
      </c>
      <c r="DJ336" s="2">
        <v>2</v>
      </c>
      <c r="DK336" s="2">
        <v>111</v>
      </c>
      <c r="DL336" s="2">
        <v>66</v>
      </c>
      <c r="DM336" s="2">
        <v>115</v>
      </c>
      <c r="DN336" s="2">
        <v>70</v>
      </c>
      <c r="DO336" s="2">
        <v>119</v>
      </c>
      <c r="DP336" s="2">
        <v>75</v>
      </c>
      <c r="DQ336" s="2">
        <v>2</v>
      </c>
      <c r="DR336" s="2">
        <v>41</v>
      </c>
      <c r="DS336" s="2">
        <v>2</v>
      </c>
      <c r="DT336" s="2">
        <v>88</v>
      </c>
      <c r="DU336" s="2">
        <v>76</v>
      </c>
      <c r="DV336" s="2">
        <v>2</v>
      </c>
      <c r="DW336" s="2">
        <v>2</v>
      </c>
      <c r="DX336" s="2">
        <v>2</v>
      </c>
      <c r="DY336" s="2">
        <v>1</v>
      </c>
      <c r="DZ336" s="2">
        <v>50</v>
      </c>
      <c r="EA336" s="2" t="s">
        <v>12</v>
      </c>
      <c r="EB336" s="2">
        <v>45</v>
      </c>
      <c r="EC336" s="2" t="s">
        <v>12</v>
      </c>
      <c r="ED336" s="2">
        <v>4</v>
      </c>
    </row>
    <row r="337" spans="3:134" x14ac:dyDescent="0.25">
      <c r="C337" s="5" t="s">
        <v>114</v>
      </c>
      <c r="D337" s="2">
        <v>2501051467</v>
      </c>
      <c r="E337" s="5">
        <v>4</v>
      </c>
      <c r="F337" s="2">
        <v>2</v>
      </c>
      <c r="G337" s="2">
        <v>28</v>
      </c>
      <c r="H337" s="2">
        <v>-3.5227103843688452</v>
      </c>
      <c r="I337" s="2">
        <v>46</v>
      </c>
      <c r="J337" s="2">
        <v>-2.051761523148302</v>
      </c>
      <c r="K337" s="5">
        <v>2050</v>
      </c>
      <c r="L337" s="2">
        <v>-3.0799670089830928</v>
      </c>
      <c r="M337" s="2">
        <v>-2.1530999999999998</v>
      </c>
      <c r="N337" s="2">
        <f t="shared" si="334"/>
        <v>1.4019051921844226</v>
      </c>
      <c r="O337" s="2">
        <f t="shared" si="335"/>
        <v>-2.1530999999999998</v>
      </c>
      <c r="P337" s="2">
        <v>62</v>
      </c>
      <c r="Q337" s="2">
        <v>-2.64</v>
      </c>
      <c r="R337" s="5">
        <f t="shared" si="336"/>
        <v>3.0880761574150983E-2</v>
      </c>
      <c r="S337" s="5">
        <f t="shared" si="337"/>
        <v>-2.64</v>
      </c>
      <c r="T337" s="1">
        <v>5600</v>
      </c>
      <c r="U337" s="2">
        <v>-3.11</v>
      </c>
      <c r="V337" s="2">
        <f t="shared" si="338"/>
        <v>0.68998350449154644</v>
      </c>
      <c r="W337" s="2">
        <f t="shared" si="339"/>
        <v>-3.11</v>
      </c>
      <c r="X337" s="2">
        <v>-0.71889999999999998</v>
      </c>
      <c r="Y337" s="76">
        <f t="shared" si="375"/>
        <v>2.8038103843688451</v>
      </c>
      <c r="Z337" s="76">
        <f t="shared" si="376"/>
        <v>2</v>
      </c>
      <c r="AA337" s="2">
        <f t="shared" si="340"/>
        <v>0.40700000000000003</v>
      </c>
      <c r="AB337" s="2">
        <f t="shared" si="341"/>
        <v>-0.71889999999999998</v>
      </c>
      <c r="AC337" s="2">
        <v>71</v>
      </c>
      <c r="AD337" s="2">
        <v>-1.99</v>
      </c>
      <c r="AE337" s="79">
        <f t="shared" si="377"/>
        <v>6.1761523148301967E-2</v>
      </c>
      <c r="AF337" s="79">
        <f t="shared" si="378"/>
        <v>1</v>
      </c>
      <c r="AG337" s="2">
        <f t="shared" si="330"/>
        <v>0.53</v>
      </c>
      <c r="AH337" s="2">
        <f t="shared" si="342"/>
        <v>-1.99</v>
      </c>
      <c r="AI337" s="2">
        <v>8000</v>
      </c>
      <c r="AJ337" s="2">
        <v>-1.7</v>
      </c>
      <c r="AK337" s="76">
        <f t="shared" si="379"/>
        <v>1.3799670089830929</v>
      </c>
      <c r="AL337" s="76">
        <f t="shared" si="380"/>
        <v>2</v>
      </c>
      <c r="AM337" s="2">
        <f t="shared" si="343"/>
        <v>0.44999999999999996</v>
      </c>
      <c r="AN337" s="2">
        <f t="shared" si="344"/>
        <v>-1.7</v>
      </c>
      <c r="AO337" s="2">
        <v>-1.8260000000000001</v>
      </c>
      <c r="AP337" s="2">
        <f t="shared" si="345"/>
        <v>-1.6608875593423222</v>
      </c>
      <c r="AQ337" s="2">
        <f t="shared" si="346"/>
        <v>-1.8260000000000001</v>
      </c>
      <c r="AR337" s="2">
        <v>78</v>
      </c>
      <c r="AS337" s="2">
        <v>-1.58</v>
      </c>
      <c r="AT337" s="2">
        <f t="shared" si="347"/>
        <v>0.59230246323640645</v>
      </c>
      <c r="AU337" s="2">
        <f t="shared" si="348"/>
        <v>-1.58</v>
      </c>
      <c r="AV337" s="2">
        <v>8550</v>
      </c>
      <c r="AW337" s="2">
        <v>-2.21</v>
      </c>
      <c r="AX337" s="2">
        <f t="shared" si="349"/>
        <v>-0.76400571660775396</v>
      </c>
      <c r="AY337" s="2">
        <f t="shared" si="350"/>
        <v>-2.21</v>
      </c>
      <c r="AZ337" s="2">
        <v>-4.0406751186846446</v>
      </c>
      <c r="BA337" s="78">
        <f t="shared" si="381"/>
        <v>-3.3217751186846445</v>
      </c>
      <c r="BB337" s="78">
        <f t="shared" si="382"/>
        <v>-2</v>
      </c>
      <c r="BC337" s="2" t="str">
        <f t="shared" si="351"/>
        <v/>
      </c>
      <c r="BD337" s="2">
        <f t="shared" si="352"/>
        <v>-4.0406751186846446</v>
      </c>
      <c r="BE337" s="67">
        <f t="shared" si="383"/>
        <v>1</v>
      </c>
      <c r="BF337" s="2">
        <v>80</v>
      </c>
      <c r="BG337" s="2">
        <v>-0.8053950735271872</v>
      </c>
      <c r="BH337" s="2" t="str">
        <f t="shared" si="353"/>
        <v/>
      </c>
      <c r="BI337" s="2">
        <f t="shared" si="354"/>
        <v>-0.8053950735271872</v>
      </c>
      <c r="BJ337" s="67">
        <f t="shared" si="355"/>
        <v>7</v>
      </c>
      <c r="BK337" s="2">
        <v>9100</v>
      </c>
      <c r="BL337" s="2">
        <v>-3.2280114332155079</v>
      </c>
      <c r="BM337" s="77">
        <f t="shared" si="384"/>
        <v>-1.5280114332155079</v>
      </c>
      <c r="BN337" s="77">
        <f t="shared" si="385"/>
        <v>-2</v>
      </c>
      <c r="BO337" s="2" t="str">
        <f t="shared" si="356"/>
        <v/>
      </c>
      <c r="BP337" s="2">
        <f t="shared" si="357"/>
        <v>-3.2280114332155079</v>
      </c>
      <c r="BQ337" s="67">
        <f t="shared" si="386"/>
        <v>3</v>
      </c>
      <c r="BS337" s="75" t="str">
        <f t="shared" si="387"/>
        <v>UF</v>
      </c>
      <c r="BT337" s="75" t="str">
        <f t="shared" si="388"/>
        <v>UF</v>
      </c>
      <c r="BU337" s="5" t="str">
        <f>IF(G343&gt;=36, IF(AND(NOT(ISBLANK(CM:CM)), NOT(ISBLANK(BD:BD))), (CM:CM-BD:BD)/2, ""), "UF")</f>
        <v>UF</v>
      </c>
      <c r="BV337" s="5" t="str">
        <f t="shared" si="358"/>
        <v>UF</v>
      </c>
      <c r="BW337" s="69" t="str">
        <f t="shared" si="359"/>
        <v/>
      </c>
      <c r="BX337" s="2" t="s">
        <v>12</v>
      </c>
      <c r="BZ337" s="74" t="str">
        <f t="shared" si="389"/>
        <v>UF</v>
      </c>
      <c r="CA337" s="74" t="str">
        <f t="shared" si="390"/>
        <v>UF</v>
      </c>
      <c r="CB337" s="5" t="str">
        <f t="shared" si="360"/>
        <v>UF</v>
      </c>
      <c r="CC337" s="5" t="str">
        <f t="shared" si="361"/>
        <v>UF</v>
      </c>
      <c r="CD337" s="2" t="e">
        <f t="shared" si="362"/>
        <v>#VALUE!</v>
      </c>
      <c r="CE337" s="69" t="str">
        <f t="shared" si="363"/>
        <v/>
      </c>
      <c r="CF337" s="5" t="s">
        <v>12</v>
      </c>
      <c r="CH337" s="72" t="str">
        <f t="shared" si="391"/>
        <v>UF</v>
      </c>
      <c r="CI337" s="72" t="str">
        <f t="shared" si="392"/>
        <v>UF</v>
      </c>
      <c r="CJ337" s="5" t="str">
        <f t="shared" si="364"/>
        <v>UF</v>
      </c>
      <c r="CK337" s="5" t="str">
        <f t="shared" si="365"/>
        <v>UF</v>
      </c>
      <c r="CL337" s="69" t="str">
        <f t="shared" si="366"/>
        <v/>
      </c>
      <c r="CN337" s="70" t="str">
        <f t="shared" si="367"/>
        <v/>
      </c>
      <c r="CO337" s="5" t="str">
        <f t="shared" si="368"/>
        <v>UF</v>
      </c>
      <c r="CP337" s="5" t="str">
        <f>IF(G337&lt;48,"UF", IF(NOT(ISBLANK(CM:CM)), CM:CM, IF(BW:BW=1, BV:BV+Sheet2!B143, IF(Sheet1!BW:BW=2, Sheet1!BV:BV+Sheet2!B144, IF(Sheet1!BW:BW=7, Sheet1!BV:BV+Sheet2!B145,"")))))</f>
        <v>UF</v>
      </c>
      <c r="CQ337" s="69" t="str">
        <f t="shared" si="393"/>
        <v/>
      </c>
      <c r="CR337" s="5" t="s">
        <v>12</v>
      </c>
      <c r="CT337" s="5" t="str">
        <f t="shared" si="369"/>
        <v/>
      </c>
      <c r="CU337" s="80" t="str">
        <f t="shared" si="370"/>
        <v>UF</v>
      </c>
      <c r="CV337" s="80" t="str">
        <f t="shared" si="371"/>
        <v>UF</v>
      </c>
      <c r="CW337" s="20" t="str">
        <f>IF(G337&lt;48,"UF", IF(NOT(ISBLANK(CS337)), CS337, IF(CE337=5, CC337+Sheet2!B132, IF(CE337=6, CC337+Sheet2!B133, IF(CE337=7, CC337+Sheet2!B134,"")))))</f>
        <v>UF</v>
      </c>
      <c r="CX337" s="68" t="str">
        <f t="shared" si="394"/>
        <v/>
      </c>
      <c r="CY337" s="5" t="s">
        <v>12</v>
      </c>
      <c r="DA337" s="5" t="str">
        <f t="shared" si="372"/>
        <v>UF</v>
      </c>
      <c r="DB337" s="73" t="str">
        <f t="shared" si="373"/>
        <v>UF</v>
      </c>
      <c r="DC337" s="73" t="str">
        <f t="shared" si="374"/>
        <v>UF</v>
      </c>
      <c r="DD337" s="5" t="str">
        <f>IF(G337&lt;48,"UF", IF(NOT(ISBLANK(CZ:CZ)), CZ:CZ, IF(CL:CL=3, CK:CK+Sheet2!B137, IF(CL:CL=4, CK:CK+Sheet2!B138, IF(CL:CL=7, CK:CK+Sheet2!B139,"")))))</f>
        <v>UF</v>
      </c>
      <c r="DE337" s="69" t="str">
        <f t="shared" si="331"/>
        <v/>
      </c>
      <c r="DF337" s="2">
        <v>2</v>
      </c>
      <c r="DG337" s="2">
        <v>34</v>
      </c>
      <c r="DH337" s="2">
        <v>2</v>
      </c>
      <c r="DI337" s="2">
        <v>2</v>
      </c>
      <c r="DJ337" s="2">
        <v>2</v>
      </c>
      <c r="DK337" s="2">
        <v>100</v>
      </c>
      <c r="DL337" s="2">
        <v>50</v>
      </c>
      <c r="DM337" s="2">
        <v>100</v>
      </c>
      <c r="DN337" s="2">
        <v>60</v>
      </c>
      <c r="DO337" s="2">
        <v>100</v>
      </c>
      <c r="DP337" s="2">
        <v>70</v>
      </c>
      <c r="DQ337" s="2">
        <v>1</v>
      </c>
      <c r="DR337" s="2">
        <v>36</v>
      </c>
      <c r="DS337" s="2">
        <v>1</v>
      </c>
      <c r="DT337" s="2">
        <v>99</v>
      </c>
      <c r="DU337" s="2">
        <v>70</v>
      </c>
      <c r="DV337" s="2">
        <v>2</v>
      </c>
      <c r="DW337" s="2">
        <v>2</v>
      </c>
      <c r="DX337" s="2">
        <v>2</v>
      </c>
      <c r="DY337" s="2">
        <v>3</v>
      </c>
      <c r="DZ337" s="2">
        <v>34</v>
      </c>
      <c r="EA337" s="2">
        <v>34</v>
      </c>
      <c r="EB337" s="2">
        <v>46.5</v>
      </c>
      <c r="EC337" s="2">
        <v>1</v>
      </c>
      <c r="ED337" s="2">
        <v>1</v>
      </c>
    </row>
    <row r="338" spans="3:134" ht="15.75" thickBot="1" x14ac:dyDescent="0.3">
      <c r="C338" s="5" t="s">
        <v>28</v>
      </c>
      <c r="D338" s="2">
        <v>2501051580</v>
      </c>
      <c r="E338" s="5" t="s">
        <v>532</v>
      </c>
      <c r="F338" s="2">
        <v>2</v>
      </c>
      <c r="G338" s="2">
        <v>28</v>
      </c>
      <c r="H338" s="2">
        <v>-0.62171507261612924</v>
      </c>
      <c r="I338" s="2">
        <v>50</v>
      </c>
      <c r="J338" s="2">
        <v>6.1168777667580831E-2</v>
      </c>
      <c r="K338" s="5">
        <v>3160</v>
      </c>
      <c r="L338" s="2">
        <v>-0.38860577013623521</v>
      </c>
      <c r="N338" s="2">
        <f t="shared" si="334"/>
        <v>-0.62989246369193541</v>
      </c>
      <c r="O338" s="2">
        <f t="shared" si="335"/>
        <v>-1.2516075363080645</v>
      </c>
      <c r="P338" s="2" t="s">
        <v>12</v>
      </c>
      <c r="R338" s="5">
        <f t="shared" si="336"/>
        <v>-0.92058438883379046</v>
      </c>
      <c r="S338" s="5">
        <f t="shared" si="337"/>
        <v>-0.85941561116620968</v>
      </c>
      <c r="T338" s="1" t="s">
        <v>12</v>
      </c>
      <c r="V338" s="2">
        <f t="shared" si="338"/>
        <v>-0.99569711493188229</v>
      </c>
      <c r="W338" s="2">
        <f t="shared" si="339"/>
        <v>-1.3843028850681174</v>
      </c>
      <c r="X338" s="2">
        <v>-1.8815</v>
      </c>
      <c r="Y338" s="76">
        <f t="shared" si="375"/>
        <v>-1.2597849273838708</v>
      </c>
      <c r="Z338" s="76">
        <f t="shared" si="376"/>
        <v>-2</v>
      </c>
      <c r="AA338" s="2" t="str">
        <f t="shared" si="340"/>
        <v/>
      </c>
      <c r="AB338" s="2">
        <f t="shared" si="341"/>
        <v>-1.8815</v>
      </c>
      <c r="AC338" s="2">
        <v>71.5</v>
      </c>
      <c r="AD338" s="2">
        <v>-1.78</v>
      </c>
      <c r="AE338" s="79">
        <f t="shared" si="377"/>
        <v>-1.8411687776675809</v>
      </c>
      <c r="AF338" s="79">
        <f t="shared" si="378"/>
        <v>-2</v>
      </c>
      <c r="AG338" s="2" t="str">
        <f t="shared" si="330"/>
        <v/>
      </c>
      <c r="AH338" s="2">
        <f t="shared" si="342"/>
        <v>-1.78</v>
      </c>
      <c r="AI338" s="2">
        <v>7420</v>
      </c>
      <c r="AJ338" s="2">
        <v>-2.38</v>
      </c>
      <c r="AK338" s="76">
        <f t="shared" si="379"/>
        <v>-1.9913942298637646</v>
      </c>
      <c r="AL338" s="76">
        <f t="shared" si="380"/>
        <v>-2</v>
      </c>
      <c r="AM338" s="2">
        <f t="shared" si="343"/>
        <v>3.7151442534058665E-2</v>
      </c>
      <c r="AN338" s="2">
        <f t="shared" si="344"/>
        <v>-2.38</v>
      </c>
      <c r="AP338" s="2" t="str">
        <f t="shared" si="345"/>
        <v/>
      </c>
      <c r="AQ338" s="2" t="e">
        <f t="shared" si="346"/>
        <v>#VALUE!</v>
      </c>
      <c r="AR338" s="2" t="s">
        <v>12</v>
      </c>
      <c r="AT338" s="2" t="str">
        <f t="shared" si="347"/>
        <v/>
      </c>
      <c r="AU338" s="2" t="e">
        <f t="shared" si="348"/>
        <v>#VALUE!</v>
      </c>
      <c r="AV338" s="2" t="s">
        <v>12</v>
      </c>
      <c r="AW338" s="2">
        <v>-1.31</v>
      </c>
      <c r="AX338" s="2" t="str">
        <f t="shared" si="349"/>
        <v/>
      </c>
      <c r="AY338" s="2">
        <f t="shared" si="350"/>
        <v>-1.31</v>
      </c>
      <c r="BA338" s="78" t="e">
        <f t="shared" si="381"/>
        <v>#VALUE!</v>
      </c>
      <c r="BB338" s="78" t="e">
        <f t="shared" si="382"/>
        <v>#VALUE!</v>
      </c>
      <c r="BC338" s="2" t="str">
        <f t="shared" si="351"/>
        <v/>
      </c>
      <c r="BD338" s="2" t="e">
        <f t="shared" si="352"/>
        <v>#VALUE!</v>
      </c>
      <c r="BE338" s="67" t="e">
        <f t="shared" si="383"/>
        <v>#VALUE!</v>
      </c>
      <c r="BF338" s="2" t="s">
        <v>12</v>
      </c>
      <c r="BH338" s="2" t="str">
        <f t="shared" si="353"/>
        <v/>
      </c>
      <c r="BI338" s="2" t="e">
        <f t="shared" si="354"/>
        <v>#VALUE!</v>
      </c>
      <c r="BJ338" s="67" t="e">
        <f t="shared" si="355"/>
        <v>#VALUE!</v>
      </c>
      <c r="BK338" s="2" t="s">
        <v>12</v>
      </c>
      <c r="BM338" s="77" t="e">
        <f t="shared" si="384"/>
        <v>#VALUE!</v>
      </c>
      <c r="BN338" s="77" t="e">
        <f t="shared" si="385"/>
        <v>#VALUE!</v>
      </c>
      <c r="BO338" s="2" t="str">
        <f t="shared" si="356"/>
        <v/>
      </c>
      <c r="BP338" s="2" t="e">
        <f t="shared" si="357"/>
        <v>#VALUE!</v>
      </c>
      <c r="BQ338" s="67" t="e">
        <f t="shared" si="386"/>
        <v>#VALUE!</v>
      </c>
      <c r="BS338" s="75" t="str">
        <f t="shared" si="387"/>
        <v>UF</v>
      </c>
      <c r="BT338" s="75" t="str">
        <f t="shared" si="388"/>
        <v>UF</v>
      </c>
      <c r="BU338" s="5" t="str">
        <f>IF(G344&gt;=36, IF(AND(NOT(ISBLANK(CM:CM)), NOT(ISBLANK(BD:BD))), (CM:CM-BD:BD)/2, ""), "UF")</f>
        <v>UF</v>
      </c>
      <c r="BV338" s="5" t="str">
        <f t="shared" si="358"/>
        <v>UF</v>
      </c>
      <c r="BW338" s="69" t="str">
        <f t="shared" si="359"/>
        <v/>
      </c>
      <c r="BX338" s="2" t="s">
        <v>12</v>
      </c>
      <c r="BZ338" s="74" t="str">
        <f t="shared" si="389"/>
        <v>UF</v>
      </c>
      <c r="CA338" s="74" t="str">
        <f t="shared" si="390"/>
        <v>UF</v>
      </c>
      <c r="CB338" s="5" t="str">
        <f t="shared" si="360"/>
        <v>UF</v>
      </c>
      <c r="CC338" s="5" t="str">
        <f t="shared" si="361"/>
        <v>UF</v>
      </c>
      <c r="CD338" s="2" t="e">
        <f t="shared" si="362"/>
        <v>#VALUE!</v>
      </c>
      <c r="CE338" s="69" t="str">
        <f t="shared" si="363"/>
        <v/>
      </c>
      <c r="CF338" s="5" t="s">
        <v>12</v>
      </c>
      <c r="CH338" s="72" t="str">
        <f t="shared" si="391"/>
        <v>UF</v>
      </c>
      <c r="CI338" s="72" t="str">
        <f t="shared" si="392"/>
        <v>UF</v>
      </c>
      <c r="CJ338" s="5" t="str">
        <f t="shared" si="364"/>
        <v>UF</v>
      </c>
      <c r="CK338" s="5" t="str">
        <f t="shared" si="365"/>
        <v>UF</v>
      </c>
      <c r="CL338" s="69" t="str">
        <f t="shared" si="366"/>
        <v/>
      </c>
      <c r="CN338" s="70" t="str">
        <f t="shared" si="367"/>
        <v/>
      </c>
      <c r="CO338" s="5" t="str">
        <f t="shared" si="368"/>
        <v>UF</v>
      </c>
      <c r="CP338" s="5" t="str">
        <f>IF(G338&lt;48,"UF", IF(NOT(ISBLANK(CM:CM)), CM:CM, IF(BW:BW=1, BV:BV+Sheet2!B20, IF(Sheet1!BW:BW=2, Sheet1!BV:BV+Sheet2!B21, IF(Sheet1!BW:BW=7, Sheet1!BV:BV+Sheet2!B22,"")))))</f>
        <v>UF</v>
      </c>
      <c r="CQ338" s="69" t="str">
        <f t="shared" si="393"/>
        <v/>
      </c>
      <c r="CR338" s="5" t="s">
        <v>12</v>
      </c>
      <c r="CT338" s="5" t="str">
        <f t="shared" si="369"/>
        <v/>
      </c>
      <c r="CU338" s="80" t="str">
        <f t="shared" si="370"/>
        <v>UF</v>
      </c>
      <c r="CV338" s="80" t="str">
        <f t="shared" si="371"/>
        <v>UF</v>
      </c>
      <c r="CW338" s="20" t="str">
        <f>IF(G338&lt;48,"UF", IF(NOT(ISBLANK(CS338)), CS338, IF(CE338=5, CC338+Sheet2!B9, IF(CE338=6, CC338+Sheet2!B10, IF(CE338=7, CC338+Sheet2!B11,"")))))</f>
        <v>UF</v>
      </c>
      <c r="CX338" s="68" t="str">
        <f t="shared" si="394"/>
        <v/>
      </c>
      <c r="CY338" s="5" t="s">
        <v>12</v>
      </c>
      <c r="DA338" s="5" t="str">
        <f t="shared" si="372"/>
        <v>UF</v>
      </c>
      <c r="DB338" s="73" t="str">
        <f t="shared" si="373"/>
        <v>UF</v>
      </c>
      <c r="DC338" s="73" t="str">
        <f t="shared" si="374"/>
        <v>UF</v>
      </c>
      <c r="DD338" s="5" t="str">
        <f>IF(G338&lt;48,"UF", IF(NOT(ISBLANK(CZ:CZ)), CZ:CZ, IF(CL:CL=3, CK:CK+Sheet2!B14, IF(CL:CL=4, CK:CK+Sheet2!B15, IF(CL:CL=7, CK:CK+Sheet2!B16,"")))))</f>
        <v>UF</v>
      </c>
      <c r="DE338" s="69" t="str">
        <f t="shared" si="331"/>
        <v/>
      </c>
      <c r="DF338" s="2">
        <v>5</v>
      </c>
      <c r="DG338" s="2">
        <v>37</v>
      </c>
      <c r="DH338" s="2">
        <v>2</v>
      </c>
      <c r="DI338" s="2">
        <v>2</v>
      </c>
      <c r="DJ338" s="2">
        <v>2</v>
      </c>
      <c r="DK338" s="2" t="s">
        <v>12</v>
      </c>
      <c r="DL338" s="2" t="s">
        <v>12</v>
      </c>
      <c r="DM338" s="2">
        <v>109</v>
      </c>
      <c r="DN338" s="2">
        <v>58</v>
      </c>
      <c r="DO338" s="2" t="s">
        <v>12</v>
      </c>
      <c r="DP338" s="2" t="s">
        <v>12</v>
      </c>
      <c r="DQ338" s="2">
        <v>2</v>
      </c>
      <c r="DR338" s="2">
        <v>42</v>
      </c>
      <c r="DS338" s="2">
        <v>1</v>
      </c>
      <c r="DT338" s="2">
        <v>95</v>
      </c>
      <c r="DU338" s="2" t="s">
        <v>12</v>
      </c>
      <c r="DV338" s="2">
        <v>3</v>
      </c>
      <c r="DW338" s="2">
        <v>3</v>
      </c>
      <c r="DX338" s="2">
        <v>3</v>
      </c>
      <c r="DY338" s="2">
        <v>3</v>
      </c>
      <c r="DZ338" s="2">
        <v>36</v>
      </c>
      <c r="EA338" s="2" t="s">
        <v>12</v>
      </c>
      <c r="EB338" s="2">
        <v>47</v>
      </c>
      <c r="EC338" s="2">
        <v>3</v>
      </c>
      <c r="ED338" s="2">
        <v>1</v>
      </c>
    </row>
    <row r="339" spans="3:134" ht="15.75" thickBot="1" x14ac:dyDescent="0.3">
      <c r="C339" s="8" t="s">
        <v>264</v>
      </c>
      <c r="D339" s="55">
        <v>2501051882</v>
      </c>
      <c r="E339" s="5">
        <v>7</v>
      </c>
      <c r="F339" s="2">
        <v>2</v>
      </c>
      <c r="G339" s="2">
        <v>27</v>
      </c>
      <c r="H339" s="2">
        <v>-2.338073603266857</v>
      </c>
      <c r="I339" s="2">
        <v>50</v>
      </c>
      <c r="J339" s="2">
        <v>6.1168777667580831E-2</v>
      </c>
      <c r="K339" s="2">
        <v>2700</v>
      </c>
      <c r="L339" s="2">
        <v>-1.4162320057858351</v>
      </c>
      <c r="M339" s="2">
        <v>-1.9541999999999999</v>
      </c>
      <c r="N339" s="2">
        <f t="shared" si="334"/>
        <v>0.48258680163342849</v>
      </c>
      <c r="O339" s="2">
        <f t="shared" si="335"/>
        <v>-1.9541999999999999</v>
      </c>
      <c r="P339" s="2">
        <v>65.5</v>
      </c>
      <c r="Q339" s="2">
        <v>-1</v>
      </c>
      <c r="R339" s="5">
        <f t="shared" si="336"/>
        <v>-0.50058438883379042</v>
      </c>
      <c r="S339" s="5">
        <f t="shared" si="337"/>
        <v>-1</v>
      </c>
      <c r="T339" s="2">
        <v>6350</v>
      </c>
      <c r="U339" s="2">
        <v>-2.0099999999999998</v>
      </c>
      <c r="V339" s="2">
        <f t="shared" si="338"/>
        <v>-5.6883997107082473E-2</v>
      </c>
      <c r="W339" s="2">
        <f t="shared" si="339"/>
        <v>-2.0099999999999998</v>
      </c>
      <c r="X339" s="2">
        <v>-1.3729</v>
      </c>
      <c r="Y339" s="76">
        <f t="shared" si="375"/>
        <v>0.96517360326685697</v>
      </c>
      <c r="Z339" s="76">
        <f t="shared" si="376"/>
        <v>2</v>
      </c>
      <c r="AA339" s="2">
        <f t="shared" si="340"/>
        <v>0.18490000000000001</v>
      </c>
      <c r="AB339" s="2">
        <f t="shared" si="341"/>
        <v>-1.3729</v>
      </c>
      <c r="AC339" s="2">
        <v>73.5</v>
      </c>
      <c r="AD339" s="2">
        <v>-0.94</v>
      </c>
      <c r="AE339" s="79">
        <f t="shared" si="377"/>
        <v>-1.0011687776675808</v>
      </c>
      <c r="AF339" s="79">
        <f t="shared" si="378"/>
        <v>-2</v>
      </c>
      <c r="AG339" s="2">
        <f t="shared" si="330"/>
        <v>-0.19499999999999995</v>
      </c>
      <c r="AH339" s="2">
        <f t="shared" si="342"/>
        <v>-0.94</v>
      </c>
      <c r="AI339" s="2">
        <v>8150</v>
      </c>
      <c r="AJ339" s="2">
        <v>-1.53</v>
      </c>
      <c r="AK339" s="76">
        <f t="shared" si="379"/>
        <v>-0.11376799421416495</v>
      </c>
      <c r="AL339" s="76">
        <f t="shared" si="380"/>
        <v>-1</v>
      </c>
      <c r="AM339" s="2">
        <f t="shared" si="343"/>
        <v>0.35499999999999987</v>
      </c>
      <c r="AN339" s="2">
        <f t="shared" si="344"/>
        <v>-1.53</v>
      </c>
      <c r="AO339" s="2">
        <v>-0.63019999999999998</v>
      </c>
      <c r="AP339" s="2">
        <f t="shared" si="345"/>
        <v>-0.46179166459887644</v>
      </c>
      <c r="AQ339" s="2">
        <f t="shared" si="346"/>
        <v>-0.63019999999999998</v>
      </c>
      <c r="AR339" s="2">
        <v>78.5</v>
      </c>
      <c r="AS339" s="2">
        <v>-1.39</v>
      </c>
      <c r="AT339" s="2">
        <f t="shared" si="347"/>
        <v>0.13350942652203529</v>
      </c>
      <c r="AU339" s="2">
        <f t="shared" si="348"/>
        <v>-1.39</v>
      </c>
      <c r="AV339" s="2">
        <v>9470</v>
      </c>
      <c r="AW339" s="2">
        <v>-1.3</v>
      </c>
      <c r="AX339" s="2">
        <f t="shared" si="349"/>
        <v>-0.336431135484487</v>
      </c>
      <c r="AY339" s="2">
        <f t="shared" si="350"/>
        <v>-1.3</v>
      </c>
      <c r="AZ339" s="2">
        <v>-2.2964833291977529</v>
      </c>
      <c r="BA339" s="78">
        <f t="shared" si="381"/>
        <v>-0.92358332919775288</v>
      </c>
      <c r="BB339" s="78">
        <f t="shared" si="382"/>
        <v>-2</v>
      </c>
      <c r="BC339" s="2" t="str">
        <f t="shared" si="351"/>
        <v/>
      </c>
      <c r="BD339" s="2">
        <f t="shared" si="352"/>
        <v>-2.2964833291977529</v>
      </c>
      <c r="BE339" s="67">
        <f t="shared" si="383"/>
        <v>2</v>
      </c>
      <c r="BF339" s="2">
        <v>84.5</v>
      </c>
      <c r="BG339" s="2">
        <v>-0.67298114695592937</v>
      </c>
      <c r="BH339" s="2" t="str">
        <f t="shared" si="353"/>
        <v/>
      </c>
      <c r="BI339" s="2">
        <f t="shared" si="354"/>
        <v>-0.67298114695592937</v>
      </c>
      <c r="BJ339" s="67">
        <f t="shared" si="355"/>
        <v>7</v>
      </c>
      <c r="BK339" s="2">
        <v>10100</v>
      </c>
      <c r="BL339" s="2">
        <v>-2.202862270968974</v>
      </c>
      <c r="BM339" s="77">
        <f t="shared" si="384"/>
        <v>-0.672862270968974</v>
      </c>
      <c r="BN339" s="77">
        <f t="shared" si="385"/>
        <v>-2</v>
      </c>
      <c r="BO339" s="2" t="str">
        <f t="shared" si="356"/>
        <v/>
      </c>
      <c r="BP339" s="2">
        <f t="shared" si="357"/>
        <v>-2.202862270968974</v>
      </c>
      <c r="BQ339" s="67">
        <f t="shared" si="386"/>
        <v>4</v>
      </c>
      <c r="BS339" s="75" t="str">
        <f t="shared" si="387"/>
        <v>UF</v>
      </c>
      <c r="BT339" s="75" t="str">
        <f t="shared" si="388"/>
        <v>UF</v>
      </c>
      <c r="BU339" s="5" t="str">
        <f>IF(G346&gt;=36, IF(AND(NOT(ISBLANK(CM:CM)), NOT(ISBLANK(BD:BD))), (CM:CM-BD:BD)/2, ""), "UF")</f>
        <v>UF</v>
      </c>
      <c r="BV339" s="5" t="str">
        <f t="shared" si="358"/>
        <v>UF</v>
      </c>
      <c r="BW339" s="69" t="str">
        <f t="shared" si="359"/>
        <v/>
      </c>
      <c r="BX339" s="2" t="s">
        <v>12</v>
      </c>
      <c r="BZ339" s="74" t="str">
        <f t="shared" si="389"/>
        <v>UF</v>
      </c>
      <c r="CA339" s="74" t="str">
        <f t="shared" si="390"/>
        <v>UF</v>
      </c>
      <c r="CB339" s="5" t="str">
        <f t="shared" si="360"/>
        <v>UF</v>
      </c>
      <c r="CC339" s="5" t="str">
        <f t="shared" si="361"/>
        <v>UF</v>
      </c>
      <c r="CD339" s="2" t="e">
        <f t="shared" si="362"/>
        <v>#VALUE!</v>
      </c>
      <c r="CE339" s="69" t="str">
        <f t="shared" si="363"/>
        <v/>
      </c>
      <c r="CF339" s="5" t="s">
        <v>12</v>
      </c>
      <c r="CH339" s="72" t="str">
        <f t="shared" si="391"/>
        <v>UF</v>
      </c>
      <c r="CI339" s="72" t="str">
        <f t="shared" si="392"/>
        <v>UF</v>
      </c>
      <c r="CJ339" s="5" t="str">
        <f t="shared" si="364"/>
        <v>UF</v>
      </c>
      <c r="CK339" s="5" t="str">
        <f t="shared" si="365"/>
        <v>UF</v>
      </c>
      <c r="CL339" s="69" t="str">
        <f t="shared" si="366"/>
        <v/>
      </c>
      <c r="CN339" s="70" t="str">
        <f t="shared" si="367"/>
        <v/>
      </c>
      <c r="CO339" s="5" t="str">
        <f t="shared" si="368"/>
        <v>UF</v>
      </c>
      <c r="CP339" s="5" t="str">
        <f>IF(G339&lt;48,"UF", IF(NOT(ISBLANK(CM:CM)), CM:CM, IF(BW:BW=1, BV:BV+Sheet2!B462, IF(Sheet1!BW:BW=2, Sheet1!BV:BV+Sheet2!B463, IF(Sheet1!BW:BW=7, Sheet1!BV:BV+Sheet2!B464,"")))))</f>
        <v>UF</v>
      </c>
      <c r="CQ339" s="69" t="str">
        <f t="shared" si="393"/>
        <v/>
      </c>
      <c r="CR339" s="5" t="s">
        <v>12</v>
      </c>
      <c r="CT339" s="5" t="str">
        <f t="shared" si="369"/>
        <v/>
      </c>
      <c r="CU339" s="80" t="str">
        <f t="shared" si="370"/>
        <v>UF</v>
      </c>
      <c r="CV339" s="80" t="str">
        <f t="shared" si="371"/>
        <v>UF</v>
      </c>
      <c r="CW339" s="20" t="str">
        <f>IF(G339&lt;48,"UF", IF(NOT(ISBLANK(CS339)), CS339, IF(CE339=5, CC339+Sheet2!B451, IF(CE339=6, CC339+Sheet2!B452, IF(CE339=7, CC339+Sheet2!B453,"")))))</f>
        <v>UF</v>
      </c>
      <c r="CX339" s="68" t="str">
        <f t="shared" si="394"/>
        <v/>
      </c>
      <c r="CY339" s="5" t="s">
        <v>12</v>
      </c>
      <c r="DA339" s="5" t="str">
        <f t="shared" si="372"/>
        <v>UF</v>
      </c>
      <c r="DB339" s="73" t="str">
        <f t="shared" si="373"/>
        <v>UF</v>
      </c>
      <c r="DC339" s="73" t="str">
        <f t="shared" si="374"/>
        <v>UF</v>
      </c>
      <c r="DD339" s="5" t="str">
        <f>IF(G339&lt;48,"UF", IF(NOT(ISBLANK(CZ:CZ)), CZ:CZ, IF(CL:CL=3, CK:CK+Sheet2!B456, IF(CL:CL=4, CK:CK+Sheet2!B457, IF(CL:CL=7, CK:CK+Sheet2!B458,"")))))</f>
        <v>UF</v>
      </c>
      <c r="DE339" s="69" t="str">
        <f t="shared" si="331"/>
        <v/>
      </c>
      <c r="DF339" s="2">
        <v>2</v>
      </c>
      <c r="DG339" s="2">
        <v>35</v>
      </c>
      <c r="DH339" s="2">
        <v>1</v>
      </c>
      <c r="DI339" s="2">
        <v>1</v>
      </c>
      <c r="DJ339" s="2">
        <v>2</v>
      </c>
      <c r="DK339" s="2">
        <v>100</v>
      </c>
      <c r="DL339" s="2">
        <v>50</v>
      </c>
      <c r="DM339" s="2">
        <v>106</v>
      </c>
      <c r="DN339" s="2">
        <v>63</v>
      </c>
      <c r="DO339" s="2">
        <v>107</v>
      </c>
      <c r="DP339" s="2">
        <v>57</v>
      </c>
      <c r="DQ339" s="2">
        <v>2</v>
      </c>
      <c r="DR339" s="2">
        <v>36</v>
      </c>
      <c r="DS339" s="2">
        <v>2</v>
      </c>
      <c r="DT339" s="2">
        <v>90</v>
      </c>
      <c r="DU339" s="2">
        <v>72</v>
      </c>
      <c r="DV339" s="2">
        <v>2</v>
      </c>
      <c r="DW339" s="2">
        <v>2</v>
      </c>
      <c r="DX339" s="2">
        <v>2</v>
      </c>
      <c r="DY339" s="2">
        <v>1</v>
      </c>
      <c r="DZ339" s="2">
        <v>34</v>
      </c>
      <c r="EA339" s="2">
        <v>35.5</v>
      </c>
      <c r="EB339" s="2">
        <v>47.2</v>
      </c>
      <c r="EC339" s="2">
        <v>1</v>
      </c>
      <c r="ED339" s="2">
        <v>1</v>
      </c>
    </row>
    <row r="340" spans="3:134" x14ac:dyDescent="0.25">
      <c r="C340" s="8" t="s">
        <v>247</v>
      </c>
      <c r="D340" s="53">
        <v>2501052072</v>
      </c>
      <c r="E340" s="5">
        <v>7</v>
      </c>
      <c r="F340" s="2">
        <v>2</v>
      </c>
      <c r="G340" s="2">
        <v>27</v>
      </c>
      <c r="H340" s="2">
        <v>-0.42196861929619262</v>
      </c>
      <c r="I340" s="2">
        <v>50</v>
      </c>
      <c r="J340" s="2">
        <v>6.1168777667580831E-2</v>
      </c>
      <c r="K340" s="2">
        <v>3220</v>
      </c>
      <c r="L340" s="2">
        <v>-0.2619261838852463</v>
      </c>
      <c r="M340" s="2">
        <v>-1.0492999999999999</v>
      </c>
      <c r="N340" s="2">
        <f t="shared" si="334"/>
        <v>7.8284309648096295E-2</v>
      </c>
      <c r="O340" s="2">
        <f t="shared" si="335"/>
        <v>-1.0492999999999999</v>
      </c>
      <c r="P340" s="2">
        <v>70</v>
      </c>
      <c r="Q340" s="2">
        <v>1.1000000000000001</v>
      </c>
      <c r="R340" s="5">
        <f t="shared" si="336"/>
        <v>2.4415611166209585E-2</v>
      </c>
      <c r="S340" s="5">
        <f t="shared" si="337"/>
        <v>1.1000000000000001</v>
      </c>
      <c r="T340" s="2">
        <v>7800</v>
      </c>
      <c r="U340" s="2">
        <v>-0.16</v>
      </c>
      <c r="V340" s="2">
        <f t="shared" si="338"/>
        <v>6.0963091942623143E-2</v>
      </c>
      <c r="W340" s="2">
        <f t="shared" si="339"/>
        <v>-0.16</v>
      </c>
      <c r="X340" s="2">
        <v>-0.26540000000000002</v>
      </c>
      <c r="Y340" s="76">
        <f t="shared" si="375"/>
        <v>0.15656861929619259</v>
      </c>
      <c r="Z340" s="76">
        <f t="shared" si="376"/>
        <v>1</v>
      </c>
      <c r="AA340" s="2">
        <f t="shared" si="340"/>
        <v>-0.92620000000000002</v>
      </c>
      <c r="AB340" s="2">
        <f t="shared" si="341"/>
        <v>-0.26540000000000002</v>
      </c>
      <c r="AC340" s="2">
        <v>76</v>
      </c>
      <c r="AD340" s="2">
        <v>0.11</v>
      </c>
      <c r="AE340" s="79">
        <f t="shared" si="377"/>
        <v>4.8831222332419169E-2</v>
      </c>
      <c r="AF340" s="79">
        <f t="shared" si="378"/>
        <v>1</v>
      </c>
      <c r="AG340" s="2">
        <f t="shared" si="330"/>
        <v>-4.500000000000004E-2</v>
      </c>
      <c r="AH340" s="2">
        <f t="shared" si="342"/>
        <v>0.11</v>
      </c>
      <c r="AI340" s="2">
        <v>9500</v>
      </c>
      <c r="AJ340" s="2">
        <v>-0.14000000000000001</v>
      </c>
      <c r="AK340" s="76">
        <f t="shared" si="379"/>
        <v>0.12192618388524629</v>
      </c>
      <c r="AL340" s="76">
        <f t="shared" si="380"/>
        <v>1</v>
      </c>
      <c r="AM340" s="2">
        <f t="shared" si="343"/>
        <v>0.10500000000000001</v>
      </c>
      <c r="AN340" s="2">
        <f t="shared" si="344"/>
        <v>-0.14000000000000001</v>
      </c>
      <c r="AO340" s="2">
        <v>-0.75239999999999996</v>
      </c>
      <c r="AP340" s="2">
        <f t="shared" si="345"/>
        <v>-0.17780045006975562</v>
      </c>
      <c r="AQ340" s="2">
        <f t="shared" si="346"/>
        <v>-0.75239999999999996</v>
      </c>
      <c r="AR340" s="2">
        <v>85</v>
      </c>
      <c r="AS340" s="2">
        <v>1.01</v>
      </c>
      <c r="AT340" s="2">
        <f t="shared" si="347"/>
        <v>0.24974252393363505</v>
      </c>
      <c r="AU340" s="2">
        <f t="shared" si="348"/>
        <v>1.01</v>
      </c>
      <c r="AV340" s="2">
        <v>11000</v>
      </c>
      <c r="AW340" s="2">
        <v>0.05</v>
      </c>
      <c r="AX340" s="2">
        <f t="shared" si="349"/>
        <v>-1.8654916190592244E-2</v>
      </c>
      <c r="AY340" s="2">
        <f t="shared" si="350"/>
        <v>0.05</v>
      </c>
      <c r="AZ340" s="2">
        <v>-0.62100090013951126</v>
      </c>
      <c r="BA340" s="78">
        <f t="shared" si="381"/>
        <v>-0.35560090013951123</v>
      </c>
      <c r="BB340" s="78">
        <f t="shared" si="382"/>
        <v>-1</v>
      </c>
      <c r="BC340" s="2" t="str">
        <f t="shared" si="351"/>
        <v/>
      </c>
      <c r="BD340" s="2">
        <f t="shared" si="352"/>
        <v>-0.62100090013951126</v>
      </c>
      <c r="BE340" s="67">
        <f t="shared" si="383"/>
        <v>7</v>
      </c>
      <c r="BF340" s="2">
        <v>89</v>
      </c>
      <c r="BG340" s="2">
        <v>0.60948504786727009</v>
      </c>
      <c r="BH340" s="2" t="str">
        <f t="shared" si="353"/>
        <v/>
      </c>
      <c r="BI340" s="2">
        <f t="shared" si="354"/>
        <v>0.60948504786727009</v>
      </c>
      <c r="BJ340" s="67">
        <f t="shared" si="355"/>
        <v>7</v>
      </c>
      <c r="BK340" s="2">
        <v>12500</v>
      </c>
      <c r="BL340" s="2">
        <v>-0.1773098323811845</v>
      </c>
      <c r="BM340" s="77">
        <f t="shared" si="384"/>
        <v>-3.7309832381184488E-2</v>
      </c>
      <c r="BN340" s="77">
        <f t="shared" si="385"/>
        <v>-1</v>
      </c>
      <c r="BO340" s="2" t="str">
        <f t="shared" si="356"/>
        <v/>
      </c>
      <c r="BP340" s="2">
        <f t="shared" si="357"/>
        <v>-0.1773098323811845</v>
      </c>
      <c r="BQ340" s="67">
        <f t="shared" si="386"/>
        <v>7</v>
      </c>
      <c r="BS340" s="75" t="str">
        <f t="shared" si="387"/>
        <v>UF</v>
      </c>
      <c r="BT340" s="75" t="str">
        <f t="shared" si="388"/>
        <v>UF</v>
      </c>
      <c r="BU340" s="5" t="str">
        <f>IF(G347&gt;=36, IF(AND(NOT(ISBLANK(CM:CM)), NOT(ISBLANK(BD:BD))), (CM:CM-BD:BD)/2, ""), "UF")</f>
        <v>UF</v>
      </c>
      <c r="BV340" s="5" t="str">
        <f t="shared" si="358"/>
        <v>UF</v>
      </c>
      <c r="BW340" s="69" t="str">
        <f t="shared" si="359"/>
        <v/>
      </c>
      <c r="BX340" s="2" t="s">
        <v>12</v>
      </c>
      <c r="BZ340" s="74" t="str">
        <f t="shared" si="389"/>
        <v>UF</v>
      </c>
      <c r="CA340" s="74" t="str">
        <f t="shared" si="390"/>
        <v>UF</v>
      </c>
      <c r="CB340" s="5" t="str">
        <f t="shared" si="360"/>
        <v>UF</v>
      </c>
      <c r="CC340" s="5" t="str">
        <f t="shared" si="361"/>
        <v>UF</v>
      </c>
      <c r="CD340" s="2" t="e">
        <f t="shared" si="362"/>
        <v>#VALUE!</v>
      </c>
      <c r="CE340" s="69" t="str">
        <f t="shared" si="363"/>
        <v/>
      </c>
      <c r="CF340" s="5" t="s">
        <v>12</v>
      </c>
      <c r="CH340" s="72" t="str">
        <f t="shared" si="391"/>
        <v>UF</v>
      </c>
      <c r="CI340" s="72" t="str">
        <f t="shared" si="392"/>
        <v>UF</v>
      </c>
      <c r="CJ340" s="5" t="str">
        <f t="shared" si="364"/>
        <v>UF</v>
      </c>
      <c r="CK340" s="5" t="str">
        <f t="shared" si="365"/>
        <v>UF</v>
      </c>
      <c r="CL340" s="69" t="str">
        <f t="shared" si="366"/>
        <v/>
      </c>
      <c r="CN340" s="70" t="str">
        <f t="shared" si="367"/>
        <v/>
      </c>
      <c r="CO340" s="5" t="str">
        <f t="shared" si="368"/>
        <v>UF</v>
      </c>
      <c r="CP340" s="5" t="str">
        <f>IF(G340&lt;48,"UF", IF(NOT(ISBLANK(CM:CM)), CM:CM, IF(BW:BW=1, BV:BV+Sheet2!B440, IF(Sheet1!BW:BW=2, Sheet1!BV:BV+Sheet2!B441, IF(Sheet1!BW:BW=7, Sheet1!BV:BV+Sheet2!B442,"")))))</f>
        <v>UF</v>
      </c>
      <c r="CQ340" s="69" t="str">
        <f t="shared" si="393"/>
        <v/>
      </c>
      <c r="CR340" s="5" t="s">
        <v>12</v>
      </c>
      <c r="CT340" s="5" t="str">
        <f t="shared" si="369"/>
        <v/>
      </c>
      <c r="CU340" s="80" t="str">
        <f t="shared" si="370"/>
        <v>UF</v>
      </c>
      <c r="CV340" s="80" t="str">
        <f t="shared" si="371"/>
        <v>UF</v>
      </c>
      <c r="CW340" s="20" t="str">
        <f>IF(G340&lt;48,"UF", IF(NOT(ISBLANK(CS340)), CS340, IF(CE340=5, CC340+Sheet2!B429, IF(CE340=6, CC340+Sheet2!B430, IF(CE340=7, CC340+Sheet2!B431,"")))))</f>
        <v>UF</v>
      </c>
      <c r="CX340" s="68" t="str">
        <f t="shared" si="394"/>
        <v/>
      </c>
      <c r="CY340" s="5" t="s">
        <v>12</v>
      </c>
      <c r="DA340" s="5" t="str">
        <f t="shared" si="372"/>
        <v>UF</v>
      </c>
      <c r="DB340" s="73" t="str">
        <f t="shared" si="373"/>
        <v>UF</v>
      </c>
      <c r="DC340" s="73" t="str">
        <f t="shared" si="374"/>
        <v>UF</v>
      </c>
      <c r="DD340" s="5" t="str">
        <f>IF(G340&lt;48,"UF", IF(NOT(ISBLANK(CZ:CZ)), CZ:CZ, IF(CL:CL=3, CK:CK+Sheet2!B434, IF(CL:CL=4, CK:CK+Sheet2!B435, IF(CL:CL=7, CK:CK+Sheet2!B436,"")))))</f>
        <v>UF</v>
      </c>
      <c r="DE340" s="69" t="str">
        <f t="shared" si="331"/>
        <v/>
      </c>
      <c r="DF340" s="2">
        <v>1</v>
      </c>
      <c r="DG340" s="2">
        <v>35</v>
      </c>
      <c r="DH340" s="2">
        <v>2</v>
      </c>
      <c r="DI340" s="2">
        <v>2</v>
      </c>
      <c r="DJ340" s="2">
        <v>2</v>
      </c>
      <c r="DK340" s="2">
        <v>100</v>
      </c>
      <c r="DL340" s="2">
        <v>60</v>
      </c>
      <c r="DM340" s="2" t="s">
        <v>12</v>
      </c>
      <c r="DN340" s="2" t="s">
        <v>12</v>
      </c>
      <c r="DO340" s="2" t="s">
        <v>12</v>
      </c>
      <c r="DP340" s="2" t="s">
        <v>12</v>
      </c>
      <c r="DQ340" s="2">
        <v>2</v>
      </c>
      <c r="DR340" s="2">
        <v>40</v>
      </c>
      <c r="DS340" s="2">
        <v>1</v>
      </c>
      <c r="DT340" s="2">
        <v>98</v>
      </c>
      <c r="DU340" s="2">
        <v>83</v>
      </c>
      <c r="DV340" s="2">
        <v>2</v>
      </c>
      <c r="DW340" s="2">
        <v>2</v>
      </c>
      <c r="DX340" s="2">
        <v>2</v>
      </c>
      <c r="DY340" s="2">
        <v>2</v>
      </c>
      <c r="DZ340" s="2">
        <v>33</v>
      </c>
      <c r="EA340" s="2">
        <v>34.5</v>
      </c>
      <c r="EB340" s="2">
        <v>44</v>
      </c>
      <c r="EC340" s="2">
        <v>1</v>
      </c>
      <c r="ED340" s="2">
        <v>1</v>
      </c>
    </row>
    <row r="341" spans="3:134" x14ac:dyDescent="0.25">
      <c r="C341" s="8" t="s">
        <v>95</v>
      </c>
      <c r="D341" s="2">
        <v>2501052080</v>
      </c>
      <c r="E341" s="5" t="s">
        <v>528</v>
      </c>
      <c r="F341" s="2">
        <v>1</v>
      </c>
      <c r="G341" s="2">
        <v>30</v>
      </c>
      <c r="H341" s="2">
        <v>-1.662189489140822</v>
      </c>
      <c r="I341" s="2">
        <v>50</v>
      </c>
      <c r="J341" s="2">
        <v>0.45756143734440202</v>
      </c>
      <c r="K341" s="5">
        <v>2860</v>
      </c>
      <c r="L341" s="2">
        <v>-0.8435155734299653</v>
      </c>
      <c r="M341" s="2">
        <v>-1.2496</v>
      </c>
      <c r="N341" s="2">
        <f t="shared" si="334"/>
        <v>4.1844744570410985E-2</v>
      </c>
      <c r="O341" s="2">
        <f t="shared" si="335"/>
        <v>-1.2496</v>
      </c>
      <c r="P341" s="2">
        <v>63</v>
      </c>
      <c r="Q341" s="2">
        <v>-1.21</v>
      </c>
      <c r="R341" s="5">
        <f t="shared" si="336"/>
        <v>-1.0087807186722011</v>
      </c>
      <c r="S341" s="5">
        <f t="shared" si="337"/>
        <v>-1.21</v>
      </c>
      <c r="T341" s="1">
        <v>6000</v>
      </c>
      <c r="U341" s="2">
        <v>-1.62</v>
      </c>
      <c r="V341" s="2">
        <f t="shared" si="338"/>
        <v>-0.60324221328501726</v>
      </c>
      <c r="W341" s="2">
        <f t="shared" si="339"/>
        <v>-1.62</v>
      </c>
      <c r="X341" s="2">
        <v>-1.5785</v>
      </c>
      <c r="Y341" s="76">
        <f t="shared" si="375"/>
        <v>8.3689489140821971E-2</v>
      </c>
      <c r="Z341" s="76">
        <f t="shared" si="376"/>
        <v>1</v>
      </c>
      <c r="AA341" s="2">
        <f t="shared" si="340"/>
        <v>-7.669999999999999E-2</v>
      </c>
      <c r="AB341" s="2">
        <f t="shared" si="341"/>
        <v>-1.5785</v>
      </c>
      <c r="AC341" s="2">
        <v>70</v>
      </c>
      <c r="AD341" s="2">
        <v>-1.56</v>
      </c>
      <c r="AE341" s="79">
        <f t="shared" si="377"/>
        <v>-2.0175614373444022</v>
      </c>
      <c r="AF341" s="79">
        <f t="shared" si="378"/>
        <v>-2</v>
      </c>
      <c r="AG341" s="2">
        <f t="shared" si="330"/>
        <v>-0.20500000000000007</v>
      </c>
      <c r="AH341" s="2">
        <f t="shared" si="342"/>
        <v>-1.56</v>
      </c>
      <c r="AI341" s="2">
        <v>7000</v>
      </c>
      <c r="AJ341" s="2">
        <v>-2.0499999999999998</v>
      </c>
      <c r="AK341" s="76">
        <f t="shared" si="379"/>
        <v>-1.2064844265700345</v>
      </c>
      <c r="AL341" s="76">
        <f t="shared" si="380"/>
        <v>-2</v>
      </c>
      <c r="AM341" s="2">
        <f t="shared" si="343"/>
        <v>-0.16999999999999993</v>
      </c>
      <c r="AN341" s="2">
        <f t="shared" si="344"/>
        <v>-2.0499999999999998</v>
      </c>
      <c r="AO341" s="2">
        <v>-1.3633999999999999</v>
      </c>
      <c r="AP341" s="2">
        <f t="shared" si="345"/>
        <v>-0.43749176224910058</v>
      </c>
      <c r="AQ341" s="2">
        <f t="shared" si="346"/>
        <v>-1.3633999999999999</v>
      </c>
      <c r="AR341" s="2">
        <v>76</v>
      </c>
      <c r="AS341" s="2">
        <v>-1.62</v>
      </c>
      <c r="AT341" s="2">
        <f t="shared" si="347"/>
        <v>0.15073321475828905</v>
      </c>
      <c r="AU341" s="2">
        <f t="shared" si="348"/>
        <v>-1.62</v>
      </c>
      <c r="AV341" s="2">
        <v>8100</v>
      </c>
      <c r="AW341" s="2">
        <v>-1.96</v>
      </c>
      <c r="AX341" s="2">
        <f t="shared" si="349"/>
        <v>-0.59524760439844759</v>
      </c>
      <c r="AY341" s="2">
        <f t="shared" si="350"/>
        <v>-1.96</v>
      </c>
      <c r="AZ341" s="2">
        <v>-2.4534835244982012</v>
      </c>
      <c r="BA341" s="78">
        <f t="shared" si="381"/>
        <v>-0.87498352449820116</v>
      </c>
      <c r="BB341" s="78">
        <f t="shared" si="382"/>
        <v>-2</v>
      </c>
      <c r="BC341" s="2" t="str">
        <f t="shared" si="351"/>
        <v/>
      </c>
      <c r="BD341" s="2">
        <f t="shared" si="352"/>
        <v>-2.4534835244982012</v>
      </c>
      <c r="BE341" s="67">
        <f t="shared" si="383"/>
        <v>2</v>
      </c>
      <c r="BF341" s="2">
        <v>81</v>
      </c>
      <c r="BG341" s="2">
        <v>-1.258533570483422</v>
      </c>
      <c r="BH341" s="2" t="str">
        <f t="shared" si="353"/>
        <v/>
      </c>
      <c r="BI341" s="2">
        <f t="shared" si="354"/>
        <v>-1.258533570483422</v>
      </c>
      <c r="BJ341" s="67">
        <f t="shared" si="355"/>
        <v>7</v>
      </c>
      <c r="BK341" s="2">
        <v>8900</v>
      </c>
      <c r="BL341" s="2">
        <v>-3.240495208796895</v>
      </c>
      <c r="BM341" s="77">
        <f t="shared" si="384"/>
        <v>-1.1904952087968952</v>
      </c>
      <c r="BN341" s="77">
        <f t="shared" si="385"/>
        <v>-2</v>
      </c>
      <c r="BO341" s="2" t="str">
        <f t="shared" si="356"/>
        <v/>
      </c>
      <c r="BP341" s="2">
        <f t="shared" si="357"/>
        <v>-3.240495208796895</v>
      </c>
      <c r="BQ341" s="67">
        <f t="shared" si="386"/>
        <v>3</v>
      </c>
      <c r="BS341" s="75" t="str">
        <f t="shared" si="387"/>
        <v>UF</v>
      </c>
      <c r="BT341" s="75" t="str">
        <f t="shared" si="388"/>
        <v>UF</v>
      </c>
      <c r="BU341" s="5" t="str">
        <f>IF(G348&gt;=36, IF(AND(NOT(ISBLANK(CM:CM)), NOT(ISBLANK(BD:BD))), (CM:CM-BD:BD)/2, ""), "UF")</f>
        <v>UF</v>
      </c>
      <c r="BV341" s="5" t="str">
        <f t="shared" si="358"/>
        <v>UF</v>
      </c>
      <c r="BW341" s="69" t="str">
        <f t="shared" si="359"/>
        <v/>
      </c>
      <c r="BX341" s="2" t="s">
        <v>12</v>
      </c>
      <c r="BZ341" s="74" t="str">
        <f t="shared" si="389"/>
        <v>UF</v>
      </c>
      <c r="CA341" s="74" t="str">
        <f t="shared" si="390"/>
        <v>UF</v>
      </c>
      <c r="CB341" s="5" t="str">
        <f t="shared" si="360"/>
        <v>UF</v>
      </c>
      <c r="CC341" s="5" t="str">
        <f t="shared" si="361"/>
        <v>UF</v>
      </c>
      <c r="CD341" s="2" t="e">
        <f t="shared" si="362"/>
        <v>#VALUE!</v>
      </c>
      <c r="CE341" s="69" t="str">
        <f t="shared" si="363"/>
        <v/>
      </c>
      <c r="CF341" s="5" t="s">
        <v>12</v>
      </c>
      <c r="CH341" s="72" t="str">
        <f t="shared" si="391"/>
        <v>UF</v>
      </c>
      <c r="CI341" s="72" t="str">
        <f t="shared" si="392"/>
        <v>UF</v>
      </c>
      <c r="CJ341" s="5" t="str">
        <f t="shared" si="364"/>
        <v>UF</v>
      </c>
      <c r="CK341" s="5" t="str">
        <f t="shared" si="365"/>
        <v>UF</v>
      </c>
      <c r="CL341" s="69" t="str">
        <f t="shared" si="366"/>
        <v/>
      </c>
      <c r="CN341" s="70" t="str">
        <f t="shared" si="367"/>
        <v/>
      </c>
      <c r="CO341" s="5" t="str">
        <f t="shared" si="368"/>
        <v>UF</v>
      </c>
      <c r="CP341" s="5" t="str">
        <f>IF(G341&lt;48,"UF", IF(NOT(ISBLANK(CM:CM)), CM:CM, IF(BW:BW=1, BV:BV+Sheet2!B100, IF(Sheet1!BW:BW=2, Sheet1!BV:BV+Sheet2!B101, IF(Sheet1!BW:BW=7, Sheet1!BV:BV+Sheet2!B102,"")))))</f>
        <v>UF</v>
      </c>
      <c r="CQ341" s="69" t="str">
        <f t="shared" si="393"/>
        <v/>
      </c>
      <c r="CR341" s="5" t="s">
        <v>12</v>
      </c>
      <c r="CT341" s="5" t="str">
        <f t="shared" si="369"/>
        <v/>
      </c>
      <c r="CU341" s="80" t="str">
        <f t="shared" si="370"/>
        <v>UF</v>
      </c>
      <c r="CV341" s="80" t="str">
        <f t="shared" si="371"/>
        <v>UF</v>
      </c>
      <c r="CW341" s="20" t="str">
        <f>IF(G341&lt;48,"UF", IF(NOT(ISBLANK(CS341)), CS341, IF(CE341=5, CC341+Sheet2!B89, IF(CE341=6, CC341+Sheet2!B90, IF(CE341=7, CC341+Sheet2!B91,"")))))</f>
        <v>UF</v>
      </c>
      <c r="CX341" s="68" t="str">
        <f t="shared" si="394"/>
        <v/>
      </c>
      <c r="CY341" s="5" t="s">
        <v>12</v>
      </c>
      <c r="DA341" s="5" t="str">
        <f t="shared" si="372"/>
        <v>UF</v>
      </c>
      <c r="DB341" s="73" t="str">
        <f t="shared" si="373"/>
        <v>UF</v>
      </c>
      <c r="DC341" s="73" t="str">
        <f t="shared" si="374"/>
        <v>UF</v>
      </c>
      <c r="DD341" s="5" t="str">
        <f>IF(G341&lt;48,"UF", IF(NOT(ISBLANK(CZ:CZ)), CZ:CZ, IF(CL:CL=3, CK:CK+Sheet2!B94, IF(CL:CL=4, CK:CK+Sheet2!B95, IF(CL:CL=7, CK:CK+Sheet2!B96,"")))))</f>
        <v>UF</v>
      </c>
      <c r="DE341" s="69" t="str">
        <f t="shared" si="331"/>
        <v/>
      </c>
      <c r="DF341" s="2">
        <v>1</v>
      </c>
      <c r="DG341" s="2">
        <v>22</v>
      </c>
      <c r="DH341" s="2">
        <v>2</v>
      </c>
      <c r="DI341" s="2">
        <v>1</v>
      </c>
      <c r="DJ341" s="2">
        <v>2</v>
      </c>
      <c r="DK341" s="2">
        <v>90</v>
      </c>
      <c r="DL341" s="2">
        <v>60</v>
      </c>
      <c r="DM341" s="2">
        <v>100</v>
      </c>
      <c r="DN341" s="2">
        <v>60</v>
      </c>
      <c r="DO341" s="2">
        <v>100</v>
      </c>
      <c r="DP341" s="2">
        <v>60</v>
      </c>
      <c r="DQ341" s="2">
        <v>1</v>
      </c>
      <c r="DR341" s="2">
        <v>38</v>
      </c>
      <c r="DS341" s="2">
        <v>1</v>
      </c>
      <c r="DT341" s="2">
        <v>90</v>
      </c>
      <c r="DU341" s="2">
        <v>70</v>
      </c>
      <c r="DV341" s="2">
        <v>2</v>
      </c>
      <c r="DW341" s="2">
        <v>3</v>
      </c>
      <c r="DX341" s="2">
        <v>3</v>
      </c>
      <c r="DY341" s="2">
        <v>2</v>
      </c>
      <c r="DZ341" s="2">
        <v>33</v>
      </c>
      <c r="EA341" s="2">
        <v>35</v>
      </c>
      <c r="EB341" s="2">
        <v>44</v>
      </c>
      <c r="EC341" s="2">
        <v>1</v>
      </c>
      <c r="ED341" s="2">
        <v>1</v>
      </c>
    </row>
    <row r="342" spans="3:134" x14ac:dyDescent="0.25">
      <c r="C342" s="8" t="s">
        <v>215</v>
      </c>
      <c r="D342" s="8">
        <v>2501052145</v>
      </c>
      <c r="E342" s="5">
        <v>7</v>
      </c>
      <c r="F342" s="2">
        <v>1</v>
      </c>
      <c r="G342" s="2">
        <v>28</v>
      </c>
      <c r="H342" s="2">
        <v>-3.5233672908595648</v>
      </c>
      <c r="I342" s="2">
        <v>52</v>
      </c>
      <c r="J342" s="2">
        <v>1.531272843240846</v>
      </c>
      <c r="K342" s="2">
        <v>2600</v>
      </c>
      <c r="L342" s="2">
        <v>-1.473952090495636</v>
      </c>
      <c r="M342" s="2">
        <v>0.91020000000000001</v>
      </c>
      <c r="N342" s="2">
        <f t="shared" si="334"/>
        <v>2.0102836454297823</v>
      </c>
      <c r="O342" s="2">
        <f t="shared" si="335"/>
        <v>0.91020000000000001</v>
      </c>
      <c r="P342" s="2">
        <v>65</v>
      </c>
      <c r="Q342" s="2">
        <v>-0.33</v>
      </c>
      <c r="R342" s="5">
        <f t="shared" si="336"/>
        <v>-0.96063642162042306</v>
      </c>
      <c r="S342" s="5">
        <f t="shared" si="337"/>
        <v>-0.33</v>
      </c>
      <c r="T342" s="2">
        <v>7760</v>
      </c>
      <c r="U342" s="2">
        <v>0.5</v>
      </c>
      <c r="V342" s="2">
        <f t="shared" si="338"/>
        <v>0.81197604524781797</v>
      </c>
      <c r="W342" s="2">
        <f t="shared" si="339"/>
        <v>0.5</v>
      </c>
      <c r="X342" s="2">
        <v>0.49719999999999998</v>
      </c>
      <c r="Y342" s="76">
        <f t="shared" si="375"/>
        <v>4.0205672908595647</v>
      </c>
      <c r="Z342" s="76">
        <f t="shared" si="376"/>
        <v>2</v>
      </c>
      <c r="AA342" s="2">
        <f t="shared" si="340"/>
        <v>0.31990000000000002</v>
      </c>
      <c r="AB342" s="2">
        <f t="shared" si="341"/>
        <v>0.49719999999999998</v>
      </c>
      <c r="AC342" s="2">
        <v>73</v>
      </c>
      <c r="AD342" s="2">
        <v>-0.39</v>
      </c>
      <c r="AE342" s="79">
        <f t="shared" si="377"/>
        <v>-1.9212728432408461</v>
      </c>
      <c r="AF342" s="79">
        <f t="shared" si="378"/>
        <v>-2</v>
      </c>
      <c r="AG342" s="2">
        <f t="shared" si="330"/>
        <v>0.21500000000000002</v>
      </c>
      <c r="AH342" s="2">
        <f t="shared" si="342"/>
        <v>-0.39</v>
      </c>
      <c r="AI342" s="2">
        <v>9110</v>
      </c>
      <c r="AJ342" s="2">
        <v>0.15</v>
      </c>
      <c r="AK342" s="76">
        <f t="shared" si="379"/>
        <v>1.6239520904956359</v>
      </c>
      <c r="AL342" s="76">
        <f t="shared" si="380"/>
        <v>2</v>
      </c>
      <c r="AM342" s="2">
        <f t="shared" si="343"/>
        <v>-0.10500000000000001</v>
      </c>
      <c r="AN342" s="2">
        <f t="shared" si="344"/>
        <v>0.15</v>
      </c>
      <c r="AO342" s="2">
        <v>0.30980000000000002</v>
      </c>
      <c r="AP342" s="2" t="str">
        <f t="shared" si="345"/>
        <v/>
      </c>
      <c r="AQ342" s="2">
        <f t="shared" si="346"/>
        <v>0.30980000000000002</v>
      </c>
      <c r="AR342" s="2">
        <v>81</v>
      </c>
      <c r="AS342" s="2">
        <v>0.1</v>
      </c>
      <c r="AT342" s="2" t="str">
        <f t="shared" si="347"/>
        <v/>
      </c>
      <c r="AU342" s="2">
        <f t="shared" si="348"/>
        <v>0.1</v>
      </c>
      <c r="AV342" s="2">
        <v>10600</v>
      </c>
      <c r="AW342" s="2">
        <v>0.28999999999999998</v>
      </c>
      <c r="AX342" s="2" t="str">
        <f t="shared" si="349"/>
        <v/>
      </c>
      <c r="AY342" s="2">
        <f t="shared" si="350"/>
        <v>0.28999999999999998</v>
      </c>
      <c r="BA342" s="78" t="e">
        <f t="shared" si="381"/>
        <v>#VALUE!</v>
      </c>
      <c r="BB342" s="78" t="e">
        <f t="shared" si="382"/>
        <v>#VALUE!</v>
      </c>
      <c r="BC342" s="2" t="str">
        <f t="shared" si="351"/>
        <v/>
      </c>
      <c r="BD342" s="2" t="e">
        <f t="shared" si="352"/>
        <v>#VALUE!</v>
      </c>
      <c r="BE342" s="67" t="e">
        <f t="shared" si="383"/>
        <v>#VALUE!</v>
      </c>
      <c r="BF342" s="2" t="s">
        <v>12</v>
      </c>
      <c r="BH342" s="2" t="str">
        <f t="shared" si="353"/>
        <v/>
      </c>
      <c r="BI342" s="2" t="e">
        <f t="shared" si="354"/>
        <v>#VALUE!</v>
      </c>
      <c r="BJ342" s="67" t="e">
        <f t="shared" si="355"/>
        <v>#VALUE!</v>
      </c>
      <c r="BK342" s="2" t="s">
        <v>12</v>
      </c>
      <c r="BM342" s="77" t="e">
        <f t="shared" si="384"/>
        <v>#VALUE!</v>
      </c>
      <c r="BN342" s="77" t="e">
        <f t="shared" si="385"/>
        <v>#VALUE!</v>
      </c>
      <c r="BO342" s="2" t="str">
        <f t="shared" si="356"/>
        <v/>
      </c>
      <c r="BP342" s="2" t="e">
        <f t="shared" si="357"/>
        <v>#VALUE!</v>
      </c>
      <c r="BQ342" s="67" t="e">
        <f t="shared" si="386"/>
        <v>#VALUE!</v>
      </c>
      <c r="BS342" s="75" t="str">
        <f t="shared" si="387"/>
        <v>UF</v>
      </c>
      <c r="BT342" s="75" t="str">
        <f t="shared" si="388"/>
        <v>UF</v>
      </c>
      <c r="BU342" s="5" t="str">
        <f>IF(G350&gt;=36, IF(AND(NOT(ISBLANK(CM:CM)), NOT(ISBLANK(BD:BD))), (CM:CM-BD:BD)/2, ""), "UF")</f>
        <v>UF</v>
      </c>
      <c r="BV342" s="5" t="str">
        <f t="shared" si="358"/>
        <v>UF</v>
      </c>
      <c r="BW342" s="69" t="str">
        <f t="shared" si="359"/>
        <v/>
      </c>
      <c r="BX342" s="2" t="s">
        <v>12</v>
      </c>
      <c r="BZ342" s="74" t="str">
        <f t="shared" si="389"/>
        <v>UF</v>
      </c>
      <c r="CA342" s="74" t="str">
        <f t="shared" si="390"/>
        <v>UF</v>
      </c>
      <c r="CB342" s="5" t="str">
        <f t="shared" si="360"/>
        <v>UF</v>
      </c>
      <c r="CC342" s="5" t="str">
        <f t="shared" si="361"/>
        <v>UF</v>
      </c>
      <c r="CD342" s="2" t="e">
        <f t="shared" si="362"/>
        <v>#VALUE!</v>
      </c>
      <c r="CE342" s="69" t="str">
        <f t="shared" si="363"/>
        <v/>
      </c>
      <c r="CF342" s="5" t="s">
        <v>12</v>
      </c>
      <c r="CH342" s="72" t="str">
        <f t="shared" si="391"/>
        <v>UF</v>
      </c>
      <c r="CI342" s="72" t="str">
        <f t="shared" si="392"/>
        <v>UF</v>
      </c>
      <c r="CJ342" s="5" t="str">
        <f t="shared" si="364"/>
        <v>UF</v>
      </c>
      <c r="CK342" s="5" t="str">
        <f t="shared" si="365"/>
        <v>UF</v>
      </c>
      <c r="CL342" s="69" t="str">
        <f t="shared" si="366"/>
        <v/>
      </c>
      <c r="CN342" s="70" t="str">
        <f t="shared" si="367"/>
        <v/>
      </c>
      <c r="CO342" s="5" t="str">
        <f t="shared" si="368"/>
        <v>UF</v>
      </c>
      <c r="CP342" s="5" t="str">
        <f>IF(G342&lt;48,"UF", IF(NOT(ISBLANK(CM:CM)), CM:CM, IF(BW:BW=1, BV:BV+Sheet2!B532, IF(Sheet1!BW:BW=2, Sheet1!BV:BV+Sheet2!B533, IF(Sheet1!BW:BW=7, Sheet1!BV:BV+Sheet2!B534,"")))))</f>
        <v>UF</v>
      </c>
      <c r="CQ342" s="69" t="str">
        <f t="shared" si="393"/>
        <v/>
      </c>
      <c r="CR342" s="5" t="s">
        <v>12</v>
      </c>
      <c r="CT342" s="5" t="str">
        <f t="shared" si="369"/>
        <v/>
      </c>
      <c r="CU342" s="80" t="str">
        <f t="shared" si="370"/>
        <v>UF</v>
      </c>
      <c r="CV342" s="80" t="str">
        <f t="shared" si="371"/>
        <v>UF</v>
      </c>
      <c r="CW342" s="20" t="str">
        <f>IF(G342&lt;48,"UF", IF(NOT(ISBLANK(CS342)), CS342, IF(CE342=5, CC342+Sheet2!B521, IF(CE342=6, CC342+Sheet2!B522, IF(CE342=7, CC342+Sheet2!B523,"")))))</f>
        <v>UF</v>
      </c>
      <c r="CX342" s="68" t="str">
        <f t="shared" si="394"/>
        <v/>
      </c>
      <c r="CY342" s="5" t="s">
        <v>12</v>
      </c>
      <c r="DA342" s="5" t="str">
        <f t="shared" si="372"/>
        <v>UF</v>
      </c>
      <c r="DB342" s="73" t="str">
        <f t="shared" si="373"/>
        <v>UF</v>
      </c>
      <c r="DC342" s="73" t="str">
        <f t="shared" si="374"/>
        <v>UF</v>
      </c>
      <c r="DD342" s="5" t="str">
        <f>IF(G342&lt;48,"UF", IF(NOT(ISBLANK(CZ:CZ)), CZ:CZ, IF(CL:CL=3, CK:CK+Sheet2!B526, IF(CL:CL=4, CK:CK+Sheet2!B527, IF(CL:CL=7, CK:CK+Sheet2!B528,"")))))</f>
        <v>UF</v>
      </c>
      <c r="DE342" s="69" t="str">
        <f t="shared" si="331"/>
        <v/>
      </c>
      <c r="DF342" s="2">
        <v>3</v>
      </c>
      <c r="DG342" s="2">
        <v>31</v>
      </c>
      <c r="DH342" s="2">
        <v>2</v>
      </c>
      <c r="DI342" s="2">
        <v>2</v>
      </c>
      <c r="DJ342" s="2">
        <v>2</v>
      </c>
      <c r="DK342" s="2">
        <v>85</v>
      </c>
      <c r="DL342" s="2">
        <v>55</v>
      </c>
      <c r="DM342" s="2">
        <v>90</v>
      </c>
      <c r="DN342" s="2">
        <v>60</v>
      </c>
      <c r="DO342" s="2">
        <v>105</v>
      </c>
      <c r="DP342" s="2">
        <v>62</v>
      </c>
      <c r="DQ342" s="2">
        <v>1</v>
      </c>
      <c r="DR342" s="2">
        <v>37</v>
      </c>
      <c r="DS342" s="2">
        <v>1</v>
      </c>
      <c r="DT342" s="2">
        <v>94</v>
      </c>
      <c r="DU342" s="2">
        <v>82</v>
      </c>
      <c r="DV342" s="2">
        <v>2</v>
      </c>
      <c r="DW342" s="2">
        <v>2</v>
      </c>
      <c r="DX342" s="2">
        <v>2</v>
      </c>
      <c r="DY342" s="2">
        <v>2</v>
      </c>
      <c r="DZ342" s="2">
        <v>32</v>
      </c>
      <c r="EA342" s="2">
        <v>35</v>
      </c>
      <c r="EB342" s="2">
        <v>44</v>
      </c>
      <c r="EC342" s="2">
        <v>1</v>
      </c>
      <c r="ED342" s="2">
        <v>1</v>
      </c>
    </row>
    <row r="343" spans="3:134" x14ac:dyDescent="0.25">
      <c r="C343" s="8" t="s">
        <v>308</v>
      </c>
      <c r="D343" s="8">
        <v>2501052196</v>
      </c>
      <c r="E343" s="5">
        <v>7</v>
      </c>
      <c r="F343" s="2">
        <v>2</v>
      </c>
      <c r="G343" s="2">
        <v>28</v>
      </c>
      <c r="H343" s="2">
        <v>-0.3564632994089047</v>
      </c>
      <c r="I343" s="2">
        <v>50</v>
      </c>
      <c r="J343" s="2">
        <v>6.1168777667580831E-2</v>
      </c>
      <c r="K343" s="2">
        <v>3240</v>
      </c>
      <c r="L343" s="2">
        <v>-0.22004157045590769</v>
      </c>
      <c r="M343" s="2">
        <v>-0.2928</v>
      </c>
      <c r="N343" s="2">
        <f t="shared" si="334"/>
        <v>0.17873164970445235</v>
      </c>
      <c r="O343" s="2">
        <f t="shared" si="335"/>
        <v>-0.2928</v>
      </c>
      <c r="P343" s="2">
        <v>67</v>
      </c>
      <c r="Q343" s="2">
        <v>-0.3</v>
      </c>
      <c r="R343" s="5">
        <f t="shared" si="336"/>
        <v>-0.39558438883379043</v>
      </c>
      <c r="S343" s="5">
        <f t="shared" si="337"/>
        <v>-0.3</v>
      </c>
      <c r="T343" s="2">
        <v>7600</v>
      </c>
      <c r="U343" s="2">
        <v>-0.4</v>
      </c>
      <c r="V343" s="2">
        <f t="shared" si="338"/>
        <v>-0.10497921477204615</v>
      </c>
      <c r="W343" s="2">
        <f t="shared" si="339"/>
        <v>-0.4</v>
      </c>
      <c r="X343" s="2">
        <v>1E-3</v>
      </c>
      <c r="Y343" s="76">
        <f t="shared" si="375"/>
        <v>0.3574632994089047</v>
      </c>
      <c r="Z343" s="76">
        <f t="shared" si="376"/>
        <v>1</v>
      </c>
      <c r="AA343" s="2">
        <f t="shared" si="340"/>
        <v>-0.154</v>
      </c>
      <c r="AB343" s="2">
        <f t="shared" si="341"/>
        <v>1E-3</v>
      </c>
      <c r="AC343" s="2">
        <v>74</v>
      </c>
      <c r="AD343" s="2">
        <v>-0.73</v>
      </c>
      <c r="AE343" s="79">
        <f t="shared" si="377"/>
        <v>-0.79116877766758087</v>
      </c>
      <c r="AF343" s="79">
        <f t="shared" si="378"/>
        <v>-2</v>
      </c>
      <c r="AG343" s="2">
        <f t="shared" si="330"/>
        <v>-8.4999999999999992E-2</v>
      </c>
      <c r="AH343" s="2">
        <f t="shared" si="342"/>
        <v>-0.73</v>
      </c>
      <c r="AI343" s="2">
        <v>9200</v>
      </c>
      <c r="AJ343" s="2">
        <v>-0.43</v>
      </c>
      <c r="AK343" s="76">
        <f t="shared" si="379"/>
        <v>-0.2099584295440923</v>
      </c>
      <c r="AL343" s="76">
        <f t="shared" si="380"/>
        <v>-1</v>
      </c>
      <c r="AM343" s="2">
        <f t="shared" si="343"/>
        <v>-0.15999999999999998</v>
      </c>
      <c r="AN343" s="2">
        <f t="shared" si="344"/>
        <v>-0.43</v>
      </c>
      <c r="AO343" s="2">
        <v>-0.60799999999999998</v>
      </c>
      <c r="AP343" s="2">
        <f t="shared" si="345"/>
        <v>-0.27937367877075148</v>
      </c>
      <c r="AQ343" s="2">
        <f t="shared" si="346"/>
        <v>-0.60799999999999998</v>
      </c>
      <c r="AR343" s="2">
        <v>81</v>
      </c>
      <c r="AS343" s="2">
        <v>-0.47</v>
      </c>
      <c r="AT343" s="2">
        <f t="shared" si="347"/>
        <v>0.38472046099855978</v>
      </c>
      <c r="AU343" s="2">
        <f t="shared" si="348"/>
        <v>-0.47</v>
      </c>
      <c r="AV343" s="2">
        <v>10100</v>
      </c>
      <c r="AW343" s="2">
        <v>-0.72</v>
      </c>
      <c r="AX343" s="2">
        <f t="shared" si="349"/>
        <v>-6.3978918309138405E-2</v>
      </c>
      <c r="AY343" s="2">
        <f t="shared" si="350"/>
        <v>-0.72</v>
      </c>
      <c r="AZ343" s="2">
        <v>-0.55774735754150295</v>
      </c>
      <c r="BA343" s="78">
        <f t="shared" si="381"/>
        <v>-0.55874735754150295</v>
      </c>
      <c r="BB343" s="78">
        <f t="shared" si="382"/>
        <v>-1</v>
      </c>
      <c r="BC343" s="2" t="str">
        <f t="shared" si="351"/>
        <v/>
      </c>
      <c r="BD343" s="2">
        <f t="shared" si="352"/>
        <v>-0.55774735754150295</v>
      </c>
      <c r="BE343" s="67">
        <f t="shared" si="383"/>
        <v>7</v>
      </c>
      <c r="BF343" s="2">
        <v>87</v>
      </c>
      <c r="BG343" s="2">
        <v>3.9440921997119571E-2</v>
      </c>
      <c r="BH343" s="2" t="str">
        <f t="shared" si="353"/>
        <v/>
      </c>
      <c r="BI343" s="2">
        <f t="shared" si="354"/>
        <v>3.9440921997119571E-2</v>
      </c>
      <c r="BJ343" s="67">
        <f t="shared" si="355"/>
        <v>7</v>
      </c>
      <c r="BK343" s="2">
        <v>12000</v>
      </c>
      <c r="BL343" s="2">
        <v>-0.5579578366182768</v>
      </c>
      <c r="BM343" s="77">
        <f t="shared" si="384"/>
        <v>-0.12795783661827681</v>
      </c>
      <c r="BN343" s="77">
        <f t="shared" si="385"/>
        <v>-1</v>
      </c>
      <c r="BO343" s="2" t="str">
        <f t="shared" si="356"/>
        <v/>
      </c>
      <c r="BP343" s="2">
        <f t="shared" si="357"/>
        <v>-0.5579578366182768</v>
      </c>
      <c r="BQ343" s="67">
        <f t="shared" si="386"/>
        <v>7</v>
      </c>
      <c r="BS343" s="75" t="str">
        <f t="shared" si="387"/>
        <v>UF</v>
      </c>
      <c r="BT343" s="75" t="str">
        <f t="shared" si="388"/>
        <v>UF</v>
      </c>
      <c r="BU343" s="5" t="str">
        <f>IF(G351&gt;=36, IF(AND(NOT(ISBLANK(CM:CM)), NOT(ISBLANK(BD:BD))), (CM:CM-BD:BD)/2, ""), "UF")</f>
        <v>UF</v>
      </c>
      <c r="BV343" s="5" t="str">
        <f t="shared" si="358"/>
        <v>UF</v>
      </c>
      <c r="BW343" s="69" t="str">
        <f t="shared" si="359"/>
        <v/>
      </c>
      <c r="BX343" s="2" t="s">
        <v>12</v>
      </c>
      <c r="BZ343" s="74" t="str">
        <f t="shared" si="389"/>
        <v>UF</v>
      </c>
      <c r="CA343" s="74" t="str">
        <f t="shared" si="390"/>
        <v>UF</v>
      </c>
      <c r="CB343" s="5" t="str">
        <f t="shared" si="360"/>
        <v>UF</v>
      </c>
      <c r="CC343" s="5" t="str">
        <f t="shared" si="361"/>
        <v>UF</v>
      </c>
      <c r="CD343" s="2" t="e">
        <f t="shared" si="362"/>
        <v>#VALUE!</v>
      </c>
      <c r="CE343" s="69" t="str">
        <f t="shared" si="363"/>
        <v/>
      </c>
      <c r="CF343" s="5" t="s">
        <v>12</v>
      </c>
      <c r="CH343" s="72" t="str">
        <f t="shared" si="391"/>
        <v>UF</v>
      </c>
      <c r="CI343" s="72" t="str">
        <f t="shared" si="392"/>
        <v>UF</v>
      </c>
      <c r="CJ343" s="5" t="str">
        <f t="shared" si="364"/>
        <v>UF</v>
      </c>
      <c r="CK343" s="5" t="str">
        <f t="shared" si="365"/>
        <v>UF</v>
      </c>
      <c r="CL343" s="69" t="str">
        <f t="shared" si="366"/>
        <v/>
      </c>
      <c r="CN343" s="70" t="str">
        <f t="shared" si="367"/>
        <v/>
      </c>
      <c r="CO343" s="5" t="str">
        <f t="shared" si="368"/>
        <v>UF</v>
      </c>
      <c r="CP343" s="5" t="str">
        <f>IF(G343&lt;48,"UF", IF(NOT(ISBLANK(CM:CM)), CM:CM, IF(BW:BW=1, BV:BV+Sheet2!B523, IF(Sheet1!BW:BW=2, Sheet1!BV:BV+Sheet2!B524, IF(Sheet1!BW:BW=7, Sheet1!BV:BV+Sheet2!B525,"")))))</f>
        <v>UF</v>
      </c>
      <c r="CQ343" s="69" t="str">
        <f t="shared" si="393"/>
        <v/>
      </c>
      <c r="CR343" s="5" t="s">
        <v>12</v>
      </c>
      <c r="CT343" s="5" t="str">
        <f t="shared" si="369"/>
        <v/>
      </c>
      <c r="CU343" s="80" t="str">
        <f t="shared" si="370"/>
        <v>UF</v>
      </c>
      <c r="CV343" s="80" t="str">
        <f t="shared" si="371"/>
        <v>UF</v>
      </c>
      <c r="CW343" s="20" t="str">
        <f>IF(G343&lt;48,"UF", IF(NOT(ISBLANK(CS343)), CS343, IF(CE343=5, CC343+Sheet2!B512, IF(CE343=6, CC343+Sheet2!B513, IF(CE343=7, CC343+Sheet2!B514,"")))))</f>
        <v>UF</v>
      </c>
      <c r="CX343" s="68" t="str">
        <f t="shared" si="394"/>
        <v/>
      </c>
      <c r="CY343" s="5" t="s">
        <v>12</v>
      </c>
      <c r="DA343" s="5" t="str">
        <f t="shared" si="372"/>
        <v>UF</v>
      </c>
      <c r="DB343" s="73" t="str">
        <f t="shared" si="373"/>
        <v>UF</v>
      </c>
      <c r="DC343" s="73" t="str">
        <f t="shared" si="374"/>
        <v>UF</v>
      </c>
      <c r="DD343" s="5" t="str">
        <f>IF(G343&lt;48,"UF", IF(NOT(ISBLANK(CZ:CZ)), CZ:CZ, IF(CL:CL=3, CK:CK+Sheet2!B517, IF(CL:CL=4, CK:CK+Sheet2!B518, IF(CL:CL=7, CK:CK+Sheet2!B519,"")))))</f>
        <v>UF</v>
      </c>
      <c r="DE343" s="69" t="str">
        <f t="shared" si="331"/>
        <v/>
      </c>
      <c r="DF343" s="2">
        <v>1</v>
      </c>
      <c r="DG343" s="2">
        <v>38</v>
      </c>
      <c r="DH343" s="2">
        <v>1</v>
      </c>
      <c r="DI343" s="2">
        <v>2</v>
      </c>
      <c r="DJ343" s="2">
        <v>3</v>
      </c>
      <c r="DK343" s="2">
        <v>90</v>
      </c>
      <c r="DL343" s="2">
        <v>60</v>
      </c>
      <c r="DM343" s="2">
        <v>108</v>
      </c>
      <c r="DN343" s="2">
        <v>62</v>
      </c>
      <c r="DO343" s="2" t="s">
        <v>12</v>
      </c>
      <c r="DP343" s="2" t="s">
        <v>12</v>
      </c>
      <c r="DQ343" s="2">
        <v>2</v>
      </c>
      <c r="DR343" s="2">
        <v>37</v>
      </c>
      <c r="DS343" s="2">
        <v>2</v>
      </c>
      <c r="DT343" s="2">
        <v>81</v>
      </c>
      <c r="DU343" s="2">
        <v>72</v>
      </c>
      <c r="DV343" s="2">
        <v>2</v>
      </c>
      <c r="DW343" s="2">
        <v>3</v>
      </c>
      <c r="DX343" s="2">
        <v>2</v>
      </c>
      <c r="DY343" s="2">
        <v>2</v>
      </c>
      <c r="DZ343" s="2">
        <v>34.5</v>
      </c>
      <c r="EA343" s="2">
        <v>36</v>
      </c>
      <c r="EB343" s="2">
        <v>48</v>
      </c>
      <c r="EC343" s="2">
        <v>1</v>
      </c>
      <c r="ED343" s="2">
        <v>1</v>
      </c>
    </row>
    <row r="344" spans="3:134" x14ac:dyDescent="0.25">
      <c r="C344" s="8" t="s">
        <v>47</v>
      </c>
      <c r="D344" s="4">
        <v>2501052285</v>
      </c>
      <c r="E344" s="2">
        <v>2</v>
      </c>
      <c r="F344" s="2">
        <v>1</v>
      </c>
      <c r="G344" s="2">
        <v>27</v>
      </c>
      <c r="H344" s="2">
        <v>-1.8110790890640389</v>
      </c>
      <c r="I344" s="2">
        <v>48</v>
      </c>
      <c r="J344" s="2">
        <v>-0.61614996855203885</v>
      </c>
      <c r="K344" s="5">
        <v>2600</v>
      </c>
      <c r="L344" s="2">
        <v>-1.473952090495636</v>
      </c>
      <c r="N344" s="2" t="str">
        <f t="shared" si="334"/>
        <v/>
      </c>
      <c r="O344" s="2" t="e">
        <f t="shared" si="335"/>
        <v>#VALUE!</v>
      </c>
      <c r="P344" s="2" t="s">
        <v>12</v>
      </c>
      <c r="R344" s="5" t="str">
        <f t="shared" si="336"/>
        <v/>
      </c>
      <c r="S344" s="5" t="e">
        <f t="shared" si="337"/>
        <v>#VALUE!</v>
      </c>
      <c r="T344" s="1" t="s">
        <v>12</v>
      </c>
      <c r="V344" s="2" t="str">
        <f t="shared" si="338"/>
        <v/>
      </c>
      <c r="W344" s="2" t="e">
        <f t="shared" si="339"/>
        <v>#VALUE!</v>
      </c>
      <c r="Y344" s="76" t="e">
        <f t="shared" si="375"/>
        <v>#VALUE!</v>
      </c>
      <c r="Z344" s="76" t="e">
        <f t="shared" si="376"/>
        <v>#VALUE!</v>
      </c>
      <c r="AA344" s="2" t="e">
        <f t="shared" si="340"/>
        <v>#VALUE!</v>
      </c>
      <c r="AB344" s="2" t="e">
        <f t="shared" si="341"/>
        <v>#VALUE!</v>
      </c>
      <c r="AC344" s="2" t="s">
        <v>12</v>
      </c>
      <c r="AE344" s="79" t="e">
        <f t="shared" si="377"/>
        <v>#VALUE!</v>
      </c>
      <c r="AF344" s="79" t="e">
        <f t="shared" si="378"/>
        <v>#VALUE!</v>
      </c>
      <c r="AG344" s="2" t="e">
        <f t="shared" si="330"/>
        <v>#VALUE!</v>
      </c>
      <c r="AH344" s="2" t="e">
        <f t="shared" si="342"/>
        <v>#VALUE!</v>
      </c>
      <c r="AI344" s="2" t="s">
        <v>12</v>
      </c>
      <c r="AK344" s="76" t="e">
        <f t="shared" si="379"/>
        <v>#VALUE!</v>
      </c>
      <c r="AL344" s="76" t="e">
        <f t="shared" si="380"/>
        <v>#VALUE!</v>
      </c>
      <c r="AM344" s="2" t="e">
        <f t="shared" si="343"/>
        <v>#VALUE!</v>
      </c>
      <c r="AN344" s="2" t="e">
        <f t="shared" si="344"/>
        <v>#VALUE!</v>
      </c>
      <c r="AO344" s="2">
        <v>-0.82499999999999996</v>
      </c>
      <c r="AP344" s="2" t="e">
        <f t="shared" si="345"/>
        <v>#VALUE!</v>
      </c>
      <c r="AQ344" s="2">
        <f t="shared" si="346"/>
        <v>-0.82499999999999996</v>
      </c>
      <c r="AR344" s="2">
        <v>79</v>
      </c>
      <c r="AS344" s="2">
        <v>-0.59</v>
      </c>
      <c r="AT344" s="2" t="e">
        <f t="shared" si="347"/>
        <v>#VALUE!</v>
      </c>
      <c r="AU344" s="2">
        <f t="shared" si="348"/>
        <v>-0.59</v>
      </c>
      <c r="AV344" s="2">
        <v>9150</v>
      </c>
      <c r="AW344" s="2">
        <v>-0.92</v>
      </c>
      <c r="AX344" s="2" t="e">
        <f t="shared" si="349"/>
        <v>#VALUE!</v>
      </c>
      <c r="AY344" s="2">
        <f t="shared" si="350"/>
        <v>-0.92</v>
      </c>
      <c r="AZ344" s="2">
        <v>-1.842091543172887</v>
      </c>
      <c r="BA344" s="78" t="e">
        <f t="shared" si="381"/>
        <v>#VALUE!</v>
      </c>
      <c r="BB344" s="78" t="e">
        <f t="shared" si="382"/>
        <v>#VALUE!</v>
      </c>
      <c r="BC344" s="2" t="str">
        <f t="shared" si="351"/>
        <v/>
      </c>
      <c r="BD344" s="2">
        <f t="shared" si="352"/>
        <v>-1.842091543172887</v>
      </c>
      <c r="BE344" s="67">
        <f t="shared" si="383"/>
        <v>7</v>
      </c>
      <c r="BF344" s="2">
        <v>84</v>
      </c>
      <c r="BG344" s="2">
        <v>-0.40028752883507712</v>
      </c>
      <c r="BH344" s="2" t="str">
        <f t="shared" si="353"/>
        <v/>
      </c>
      <c r="BI344" s="2">
        <f t="shared" si="354"/>
        <v>-0.40028752883507712</v>
      </c>
      <c r="BJ344" s="67">
        <f t="shared" si="355"/>
        <v>7</v>
      </c>
      <c r="BK344" s="2">
        <v>10000</v>
      </c>
      <c r="BL344" s="2">
        <v>-1.9329686227230081</v>
      </c>
      <c r="BM344" s="77" t="e">
        <f t="shared" si="384"/>
        <v>#VALUE!</v>
      </c>
      <c r="BN344" s="77" t="e">
        <f t="shared" si="385"/>
        <v>#VALUE!</v>
      </c>
      <c r="BO344" s="2" t="str">
        <f t="shared" si="356"/>
        <v/>
      </c>
      <c r="BP344" s="2">
        <f t="shared" si="357"/>
        <v>-1.9329686227230081</v>
      </c>
      <c r="BQ344" s="67">
        <f t="shared" si="386"/>
        <v>7</v>
      </c>
      <c r="BS344" s="75" t="str">
        <f t="shared" si="387"/>
        <v>UF</v>
      </c>
      <c r="BT344" s="75" t="str">
        <f t="shared" si="388"/>
        <v>UF</v>
      </c>
      <c r="BU344" s="5" t="str">
        <f>IF(G352&gt;=36, IF(AND(NOT(ISBLANK(CM:CM)), NOT(ISBLANK(BD:BD))), (CM:CM-BD:BD)/2, ""), "UF")</f>
        <v>UF</v>
      </c>
      <c r="BV344" s="5" t="str">
        <f t="shared" si="358"/>
        <v>UF</v>
      </c>
      <c r="BW344" s="69" t="str">
        <f t="shared" si="359"/>
        <v/>
      </c>
      <c r="BX344" s="2" t="s">
        <v>12</v>
      </c>
      <c r="BZ344" s="74" t="str">
        <f t="shared" si="389"/>
        <v>UF</v>
      </c>
      <c r="CA344" s="74" t="str">
        <f t="shared" si="390"/>
        <v>UF</v>
      </c>
      <c r="CB344" s="5" t="str">
        <f t="shared" si="360"/>
        <v>UF</v>
      </c>
      <c r="CC344" s="5" t="str">
        <f t="shared" si="361"/>
        <v>UF</v>
      </c>
      <c r="CD344" s="2" t="e">
        <f t="shared" si="362"/>
        <v>#VALUE!</v>
      </c>
      <c r="CE344" s="69" t="str">
        <f t="shared" si="363"/>
        <v/>
      </c>
      <c r="CF344" s="5" t="s">
        <v>12</v>
      </c>
      <c r="CH344" s="72" t="str">
        <f t="shared" si="391"/>
        <v>UF</v>
      </c>
      <c r="CI344" s="72" t="str">
        <f t="shared" si="392"/>
        <v>UF</v>
      </c>
      <c r="CJ344" s="5" t="str">
        <f t="shared" si="364"/>
        <v>UF</v>
      </c>
      <c r="CK344" s="5" t="str">
        <f t="shared" si="365"/>
        <v>UF</v>
      </c>
      <c r="CL344" s="69" t="str">
        <f t="shared" si="366"/>
        <v/>
      </c>
      <c r="CN344" s="70" t="str">
        <f t="shared" si="367"/>
        <v/>
      </c>
      <c r="CO344" s="5" t="str">
        <f t="shared" si="368"/>
        <v>UF</v>
      </c>
      <c r="CP344" s="5" t="str">
        <f>IF(G344&lt;48,"UF", IF(NOT(ISBLANK(CM:CM)), CM:CM, IF(BW:BW=1, BV:BV+Sheet2!B71, IF(Sheet1!BW:BW=2, Sheet1!BV:BV+Sheet2!B72, IF(Sheet1!BW:BW=7, Sheet1!BV:BV+Sheet2!B73,"")))))</f>
        <v>UF</v>
      </c>
      <c r="CQ344" s="69" t="str">
        <f t="shared" si="393"/>
        <v/>
      </c>
      <c r="CR344" s="5" t="s">
        <v>12</v>
      </c>
      <c r="CT344" s="5" t="str">
        <f t="shared" si="369"/>
        <v/>
      </c>
      <c r="CU344" s="80" t="str">
        <f t="shared" si="370"/>
        <v>UF</v>
      </c>
      <c r="CV344" s="80" t="str">
        <f t="shared" si="371"/>
        <v>UF</v>
      </c>
      <c r="CW344" s="20" t="str">
        <f>IF(G344&lt;48,"UF", IF(NOT(ISBLANK(CS344)), CS344, IF(CE344=5, CC344+Sheet2!B60, IF(CE344=6, CC344+Sheet2!B61, IF(CE344=7, CC344+Sheet2!B62,"")))))</f>
        <v>UF</v>
      </c>
      <c r="CX344" s="68" t="str">
        <f t="shared" si="394"/>
        <v/>
      </c>
      <c r="CY344" s="5" t="s">
        <v>12</v>
      </c>
      <c r="DA344" s="5" t="str">
        <f t="shared" si="372"/>
        <v>UF</v>
      </c>
      <c r="DB344" s="73" t="str">
        <f t="shared" si="373"/>
        <v>UF</v>
      </c>
      <c r="DC344" s="73" t="str">
        <f t="shared" si="374"/>
        <v>UF</v>
      </c>
      <c r="DD344" s="5" t="str">
        <f>IF(G344&lt;48,"UF", IF(NOT(ISBLANK(CZ:CZ)), CZ:CZ, IF(CL:CL=3, CK:CK+Sheet2!B65, IF(CL:CL=4, CK:CK+Sheet2!B66, IF(CL:CL=7, CK:CK+Sheet2!B67,"")))))</f>
        <v>UF</v>
      </c>
      <c r="DE344" s="69" t="str">
        <f t="shared" si="331"/>
        <v/>
      </c>
      <c r="DF344" s="2">
        <v>4</v>
      </c>
      <c r="DG344" s="2">
        <v>26</v>
      </c>
      <c r="DH344" s="2">
        <v>2</v>
      </c>
      <c r="DI344" s="2">
        <v>2</v>
      </c>
      <c r="DJ344" s="2">
        <v>2</v>
      </c>
      <c r="DK344" s="2">
        <v>100</v>
      </c>
      <c r="DL344" s="2">
        <v>60</v>
      </c>
      <c r="DM344" s="2">
        <v>100</v>
      </c>
      <c r="DN344" s="2">
        <v>60</v>
      </c>
      <c r="DO344" s="2">
        <v>100</v>
      </c>
      <c r="DP344" s="2">
        <v>60</v>
      </c>
      <c r="DQ344" s="2">
        <v>2</v>
      </c>
      <c r="DR344" s="2">
        <v>39</v>
      </c>
      <c r="DS344" s="2">
        <v>2</v>
      </c>
      <c r="DT344" s="2">
        <v>76</v>
      </c>
      <c r="DU344" s="2">
        <v>84</v>
      </c>
      <c r="DV344" s="2">
        <v>2</v>
      </c>
      <c r="DW344" s="2">
        <v>3</v>
      </c>
      <c r="DX344" s="2">
        <v>2</v>
      </c>
      <c r="DY344" s="2">
        <v>2</v>
      </c>
      <c r="DZ344" s="2">
        <v>33.5</v>
      </c>
      <c r="EA344" s="2">
        <v>35.5</v>
      </c>
      <c r="EB344" s="2" t="s">
        <v>12</v>
      </c>
      <c r="EC344" s="2">
        <v>1</v>
      </c>
      <c r="ED344" s="2" t="s">
        <v>12</v>
      </c>
    </row>
    <row r="345" spans="3:134" x14ac:dyDescent="0.25">
      <c r="C345" s="8" t="s">
        <v>52</v>
      </c>
      <c r="D345" s="2">
        <v>2501052374</v>
      </c>
      <c r="E345" s="2" t="s">
        <v>539</v>
      </c>
      <c r="F345" s="2">
        <v>2</v>
      </c>
      <c r="G345" s="2">
        <v>28</v>
      </c>
      <c r="H345" s="2">
        <v>-0.48800718488977213</v>
      </c>
      <c r="I345" s="2">
        <v>50</v>
      </c>
      <c r="J345" s="2">
        <v>6.1168777667580831E-2</v>
      </c>
      <c r="K345" s="5">
        <v>3200</v>
      </c>
      <c r="L345" s="2">
        <v>-0.30398057951686752</v>
      </c>
      <c r="M345" s="2">
        <v>-1.5137</v>
      </c>
      <c r="N345" s="2">
        <f t="shared" si="334"/>
        <v>-0.93814640755511403</v>
      </c>
      <c r="O345" s="2">
        <f t="shared" si="335"/>
        <v>-1.5137</v>
      </c>
      <c r="P345" s="2">
        <v>69</v>
      </c>
      <c r="Q345" s="2">
        <v>0.63</v>
      </c>
      <c r="R345" s="5">
        <f t="shared" si="336"/>
        <v>0.2344156111662096</v>
      </c>
      <c r="S345" s="5">
        <f t="shared" si="337"/>
        <v>0.63</v>
      </c>
      <c r="T345" s="1">
        <v>7300</v>
      </c>
      <c r="U345" s="2">
        <v>-0.76</v>
      </c>
      <c r="V345" s="2">
        <f t="shared" si="338"/>
        <v>-0.53300971024156629</v>
      </c>
      <c r="W345" s="2">
        <f t="shared" si="339"/>
        <v>-0.76</v>
      </c>
      <c r="X345" s="2">
        <v>-2.3643000000000001</v>
      </c>
      <c r="Y345" s="76">
        <f t="shared" si="375"/>
        <v>-1.8762928151102281</v>
      </c>
      <c r="Z345" s="76">
        <f t="shared" si="376"/>
        <v>-2</v>
      </c>
      <c r="AA345" s="2">
        <f t="shared" si="340"/>
        <v>-1.21475</v>
      </c>
      <c r="AB345" s="2">
        <f t="shared" si="341"/>
        <v>-2.3643000000000001</v>
      </c>
      <c r="AC345" s="2">
        <v>77</v>
      </c>
      <c r="AD345" s="2">
        <v>0.53</v>
      </c>
      <c r="AE345" s="79">
        <f t="shared" si="377"/>
        <v>0.4688312223324192</v>
      </c>
      <c r="AF345" s="79">
        <f t="shared" si="378"/>
        <v>1</v>
      </c>
      <c r="AG345" s="2">
        <f t="shared" si="330"/>
        <v>-0.18</v>
      </c>
      <c r="AH345" s="2">
        <f t="shared" si="342"/>
        <v>0.53</v>
      </c>
      <c r="AI345" s="2">
        <v>8300</v>
      </c>
      <c r="AJ345" s="2">
        <v>-1.37</v>
      </c>
      <c r="AK345" s="76">
        <f t="shared" si="379"/>
        <v>-1.0660194204831326</v>
      </c>
      <c r="AL345" s="76">
        <f t="shared" si="380"/>
        <v>-2</v>
      </c>
      <c r="AM345" s="2">
        <f t="shared" si="343"/>
        <v>-0.16000000000000003</v>
      </c>
      <c r="AN345" s="2">
        <f t="shared" si="344"/>
        <v>-1.37</v>
      </c>
      <c r="AO345" s="2">
        <v>-1.7995000000000001</v>
      </c>
      <c r="AP345" s="2">
        <f t="shared" si="345"/>
        <v>-2.5435324546998745</v>
      </c>
      <c r="AQ345" s="2">
        <f t="shared" si="346"/>
        <v>-1.7995000000000001</v>
      </c>
      <c r="AR345" s="2">
        <v>83</v>
      </c>
      <c r="AS345" s="2">
        <v>0.27</v>
      </c>
      <c r="AT345" s="2">
        <f t="shared" si="347"/>
        <v>1.1802826635703951</v>
      </c>
      <c r="AU345" s="2">
        <f t="shared" si="348"/>
        <v>0.27</v>
      </c>
      <c r="AV345" s="2">
        <v>9700</v>
      </c>
      <c r="AW345" s="2">
        <v>-1.08</v>
      </c>
      <c r="AX345" s="2">
        <f t="shared" si="349"/>
        <v>-0.22842284320353545</v>
      </c>
      <c r="AY345" s="2">
        <f t="shared" si="350"/>
        <v>-1.08</v>
      </c>
      <c r="AZ345" s="2">
        <v>-7.4513649093997492</v>
      </c>
      <c r="BA345" s="78">
        <f t="shared" si="381"/>
        <v>-5.0870649093997491</v>
      </c>
      <c r="BB345" s="78">
        <f t="shared" si="382"/>
        <v>-2</v>
      </c>
      <c r="BC345" s="2" t="str">
        <f t="shared" si="351"/>
        <v/>
      </c>
      <c r="BD345" s="2">
        <f t="shared" si="352"/>
        <v>-7.4513649093997492</v>
      </c>
      <c r="BE345" s="67">
        <f t="shared" si="383"/>
        <v>1</v>
      </c>
      <c r="BF345" s="2">
        <v>97</v>
      </c>
      <c r="BG345" s="2">
        <v>2.8905653271407901</v>
      </c>
      <c r="BH345" s="2" t="str">
        <f t="shared" si="353"/>
        <v/>
      </c>
      <c r="BI345" s="2">
        <f t="shared" si="354"/>
        <v>2.8905653271407901</v>
      </c>
      <c r="BJ345" s="67" t="str">
        <f t="shared" si="355"/>
        <v/>
      </c>
      <c r="BK345" s="2">
        <v>10500</v>
      </c>
      <c r="BL345" s="2">
        <v>-1.826845686407071</v>
      </c>
      <c r="BM345" s="77">
        <f t="shared" si="384"/>
        <v>-0.45684568640707091</v>
      </c>
      <c r="BN345" s="77">
        <f t="shared" si="385"/>
        <v>-1</v>
      </c>
      <c r="BO345" s="2" t="str">
        <f t="shared" si="356"/>
        <v/>
      </c>
      <c r="BP345" s="2">
        <f t="shared" si="357"/>
        <v>-1.826845686407071</v>
      </c>
      <c r="BQ345" s="67">
        <f t="shared" si="386"/>
        <v>7</v>
      </c>
      <c r="BS345" s="75" t="str">
        <f t="shared" si="387"/>
        <v>UF</v>
      </c>
      <c r="BT345" s="75" t="str">
        <f t="shared" si="388"/>
        <v>UF</v>
      </c>
      <c r="BU345" s="5" t="e">
        <f>IF(#REF!&gt;=36, IF(AND(NOT(ISBLANK(CM:CM)), NOT(ISBLANK(BD:BD))), (CM:CM-BD:BD)/2, ""), "UF")</f>
        <v>#REF!</v>
      </c>
      <c r="BV345" s="5" t="str">
        <f t="shared" si="358"/>
        <v>UF</v>
      </c>
      <c r="BW345" s="69" t="str">
        <f t="shared" si="359"/>
        <v/>
      </c>
      <c r="BX345" s="2" t="s">
        <v>12</v>
      </c>
      <c r="BZ345" s="74" t="str">
        <f t="shared" si="389"/>
        <v>UF</v>
      </c>
      <c r="CA345" s="74" t="str">
        <f t="shared" si="390"/>
        <v>UF</v>
      </c>
      <c r="CB345" s="5" t="str">
        <f t="shared" si="360"/>
        <v>UF</v>
      </c>
      <c r="CC345" s="5" t="str">
        <f t="shared" si="361"/>
        <v>UF</v>
      </c>
      <c r="CD345" s="2" t="e">
        <f t="shared" si="362"/>
        <v>#VALUE!</v>
      </c>
      <c r="CE345" s="69" t="str">
        <f t="shared" si="363"/>
        <v/>
      </c>
      <c r="CF345" s="5" t="s">
        <v>12</v>
      </c>
      <c r="CH345" s="72" t="str">
        <f t="shared" si="391"/>
        <v>UF</v>
      </c>
      <c r="CI345" s="72" t="str">
        <f t="shared" si="392"/>
        <v>UF</v>
      </c>
      <c r="CJ345" s="5" t="str">
        <f t="shared" si="364"/>
        <v>UF</v>
      </c>
      <c r="CK345" s="5" t="str">
        <f t="shared" si="365"/>
        <v>UF</v>
      </c>
      <c r="CL345" s="69" t="str">
        <f t="shared" si="366"/>
        <v/>
      </c>
      <c r="CN345" s="70" t="str">
        <f t="shared" si="367"/>
        <v/>
      </c>
      <c r="CO345" s="5" t="str">
        <f t="shared" si="368"/>
        <v>UF</v>
      </c>
      <c r="CP345" s="5" t="str">
        <f>IF(G345&lt;48,"UF", IF(NOT(ISBLANK(CM:CM)), CM:CM, IF(BW:BW=1, BV:BV+Sheet2!B75, IF(Sheet1!BW:BW=2, Sheet1!BV:BV+Sheet2!B76, IF(Sheet1!BW:BW=7, Sheet1!BV:BV+Sheet2!B77,"")))))</f>
        <v>UF</v>
      </c>
      <c r="CQ345" s="69" t="str">
        <f t="shared" si="393"/>
        <v/>
      </c>
      <c r="CR345" s="5" t="s">
        <v>12</v>
      </c>
      <c r="CT345" s="5" t="str">
        <f t="shared" si="369"/>
        <v/>
      </c>
      <c r="CU345" s="80" t="str">
        <f t="shared" si="370"/>
        <v>UF</v>
      </c>
      <c r="CV345" s="80" t="str">
        <f t="shared" si="371"/>
        <v>UF</v>
      </c>
      <c r="CW345" s="20" t="str">
        <f>IF(G345&lt;48,"UF", IF(NOT(ISBLANK(CS345)), CS345, IF(CE345=5, CC345+Sheet2!B64, IF(CE345=6, CC345+Sheet2!B65, IF(CE345=7, CC345+Sheet2!B66,"")))))</f>
        <v>UF</v>
      </c>
      <c r="CX345" s="68" t="str">
        <f t="shared" si="394"/>
        <v/>
      </c>
      <c r="CY345" s="5" t="s">
        <v>12</v>
      </c>
      <c r="DA345" s="5" t="str">
        <f t="shared" si="372"/>
        <v>UF</v>
      </c>
      <c r="DB345" s="73" t="str">
        <f t="shared" si="373"/>
        <v>UF</v>
      </c>
      <c r="DC345" s="73" t="str">
        <f t="shared" si="374"/>
        <v>UF</v>
      </c>
      <c r="DD345" s="5" t="str">
        <f>IF(G345&lt;48,"UF", IF(NOT(ISBLANK(CZ:CZ)), CZ:CZ, IF(CL:CL=3, CK:CK+Sheet2!B69, IF(CL:CL=4, CK:CK+Sheet2!B70, IF(CL:CL=7, CK:CK+Sheet2!B71,"")))))</f>
        <v>UF</v>
      </c>
      <c r="DE345" s="69" t="str">
        <f t="shared" si="331"/>
        <v/>
      </c>
      <c r="DF345" s="2">
        <v>2</v>
      </c>
      <c r="DG345" s="2">
        <v>30</v>
      </c>
      <c r="DH345" s="2">
        <v>2</v>
      </c>
      <c r="DI345" s="2">
        <v>2</v>
      </c>
      <c r="DJ345" s="2">
        <v>2</v>
      </c>
      <c r="DK345" s="2">
        <v>120</v>
      </c>
      <c r="DL345" s="2">
        <v>80</v>
      </c>
      <c r="DM345" s="2">
        <v>110</v>
      </c>
      <c r="DN345" s="2">
        <v>70</v>
      </c>
      <c r="DO345" s="2">
        <v>110</v>
      </c>
      <c r="DP345" s="2">
        <v>60</v>
      </c>
      <c r="DQ345" s="2">
        <v>2</v>
      </c>
      <c r="DR345" s="2">
        <v>40</v>
      </c>
      <c r="DS345" s="2">
        <v>2</v>
      </c>
      <c r="DT345" s="2">
        <v>80</v>
      </c>
      <c r="DU345" s="2">
        <v>79</v>
      </c>
      <c r="DV345" s="2">
        <v>4</v>
      </c>
      <c r="DW345" s="2">
        <v>4</v>
      </c>
      <c r="DX345" s="2">
        <v>2</v>
      </c>
      <c r="DY345" s="2">
        <v>1</v>
      </c>
      <c r="DZ345" s="2">
        <v>33</v>
      </c>
      <c r="EA345" s="2">
        <v>34</v>
      </c>
      <c r="EB345" s="2">
        <v>47</v>
      </c>
      <c r="EC345" s="2">
        <v>1</v>
      </c>
      <c r="ED345" s="2">
        <v>1</v>
      </c>
    </row>
    <row r="346" spans="3:134" x14ac:dyDescent="0.25">
      <c r="C346" s="8" t="s">
        <v>65</v>
      </c>
      <c r="D346" s="8">
        <v>2501052528</v>
      </c>
      <c r="E346" s="5">
        <v>7</v>
      </c>
      <c r="F346" s="2">
        <v>2</v>
      </c>
      <c r="G346" s="2">
        <v>27</v>
      </c>
      <c r="H346" s="2">
        <v>1.9818783708564749</v>
      </c>
      <c r="I346" s="2">
        <v>45</v>
      </c>
      <c r="J346" s="2">
        <v>-2.5799940983522691</v>
      </c>
      <c r="K346" s="2">
        <v>3300</v>
      </c>
      <c r="L346" s="2">
        <v>-9.5389291214910729E-2</v>
      </c>
      <c r="M346" s="2">
        <v>-0.8579</v>
      </c>
      <c r="N346" s="2" t="str">
        <f t="shared" si="334"/>
        <v/>
      </c>
      <c r="O346" s="2">
        <f t="shared" si="335"/>
        <v>-0.8579</v>
      </c>
      <c r="P346" s="2">
        <v>71</v>
      </c>
      <c r="Q346" s="2">
        <v>1.57</v>
      </c>
      <c r="R346" s="5" t="str">
        <f t="shared" si="336"/>
        <v/>
      </c>
      <c r="S346" s="5">
        <f t="shared" si="337"/>
        <v>1.57</v>
      </c>
      <c r="T346" s="2">
        <v>8150</v>
      </c>
      <c r="U346" s="2">
        <v>0.24</v>
      </c>
      <c r="V346" s="2" t="str">
        <f t="shared" si="338"/>
        <v/>
      </c>
      <c r="W346" s="2">
        <f t="shared" si="339"/>
        <v>0.24</v>
      </c>
      <c r="Y346" s="76">
        <f t="shared" si="375"/>
        <v>-3.9060283708564749</v>
      </c>
      <c r="Z346" s="76">
        <f t="shared" si="376"/>
        <v>-2</v>
      </c>
      <c r="AA346" s="2">
        <f t="shared" si="340"/>
        <v>-1.0662500000000001</v>
      </c>
      <c r="AB346" s="2">
        <f t="shared" si="341"/>
        <v>-1.92415</v>
      </c>
      <c r="AC346" s="2" t="s">
        <v>12</v>
      </c>
      <c r="AE346" s="79">
        <f t="shared" si="377"/>
        <v>3.6849940983522691</v>
      </c>
      <c r="AF346" s="79">
        <f t="shared" si="378"/>
        <v>2</v>
      </c>
      <c r="AG346" s="2">
        <f t="shared" si="330"/>
        <v>-0.46500000000000002</v>
      </c>
      <c r="AH346" s="2">
        <f t="shared" si="342"/>
        <v>1.105</v>
      </c>
      <c r="AI346" s="2" t="s">
        <v>12</v>
      </c>
      <c r="AK346" s="76">
        <f t="shared" si="379"/>
        <v>0.20038929121491073</v>
      </c>
      <c r="AL346" s="76">
        <f t="shared" si="380"/>
        <v>1</v>
      </c>
      <c r="AM346" s="2">
        <f t="shared" si="343"/>
        <v>-0.13500000000000001</v>
      </c>
      <c r="AN346" s="2">
        <f t="shared" si="344"/>
        <v>0.10499999999999998</v>
      </c>
      <c r="AO346" s="2">
        <v>-0.5625</v>
      </c>
      <c r="AP346" s="2">
        <f t="shared" si="345"/>
        <v>0.33304244661367055</v>
      </c>
      <c r="AQ346" s="2">
        <f t="shared" si="346"/>
        <v>-0.5625</v>
      </c>
      <c r="AR346" s="2">
        <v>84</v>
      </c>
      <c r="AS346" s="2">
        <v>0.64</v>
      </c>
      <c r="AT346" s="2">
        <f t="shared" si="347"/>
        <v>3.7310762098644035E-2</v>
      </c>
      <c r="AU346" s="2">
        <f t="shared" si="348"/>
        <v>0.64</v>
      </c>
      <c r="AV346" s="2">
        <v>10900</v>
      </c>
      <c r="AW346" s="2">
        <v>-0.03</v>
      </c>
      <c r="AX346" s="2">
        <f t="shared" si="349"/>
        <v>-0.14115491619059223</v>
      </c>
      <c r="AY346" s="2">
        <f t="shared" si="350"/>
        <v>-0.03</v>
      </c>
      <c r="AZ346" s="2">
        <v>-1.2580651067726589</v>
      </c>
      <c r="BA346" s="78">
        <f t="shared" si="381"/>
        <v>0.6660848932273411</v>
      </c>
      <c r="BB346" s="78">
        <f t="shared" si="382"/>
        <v>1</v>
      </c>
      <c r="BC346" s="2" t="str">
        <f t="shared" si="351"/>
        <v/>
      </c>
      <c r="BD346" s="2">
        <f t="shared" si="352"/>
        <v>-1.2580651067726589</v>
      </c>
      <c r="BE346" s="67">
        <f t="shared" si="383"/>
        <v>7</v>
      </c>
      <c r="BF346" s="2">
        <v>91</v>
      </c>
      <c r="BG346" s="2">
        <v>1.1796215241972881</v>
      </c>
      <c r="BH346" s="2" t="str">
        <f t="shared" si="353"/>
        <v/>
      </c>
      <c r="BI346" s="2">
        <f t="shared" si="354"/>
        <v>1.1796215241972881</v>
      </c>
      <c r="BJ346" s="67">
        <f t="shared" si="355"/>
        <v>7</v>
      </c>
      <c r="BK346" s="2">
        <v>12500</v>
      </c>
      <c r="BL346" s="2">
        <v>-0.1773098323811845</v>
      </c>
      <c r="BM346" s="77">
        <f t="shared" si="384"/>
        <v>-0.28230983238118446</v>
      </c>
      <c r="BN346" s="77">
        <f t="shared" si="385"/>
        <v>-1</v>
      </c>
      <c r="BO346" s="2" t="str">
        <f t="shared" si="356"/>
        <v/>
      </c>
      <c r="BP346" s="2">
        <f t="shared" si="357"/>
        <v>-0.1773098323811845</v>
      </c>
      <c r="BQ346" s="67">
        <f t="shared" si="386"/>
        <v>7</v>
      </c>
      <c r="BS346" s="75" t="str">
        <f t="shared" si="387"/>
        <v>UF</v>
      </c>
      <c r="BT346" s="75" t="str">
        <f t="shared" si="388"/>
        <v>UF</v>
      </c>
      <c r="BU346" s="5" t="e">
        <f>IF(#REF!&gt;=36, IF(AND(NOT(ISBLANK(CM:CM)), NOT(ISBLANK(BD:BD))), (CM:CM-BD:BD)/2, ""), "UF")</f>
        <v>#REF!</v>
      </c>
      <c r="BV346" s="5" t="str">
        <f t="shared" si="358"/>
        <v>UF</v>
      </c>
      <c r="BW346" s="69" t="str">
        <f t="shared" si="359"/>
        <v/>
      </c>
      <c r="BX346" s="2" t="s">
        <v>12</v>
      </c>
      <c r="BZ346" s="74" t="str">
        <f t="shared" si="389"/>
        <v>UF</v>
      </c>
      <c r="CA346" s="74" t="str">
        <f t="shared" si="390"/>
        <v>UF</v>
      </c>
      <c r="CB346" s="5" t="str">
        <f t="shared" si="360"/>
        <v>UF</v>
      </c>
      <c r="CC346" s="5" t="str">
        <f t="shared" si="361"/>
        <v>UF</v>
      </c>
      <c r="CD346" s="2" t="e">
        <f t="shared" si="362"/>
        <v>#VALUE!</v>
      </c>
      <c r="CE346" s="69" t="str">
        <f t="shared" si="363"/>
        <v/>
      </c>
      <c r="CF346" s="5" t="s">
        <v>12</v>
      </c>
      <c r="CH346" s="72" t="str">
        <f t="shared" si="391"/>
        <v>UF</v>
      </c>
      <c r="CI346" s="72" t="str">
        <f t="shared" si="392"/>
        <v>UF</v>
      </c>
      <c r="CJ346" s="5" t="str">
        <f t="shared" si="364"/>
        <v>UF</v>
      </c>
      <c r="CK346" s="5" t="str">
        <f t="shared" si="365"/>
        <v>UF</v>
      </c>
      <c r="CL346" s="69" t="str">
        <f t="shared" si="366"/>
        <v/>
      </c>
      <c r="CN346" s="70" t="str">
        <f t="shared" si="367"/>
        <v/>
      </c>
      <c r="CO346" s="5" t="str">
        <f t="shared" si="368"/>
        <v>UF</v>
      </c>
      <c r="CP346" s="5" t="str">
        <f>IF(G346&lt;48,"UF", IF(NOT(ISBLANK(CM:CM)), CM:CM, IF(BW:BW=1, BV:BV+Sheet2!B468, IF(Sheet1!BW:BW=2, Sheet1!BV:BV+Sheet2!B469, IF(Sheet1!BW:BW=7, Sheet1!BV:BV+Sheet2!B470,"")))))</f>
        <v>UF</v>
      </c>
      <c r="CQ346" s="69" t="str">
        <f t="shared" si="393"/>
        <v/>
      </c>
      <c r="CR346" s="5" t="s">
        <v>12</v>
      </c>
      <c r="CT346" s="5" t="str">
        <f t="shared" si="369"/>
        <v/>
      </c>
      <c r="CU346" s="80" t="str">
        <f t="shared" si="370"/>
        <v>UF</v>
      </c>
      <c r="CV346" s="80" t="str">
        <f t="shared" si="371"/>
        <v>UF</v>
      </c>
      <c r="CW346" s="20" t="str">
        <f>IF(G346&lt;48,"UF", IF(NOT(ISBLANK(CS346)), CS346, IF(CE346=5, CC346+Sheet2!B457, IF(CE346=6, CC346+Sheet2!B458, IF(CE346=7, CC346+Sheet2!B459,"")))))</f>
        <v>UF</v>
      </c>
      <c r="CX346" s="68" t="str">
        <f t="shared" si="394"/>
        <v/>
      </c>
      <c r="CY346" s="5" t="s">
        <v>12</v>
      </c>
      <c r="DA346" s="5" t="str">
        <f t="shared" si="372"/>
        <v>UF</v>
      </c>
      <c r="DB346" s="73" t="str">
        <f t="shared" si="373"/>
        <v>UF</v>
      </c>
      <c r="DC346" s="73" t="str">
        <f t="shared" si="374"/>
        <v>UF</v>
      </c>
      <c r="DD346" s="5" t="str">
        <f>IF(G346&lt;48,"UF", IF(NOT(ISBLANK(CZ:CZ)), CZ:CZ, IF(CL:CL=3, CK:CK+Sheet2!B462, IF(CL:CL=4, CK:CK+Sheet2!B463, IF(CL:CL=7, CK:CK+Sheet2!B464,"")))))</f>
        <v>UF</v>
      </c>
      <c r="DE346" s="69" t="str">
        <f t="shared" si="331"/>
        <v/>
      </c>
      <c r="DF346" s="2">
        <v>1</v>
      </c>
      <c r="DG346" s="2">
        <v>23</v>
      </c>
      <c r="DH346" s="2">
        <v>1</v>
      </c>
      <c r="DI346" s="2">
        <v>2</v>
      </c>
      <c r="DJ346" s="2">
        <v>2</v>
      </c>
      <c r="DK346" s="2">
        <v>110</v>
      </c>
      <c r="DL346" s="2">
        <v>60</v>
      </c>
      <c r="DM346" s="2">
        <v>100</v>
      </c>
      <c r="DN346" s="2">
        <v>60</v>
      </c>
      <c r="DO346" s="2">
        <v>115</v>
      </c>
      <c r="DP346" s="2">
        <v>60</v>
      </c>
      <c r="DQ346" s="2">
        <v>2</v>
      </c>
      <c r="DR346" s="2">
        <v>38</v>
      </c>
      <c r="DS346" s="2">
        <v>2</v>
      </c>
      <c r="DT346" s="2">
        <v>82</v>
      </c>
      <c r="DU346" s="2">
        <v>73</v>
      </c>
      <c r="DV346" s="2">
        <v>2</v>
      </c>
      <c r="DW346" s="2">
        <v>2</v>
      </c>
      <c r="DX346" s="2">
        <v>2</v>
      </c>
      <c r="DY346" s="2">
        <v>2</v>
      </c>
      <c r="DZ346" s="2">
        <v>34</v>
      </c>
      <c r="EA346" s="2">
        <v>35.1</v>
      </c>
      <c r="EB346" s="2">
        <v>47.5</v>
      </c>
      <c r="EC346" s="2">
        <v>1</v>
      </c>
      <c r="ED346" s="2">
        <v>1</v>
      </c>
    </row>
    <row r="347" spans="3:134" x14ac:dyDescent="0.25">
      <c r="C347" s="5" t="s">
        <v>65</v>
      </c>
      <c r="D347" s="2">
        <v>2501052595</v>
      </c>
      <c r="E347" s="2">
        <v>2</v>
      </c>
      <c r="F347" s="2">
        <v>2</v>
      </c>
      <c r="G347" s="2">
        <v>29</v>
      </c>
      <c r="H347" s="2">
        <v>-1.978945895611143</v>
      </c>
      <c r="I347" s="2">
        <v>48</v>
      </c>
      <c r="J347" s="2">
        <v>-0.99529637274036198</v>
      </c>
      <c r="K347" s="5">
        <v>2570</v>
      </c>
      <c r="L347" s="2">
        <v>-1.727119813260577</v>
      </c>
      <c r="M347" s="2">
        <v>-2.0465</v>
      </c>
      <c r="N347" s="2">
        <f t="shared" si="334"/>
        <v>-0.20612705219442851</v>
      </c>
      <c r="O347" s="2">
        <f t="shared" si="335"/>
        <v>-2.0465</v>
      </c>
      <c r="P347" s="2">
        <v>66</v>
      </c>
      <c r="Q347" s="2">
        <v>-0.77</v>
      </c>
      <c r="R347" s="5">
        <f t="shared" si="336"/>
        <v>0.97264818637018102</v>
      </c>
      <c r="S347" s="5">
        <f t="shared" si="337"/>
        <v>-0.77</v>
      </c>
      <c r="T347" s="1">
        <v>6400</v>
      </c>
      <c r="U347" s="2">
        <v>-1.94</v>
      </c>
      <c r="V347" s="2">
        <f t="shared" si="338"/>
        <v>0.28855990663028852</v>
      </c>
      <c r="W347" s="2">
        <f t="shared" si="339"/>
        <v>-1.94</v>
      </c>
      <c r="X347" s="2">
        <v>-2.3912</v>
      </c>
      <c r="Y347" s="76">
        <f t="shared" si="375"/>
        <v>-0.41225410438885701</v>
      </c>
      <c r="Z347" s="76">
        <f t="shared" si="376"/>
        <v>-1</v>
      </c>
      <c r="AA347" s="2">
        <f t="shared" si="340"/>
        <v>-0.7125999999999999</v>
      </c>
      <c r="AB347" s="2">
        <f t="shared" si="341"/>
        <v>-2.3912</v>
      </c>
      <c r="AC347" s="2">
        <v>78</v>
      </c>
      <c r="AD347" s="2">
        <v>0.95</v>
      </c>
      <c r="AE347" s="79">
        <f t="shared" si="377"/>
        <v>1.945296372740362</v>
      </c>
      <c r="AF347" s="79">
        <f t="shared" si="378"/>
        <v>2</v>
      </c>
      <c r="AG347" s="2">
        <f t="shared" si="330"/>
        <v>0.33500000000000002</v>
      </c>
      <c r="AH347" s="2">
        <f t="shared" si="342"/>
        <v>0.95</v>
      </c>
      <c r="AI347" s="2">
        <v>8500</v>
      </c>
      <c r="AJ347" s="2">
        <v>-1.1499999999999999</v>
      </c>
      <c r="AK347" s="76">
        <f t="shared" si="379"/>
        <v>0.57711981326057704</v>
      </c>
      <c r="AL347" s="76">
        <f t="shared" si="380"/>
        <v>1</v>
      </c>
      <c r="AM347" s="2">
        <f t="shared" si="343"/>
        <v>0.19499999999999995</v>
      </c>
      <c r="AN347" s="2">
        <f t="shared" si="344"/>
        <v>-1.1499999999999999</v>
      </c>
      <c r="AO347" s="2">
        <v>-2.1951999999999998</v>
      </c>
      <c r="AP347" s="2">
        <f t="shared" si="345"/>
        <v>-8.7422754560152027E-2</v>
      </c>
      <c r="AQ347" s="2">
        <f t="shared" si="346"/>
        <v>-2.1951999999999998</v>
      </c>
      <c r="AR347" s="2">
        <v>82</v>
      </c>
      <c r="AS347" s="2">
        <v>-0.1</v>
      </c>
      <c r="AT347" s="2">
        <f t="shared" si="347"/>
        <v>-0.59777292729072518</v>
      </c>
      <c r="AU347" s="2">
        <f t="shared" si="348"/>
        <v>-0.1</v>
      </c>
      <c r="AV347" s="2">
        <v>9200</v>
      </c>
      <c r="AW347" s="2">
        <v>-1.55</v>
      </c>
      <c r="AX347" s="2">
        <f t="shared" si="349"/>
        <v>-0.43131667479381952</v>
      </c>
      <c r="AY347" s="2">
        <f t="shared" si="350"/>
        <v>-1.55</v>
      </c>
      <c r="AZ347" s="2">
        <v>-2.566045509120304</v>
      </c>
      <c r="BA347" s="78">
        <f t="shared" si="381"/>
        <v>-0.17484550912030405</v>
      </c>
      <c r="BB347" s="78">
        <f t="shared" si="382"/>
        <v>-1</v>
      </c>
      <c r="BC347" s="2" t="str">
        <f t="shared" si="351"/>
        <v/>
      </c>
      <c r="BD347" s="2">
        <f t="shared" si="352"/>
        <v>-2.566045509120304</v>
      </c>
      <c r="BE347" s="67">
        <f t="shared" si="383"/>
        <v>2</v>
      </c>
      <c r="BF347" s="2">
        <v>86</v>
      </c>
      <c r="BG347" s="2">
        <v>-0.24554585458145031</v>
      </c>
      <c r="BH347" s="2" t="str">
        <f t="shared" si="353"/>
        <v/>
      </c>
      <c r="BI347" s="2">
        <f t="shared" si="354"/>
        <v>-0.24554585458145031</v>
      </c>
      <c r="BJ347" s="67">
        <f t="shared" si="355"/>
        <v>7</v>
      </c>
      <c r="BK347" s="2">
        <v>10300</v>
      </c>
      <c r="BL347" s="2">
        <v>-2.012633349587639</v>
      </c>
      <c r="BM347" s="77">
        <f t="shared" si="384"/>
        <v>-0.86263334958763904</v>
      </c>
      <c r="BN347" s="77">
        <f t="shared" si="385"/>
        <v>-2</v>
      </c>
      <c r="BO347" s="2" t="str">
        <f t="shared" si="356"/>
        <v/>
      </c>
      <c r="BP347" s="2">
        <f t="shared" si="357"/>
        <v>-2.012633349587639</v>
      </c>
      <c r="BQ347" s="67">
        <f t="shared" si="386"/>
        <v>4</v>
      </c>
      <c r="BS347" s="75" t="str">
        <f t="shared" si="387"/>
        <v>UF</v>
      </c>
      <c r="BT347" s="75" t="str">
        <f t="shared" si="388"/>
        <v>UF</v>
      </c>
      <c r="BU347" s="5" t="e">
        <f>IF(#REF!&gt;=36, IF(AND(NOT(ISBLANK(CM:CM)), NOT(ISBLANK(BD:BD))), (CM:CM-BD:BD)/2, ""), "UF")</f>
        <v>#REF!</v>
      </c>
      <c r="BV347" s="5" t="str">
        <f t="shared" si="358"/>
        <v>UF</v>
      </c>
      <c r="BW347" s="69" t="str">
        <f t="shared" si="359"/>
        <v/>
      </c>
      <c r="BX347" s="2" t="s">
        <v>12</v>
      </c>
      <c r="BZ347" s="74" t="str">
        <f t="shared" si="389"/>
        <v>UF</v>
      </c>
      <c r="CA347" s="74" t="str">
        <f t="shared" si="390"/>
        <v>UF</v>
      </c>
      <c r="CB347" s="5" t="str">
        <f t="shared" si="360"/>
        <v>UF</v>
      </c>
      <c r="CC347" s="5" t="str">
        <f t="shared" si="361"/>
        <v>UF</v>
      </c>
      <c r="CD347" s="2" t="e">
        <f t="shared" si="362"/>
        <v>#VALUE!</v>
      </c>
      <c r="CE347" s="69" t="str">
        <f t="shared" si="363"/>
        <v/>
      </c>
      <c r="CF347" s="5" t="s">
        <v>12</v>
      </c>
      <c r="CH347" s="72" t="str">
        <f t="shared" si="391"/>
        <v>UF</v>
      </c>
      <c r="CI347" s="72" t="str">
        <f t="shared" si="392"/>
        <v>UF</v>
      </c>
      <c r="CJ347" s="5" t="str">
        <f t="shared" si="364"/>
        <v>UF</v>
      </c>
      <c r="CK347" s="5" t="str">
        <f t="shared" si="365"/>
        <v>UF</v>
      </c>
      <c r="CL347" s="69" t="str">
        <f t="shared" si="366"/>
        <v/>
      </c>
      <c r="CN347" s="70" t="str">
        <f t="shared" si="367"/>
        <v/>
      </c>
      <c r="CO347" s="5" t="str">
        <f t="shared" si="368"/>
        <v>UF</v>
      </c>
      <c r="CP347" s="5" t="str">
        <f>IF(G347&lt;48,"UF", IF(NOT(ISBLANK(CM:CM)), CM:CM, IF(BW:BW=1, BV:BV+Sheet2!B87, IF(Sheet1!BW:BW=2, Sheet1!BV:BV+Sheet2!B88, IF(Sheet1!BW:BW=7, Sheet1!BV:BV+Sheet2!B89,"")))))</f>
        <v>UF</v>
      </c>
      <c r="CQ347" s="69" t="str">
        <f t="shared" si="393"/>
        <v/>
      </c>
      <c r="CR347" s="5" t="s">
        <v>12</v>
      </c>
      <c r="CT347" s="5" t="str">
        <f t="shared" si="369"/>
        <v/>
      </c>
      <c r="CU347" s="80" t="str">
        <f t="shared" si="370"/>
        <v>UF</v>
      </c>
      <c r="CV347" s="80" t="str">
        <f t="shared" si="371"/>
        <v>UF</v>
      </c>
      <c r="CW347" s="20" t="str">
        <f>IF(G347&lt;48,"UF", IF(NOT(ISBLANK(CS347)), CS347, IF(CE347=5, CC347+Sheet2!B76, IF(CE347=6, CC347+Sheet2!B77, IF(CE347=7, CC347+Sheet2!B78,"")))))</f>
        <v>UF</v>
      </c>
      <c r="CX347" s="68" t="str">
        <f t="shared" si="394"/>
        <v/>
      </c>
      <c r="CY347" s="5" t="s">
        <v>12</v>
      </c>
      <c r="DA347" s="5" t="str">
        <f t="shared" si="372"/>
        <v>UF</v>
      </c>
      <c r="DB347" s="73" t="str">
        <f t="shared" si="373"/>
        <v>UF</v>
      </c>
      <c r="DC347" s="73" t="str">
        <f t="shared" si="374"/>
        <v>UF</v>
      </c>
      <c r="DD347" s="5" t="str">
        <f>IF(G347&lt;48,"UF", IF(NOT(ISBLANK(CZ:CZ)), CZ:CZ, IF(CL:CL=3, CK:CK+Sheet2!B81, IF(CL:CL=4, CK:CK+Sheet2!B82, IF(CL:CL=7, CK:CK+Sheet2!B83,"")))))</f>
        <v>UF</v>
      </c>
      <c r="DE347" s="69" t="str">
        <f t="shared" si="331"/>
        <v/>
      </c>
      <c r="DF347" s="2">
        <v>2</v>
      </c>
      <c r="DG347" s="2">
        <v>35</v>
      </c>
      <c r="DH347" s="2">
        <v>2</v>
      </c>
      <c r="DI347" s="2">
        <v>2</v>
      </c>
      <c r="DJ347" s="2">
        <v>2</v>
      </c>
      <c r="DK347" s="2">
        <v>110</v>
      </c>
      <c r="DL347" s="2">
        <v>70</v>
      </c>
      <c r="DM347" s="2">
        <v>120</v>
      </c>
      <c r="DN347" s="2">
        <v>70</v>
      </c>
      <c r="DO347" s="2">
        <v>115</v>
      </c>
      <c r="DP347" s="2">
        <v>70</v>
      </c>
      <c r="DQ347" s="2">
        <v>2</v>
      </c>
      <c r="DR347" s="2">
        <v>37</v>
      </c>
      <c r="DS347" s="2">
        <v>2</v>
      </c>
      <c r="DT347" s="2">
        <v>83</v>
      </c>
      <c r="DU347" s="2">
        <v>74</v>
      </c>
      <c r="DV347" s="2">
        <v>2</v>
      </c>
      <c r="DW347" s="2">
        <v>2</v>
      </c>
      <c r="DX347" s="2">
        <v>2</v>
      </c>
      <c r="DY347" s="2">
        <v>2</v>
      </c>
      <c r="DZ347" s="2">
        <v>33</v>
      </c>
      <c r="EA347" s="2">
        <v>35.5</v>
      </c>
      <c r="EB347" s="2">
        <v>46.5</v>
      </c>
      <c r="EC347" s="2">
        <v>1</v>
      </c>
      <c r="ED347" s="2">
        <v>1</v>
      </c>
    </row>
    <row r="348" spans="3:134" x14ac:dyDescent="0.25">
      <c r="C348" s="8" t="s">
        <v>348</v>
      </c>
      <c r="D348" s="2">
        <v>2501052846</v>
      </c>
      <c r="E348" s="5">
        <v>7</v>
      </c>
      <c r="F348" s="2">
        <v>2</v>
      </c>
      <c r="G348" s="2">
        <v>32</v>
      </c>
      <c r="H348" s="2">
        <v>-1.0120313941125041</v>
      </c>
      <c r="I348" s="2">
        <v>51</v>
      </c>
      <c r="J348" s="2">
        <v>0.58940135287155082</v>
      </c>
      <c r="K348" s="2">
        <v>3170</v>
      </c>
      <c r="L348" s="2">
        <v>-0.36738436352498138</v>
      </c>
      <c r="M348" s="2">
        <v>-1.6935</v>
      </c>
      <c r="N348" s="2">
        <f t="shared" si="334"/>
        <v>0.15366569705625205</v>
      </c>
      <c r="O348" s="2">
        <f t="shared" si="335"/>
        <v>-1.6935</v>
      </c>
      <c r="P348" s="2">
        <v>69.5</v>
      </c>
      <c r="Q348" s="2">
        <v>0.87</v>
      </c>
      <c r="R348" s="5">
        <f t="shared" si="336"/>
        <v>-0.65970067643577535</v>
      </c>
      <c r="S348" s="5">
        <f t="shared" si="337"/>
        <v>0.87</v>
      </c>
      <c r="T348" s="2">
        <v>7300</v>
      </c>
      <c r="U348" s="2">
        <v>-0.76</v>
      </c>
      <c r="V348" s="2">
        <f t="shared" si="338"/>
        <v>-0.28630781823750928</v>
      </c>
      <c r="W348" s="2">
        <f t="shared" si="339"/>
        <v>-0.76</v>
      </c>
      <c r="X348" s="2">
        <v>-0.70469999999999999</v>
      </c>
      <c r="Y348" s="76">
        <f t="shared" si="375"/>
        <v>0.3073313941125041</v>
      </c>
      <c r="Z348" s="76">
        <f t="shared" si="376"/>
        <v>1</v>
      </c>
      <c r="AA348" s="2">
        <f t="shared" si="340"/>
        <v>-1.04695</v>
      </c>
      <c r="AB348" s="2">
        <f t="shared" si="341"/>
        <v>-0.70469999999999999</v>
      </c>
      <c r="AC348" s="2">
        <v>74</v>
      </c>
      <c r="AD348" s="2">
        <v>-0.73</v>
      </c>
      <c r="AE348" s="79">
        <f t="shared" si="377"/>
        <v>-1.3194013528715507</v>
      </c>
      <c r="AF348" s="79">
        <f t="shared" si="378"/>
        <v>-2</v>
      </c>
      <c r="AG348" s="2">
        <f t="shared" si="330"/>
        <v>-0.39</v>
      </c>
      <c r="AH348" s="2">
        <f t="shared" si="342"/>
        <v>-0.73</v>
      </c>
      <c r="AI348" s="2">
        <v>8700</v>
      </c>
      <c r="AJ348" s="2">
        <v>-0.94</v>
      </c>
      <c r="AK348" s="76">
        <f t="shared" si="379"/>
        <v>-0.57261563647501856</v>
      </c>
      <c r="AL348" s="76">
        <f t="shared" si="380"/>
        <v>-1</v>
      </c>
      <c r="AM348" s="2">
        <f t="shared" si="343"/>
        <v>-2.5000000000000022E-2</v>
      </c>
      <c r="AN348" s="2">
        <f t="shared" si="344"/>
        <v>-0.94</v>
      </c>
      <c r="AO348" s="2">
        <v>-1.2239</v>
      </c>
      <c r="AP348" s="2">
        <f t="shared" si="345"/>
        <v>-0.25272878102399549</v>
      </c>
      <c r="AQ348" s="2">
        <f t="shared" si="346"/>
        <v>-1.2239</v>
      </c>
      <c r="AR348" s="2">
        <v>82.5</v>
      </c>
      <c r="AS348" s="2">
        <v>0.09</v>
      </c>
      <c r="AT348" s="2">
        <f t="shared" si="347"/>
        <v>0.24222707270927485</v>
      </c>
      <c r="AU348" s="2">
        <f t="shared" si="348"/>
        <v>0.09</v>
      </c>
      <c r="AV348" s="2">
        <v>10000</v>
      </c>
      <c r="AW348" s="2">
        <v>-0.81</v>
      </c>
      <c r="AX348" s="2">
        <f t="shared" si="349"/>
        <v>-0.13449231946146301</v>
      </c>
      <c r="AY348" s="2">
        <f t="shared" si="350"/>
        <v>-0.81</v>
      </c>
      <c r="AZ348" s="2">
        <v>-1.210157562047991</v>
      </c>
      <c r="BA348" s="78">
        <f t="shared" si="381"/>
        <v>-0.50545756204799097</v>
      </c>
      <c r="BB348" s="78">
        <f t="shared" si="382"/>
        <v>-1</v>
      </c>
      <c r="BC348" s="2" t="str">
        <f t="shared" si="351"/>
        <v/>
      </c>
      <c r="BD348" s="2">
        <f t="shared" si="352"/>
        <v>-1.210157562047991</v>
      </c>
      <c r="BE348" s="67">
        <f t="shared" si="383"/>
        <v>7</v>
      </c>
      <c r="BF348" s="2">
        <v>86</v>
      </c>
      <c r="BG348" s="2">
        <v>-0.24554585458145031</v>
      </c>
      <c r="BH348" s="2" t="str">
        <f t="shared" si="353"/>
        <v/>
      </c>
      <c r="BI348" s="2">
        <f t="shared" si="354"/>
        <v>-0.24554585458145031</v>
      </c>
      <c r="BJ348" s="67">
        <f t="shared" si="355"/>
        <v>7</v>
      </c>
      <c r="BK348" s="2">
        <v>11200</v>
      </c>
      <c r="BL348" s="2">
        <v>-1.208984638922926</v>
      </c>
      <c r="BM348" s="77">
        <f t="shared" si="384"/>
        <v>-0.26898463892292601</v>
      </c>
      <c r="BN348" s="77">
        <f t="shared" si="385"/>
        <v>-1</v>
      </c>
      <c r="BO348" s="2" t="str">
        <f t="shared" si="356"/>
        <v/>
      </c>
      <c r="BP348" s="2">
        <f t="shared" si="357"/>
        <v>-1.208984638922926</v>
      </c>
      <c r="BQ348" s="67">
        <f t="shared" si="386"/>
        <v>7</v>
      </c>
      <c r="BS348" s="75" t="str">
        <f t="shared" si="387"/>
        <v>UF</v>
      </c>
      <c r="BT348" s="75" t="str">
        <f t="shared" si="388"/>
        <v>UF</v>
      </c>
      <c r="BU348" s="5" t="str">
        <f>IF(G354&gt;=36, IF(AND(NOT(ISBLANK(CM:CM)), NOT(ISBLANK(BD:BD))), (CM:CM-BD:BD)/2, ""), "UF")</f>
        <v>UF</v>
      </c>
      <c r="BV348" s="5" t="str">
        <f t="shared" si="358"/>
        <v>UF</v>
      </c>
      <c r="BW348" s="69" t="str">
        <f t="shared" si="359"/>
        <v/>
      </c>
      <c r="BX348" s="2" t="s">
        <v>12</v>
      </c>
      <c r="BZ348" s="74" t="str">
        <f t="shared" si="389"/>
        <v>UF</v>
      </c>
      <c r="CA348" s="74" t="str">
        <f t="shared" si="390"/>
        <v>UF</v>
      </c>
      <c r="CB348" s="5" t="str">
        <f t="shared" si="360"/>
        <v>UF</v>
      </c>
      <c r="CC348" s="5" t="str">
        <f t="shared" si="361"/>
        <v>UF</v>
      </c>
      <c r="CD348" s="2" t="e">
        <f t="shared" si="362"/>
        <v>#VALUE!</v>
      </c>
      <c r="CE348" s="69" t="str">
        <f t="shared" si="363"/>
        <v/>
      </c>
      <c r="CF348" s="5" t="s">
        <v>12</v>
      </c>
      <c r="CH348" s="72" t="str">
        <f t="shared" si="391"/>
        <v>UF</v>
      </c>
      <c r="CI348" s="72" t="str">
        <f t="shared" si="392"/>
        <v>UF</v>
      </c>
      <c r="CJ348" s="5" t="str">
        <f t="shared" si="364"/>
        <v>UF</v>
      </c>
      <c r="CK348" s="5" t="str">
        <f t="shared" si="365"/>
        <v>UF</v>
      </c>
      <c r="CL348" s="69" t="str">
        <f t="shared" si="366"/>
        <v/>
      </c>
      <c r="CN348" s="70" t="str">
        <f t="shared" si="367"/>
        <v/>
      </c>
      <c r="CO348" s="5" t="str">
        <f t="shared" si="368"/>
        <v>UF</v>
      </c>
      <c r="CP348" s="5" t="str">
        <f>IF(G348&lt;48,"UF", IF(NOT(ISBLANK(CM:CM)), CM:CM, IF(BW:BW=1, BV:BV+Sheet2!B580, IF(Sheet1!BW:BW=2, Sheet1!BV:BV+Sheet2!B581, IF(Sheet1!BW:BW=7, Sheet1!BV:BV+Sheet2!B582,"")))))</f>
        <v>UF</v>
      </c>
      <c r="CQ348" s="69" t="str">
        <f t="shared" si="393"/>
        <v/>
      </c>
      <c r="CR348" s="5" t="s">
        <v>12</v>
      </c>
      <c r="CT348" s="5" t="str">
        <f t="shared" si="369"/>
        <v/>
      </c>
      <c r="CU348" s="80" t="str">
        <f t="shared" si="370"/>
        <v>UF</v>
      </c>
      <c r="CV348" s="80" t="str">
        <f t="shared" si="371"/>
        <v>UF</v>
      </c>
      <c r="CW348" s="20" t="str">
        <f>IF(G348&lt;48,"UF", IF(NOT(ISBLANK(CS348)), CS348, IF(CE348=5, CC348+Sheet2!B569, IF(CE348=6, CC348+Sheet2!B570, IF(CE348=7, CC348+Sheet2!B571,"")))))</f>
        <v>UF</v>
      </c>
      <c r="CX348" s="68" t="str">
        <f t="shared" si="394"/>
        <v/>
      </c>
      <c r="CY348" s="5" t="s">
        <v>12</v>
      </c>
      <c r="DA348" s="5" t="str">
        <f t="shared" si="372"/>
        <v>UF</v>
      </c>
      <c r="DB348" s="73" t="str">
        <f t="shared" si="373"/>
        <v>UF</v>
      </c>
      <c r="DC348" s="73" t="str">
        <f t="shared" si="374"/>
        <v>UF</v>
      </c>
      <c r="DD348" s="5" t="str">
        <f>IF(G348&lt;48,"UF", IF(NOT(ISBLANK(CZ:CZ)), CZ:CZ, IF(CL:CL=3, CK:CK+Sheet2!B574, IF(CL:CL=4, CK:CK+Sheet2!B575, IF(CL:CL=7, CK:CK+Sheet2!B576,"")))))</f>
        <v>UF</v>
      </c>
      <c r="DE348" s="69" t="str">
        <f t="shared" si="331"/>
        <v/>
      </c>
      <c r="DF348" s="2">
        <v>3</v>
      </c>
      <c r="DG348" s="2">
        <v>30</v>
      </c>
      <c r="DH348" s="2">
        <v>2</v>
      </c>
      <c r="DI348" s="2">
        <v>2</v>
      </c>
      <c r="DJ348" s="2">
        <v>2</v>
      </c>
      <c r="DK348" s="2">
        <v>110</v>
      </c>
      <c r="DL348" s="2">
        <v>70</v>
      </c>
      <c r="DM348" s="2">
        <v>110</v>
      </c>
      <c r="DN348" s="2">
        <v>70</v>
      </c>
      <c r="DO348" s="2">
        <v>110</v>
      </c>
      <c r="DP348" s="2">
        <v>70</v>
      </c>
      <c r="DQ348" s="2">
        <v>2</v>
      </c>
      <c r="DR348" s="2">
        <v>37</v>
      </c>
      <c r="DS348" s="2">
        <v>1</v>
      </c>
      <c r="DT348" s="2">
        <v>90</v>
      </c>
      <c r="DU348" s="2">
        <v>80</v>
      </c>
      <c r="DV348" s="2">
        <v>2</v>
      </c>
      <c r="DW348" s="2">
        <v>2</v>
      </c>
      <c r="DX348" s="2">
        <v>2</v>
      </c>
      <c r="DY348" s="2">
        <v>1</v>
      </c>
      <c r="DZ348" s="2">
        <v>34</v>
      </c>
      <c r="EA348" s="2">
        <v>36</v>
      </c>
      <c r="EB348" s="2">
        <v>45.5</v>
      </c>
      <c r="EC348" s="2">
        <v>1</v>
      </c>
      <c r="ED348" s="2">
        <v>1</v>
      </c>
    </row>
    <row r="349" spans="3:134" x14ac:dyDescent="0.25">
      <c r="C349" s="8" t="s">
        <v>180</v>
      </c>
      <c r="D349" s="4">
        <v>2501052854</v>
      </c>
      <c r="E349" s="5">
        <v>7</v>
      </c>
      <c r="F349" s="2">
        <v>2</v>
      </c>
      <c r="G349" s="2">
        <v>26</v>
      </c>
      <c r="H349" s="2">
        <v>-2.7488364224387491</v>
      </c>
      <c r="I349" s="2">
        <v>49</v>
      </c>
      <c r="J349" s="2">
        <v>-0.46706379753639199</v>
      </c>
      <c r="K349" s="2">
        <v>2500</v>
      </c>
      <c r="L349" s="2">
        <v>-1.8987799312803511</v>
      </c>
      <c r="M349" s="2">
        <v>-0.43409999999999999</v>
      </c>
      <c r="N349" s="2">
        <f t="shared" si="334"/>
        <v>1.0029182112193746</v>
      </c>
      <c r="O349" s="2">
        <f t="shared" si="335"/>
        <v>-0.43409999999999999</v>
      </c>
      <c r="P349" s="2">
        <v>66</v>
      </c>
      <c r="Q349" s="2">
        <v>-0.77</v>
      </c>
      <c r="R349" s="5">
        <f t="shared" si="336"/>
        <v>7.8531898768195996E-2</v>
      </c>
      <c r="S349" s="5">
        <f t="shared" si="337"/>
        <v>-0.77</v>
      </c>
      <c r="T349" s="2">
        <v>7290</v>
      </c>
      <c r="U349" s="2">
        <v>-0.77</v>
      </c>
      <c r="V349" s="2">
        <f t="shared" si="338"/>
        <v>0.58938996564017554</v>
      </c>
      <c r="W349" s="2">
        <f t="shared" si="339"/>
        <v>-0.77</v>
      </c>
      <c r="X349" s="2">
        <v>-0.74299999999999999</v>
      </c>
      <c r="Y349" s="76">
        <f t="shared" si="375"/>
        <v>2.0058364224387493</v>
      </c>
      <c r="Z349" s="76">
        <f t="shared" si="376"/>
        <v>2</v>
      </c>
      <c r="AA349" s="2">
        <f t="shared" si="340"/>
        <v>-0.30799999999999994</v>
      </c>
      <c r="AB349" s="2">
        <f t="shared" si="341"/>
        <v>-0.74299999999999999</v>
      </c>
      <c r="AC349" s="2">
        <v>75</v>
      </c>
      <c r="AD349" s="2">
        <v>-0.31</v>
      </c>
      <c r="AE349" s="79">
        <f t="shared" si="377"/>
        <v>0.15706379753639199</v>
      </c>
      <c r="AF349" s="79">
        <f t="shared" si="378"/>
        <v>1</v>
      </c>
      <c r="AG349" s="2">
        <f t="shared" si="330"/>
        <v>0.52</v>
      </c>
      <c r="AH349" s="2">
        <f t="shared" si="342"/>
        <v>-0.31</v>
      </c>
      <c r="AI349" s="2">
        <v>8910</v>
      </c>
      <c r="AJ349" s="2">
        <v>-0.72</v>
      </c>
      <c r="AK349" s="76">
        <f t="shared" si="379"/>
        <v>1.1787799312803511</v>
      </c>
      <c r="AL349" s="76">
        <f t="shared" si="380"/>
        <v>2</v>
      </c>
      <c r="AM349" s="2">
        <f t="shared" si="343"/>
        <v>-2.0000000000000018E-2</v>
      </c>
      <c r="AN349" s="2">
        <f t="shared" si="344"/>
        <v>-0.72</v>
      </c>
      <c r="AO349" s="2">
        <v>-1.3859999999999999</v>
      </c>
      <c r="AP349" s="2">
        <f t="shared" si="345"/>
        <v>0.25632145655163852</v>
      </c>
      <c r="AQ349" s="2">
        <f t="shared" si="346"/>
        <v>-1.3859999999999999</v>
      </c>
      <c r="AR349" s="2">
        <v>83</v>
      </c>
      <c r="AS349" s="2">
        <v>0.27</v>
      </c>
      <c r="AT349" s="2">
        <f t="shared" si="347"/>
        <v>0.17472046099855978</v>
      </c>
      <c r="AU349" s="2">
        <f t="shared" si="348"/>
        <v>0.27</v>
      </c>
      <c r="AV349" s="2">
        <v>10000</v>
      </c>
      <c r="AW349" s="2">
        <v>-0.81</v>
      </c>
      <c r="AX349" s="2">
        <f t="shared" si="349"/>
        <v>0.19634616382959044</v>
      </c>
      <c r="AY349" s="2">
        <f t="shared" si="350"/>
        <v>-0.81</v>
      </c>
      <c r="AZ349" s="2">
        <v>-0.23035708689672299</v>
      </c>
      <c r="BA349" s="78">
        <f t="shared" si="381"/>
        <v>0.51264291310327703</v>
      </c>
      <c r="BB349" s="78">
        <f t="shared" si="382"/>
        <v>1</v>
      </c>
      <c r="BC349" s="2" t="str">
        <f t="shared" si="351"/>
        <v/>
      </c>
      <c r="BD349" s="2">
        <f t="shared" si="352"/>
        <v>-0.23035708689672299</v>
      </c>
      <c r="BE349" s="67">
        <f t="shared" si="383"/>
        <v>7</v>
      </c>
      <c r="BF349" s="2">
        <v>87</v>
      </c>
      <c r="BG349" s="2">
        <v>3.9440921997119571E-2</v>
      </c>
      <c r="BH349" s="2" t="str">
        <f t="shared" si="353"/>
        <v/>
      </c>
      <c r="BI349" s="2">
        <f t="shared" si="354"/>
        <v>3.9440921997119571E-2</v>
      </c>
      <c r="BJ349" s="67">
        <f t="shared" si="355"/>
        <v>7</v>
      </c>
      <c r="BK349" s="2">
        <v>12300</v>
      </c>
      <c r="BL349" s="2">
        <v>-0.32730767234081909</v>
      </c>
      <c r="BM349" s="77">
        <f t="shared" si="384"/>
        <v>0.39269232765918088</v>
      </c>
      <c r="BN349" s="77">
        <f t="shared" si="385"/>
        <v>1</v>
      </c>
      <c r="BO349" s="2" t="str">
        <f t="shared" si="356"/>
        <v/>
      </c>
      <c r="BP349" s="2">
        <f t="shared" si="357"/>
        <v>-0.32730767234081909</v>
      </c>
      <c r="BQ349" s="67">
        <f t="shared" si="386"/>
        <v>7</v>
      </c>
      <c r="BS349" s="75" t="str">
        <f t="shared" si="387"/>
        <v>UF</v>
      </c>
      <c r="BT349" s="75" t="str">
        <f t="shared" si="388"/>
        <v>UF</v>
      </c>
      <c r="BU349" s="5" t="e">
        <f>IF(#REF!&gt;=36, IF(AND(NOT(ISBLANK(CM:CM)), NOT(ISBLANK(BD:BD))), (CM:CM-BD:BD)/2, ""), "UF")</f>
        <v>#REF!</v>
      </c>
      <c r="BV349" s="5" t="str">
        <f t="shared" si="358"/>
        <v>UF</v>
      </c>
      <c r="BW349" s="69" t="str">
        <f t="shared" si="359"/>
        <v/>
      </c>
      <c r="BX349" s="2" t="s">
        <v>12</v>
      </c>
      <c r="BZ349" s="74" t="str">
        <f t="shared" si="389"/>
        <v>UF</v>
      </c>
      <c r="CA349" s="74" t="str">
        <f t="shared" si="390"/>
        <v>UF</v>
      </c>
      <c r="CB349" s="5" t="str">
        <f t="shared" si="360"/>
        <v>UF</v>
      </c>
      <c r="CC349" s="5" t="str">
        <f t="shared" si="361"/>
        <v>UF</v>
      </c>
      <c r="CD349" s="2" t="e">
        <f t="shared" si="362"/>
        <v>#VALUE!</v>
      </c>
      <c r="CE349" s="69" t="str">
        <f t="shared" si="363"/>
        <v/>
      </c>
      <c r="CF349" s="5" t="s">
        <v>12</v>
      </c>
      <c r="CH349" s="72" t="str">
        <f t="shared" si="391"/>
        <v>UF</v>
      </c>
      <c r="CI349" s="72" t="str">
        <f t="shared" si="392"/>
        <v>UF</v>
      </c>
      <c r="CJ349" s="5" t="str">
        <f t="shared" si="364"/>
        <v>UF</v>
      </c>
      <c r="CK349" s="5" t="str">
        <f t="shared" si="365"/>
        <v>UF</v>
      </c>
      <c r="CL349" s="69" t="str">
        <f t="shared" si="366"/>
        <v/>
      </c>
      <c r="CN349" s="70" t="str">
        <f t="shared" si="367"/>
        <v/>
      </c>
      <c r="CO349" s="5" t="str">
        <f t="shared" si="368"/>
        <v>UF</v>
      </c>
      <c r="CP349" s="5" t="str">
        <f>IF(G349&lt;48,"UF", IF(NOT(ISBLANK(CM:CM)), CM:CM, IF(BW:BW=1, BV:BV+Sheet2!B411, IF(Sheet1!BW:BW=2, Sheet1!BV:BV+Sheet2!B412, IF(Sheet1!BW:BW=7, Sheet1!BV:BV+Sheet2!B413,"")))))</f>
        <v>UF</v>
      </c>
      <c r="CQ349" s="69" t="str">
        <f t="shared" si="393"/>
        <v/>
      </c>
      <c r="CR349" s="5" t="s">
        <v>12</v>
      </c>
      <c r="CT349" s="5" t="str">
        <f t="shared" si="369"/>
        <v/>
      </c>
      <c r="CU349" s="80" t="str">
        <f t="shared" si="370"/>
        <v>UF</v>
      </c>
      <c r="CV349" s="80" t="str">
        <f t="shared" si="371"/>
        <v>UF</v>
      </c>
      <c r="CW349" s="20" t="str">
        <f>IF(G349&lt;48,"UF", IF(NOT(ISBLANK(CS349)), CS349, IF(CE349=5, CC349+Sheet2!B400, IF(CE349=6, CC349+Sheet2!B401, IF(CE349=7, CC349+Sheet2!B402,"")))))</f>
        <v>UF</v>
      </c>
      <c r="CX349" s="68" t="str">
        <f t="shared" si="394"/>
        <v/>
      </c>
      <c r="CY349" s="5" t="s">
        <v>12</v>
      </c>
      <c r="DA349" s="5" t="str">
        <f t="shared" si="372"/>
        <v>UF</v>
      </c>
      <c r="DB349" s="73" t="str">
        <f t="shared" si="373"/>
        <v>UF</v>
      </c>
      <c r="DC349" s="73" t="str">
        <f t="shared" si="374"/>
        <v>UF</v>
      </c>
      <c r="DD349" s="5" t="str">
        <f>IF(G349&lt;48,"UF", IF(NOT(ISBLANK(CZ:CZ)), CZ:CZ, IF(CL:CL=3, CK:CK+Sheet2!B405, IF(CL:CL=4, CK:CK+Sheet2!B406, IF(CL:CL=7, CK:CK+Sheet2!B407,"")))))</f>
        <v>UF</v>
      </c>
      <c r="DE349" s="69" t="str">
        <f t="shared" si="331"/>
        <v/>
      </c>
      <c r="DF349" s="2">
        <v>2</v>
      </c>
      <c r="DG349" s="2">
        <v>37</v>
      </c>
      <c r="DH349" s="2">
        <v>1</v>
      </c>
      <c r="DI349" s="2">
        <v>2</v>
      </c>
      <c r="DJ349" s="2">
        <v>2</v>
      </c>
      <c r="DK349" s="2">
        <v>106</v>
      </c>
      <c r="DL349" s="2">
        <v>62</v>
      </c>
      <c r="DM349" s="2">
        <v>122</v>
      </c>
      <c r="DN349" s="2">
        <v>72</v>
      </c>
      <c r="DO349" s="2" t="s">
        <v>12</v>
      </c>
      <c r="DP349" s="2" t="s">
        <v>12</v>
      </c>
      <c r="DQ349" s="2">
        <v>1</v>
      </c>
      <c r="DR349" s="2">
        <v>37</v>
      </c>
      <c r="DS349" s="2">
        <v>2</v>
      </c>
      <c r="DT349" s="2">
        <v>82</v>
      </c>
      <c r="DU349" s="2">
        <v>79</v>
      </c>
      <c r="DV349" s="2">
        <v>2</v>
      </c>
      <c r="DW349" s="2">
        <v>2</v>
      </c>
      <c r="DX349" s="2">
        <v>2</v>
      </c>
      <c r="DY349" s="2">
        <v>2</v>
      </c>
      <c r="DZ349" s="2">
        <v>33</v>
      </c>
      <c r="EA349" s="2" t="s">
        <v>12</v>
      </c>
      <c r="EB349" s="2">
        <v>46.2</v>
      </c>
      <c r="EC349" s="2" t="s">
        <v>12</v>
      </c>
      <c r="ED349" s="2">
        <v>1</v>
      </c>
    </row>
    <row r="350" spans="3:134" x14ac:dyDescent="0.25">
      <c r="C350" s="8" t="s">
        <v>180</v>
      </c>
      <c r="D350" s="4">
        <v>2501052889</v>
      </c>
      <c r="E350" s="5">
        <v>7</v>
      </c>
      <c r="F350" s="2">
        <v>1</v>
      </c>
      <c r="G350" s="2">
        <v>26</v>
      </c>
      <c r="H350" s="2">
        <v>-0.95948012325352849</v>
      </c>
      <c r="I350" s="2">
        <v>52</v>
      </c>
      <c r="J350" s="2">
        <v>1.531272843240846</v>
      </c>
      <c r="K350" s="1">
        <v>3300</v>
      </c>
      <c r="L350" s="2">
        <v>0.14707338780410831</v>
      </c>
      <c r="M350" s="2">
        <v>1.179</v>
      </c>
      <c r="N350" s="2">
        <f t="shared" si="334"/>
        <v>0.84449006162676432</v>
      </c>
      <c r="O350" s="2">
        <f t="shared" si="335"/>
        <v>1.179</v>
      </c>
      <c r="P350" s="2">
        <v>66</v>
      </c>
      <c r="Q350" s="2">
        <v>0.11</v>
      </c>
      <c r="R350" s="5">
        <f t="shared" si="336"/>
        <v>-0.47563642162042302</v>
      </c>
      <c r="S350" s="5">
        <f t="shared" si="337"/>
        <v>0.11</v>
      </c>
      <c r="T350" s="1">
        <v>8200</v>
      </c>
      <c r="U350" s="2">
        <v>0.95</v>
      </c>
      <c r="V350" s="2">
        <f t="shared" si="338"/>
        <v>0.35646330609794585</v>
      </c>
      <c r="W350" s="2">
        <f t="shared" si="339"/>
        <v>0.95</v>
      </c>
      <c r="X350" s="2">
        <v>0.72950000000000004</v>
      </c>
      <c r="Y350" s="76">
        <f t="shared" si="375"/>
        <v>1.6889801232535286</v>
      </c>
      <c r="Z350" s="76">
        <f t="shared" si="376"/>
        <v>2</v>
      </c>
      <c r="AA350" s="2" t="str">
        <f t="shared" si="340"/>
        <v/>
      </c>
      <c r="AB350" s="2">
        <f t="shared" si="341"/>
        <v>0.72950000000000004</v>
      </c>
      <c r="AC350" s="2">
        <v>75.5</v>
      </c>
      <c r="AD350" s="2">
        <v>0.57999999999999996</v>
      </c>
      <c r="AE350" s="79">
        <f t="shared" si="377"/>
        <v>-0.95127284324084604</v>
      </c>
      <c r="AF350" s="79">
        <f t="shared" si="378"/>
        <v>-2</v>
      </c>
      <c r="AG350" s="2" t="str">
        <f t="shared" si="330"/>
        <v/>
      </c>
      <c r="AH350" s="2">
        <f t="shared" si="342"/>
        <v>0.57999999999999996</v>
      </c>
      <c r="AI350" s="2">
        <v>9950</v>
      </c>
      <c r="AJ350" s="2">
        <v>0.86</v>
      </c>
      <c r="AK350" s="76">
        <f t="shared" si="379"/>
        <v>0.71292661219589171</v>
      </c>
      <c r="AL350" s="76">
        <f t="shared" si="380"/>
        <v>2</v>
      </c>
      <c r="AM350" s="2" t="str">
        <f t="shared" si="343"/>
        <v/>
      </c>
      <c r="AN350" s="2">
        <f t="shared" si="344"/>
        <v>0.86</v>
      </c>
      <c r="AP350" s="2">
        <f t="shared" si="345"/>
        <v>-0.35498226138256961</v>
      </c>
      <c r="AQ350" s="2">
        <f t="shared" si="346"/>
        <v>0.37451773861743043</v>
      </c>
      <c r="AR350" s="2" t="s">
        <v>12</v>
      </c>
      <c r="AT350" s="2">
        <f t="shared" si="347"/>
        <v>-0.27528559614585307</v>
      </c>
      <c r="AU350" s="2">
        <f t="shared" si="348"/>
        <v>0.30471440385414689</v>
      </c>
      <c r="AV350" s="2" t="s">
        <v>12</v>
      </c>
      <c r="AX350" s="2">
        <f t="shared" si="349"/>
        <v>-0.48196489070164367</v>
      </c>
      <c r="AY350" s="2">
        <f t="shared" si="350"/>
        <v>0.37803510929835632</v>
      </c>
      <c r="AZ350" s="2">
        <v>1.9535477234860869E-2</v>
      </c>
      <c r="BA350" s="78">
        <f t="shared" si="381"/>
        <v>-0.70996452276513922</v>
      </c>
      <c r="BB350" s="78">
        <f t="shared" si="382"/>
        <v>-2</v>
      </c>
      <c r="BC350" s="2" t="str">
        <f t="shared" si="351"/>
        <v/>
      </c>
      <c r="BD350" s="2">
        <f t="shared" si="352"/>
        <v>1.9535477234860869E-2</v>
      </c>
      <c r="BE350" s="67">
        <f t="shared" si="383"/>
        <v>7</v>
      </c>
      <c r="BF350" s="2">
        <v>85.5</v>
      </c>
      <c r="BG350" s="2">
        <v>2.9428807708293769E-2</v>
      </c>
      <c r="BH350" s="2" t="str">
        <f t="shared" si="353"/>
        <v/>
      </c>
      <c r="BI350" s="2">
        <f t="shared" si="354"/>
        <v>2.9428807708293769E-2</v>
      </c>
      <c r="BJ350" s="67">
        <f t="shared" si="355"/>
        <v>7</v>
      </c>
      <c r="BK350" s="2">
        <v>12000</v>
      </c>
      <c r="BL350" s="2">
        <v>-0.10392978140328731</v>
      </c>
      <c r="BM350" s="77">
        <f t="shared" si="384"/>
        <v>-0.96392978140328733</v>
      </c>
      <c r="BN350" s="77">
        <f t="shared" si="385"/>
        <v>-2</v>
      </c>
      <c r="BO350" s="2" t="str">
        <f t="shared" si="356"/>
        <v/>
      </c>
      <c r="BP350" s="2">
        <f t="shared" si="357"/>
        <v>-0.10392978140328731</v>
      </c>
      <c r="BQ350" s="67">
        <f t="shared" si="386"/>
        <v>7</v>
      </c>
      <c r="BS350" s="75" t="str">
        <f t="shared" si="387"/>
        <v>UF</v>
      </c>
      <c r="BT350" s="75" t="str">
        <f t="shared" si="388"/>
        <v>UF</v>
      </c>
      <c r="BU350" s="5" t="str">
        <f>IF(G355&gt;=36, IF(AND(NOT(ISBLANK(CM:CM)), NOT(ISBLANK(BD:BD))), (CM:CM-BD:BD)/2, ""), "UF")</f>
        <v>UF</v>
      </c>
      <c r="BV350" s="5" t="str">
        <f t="shared" si="358"/>
        <v>UF</v>
      </c>
      <c r="BW350" s="69" t="str">
        <f t="shared" si="359"/>
        <v/>
      </c>
      <c r="BX350" s="2" t="s">
        <v>12</v>
      </c>
      <c r="BZ350" s="74" t="str">
        <f t="shared" si="389"/>
        <v>UF</v>
      </c>
      <c r="CA350" s="74" t="str">
        <f t="shared" si="390"/>
        <v>UF</v>
      </c>
      <c r="CB350" s="5" t="str">
        <f t="shared" si="360"/>
        <v>UF</v>
      </c>
      <c r="CC350" s="5" t="str">
        <f t="shared" si="361"/>
        <v>UF</v>
      </c>
      <c r="CD350" s="2" t="e">
        <f t="shared" si="362"/>
        <v>#VALUE!</v>
      </c>
      <c r="CE350" s="69" t="str">
        <f t="shared" si="363"/>
        <v/>
      </c>
      <c r="CF350" s="5" t="s">
        <v>12</v>
      </c>
      <c r="CH350" s="72" t="str">
        <f t="shared" si="391"/>
        <v>UF</v>
      </c>
      <c r="CI350" s="72" t="str">
        <f t="shared" si="392"/>
        <v>UF</v>
      </c>
      <c r="CJ350" s="5" t="str">
        <f t="shared" si="364"/>
        <v>UF</v>
      </c>
      <c r="CK350" s="5" t="str">
        <f t="shared" si="365"/>
        <v>UF</v>
      </c>
      <c r="CL350" s="69" t="str">
        <f t="shared" si="366"/>
        <v/>
      </c>
      <c r="CN350" s="70" t="str">
        <f t="shared" si="367"/>
        <v/>
      </c>
      <c r="CO350" s="5" t="str">
        <f t="shared" si="368"/>
        <v>UF</v>
      </c>
      <c r="CP350" s="5" t="str">
        <f>IF(G350&lt;48,"UF", IF(NOT(ISBLANK(CM:CM)), CM:CM, IF(BW:BW=1, BV:BV+Sheet2!B349, IF(Sheet1!BW:BW=2, Sheet1!BV:BV+Sheet2!B350, IF(Sheet1!BW:BW=7, Sheet1!BV:BV+Sheet2!B351,"")))))</f>
        <v>UF</v>
      </c>
      <c r="CQ350" s="69" t="str">
        <f t="shared" si="393"/>
        <v/>
      </c>
      <c r="CR350" s="5" t="s">
        <v>12</v>
      </c>
      <c r="CT350" s="5" t="str">
        <f t="shared" si="369"/>
        <v/>
      </c>
      <c r="CU350" s="80" t="str">
        <f t="shared" si="370"/>
        <v>UF</v>
      </c>
      <c r="CV350" s="80" t="str">
        <f t="shared" si="371"/>
        <v>UF</v>
      </c>
      <c r="CW350" s="20" t="str">
        <f>IF(G350&lt;48,"UF", IF(NOT(ISBLANK(CS350)), CS350, IF(CE350=5, CC350+Sheet2!B338, IF(CE350=6, CC350+Sheet2!B339, IF(CE350=7, CC350+Sheet2!B340,"")))))</f>
        <v>UF</v>
      </c>
      <c r="CX350" s="68" t="str">
        <f t="shared" si="394"/>
        <v/>
      </c>
      <c r="CY350" s="5" t="s">
        <v>12</v>
      </c>
      <c r="DA350" s="5" t="str">
        <f t="shared" si="372"/>
        <v>UF</v>
      </c>
      <c r="DB350" s="73" t="str">
        <f t="shared" si="373"/>
        <v>UF</v>
      </c>
      <c r="DC350" s="73" t="str">
        <f t="shared" si="374"/>
        <v>UF</v>
      </c>
      <c r="DD350" s="5" t="str">
        <f>IF(G350&lt;48,"UF", IF(NOT(ISBLANK(CZ:CZ)), CZ:CZ, IF(CL:CL=3, CK:CK+Sheet2!B343, IF(CL:CL=4, CK:CK+Sheet2!B344, IF(CL:CL=7, CK:CK+Sheet2!B345,"")))))</f>
        <v>UF</v>
      </c>
      <c r="DE350" s="69" t="str">
        <f t="shared" si="331"/>
        <v/>
      </c>
      <c r="DF350" s="2">
        <v>2</v>
      </c>
      <c r="DG350" s="2">
        <v>29</v>
      </c>
      <c r="DH350" s="2">
        <v>2</v>
      </c>
      <c r="DI350" s="2">
        <v>2</v>
      </c>
      <c r="DJ350" s="2">
        <v>2</v>
      </c>
      <c r="DK350" s="2">
        <v>120</v>
      </c>
      <c r="DL350" s="2">
        <v>80</v>
      </c>
      <c r="DM350" s="2">
        <v>120</v>
      </c>
      <c r="DN350" s="2">
        <v>80</v>
      </c>
      <c r="DO350" s="2">
        <v>119</v>
      </c>
      <c r="DP350" s="2">
        <v>75</v>
      </c>
      <c r="DQ350" s="2">
        <v>2</v>
      </c>
      <c r="DR350" s="2">
        <v>40</v>
      </c>
      <c r="DS350" s="2">
        <v>2</v>
      </c>
      <c r="DT350" s="2">
        <v>87</v>
      </c>
      <c r="DU350" s="2">
        <v>80</v>
      </c>
      <c r="DV350" s="2">
        <v>2</v>
      </c>
      <c r="DW350" s="2">
        <v>2</v>
      </c>
      <c r="DX350" s="2">
        <v>3</v>
      </c>
      <c r="DY350" s="2">
        <v>2</v>
      </c>
      <c r="DZ350" s="2">
        <v>35</v>
      </c>
      <c r="EA350" s="2">
        <v>36</v>
      </c>
      <c r="EB350" s="2">
        <v>46.3</v>
      </c>
      <c r="EC350" s="2">
        <v>1</v>
      </c>
      <c r="ED350" s="2">
        <v>1</v>
      </c>
    </row>
    <row r="351" spans="3:134" x14ac:dyDescent="0.25">
      <c r="C351" s="8" t="s">
        <v>266</v>
      </c>
      <c r="D351" s="8">
        <v>2501052986</v>
      </c>
      <c r="E351" s="5">
        <v>7</v>
      </c>
      <c r="F351" s="2">
        <v>1</v>
      </c>
      <c r="G351" s="2">
        <v>27</v>
      </c>
      <c r="H351" s="2">
        <v>-2.6174666004874889</v>
      </c>
      <c r="I351" s="2">
        <v>48</v>
      </c>
      <c r="J351" s="2">
        <v>-0.61614996855203885</v>
      </c>
      <c r="K351" s="2">
        <v>2415</v>
      </c>
      <c r="L351" s="2">
        <v>-1.946702688356666</v>
      </c>
      <c r="M351" s="2">
        <v>0.87660000000000005</v>
      </c>
      <c r="N351" s="2">
        <f t="shared" si="334"/>
        <v>1.5662333002437445</v>
      </c>
      <c r="O351" s="2">
        <f t="shared" si="335"/>
        <v>0.87660000000000005</v>
      </c>
      <c r="P351" s="2">
        <v>64</v>
      </c>
      <c r="Q351" s="2">
        <v>-0.77</v>
      </c>
      <c r="R351" s="5">
        <f t="shared" si="336"/>
        <v>1.8074984276019446E-2</v>
      </c>
      <c r="S351" s="5">
        <f t="shared" si="337"/>
        <v>-0.77</v>
      </c>
      <c r="T351" s="2">
        <v>7500</v>
      </c>
      <c r="U351" s="2">
        <v>0.22</v>
      </c>
      <c r="V351" s="2">
        <f t="shared" si="338"/>
        <v>0.99835134417833304</v>
      </c>
      <c r="W351" s="2">
        <f t="shared" si="339"/>
        <v>0.22</v>
      </c>
      <c r="X351" s="2">
        <v>0.51500000000000001</v>
      </c>
      <c r="Y351" s="76">
        <f t="shared" si="375"/>
        <v>3.132466600487489</v>
      </c>
      <c r="Z351" s="76">
        <f t="shared" si="376"/>
        <v>2</v>
      </c>
      <c r="AA351" s="2">
        <f t="shared" si="340"/>
        <v>0.25119999999999998</v>
      </c>
      <c r="AB351" s="2">
        <f t="shared" si="341"/>
        <v>0.51500000000000001</v>
      </c>
      <c r="AC351" s="2">
        <v>72.5</v>
      </c>
      <c r="AD351" s="2">
        <v>-0.57999999999999996</v>
      </c>
      <c r="AE351" s="79">
        <f t="shared" si="377"/>
        <v>3.6149968552038891E-2</v>
      </c>
      <c r="AF351" s="79">
        <f t="shared" si="378"/>
        <v>1</v>
      </c>
      <c r="AG351" s="2">
        <f t="shared" si="330"/>
        <v>-8.0000000000000016E-2</v>
      </c>
      <c r="AH351" s="2">
        <f t="shared" si="342"/>
        <v>-0.57999999999999996</v>
      </c>
      <c r="AI351" s="2">
        <v>9000</v>
      </c>
      <c r="AJ351" s="2">
        <v>0.05</v>
      </c>
      <c r="AK351" s="76">
        <f t="shared" si="379"/>
        <v>1.9967026883566661</v>
      </c>
      <c r="AL351" s="76">
        <f t="shared" si="380"/>
        <v>2</v>
      </c>
      <c r="AM351" s="2">
        <f t="shared" si="343"/>
        <v>-0.48</v>
      </c>
      <c r="AN351" s="2">
        <f t="shared" si="344"/>
        <v>0.05</v>
      </c>
      <c r="AO351" s="2">
        <v>-0.2676</v>
      </c>
      <c r="AP351" s="2">
        <f t="shared" si="345"/>
        <v>-0.46844970472105762</v>
      </c>
      <c r="AQ351" s="2">
        <f t="shared" si="346"/>
        <v>-0.2676</v>
      </c>
      <c r="AR351" s="2">
        <v>78</v>
      </c>
      <c r="AS351" s="2">
        <v>-0.93</v>
      </c>
      <c r="AT351" s="2">
        <f t="shared" si="347"/>
        <v>-0.339266785241711</v>
      </c>
      <c r="AU351" s="2">
        <f t="shared" si="348"/>
        <v>-0.93</v>
      </c>
      <c r="AV351" s="2">
        <v>9350</v>
      </c>
      <c r="AW351" s="2">
        <v>-0.74</v>
      </c>
      <c r="AX351" s="2">
        <f t="shared" si="349"/>
        <v>-0.79407071626348957</v>
      </c>
      <c r="AY351" s="2">
        <f t="shared" si="350"/>
        <v>-0.74</v>
      </c>
      <c r="AZ351" s="2">
        <v>-0.42189940944211529</v>
      </c>
      <c r="BA351" s="78">
        <f t="shared" si="381"/>
        <v>-0.93689940944211525</v>
      </c>
      <c r="BB351" s="78">
        <f t="shared" si="382"/>
        <v>-2</v>
      </c>
      <c r="BC351" s="2" t="str">
        <f t="shared" si="351"/>
        <v/>
      </c>
      <c r="BD351" s="2">
        <f t="shared" si="352"/>
        <v>-0.42189940944211529</v>
      </c>
      <c r="BE351" s="67">
        <f t="shared" si="383"/>
        <v>7</v>
      </c>
      <c r="BF351" s="2">
        <v>81</v>
      </c>
      <c r="BG351" s="2">
        <v>-1.258533570483422</v>
      </c>
      <c r="BH351" s="2" t="str">
        <f t="shared" si="353"/>
        <v/>
      </c>
      <c r="BI351" s="2">
        <f t="shared" si="354"/>
        <v>-1.258533570483422</v>
      </c>
      <c r="BJ351" s="67">
        <f t="shared" si="355"/>
        <v>7</v>
      </c>
      <c r="BK351" s="2">
        <v>10380</v>
      </c>
      <c r="BL351" s="2">
        <v>-1.5381414325269791</v>
      </c>
      <c r="BM351" s="77">
        <f t="shared" si="384"/>
        <v>-1.5881414325269791</v>
      </c>
      <c r="BN351" s="77">
        <f t="shared" si="385"/>
        <v>-2</v>
      </c>
      <c r="BO351" s="2" t="str">
        <f t="shared" si="356"/>
        <v/>
      </c>
      <c r="BP351" s="2">
        <f t="shared" si="357"/>
        <v>-1.5381414325269791</v>
      </c>
      <c r="BQ351" s="67">
        <f t="shared" si="386"/>
        <v>7</v>
      </c>
      <c r="BS351" s="75" t="str">
        <f t="shared" si="387"/>
        <v>UF</v>
      </c>
      <c r="BT351" s="75" t="str">
        <f t="shared" si="388"/>
        <v>UF</v>
      </c>
      <c r="BU351" s="5" t="str">
        <f>IF(G356&gt;=36, IF(AND(NOT(ISBLANK(CM:CM)), NOT(ISBLANK(BD:BD))), (CM:CM-BD:BD)/2, ""), "UF")</f>
        <v>UF</v>
      </c>
      <c r="BV351" s="5" t="str">
        <f t="shared" si="358"/>
        <v>UF</v>
      </c>
      <c r="BW351" s="69" t="str">
        <f t="shared" si="359"/>
        <v/>
      </c>
      <c r="BX351" s="2" t="s">
        <v>12</v>
      </c>
      <c r="BZ351" s="74" t="str">
        <f t="shared" si="389"/>
        <v>UF</v>
      </c>
      <c r="CA351" s="74" t="str">
        <f t="shared" si="390"/>
        <v>UF</v>
      </c>
      <c r="CB351" s="5" t="str">
        <f t="shared" si="360"/>
        <v>UF</v>
      </c>
      <c r="CC351" s="5" t="str">
        <f t="shared" si="361"/>
        <v>UF</v>
      </c>
      <c r="CD351" s="2" t="e">
        <f t="shared" si="362"/>
        <v>#VALUE!</v>
      </c>
      <c r="CE351" s="69" t="str">
        <f t="shared" si="363"/>
        <v/>
      </c>
      <c r="CF351" s="5" t="s">
        <v>12</v>
      </c>
      <c r="CH351" s="72" t="str">
        <f t="shared" si="391"/>
        <v>UF</v>
      </c>
      <c r="CI351" s="72" t="str">
        <f t="shared" si="392"/>
        <v>UF</v>
      </c>
      <c r="CJ351" s="5" t="str">
        <f t="shared" si="364"/>
        <v>UF</v>
      </c>
      <c r="CK351" s="5" t="str">
        <f t="shared" si="365"/>
        <v>UF</v>
      </c>
      <c r="CL351" s="69" t="str">
        <f t="shared" si="366"/>
        <v/>
      </c>
      <c r="CN351" s="70" t="str">
        <f t="shared" si="367"/>
        <v/>
      </c>
      <c r="CO351" s="5" t="str">
        <f t="shared" si="368"/>
        <v>UF</v>
      </c>
      <c r="CP351" s="5" t="str">
        <f>IF(G351&lt;48,"UF", IF(NOT(ISBLANK(CM:CM)), CM:CM, IF(BW:BW=1, BV:BV+Sheet2!B464, IF(Sheet1!BW:BW=2, Sheet1!BV:BV+Sheet2!B465, IF(Sheet1!BW:BW=7, Sheet1!BV:BV+Sheet2!B466,"")))))</f>
        <v>UF</v>
      </c>
      <c r="CQ351" s="69" t="str">
        <f t="shared" si="393"/>
        <v/>
      </c>
      <c r="CR351" s="5" t="s">
        <v>12</v>
      </c>
      <c r="CT351" s="5" t="str">
        <f t="shared" si="369"/>
        <v/>
      </c>
      <c r="CU351" s="80" t="str">
        <f t="shared" si="370"/>
        <v>UF</v>
      </c>
      <c r="CV351" s="80" t="str">
        <f t="shared" si="371"/>
        <v>UF</v>
      </c>
      <c r="CW351" s="20" t="str">
        <f>IF(G351&lt;48,"UF", IF(NOT(ISBLANK(CS351)), CS351, IF(CE351=5, CC351+Sheet2!B453, IF(CE351=6, CC351+Sheet2!B454, IF(CE351=7, CC351+Sheet2!B455,"")))))</f>
        <v>UF</v>
      </c>
      <c r="CX351" s="68" t="str">
        <f t="shared" si="394"/>
        <v/>
      </c>
      <c r="CY351" s="5" t="s">
        <v>12</v>
      </c>
      <c r="DA351" s="5" t="str">
        <f t="shared" si="372"/>
        <v>UF</v>
      </c>
      <c r="DB351" s="73" t="str">
        <f t="shared" si="373"/>
        <v>UF</v>
      </c>
      <c r="DC351" s="73" t="str">
        <f t="shared" si="374"/>
        <v>UF</v>
      </c>
      <c r="DD351" s="5" t="str">
        <f>IF(G351&lt;48,"UF", IF(NOT(ISBLANK(CZ:CZ)), CZ:CZ, IF(CL:CL=3, CK:CK+Sheet2!B458, IF(CL:CL=4, CK:CK+Sheet2!B459, IF(CL:CL=7, CK:CK+Sheet2!B460,"")))))</f>
        <v>UF</v>
      </c>
      <c r="DE351" s="69" t="str">
        <f t="shared" si="331"/>
        <v/>
      </c>
      <c r="DF351" s="2">
        <v>2</v>
      </c>
      <c r="DG351" s="2">
        <v>36</v>
      </c>
      <c r="DH351" s="2">
        <v>2</v>
      </c>
      <c r="DI351" s="2">
        <v>2</v>
      </c>
      <c r="DJ351" s="2">
        <v>2</v>
      </c>
      <c r="DK351" s="2">
        <v>107</v>
      </c>
      <c r="DL351" s="2">
        <v>59</v>
      </c>
      <c r="DM351" s="2">
        <v>117</v>
      </c>
      <c r="DN351" s="2">
        <v>60</v>
      </c>
      <c r="DO351" s="2">
        <v>108</v>
      </c>
      <c r="DP351" s="2">
        <v>62</v>
      </c>
      <c r="DQ351" s="2">
        <v>2</v>
      </c>
      <c r="DR351" s="2">
        <v>38</v>
      </c>
      <c r="DS351" s="2">
        <v>1</v>
      </c>
      <c r="DT351" s="2">
        <v>96</v>
      </c>
      <c r="DU351" s="2">
        <v>80</v>
      </c>
      <c r="DV351" s="2">
        <v>2</v>
      </c>
      <c r="DW351" s="2">
        <v>2</v>
      </c>
      <c r="DX351" s="2">
        <v>2</v>
      </c>
      <c r="DY351" s="2">
        <v>2</v>
      </c>
      <c r="DZ351" s="2">
        <v>32</v>
      </c>
      <c r="EA351" s="2">
        <v>33.200000000000003</v>
      </c>
      <c r="EB351" s="2">
        <v>42.5</v>
      </c>
      <c r="EC351" s="2">
        <v>1</v>
      </c>
      <c r="ED351" s="2">
        <v>1</v>
      </c>
    </row>
    <row r="352" spans="3:134" x14ac:dyDescent="0.25">
      <c r="C352" s="8" t="s">
        <v>111</v>
      </c>
      <c r="D352" s="2">
        <v>2501053540</v>
      </c>
      <c r="E352" s="5" t="s">
        <v>527</v>
      </c>
      <c r="F352" s="2">
        <v>2</v>
      </c>
      <c r="G352" s="2">
        <v>26</v>
      </c>
      <c r="H352" s="2">
        <v>-3.067644081584219</v>
      </c>
      <c r="I352" s="2">
        <v>50</v>
      </c>
      <c r="J352" s="2">
        <v>6.1168777667580831E-2</v>
      </c>
      <c r="K352" s="5">
        <v>2530</v>
      </c>
      <c r="L352" s="2">
        <v>-1.824832855378792</v>
      </c>
      <c r="N352" s="2">
        <f t="shared" si="334"/>
        <v>1.4078720407921095</v>
      </c>
      <c r="O352" s="2">
        <f t="shared" si="335"/>
        <v>-1.6597720407921095</v>
      </c>
      <c r="P352" s="2" t="s">
        <v>12</v>
      </c>
      <c r="R352" s="5">
        <f t="shared" si="336"/>
        <v>-1.0255843888337903</v>
      </c>
      <c r="S352" s="5">
        <f t="shared" si="337"/>
        <v>-0.96441561116620944</v>
      </c>
      <c r="T352" s="1">
        <v>6380</v>
      </c>
      <c r="U352" s="2">
        <v>-1.97</v>
      </c>
      <c r="V352" s="2">
        <f t="shared" si="338"/>
        <v>0.22741642768939596</v>
      </c>
      <c r="W352" s="2">
        <f t="shared" si="339"/>
        <v>-1.97</v>
      </c>
      <c r="X352" s="2">
        <v>-0.25190000000000001</v>
      </c>
      <c r="Y352" s="76">
        <f t="shared" si="375"/>
        <v>2.815744081584219</v>
      </c>
      <c r="Z352" s="76">
        <f t="shared" si="376"/>
        <v>2</v>
      </c>
      <c r="AA352" s="2">
        <f t="shared" si="340"/>
        <v>0.61815780558310474</v>
      </c>
      <c r="AB352" s="2">
        <f t="shared" si="341"/>
        <v>-0.25190000000000001</v>
      </c>
      <c r="AC352" s="2">
        <v>71</v>
      </c>
      <c r="AD352" s="2">
        <v>-1.99</v>
      </c>
      <c r="AE352" s="79">
        <f t="shared" si="377"/>
        <v>-2.0511687776675807</v>
      </c>
      <c r="AF352" s="79">
        <f t="shared" si="378"/>
        <v>-2</v>
      </c>
      <c r="AG352" s="2">
        <f t="shared" si="330"/>
        <v>-0.62279219441689526</v>
      </c>
      <c r="AH352" s="2">
        <f t="shared" si="342"/>
        <v>-1.99</v>
      </c>
      <c r="AI352" s="2">
        <v>8300</v>
      </c>
      <c r="AJ352" s="2">
        <v>-1.37</v>
      </c>
      <c r="AK352" s="76">
        <f t="shared" si="379"/>
        <v>0.45483285537879192</v>
      </c>
      <c r="AL352" s="76">
        <f t="shared" si="380"/>
        <v>1</v>
      </c>
      <c r="AM352" s="2">
        <f t="shared" si="343"/>
        <v>0.4</v>
      </c>
      <c r="AN352" s="2">
        <f t="shared" si="344"/>
        <v>-1.37</v>
      </c>
      <c r="AO352" s="2">
        <v>0.27189999999999998</v>
      </c>
      <c r="AP352" s="2">
        <f t="shared" si="345"/>
        <v>0.11548351292659204</v>
      </c>
      <c r="AQ352" s="2">
        <f t="shared" si="346"/>
        <v>0.27189999999999998</v>
      </c>
      <c r="AR352" s="2">
        <v>76.3</v>
      </c>
      <c r="AS352" s="2">
        <v>-2.21</v>
      </c>
      <c r="AT352" s="2">
        <f t="shared" si="347"/>
        <v>0.24539995003077597</v>
      </c>
      <c r="AU352" s="2">
        <f t="shared" si="348"/>
        <v>-2.21</v>
      </c>
      <c r="AV352" s="2">
        <v>9600</v>
      </c>
      <c r="AW352" s="2">
        <v>-1.17</v>
      </c>
      <c r="AX352" s="2">
        <f t="shared" si="349"/>
        <v>-5.3087193850109848E-3</v>
      </c>
      <c r="AY352" s="2">
        <f t="shared" si="350"/>
        <v>-1.17</v>
      </c>
      <c r="AZ352" s="2">
        <v>-2.0932974146815931E-2</v>
      </c>
      <c r="BA352" s="78">
        <f t="shared" si="381"/>
        <v>0.23096702585318407</v>
      </c>
      <c r="BB352" s="78">
        <f t="shared" si="382"/>
        <v>1</v>
      </c>
      <c r="BC352" s="2" t="str">
        <f t="shared" si="351"/>
        <v/>
      </c>
      <c r="BD352" s="2">
        <f t="shared" si="352"/>
        <v>-2.0932974146815931E-2</v>
      </c>
      <c r="BE352" s="67">
        <f t="shared" si="383"/>
        <v>7</v>
      </c>
      <c r="BF352" s="2">
        <v>81.599999999999994</v>
      </c>
      <c r="BG352" s="2">
        <v>-1.499200099938448</v>
      </c>
      <c r="BH352" s="2" t="str">
        <f t="shared" si="353"/>
        <v/>
      </c>
      <c r="BI352" s="2">
        <f t="shared" si="354"/>
        <v>-1.499200099938448</v>
      </c>
      <c r="BJ352" s="67">
        <f t="shared" si="355"/>
        <v>7</v>
      </c>
      <c r="BK352" s="2">
        <v>11000</v>
      </c>
      <c r="BL352" s="2">
        <v>-1.3806174387700221</v>
      </c>
      <c r="BM352" s="77">
        <f t="shared" si="384"/>
        <v>-1.061743877002197E-2</v>
      </c>
      <c r="BN352" s="77">
        <f t="shared" si="385"/>
        <v>-1</v>
      </c>
      <c r="BO352" s="2" t="str">
        <f t="shared" si="356"/>
        <v/>
      </c>
      <c r="BP352" s="2">
        <f t="shared" si="357"/>
        <v>-1.3806174387700221</v>
      </c>
      <c r="BQ352" s="67">
        <f t="shared" si="386"/>
        <v>7</v>
      </c>
      <c r="BS352" s="75" t="str">
        <f t="shared" si="387"/>
        <v>UF</v>
      </c>
      <c r="BT352" s="75" t="str">
        <f t="shared" si="388"/>
        <v>UF</v>
      </c>
      <c r="BU352" s="5" t="str">
        <f>IF(G357&gt;=36, IF(AND(NOT(ISBLANK(CM:CM)), NOT(ISBLANK(BD:BD))), (CM:CM-BD:BD)/2, ""), "UF")</f>
        <v>UF</v>
      </c>
      <c r="BV352" s="5" t="str">
        <f t="shared" si="358"/>
        <v>UF</v>
      </c>
      <c r="BW352" s="69" t="str">
        <f t="shared" si="359"/>
        <v/>
      </c>
      <c r="BX352" s="2" t="s">
        <v>12</v>
      </c>
      <c r="BZ352" s="74" t="str">
        <f t="shared" si="389"/>
        <v>UF</v>
      </c>
      <c r="CA352" s="74" t="str">
        <f t="shared" si="390"/>
        <v>UF</v>
      </c>
      <c r="CB352" s="5" t="str">
        <f t="shared" si="360"/>
        <v>UF</v>
      </c>
      <c r="CC352" s="5" t="str">
        <f t="shared" si="361"/>
        <v>UF</v>
      </c>
      <c r="CD352" s="2" t="e">
        <f t="shared" si="362"/>
        <v>#VALUE!</v>
      </c>
      <c r="CE352" s="69" t="str">
        <f t="shared" si="363"/>
        <v/>
      </c>
      <c r="CF352" s="5" t="s">
        <v>12</v>
      </c>
      <c r="CH352" s="72" t="str">
        <f t="shared" si="391"/>
        <v>UF</v>
      </c>
      <c r="CI352" s="72" t="str">
        <f t="shared" si="392"/>
        <v>UF</v>
      </c>
      <c r="CJ352" s="5" t="str">
        <f t="shared" si="364"/>
        <v>UF</v>
      </c>
      <c r="CK352" s="5" t="str">
        <f t="shared" si="365"/>
        <v>UF</v>
      </c>
      <c r="CL352" s="69" t="str">
        <f t="shared" si="366"/>
        <v/>
      </c>
      <c r="CN352" s="70" t="str">
        <f t="shared" si="367"/>
        <v/>
      </c>
      <c r="CO352" s="5" t="str">
        <f t="shared" si="368"/>
        <v>UF</v>
      </c>
      <c r="CP352" s="5" t="str">
        <f>IF(G352&lt;48,"UF", IF(NOT(ISBLANK(CM:CM)), CM:CM, IF(BW:BW=1, BV:BV+Sheet2!B138, IF(Sheet1!BW:BW=2, Sheet1!BV:BV+Sheet2!B139, IF(Sheet1!BW:BW=7, Sheet1!BV:BV+Sheet2!B140,"")))))</f>
        <v>UF</v>
      </c>
      <c r="CQ352" s="69" t="str">
        <f t="shared" si="393"/>
        <v/>
      </c>
      <c r="CR352" s="5" t="s">
        <v>12</v>
      </c>
      <c r="CT352" s="5" t="str">
        <f t="shared" si="369"/>
        <v/>
      </c>
      <c r="CU352" s="80" t="str">
        <f t="shared" si="370"/>
        <v>UF</v>
      </c>
      <c r="CV352" s="80" t="str">
        <f t="shared" si="371"/>
        <v>UF</v>
      </c>
      <c r="CW352" s="20" t="str">
        <f>IF(G352&lt;48,"UF", IF(NOT(ISBLANK(CS352)), CS352, IF(CE352=5, CC352+Sheet2!B127, IF(CE352=6, CC352+Sheet2!B128, IF(CE352=7, CC352+Sheet2!B129,"")))))</f>
        <v>UF</v>
      </c>
      <c r="CX352" s="68" t="str">
        <f t="shared" si="394"/>
        <v/>
      </c>
      <c r="CY352" s="5" t="s">
        <v>12</v>
      </c>
      <c r="DA352" s="5" t="str">
        <f t="shared" si="372"/>
        <v>UF</v>
      </c>
      <c r="DB352" s="73" t="str">
        <f t="shared" si="373"/>
        <v>UF</v>
      </c>
      <c r="DC352" s="73" t="str">
        <f t="shared" si="374"/>
        <v>UF</v>
      </c>
      <c r="DD352" s="5" t="str">
        <f>IF(G352&lt;48,"UF", IF(NOT(ISBLANK(CZ:CZ)), CZ:CZ, IF(CL:CL=3, CK:CK+Sheet2!B132, IF(CL:CL=4, CK:CK+Sheet2!B133, IF(CL:CL=7, CK:CK+Sheet2!B134,"")))))</f>
        <v>UF</v>
      </c>
      <c r="DE352" s="69" t="str">
        <f t="shared" si="331"/>
        <v/>
      </c>
      <c r="DF352" s="2">
        <v>2</v>
      </c>
      <c r="DG352" s="2">
        <v>36</v>
      </c>
      <c r="DH352" s="2">
        <v>2</v>
      </c>
      <c r="DI352" s="2">
        <v>2</v>
      </c>
      <c r="DJ352" s="2">
        <v>2</v>
      </c>
      <c r="DK352" s="2">
        <v>95</v>
      </c>
      <c r="DL352" s="2">
        <v>60</v>
      </c>
      <c r="DM352" s="2">
        <v>100</v>
      </c>
      <c r="DN352" s="2">
        <v>60</v>
      </c>
      <c r="DO352" s="2">
        <v>95</v>
      </c>
      <c r="DP352" s="2">
        <v>60</v>
      </c>
      <c r="DQ352" s="2">
        <v>2</v>
      </c>
      <c r="DR352" s="2">
        <v>39</v>
      </c>
      <c r="DS352" s="2">
        <v>2</v>
      </c>
      <c r="DT352" s="2">
        <v>83</v>
      </c>
      <c r="DU352" s="2">
        <v>80</v>
      </c>
      <c r="DV352" s="2">
        <v>2</v>
      </c>
      <c r="DW352" s="2">
        <v>2</v>
      </c>
      <c r="DX352" s="2">
        <v>2</v>
      </c>
      <c r="DY352" s="2">
        <v>2</v>
      </c>
      <c r="DZ352" s="2">
        <v>34</v>
      </c>
      <c r="EA352" s="2">
        <v>35</v>
      </c>
      <c r="EB352" s="2">
        <v>44.5</v>
      </c>
      <c r="EC352" s="2">
        <v>1</v>
      </c>
      <c r="ED352" s="2">
        <v>1</v>
      </c>
    </row>
    <row r="353" spans="3:134" x14ac:dyDescent="0.25">
      <c r="C353" s="10" t="s">
        <v>379</v>
      </c>
      <c r="D353" s="10">
        <v>2501053656</v>
      </c>
      <c r="E353" s="2" t="s">
        <v>534</v>
      </c>
      <c r="F353" s="2">
        <v>2</v>
      </c>
      <c r="G353" s="2">
        <v>28</v>
      </c>
      <c r="H353" s="2">
        <v>-3.8444578951289961</v>
      </c>
      <c r="I353" s="2">
        <v>45</v>
      </c>
      <c r="J353" s="2">
        <v>-2.5799940983522691</v>
      </c>
      <c r="K353" s="5">
        <v>1900</v>
      </c>
      <c r="L353" s="2">
        <v>-3.4757405510426111</v>
      </c>
      <c r="M353" s="2">
        <v>-2.9036</v>
      </c>
      <c r="N353" s="2">
        <f t="shared" si="334"/>
        <v>0.39407894756449813</v>
      </c>
      <c r="O353" s="2">
        <f t="shared" si="335"/>
        <v>-2.9036</v>
      </c>
      <c r="P353" s="2">
        <v>65</v>
      </c>
      <c r="Q353" s="2">
        <v>-1.23</v>
      </c>
      <c r="R353" s="5">
        <f t="shared" si="336"/>
        <v>0.39999704917613454</v>
      </c>
      <c r="S353" s="5">
        <f t="shared" si="337"/>
        <v>-1.23</v>
      </c>
      <c r="T353" s="2">
        <v>5800</v>
      </c>
      <c r="U353" s="2">
        <v>-2.81</v>
      </c>
      <c r="V353" s="2">
        <f t="shared" si="338"/>
        <v>0.16287027552130562</v>
      </c>
      <c r="W353" s="2">
        <f t="shared" si="339"/>
        <v>-2.81</v>
      </c>
      <c r="X353" s="2">
        <v>-3.0562999999999998</v>
      </c>
      <c r="Y353" s="76">
        <f t="shared" si="375"/>
        <v>0.78815789512899626</v>
      </c>
      <c r="Z353" s="76">
        <f t="shared" si="376"/>
        <v>2</v>
      </c>
      <c r="AA353" s="2">
        <f t="shared" si="340"/>
        <v>-0.76194999999999991</v>
      </c>
      <c r="AB353" s="2">
        <f t="shared" si="341"/>
        <v>-3.0562999999999998</v>
      </c>
      <c r="AC353" s="2">
        <v>71.5</v>
      </c>
      <c r="AD353" s="2">
        <v>-1.78</v>
      </c>
      <c r="AE353" s="79">
        <f t="shared" si="377"/>
        <v>0.79999409835226909</v>
      </c>
      <c r="AF353" s="79">
        <f t="shared" si="378"/>
        <v>2</v>
      </c>
      <c r="AG353" s="2">
        <f t="shared" ref="AG353:AG416" si="395">IF(AND(NOT(ISBLANK(S353)), NOT(ISBLANK(AS353))), (AS353 - S353)/2, "")</f>
        <v>-0.17500000000000004</v>
      </c>
      <c r="AH353" s="2">
        <f t="shared" si="342"/>
        <v>-1.78</v>
      </c>
      <c r="AI353" s="2">
        <v>6800</v>
      </c>
      <c r="AJ353" s="2">
        <v>-3.15</v>
      </c>
      <c r="AK353" s="76">
        <f t="shared" si="379"/>
        <v>0.32574055104261124</v>
      </c>
      <c r="AL353" s="76">
        <f t="shared" si="380"/>
        <v>1</v>
      </c>
      <c r="AM353" s="2">
        <f t="shared" si="343"/>
        <v>5.0000000000001155E-3</v>
      </c>
      <c r="AN353" s="2">
        <f t="shared" si="344"/>
        <v>-3.15</v>
      </c>
      <c r="AO353" s="2">
        <v>-2.7538999999999998</v>
      </c>
      <c r="AP353" s="2">
        <f t="shared" si="345"/>
        <v>-0.38142210081177153</v>
      </c>
      <c r="AQ353" s="2">
        <f t="shared" si="346"/>
        <v>-2.7538999999999998</v>
      </c>
      <c r="AR353" s="2">
        <v>78</v>
      </c>
      <c r="AS353" s="2">
        <v>-1.58</v>
      </c>
      <c r="AT353" s="2">
        <f t="shared" si="347"/>
        <v>0.48730246323640641</v>
      </c>
      <c r="AU353" s="2">
        <f t="shared" si="348"/>
        <v>-1.58</v>
      </c>
      <c r="AV353" s="2">
        <v>8000</v>
      </c>
      <c r="AW353" s="2">
        <v>-2.8</v>
      </c>
      <c r="AX353" s="2">
        <f t="shared" si="349"/>
        <v>1.5268932870347474E-2</v>
      </c>
      <c r="AY353" s="2">
        <f t="shared" si="350"/>
        <v>-2.8</v>
      </c>
      <c r="AZ353" s="2">
        <v>-3.8191442016235428</v>
      </c>
      <c r="BA353" s="78">
        <f t="shared" si="381"/>
        <v>-0.76284420162354305</v>
      </c>
      <c r="BB353" s="78">
        <f t="shared" si="382"/>
        <v>-2</v>
      </c>
      <c r="BC353" s="2" t="str">
        <f t="shared" si="351"/>
        <v/>
      </c>
      <c r="BD353" s="2">
        <f t="shared" si="352"/>
        <v>-3.8191442016235428</v>
      </c>
      <c r="BE353" s="67">
        <f t="shared" si="383"/>
        <v>1</v>
      </c>
      <c r="BF353" s="2">
        <v>80</v>
      </c>
      <c r="BG353" s="2">
        <v>-0.8053950735271872</v>
      </c>
      <c r="BH353" s="2" t="str">
        <f t="shared" si="353"/>
        <v/>
      </c>
      <c r="BI353" s="2">
        <f t="shared" si="354"/>
        <v>-0.8053950735271872</v>
      </c>
      <c r="BJ353" s="67">
        <f t="shared" si="355"/>
        <v>7</v>
      </c>
      <c r="BK353" s="2">
        <v>9000</v>
      </c>
      <c r="BL353" s="2">
        <v>-3.119462134259305</v>
      </c>
      <c r="BM353" s="77">
        <f t="shared" si="384"/>
        <v>3.0537865740694947E-2</v>
      </c>
      <c r="BN353" s="77">
        <f t="shared" si="385"/>
        <v>1</v>
      </c>
      <c r="BO353" s="2" t="str">
        <f t="shared" si="356"/>
        <v/>
      </c>
      <c r="BP353" s="2">
        <f t="shared" si="357"/>
        <v>-3.119462134259305</v>
      </c>
      <c r="BQ353" s="67">
        <f t="shared" si="386"/>
        <v>3</v>
      </c>
      <c r="BS353" s="75" t="str">
        <f t="shared" si="387"/>
        <v>UF</v>
      </c>
      <c r="BT353" s="75" t="str">
        <f t="shared" si="388"/>
        <v>UF</v>
      </c>
      <c r="BU353" s="5" t="str">
        <f>IF(G359&gt;=36, IF(AND(NOT(ISBLANK(CM:CM)), NOT(ISBLANK(BD:BD))), (CM:CM-BD:BD)/2, ""), "UF")</f>
        <v>UF</v>
      </c>
      <c r="BV353" s="5" t="str">
        <f t="shared" si="358"/>
        <v>UF</v>
      </c>
      <c r="BW353" s="69" t="str">
        <f t="shared" si="359"/>
        <v/>
      </c>
      <c r="BX353" s="2" t="s">
        <v>12</v>
      </c>
      <c r="BZ353" s="74" t="str">
        <f t="shared" si="389"/>
        <v>UF</v>
      </c>
      <c r="CA353" s="74" t="str">
        <f t="shared" si="390"/>
        <v>UF</v>
      </c>
      <c r="CB353" s="5" t="str">
        <f t="shared" si="360"/>
        <v>UF</v>
      </c>
      <c r="CC353" s="5" t="str">
        <f t="shared" si="361"/>
        <v>UF</v>
      </c>
      <c r="CD353" s="2" t="e">
        <f t="shared" si="362"/>
        <v>#VALUE!</v>
      </c>
      <c r="CE353" s="69" t="str">
        <f t="shared" si="363"/>
        <v/>
      </c>
      <c r="CF353" s="5" t="s">
        <v>12</v>
      </c>
      <c r="CH353" s="72" t="str">
        <f t="shared" si="391"/>
        <v>UF</v>
      </c>
      <c r="CI353" s="72" t="str">
        <f t="shared" si="392"/>
        <v>UF</v>
      </c>
      <c r="CJ353" s="5" t="str">
        <f t="shared" si="364"/>
        <v>UF</v>
      </c>
      <c r="CK353" s="5" t="str">
        <f t="shared" si="365"/>
        <v>UF</v>
      </c>
      <c r="CL353" s="69" t="str">
        <f t="shared" si="366"/>
        <v/>
      </c>
      <c r="CN353" s="70" t="str">
        <f t="shared" si="367"/>
        <v/>
      </c>
      <c r="CO353" s="5" t="str">
        <f t="shared" si="368"/>
        <v>UF</v>
      </c>
      <c r="CP353" s="5" t="str">
        <f>IF(G353&lt;48,"UF", IF(NOT(ISBLANK(CM:CM)), CM:CM, IF(BW:BW=1, BV:BV+Sheet2!B39, IF(Sheet1!BW:BW=2, Sheet1!BV:BV+Sheet2!B40, IF(Sheet1!BW:BW=7, Sheet1!BV:BV+Sheet2!B41,"")))))</f>
        <v>UF</v>
      </c>
      <c r="CQ353" s="69" t="str">
        <f t="shared" si="393"/>
        <v/>
      </c>
      <c r="CR353" s="5" t="s">
        <v>12</v>
      </c>
      <c r="CT353" s="5" t="str">
        <f t="shared" si="369"/>
        <v/>
      </c>
      <c r="CU353" s="80" t="str">
        <f t="shared" si="370"/>
        <v>UF</v>
      </c>
      <c r="CV353" s="80" t="str">
        <f t="shared" si="371"/>
        <v>UF</v>
      </c>
      <c r="CW353" s="20" t="str">
        <f>IF(G353&lt;48,"UF", IF(NOT(ISBLANK(CS353)), CS353, IF(CE353=5, CC353+Sheet2!B28, IF(CE353=6, CC353+Sheet2!B29, IF(CE353=7, CC353+Sheet2!B30,"")))))</f>
        <v>UF</v>
      </c>
      <c r="CX353" s="68" t="str">
        <f t="shared" si="394"/>
        <v/>
      </c>
      <c r="CY353" s="5" t="s">
        <v>12</v>
      </c>
      <c r="DA353" s="5" t="str">
        <f t="shared" si="372"/>
        <v>UF</v>
      </c>
      <c r="DB353" s="73" t="str">
        <f t="shared" si="373"/>
        <v>UF</v>
      </c>
      <c r="DC353" s="73" t="str">
        <f t="shared" si="374"/>
        <v>UF</v>
      </c>
      <c r="DD353" s="5" t="str">
        <f>IF(G353&lt;48,"UF", IF(NOT(ISBLANK(CZ:CZ)), CZ:CZ, IF(CL:CL=3, CK:CK+Sheet2!B33, IF(CL:CL=4, CK:CK+Sheet2!B34, IF(CL:CL=7, CK:CK+Sheet2!B35,"")))))</f>
        <v>UF</v>
      </c>
      <c r="DE353" s="69" t="str">
        <f t="shared" si="331"/>
        <v/>
      </c>
      <c r="DF353" s="2">
        <v>3</v>
      </c>
      <c r="DG353" s="2">
        <v>34</v>
      </c>
      <c r="DH353" s="2">
        <v>1</v>
      </c>
      <c r="DI353" s="2">
        <v>1</v>
      </c>
      <c r="DJ353" s="2">
        <v>2</v>
      </c>
      <c r="DK353" s="2">
        <v>60</v>
      </c>
      <c r="DL353" s="2">
        <v>100</v>
      </c>
      <c r="DM353" s="2">
        <v>70</v>
      </c>
      <c r="DN353" s="2">
        <v>110</v>
      </c>
      <c r="DO353" s="2">
        <v>65</v>
      </c>
      <c r="DP353" s="2">
        <v>110</v>
      </c>
      <c r="DQ353" s="2">
        <v>2</v>
      </c>
      <c r="DR353" s="2">
        <v>37</v>
      </c>
      <c r="DS353" s="2">
        <v>1</v>
      </c>
      <c r="DT353" s="2">
        <v>94</v>
      </c>
      <c r="DU353" s="2" t="s">
        <v>12</v>
      </c>
      <c r="DV353" s="2">
        <v>2</v>
      </c>
      <c r="DW353" s="2">
        <v>2</v>
      </c>
      <c r="DX353" s="2">
        <v>2</v>
      </c>
      <c r="DY353" s="2">
        <v>2</v>
      </c>
      <c r="DZ353" s="2">
        <v>32</v>
      </c>
      <c r="EA353" s="2">
        <v>33</v>
      </c>
      <c r="EB353" s="2">
        <v>43.5</v>
      </c>
      <c r="EC353" s="2">
        <v>1</v>
      </c>
      <c r="ED353" s="2">
        <v>1</v>
      </c>
    </row>
    <row r="354" spans="3:134" x14ac:dyDescent="0.25">
      <c r="C354" s="5" t="s">
        <v>154</v>
      </c>
      <c r="D354" s="2">
        <v>2501053737</v>
      </c>
      <c r="E354" s="5" t="s">
        <v>540</v>
      </c>
      <c r="F354" s="2">
        <v>1</v>
      </c>
      <c r="G354" s="2">
        <v>27</v>
      </c>
      <c r="H354" s="2">
        <v>0.75671930680204125</v>
      </c>
      <c r="I354" s="2">
        <v>44</v>
      </c>
      <c r="J354" s="2">
        <v>-2.763572780344921</v>
      </c>
      <c r="K354" s="5">
        <v>2770</v>
      </c>
      <c r="L354" s="2">
        <v>-1.057568225755859</v>
      </c>
      <c r="M354" s="2">
        <v>-0.98419999999999996</v>
      </c>
      <c r="N354" s="2">
        <f t="shared" si="334"/>
        <v>-0.4118096534010206</v>
      </c>
      <c r="O354" s="2">
        <f t="shared" si="335"/>
        <v>-0.98419999999999996</v>
      </c>
      <c r="P354" s="2">
        <v>62</v>
      </c>
      <c r="Q354" s="2">
        <v>-1.65</v>
      </c>
      <c r="R354" s="5">
        <f t="shared" si="336"/>
        <v>2.1786390172460424E-2</v>
      </c>
      <c r="S354" s="5">
        <f t="shared" si="337"/>
        <v>-1.65</v>
      </c>
      <c r="T354" s="1">
        <v>5950</v>
      </c>
      <c r="U354" s="2">
        <v>-1.69</v>
      </c>
      <c r="V354" s="2">
        <f t="shared" si="338"/>
        <v>-0.31621588712207049</v>
      </c>
      <c r="W354" s="2">
        <f t="shared" si="339"/>
        <v>-1.69</v>
      </c>
      <c r="X354" s="2">
        <v>-6.6900000000000001E-2</v>
      </c>
      <c r="Y354" s="76">
        <f t="shared" si="375"/>
        <v>-0.82361930680204121</v>
      </c>
      <c r="Z354" s="76">
        <f t="shared" si="376"/>
        <v>-2</v>
      </c>
      <c r="AA354" s="2">
        <f t="shared" si="340"/>
        <v>0.62659999999999993</v>
      </c>
      <c r="AB354" s="2">
        <f t="shared" si="341"/>
        <v>-6.6900000000000001E-2</v>
      </c>
      <c r="AC354" s="2">
        <v>67</v>
      </c>
      <c r="AD354" s="2">
        <v>-2.72</v>
      </c>
      <c r="AE354" s="79">
        <f t="shared" si="377"/>
        <v>4.3572780344920847E-2</v>
      </c>
      <c r="AF354" s="79">
        <f t="shared" si="378"/>
        <v>1</v>
      </c>
      <c r="AG354" s="2">
        <f t="shared" si="395"/>
        <v>-0.50500000000000012</v>
      </c>
      <c r="AH354" s="2">
        <f t="shared" si="342"/>
        <v>-2.72</v>
      </c>
      <c r="AI354" s="2">
        <v>7300</v>
      </c>
      <c r="AJ354" s="2">
        <v>-1.69</v>
      </c>
      <c r="AK354" s="76">
        <f t="shared" si="379"/>
        <v>-0.63243177424414099</v>
      </c>
      <c r="AL354" s="76">
        <f t="shared" si="380"/>
        <v>-1</v>
      </c>
      <c r="AM354" s="2">
        <f t="shared" si="343"/>
        <v>-0.13500000000000001</v>
      </c>
      <c r="AN354" s="2">
        <f t="shared" si="344"/>
        <v>-1.69</v>
      </c>
      <c r="AO354" s="2">
        <v>-0.39679999999999999</v>
      </c>
      <c r="AP354" s="2">
        <f t="shared" si="345"/>
        <v>-0.81389677554442952</v>
      </c>
      <c r="AQ354" s="2">
        <f t="shared" si="346"/>
        <v>-0.39679999999999999</v>
      </c>
      <c r="AR354" s="2">
        <v>73</v>
      </c>
      <c r="AS354" s="2">
        <v>-2.66</v>
      </c>
      <c r="AT354" s="2">
        <f t="shared" si="347"/>
        <v>0.73073321475828912</v>
      </c>
      <c r="AU354" s="2">
        <f t="shared" si="348"/>
        <v>-2.66</v>
      </c>
      <c r="AV354" s="2">
        <v>8100</v>
      </c>
      <c r="AW354" s="2">
        <v>-1.96</v>
      </c>
      <c r="AX354" s="2">
        <f t="shared" si="349"/>
        <v>-0.4614686338963141</v>
      </c>
      <c r="AY354" s="2">
        <f t="shared" si="350"/>
        <v>-1.96</v>
      </c>
      <c r="AZ354" s="2">
        <v>-1.694693551088859</v>
      </c>
      <c r="BA354" s="78">
        <f t="shared" si="381"/>
        <v>-1.627793551088859</v>
      </c>
      <c r="BB354" s="78">
        <f t="shared" si="382"/>
        <v>-2</v>
      </c>
      <c r="BC354" s="2" t="str">
        <f t="shared" si="351"/>
        <v/>
      </c>
      <c r="BD354" s="2">
        <f t="shared" si="352"/>
        <v>-1.694693551088859</v>
      </c>
      <c r="BE354" s="67">
        <f t="shared" si="383"/>
        <v>7</v>
      </c>
      <c r="BF354" s="2">
        <v>81</v>
      </c>
      <c r="BG354" s="2">
        <v>-1.258533570483422</v>
      </c>
      <c r="BH354" s="2" t="str">
        <f t="shared" si="353"/>
        <v/>
      </c>
      <c r="BI354" s="2">
        <f t="shared" si="354"/>
        <v>-1.258533570483422</v>
      </c>
      <c r="BJ354" s="67">
        <f t="shared" si="355"/>
        <v>7</v>
      </c>
      <c r="BK354" s="2">
        <v>9400</v>
      </c>
      <c r="BL354" s="2">
        <v>-2.6129372677926281</v>
      </c>
      <c r="BM354" s="77">
        <f t="shared" si="384"/>
        <v>-0.92293726779262819</v>
      </c>
      <c r="BN354" s="77">
        <f t="shared" si="385"/>
        <v>-2</v>
      </c>
      <c r="BO354" s="2" t="str">
        <f t="shared" si="356"/>
        <v/>
      </c>
      <c r="BP354" s="2">
        <f t="shared" si="357"/>
        <v>-2.6129372677926281</v>
      </c>
      <c r="BQ354" s="67">
        <f t="shared" si="386"/>
        <v>4</v>
      </c>
      <c r="BS354" s="75" t="str">
        <f t="shared" si="387"/>
        <v>UF</v>
      </c>
      <c r="BT354" s="75" t="str">
        <f t="shared" si="388"/>
        <v>UF</v>
      </c>
      <c r="BU354" s="5" t="str">
        <f>IF(G362&gt;=36, IF(AND(NOT(ISBLANK(CM:CM)), NOT(ISBLANK(BD:BD))), (CM:CM-BD:BD)/2, ""), "UF")</f>
        <v>UF</v>
      </c>
      <c r="BV354" s="5" t="str">
        <f t="shared" si="358"/>
        <v>UF</v>
      </c>
      <c r="BW354" s="69" t="str">
        <f t="shared" si="359"/>
        <v/>
      </c>
      <c r="BX354" s="2" t="s">
        <v>12</v>
      </c>
      <c r="BZ354" s="74" t="str">
        <f t="shared" si="389"/>
        <v>UF</v>
      </c>
      <c r="CA354" s="74" t="str">
        <f t="shared" si="390"/>
        <v>UF</v>
      </c>
      <c r="CB354" s="5" t="str">
        <f t="shared" si="360"/>
        <v>UF</v>
      </c>
      <c r="CC354" s="5" t="str">
        <f t="shared" si="361"/>
        <v>UF</v>
      </c>
      <c r="CD354" s="2" t="e">
        <f t="shared" si="362"/>
        <v>#VALUE!</v>
      </c>
      <c r="CE354" s="69" t="str">
        <f t="shared" si="363"/>
        <v/>
      </c>
      <c r="CF354" s="5" t="s">
        <v>12</v>
      </c>
      <c r="CH354" s="72" t="str">
        <f t="shared" si="391"/>
        <v>UF</v>
      </c>
      <c r="CI354" s="72" t="str">
        <f t="shared" si="392"/>
        <v>UF</v>
      </c>
      <c r="CJ354" s="5" t="str">
        <f t="shared" si="364"/>
        <v>UF</v>
      </c>
      <c r="CK354" s="5" t="str">
        <f t="shared" si="365"/>
        <v>UF</v>
      </c>
      <c r="CL354" s="69" t="str">
        <f t="shared" si="366"/>
        <v/>
      </c>
      <c r="CN354" s="70" t="str">
        <f t="shared" si="367"/>
        <v/>
      </c>
      <c r="CO354" s="5" t="str">
        <f t="shared" si="368"/>
        <v>UF</v>
      </c>
      <c r="CP354" s="5" t="str">
        <f>IF(G354&lt;48,"UF", IF(NOT(ISBLANK(CM:CM)), CM:CM, IF(BW:BW=1, BV:BV+Sheet2!B292, IF(Sheet1!BW:BW=2, Sheet1!BV:BV+Sheet2!B293, IF(Sheet1!BW:BW=7, Sheet1!BV:BV+Sheet2!B294,"")))))</f>
        <v>UF</v>
      </c>
      <c r="CQ354" s="69" t="str">
        <f t="shared" si="393"/>
        <v/>
      </c>
      <c r="CR354" s="5" t="s">
        <v>12</v>
      </c>
      <c r="CT354" s="5" t="str">
        <f t="shared" si="369"/>
        <v/>
      </c>
      <c r="CU354" s="80" t="str">
        <f t="shared" si="370"/>
        <v>UF</v>
      </c>
      <c r="CV354" s="80" t="str">
        <f t="shared" si="371"/>
        <v>UF</v>
      </c>
      <c r="CW354" s="20" t="str">
        <f>IF(G354&lt;48,"UF", IF(NOT(ISBLANK(CS354)), CS354, IF(CE354=5, CC354+Sheet2!B281, IF(CE354=6, CC354+Sheet2!B282, IF(CE354=7, CC354+Sheet2!B283,"")))))</f>
        <v>UF</v>
      </c>
      <c r="CX354" s="68" t="str">
        <f t="shared" si="394"/>
        <v/>
      </c>
      <c r="CY354" s="5" t="s">
        <v>12</v>
      </c>
      <c r="DA354" s="5" t="str">
        <f t="shared" si="372"/>
        <v>UF</v>
      </c>
      <c r="DB354" s="73" t="str">
        <f t="shared" si="373"/>
        <v>UF</v>
      </c>
      <c r="DC354" s="73" t="str">
        <f t="shared" si="374"/>
        <v>UF</v>
      </c>
      <c r="DD354" s="5" t="str">
        <f>IF(G354&lt;48,"UF", IF(NOT(ISBLANK(CZ:CZ)), CZ:CZ, IF(CL:CL=3, CK:CK+Sheet2!B286, IF(CL:CL=4, CK:CK+Sheet2!B287, IF(CL:CL=7, CK:CK+Sheet2!B288,"")))))</f>
        <v>UF</v>
      </c>
      <c r="DE354" s="69" t="str">
        <f t="shared" si="331"/>
        <v/>
      </c>
      <c r="DF354" s="2">
        <v>2</v>
      </c>
      <c r="DG354" s="2">
        <v>26</v>
      </c>
      <c r="DH354" s="2">
        <v>2</v>
      </c>
      <c r="DI354" s="2">
        <v>2</v>
      </c>
      <c r="DJ354" s="2">
        <v>3</v>
      </c>
      <c r="DK354" s="2" t="s">
        <v>12</v>
      </c>
      <c r="DL354" s="2" t="s">
        <v>12</v>
      </c>
      <c r="DM354" s="2" t="s">
        <v>12</v>
      </c>
      <c r="DN354" s="2" t="s">
        <v>12</v>
      </c>
      <c r="DO354" s="2" t="s">
        <v>12</v>
      </c>
      <c r="DP354" s="2" t="s">
        <v>12</v>
      </c>
      <c r="DQ354" s="2">
        <v>2</v>
      </c>
      <c r="DR354" s="2">
        <v>38</v>
      </c>
      <c r="DS354" s="2">
        <v>3</v>
      </c>
      <c r="DT354" s="2" t="s">
        <v>12</v>
      </c>
      <c r="DU354" s="2" t="s">
        <v>12</v>
      </c>
      <c r="DV354" s="2">
        <v>2</v>
      </c>
      <c r="DW354" s="2">
        <v>2</v>
      </c>
      <c r="DX354" s="2">
        <v>2</v>
      </c>
      <c r="DY354" s="2">
        <v>3</v>
      </c>
      <c r="DZ354" s="2">
        <v>34</v>
      </c>
      <c r="EA354" s="2" t="s">
        <v>12</v>
      </c>
      <c r="EB354" s="2">
        <v>45</v>
      </c>
      <c r="EC354" s="2" t="s">
        <v>12</v>
      </c>
      <c r="ED354" s="2">
        <v>1</v>
      </c>
    </row>
    <row r="355" spans="3:134" x14ac:dyDescent="0.25">
      <c r="C355" s="5" t="s">
        <v>145</v>
      </c>
      <c r="D355" s="8">
        <v>2501053931</v>
      </c>
      <c r="E355" s="2">
        <v>6</v>
      </c>
      <c r="F355" s="2">
        <v>2</v>
      </c>
      <c r="G355" s="2">
        <v>27</v>
      </c>
      <c r="H355" s="2">
        <v>-1.3618282380830249</v>
      </c>
      <c r="I355" s="2">
        <v>50</v>
      </c>
      <c r="J355" s="2">
        <v>6.1168777667580831E-2</v>
      </c>
      <c r="K355" s="5">
        <v>2950</v>
      </c>
      <c r="L355" s="2">
        <v>-0.84473811093517004</v>
      </c>
      <c r="M355" s="2">
        <v>0.755</v>
      </c>
      <c r="N355" s="2">
        <f t="shared" si="334"/>
        <v>1.1699641190415124</v>
      </c>
      <c r="O355" s="2">
        <f t="shared" si="335"/>
        <v>0.755</v>
      </c>
      <c r="P355" s="2">
        <v>65</v>
      </c>
      <c r="Q355" s="2">
        <v>-1.23</v>
      </c>
      <c r="R355" s="5">
        <f t="shared" si="336"/>
        <v>-0.92058438883379046</v>
      </c>
      <c r="S355" s="5">
        <f t="shared" si="337"/>
        <v>-1.23</v>
      </c>
      <c r="T355" s="1">
        <v>7800</v>
      </c>
      <c r="U355" s="2">
        <v>-0.16</v>
      </c>
      <c r="V355" s="2">
        <f t="shared" si="338"/>
        <v>0.25736905546758504</v>
      </c>
      <c r="W355" s="2">
        <f t="shared" si="339"/>
        <v>-0.16</v>
      </c>
      <c r="X355" s="2">
        <v>0.97809999999999997</v>
      </c>
      <c r="Y355" s="76">
        <f t="shared" si="375"/>
        <v>2.3399282380830249</v>
      </c>
      <c r="Z355" s="76">
        <f t="shared" si="376"/>
        <v>2</v>
      </c>
      <c r="AA355" s="2">
        <f t="shared" si="340"/>
        <v>0.2913</v>
      </c>
      <c r="AB355" s="2">
        <f t="shared" si="341"/>
        <v>0.97809999999999997</v>
      </c>
      <c r="AC355" s="2">
        <v>71.5</v>
      </c>
      <c r="AD355" s="2">
        <v>-1.78</v>
      </c>
      <c r="AE355" s="79">
        <f t="shared" si="377"/>
        <v>-1.8411687776675809</v>
      </c>
      <c r="AF355" s="79">
        <f t="shared" si="378"/>
        <v>-2</v>
      </c>
      <c r="AG355" s="2">
        <f t="shared" si="395"/>
        <v>0.10499999999999998</v>
      </c>
      <c r="AH355" s="2">
        <f t="shared" si="342"/>
        <v>-1.78</v>
      </c>
      <c r="AI355" s="2">
        <v>9300</v>
      </c>
      <c r="AJ355" s="2">
        <v>-0.33</v>
      </c>
      <c r="AK355" s="76">
        <f t="shared" si="379"/>
        <v>0.51473811093517008</v>
      </c>
      <c r="AL355" s="76">
        <f t="shared" si="380"/>
        <v>1</v>
      </c>
      <c r="AM355" s="2">
        <f t="shared" si="343"/>
        <v>-0.46</v>
      </c>
      <c r="AN355" s="2">
        <f t="shared" si="344"/>
        <v>-0.33</v>
      </c>
      <c r="AO355" s="2">
        <v>-0.64739999999999998</v>
      </c>
      <c r="AP355" s="2">
        <f t="shared" si="345"/>
        <v>-0.71987360117234644</v>
      </c>
      <c r="AQ355" s="2">
        <f t="shared" si="346"/>
        <v>-0.64739999999999998</v>
      </c>
      <c r="AR355" s="2">
        <v>79.5</v>
      </c>
      <c r="AS355" s="2">
        <v>-1.02</v>
      </c>
      <c r="AT355" s="2">
        <f t="shared" si="347"/>
        <v>0.33981912602383402</v>
      </c>
      <c r="AU355" s="2">
        <f t="shared" si="348"/>
        <v>-1.02</v>
      </c>
      <c r="AV355" s="2">
        <v>9700</v>
      </c>
      <c r="AW355" s="2">
        <v>-1.08</v>
      </c>
      <c r="AX355" s="2">
        <f t="shared" si="349"/>
        <v>-0.525308719385011</v>
      </c>
      <c r="AY355" s="2">
        <f t="shared" si="350"/>
        <v>-1.08</v>
      </c>
      <c r="AZ355" s="2">
        <v>-0.46164720234469298</v>
      </c>
      <c r="BA355" s="78">
        <f t="shared" si="381"/>
        <v>-1.4397472023446929</v>
      </c>
      <c r="BB355" s="78">
        <f t="shared" si="382"/>
        <v>-2</v>
      </c>
      <c r="BC355" s="2" t="str">
        <f t="shared" si="351"/>
        <v/>
      </c>
      <c r="BD355" s="2">
        <f t="shared" si="352"/>
        <v>-0.46164720234469298</v>
      </c>
      <c r="BE355" s="67">
        <f t="shared" si="383"/>
        <v>7</v>
      </c>
      <c r="BF355" s="2">
        <v>83</v>
      </c>
      <c r="BG355" s="2">
        <v>-1.100361747952332</v>
      </c>
      <c r="BH355" s="2" t="str">
        <f t="shared" si="353"/>
        <v/>
      </c>
      <c r="BI355" s="2">
        <f t="shared" si="354"/>
        <v>-1.100361747952332</v>
      </c>
      <c r="BJ355" s="67">
        <f t="shared" si="355"/>
        <v>7</v>
      </c>
      <c r="BK355" s="2">
        <v>11000</v>
      </c>
      <c r="BL355" s="2">
        <v>-1.3806174387700221</v>
      </c>
      <c r="BM355" s="77">
        <f t="shared" si="384"/>
        <v>-1.050617438770022</v>
      </c>
      <c r="BN355" s="77">
        <f t="shared" si="385"/>
        <v>-2</v>
      </c>
      <c r="BO355" s="2" t="str">
        <f t="shared" si="356"/>
        <v/>
      </c>
      <c r="BP355" s="2">
        <f t="shared" si="357"/>
        <v>-1.3806174387700221</v>
      </c>
      <c r="BQ355" s="67">
        <f t="shared" si="386"/>
        <v>7</v>
      </c>
      <c r="BS355" s="75" t="str">
        <f t="shared" si="387"/>
        <v>UF</v>
      </c>
      <c r="BT355" s="75" t="str">
        <f t="shared" si="388"/>
        <v>UF</v>
      </c>
      <c r="BU355" s="5" t="str">
        <f t="shared" ref="BU355:BU370" si="396">IF(G364&gt;=36, IF(AND(NOT(ISBLANK(CM:CM)), NOT(ISBLANK(BD:BD))), (CM:CM-BD:BD)/2, ""), "UF")</f>
        <v>UF</v>
      </c>
      <c r="BV355" s="5" t="str">
        <f t="shared" si="358"/>
        <v>UF</v>
      </c>
      <c r="BW355" s="69" t="str">
        <f t="shared" si="359"/>
        <v/>
      </c>
      <c r="BX355" s="2" t="s">
        <v>12</v>
      </c>
      <c r="BZ355" s="74" t="str">
        <f t="shared" si="389"/>
        <v>UF</v>
      </c>
      <c r="CA355" s="74" t="str">
        <f t="shared" si="390"/>
        <v>UF</v>
      </c>
      <c r="CB355" s="5" t="str">
        <f t="shared" si="360"/>
        <v>UF</v>
      </c>
      <c r="CC355" s="5" t="str">
        <f t="shared" si="361"/>
        <v>UF</v>
      </c>
      <c r="CD355" s="2" t="e">
        <f t="shared" si="362"/>
        <v>#VALUE!</v>
      </c>
      <c r="CE355" s="69" t="str">
        <f t="shared" si="363"/>
        <v/>
      </c>
      <c r="CF355" s="5" t="s">
        <v>12</v>
      </c>
      <c r="CH355" s="72" t="str">
        <f t="shared" si="391"/>
        <v>UF</v>
      </c>
      <c r="CI355" s="72" t="str">
        <f t="shared" si="392"/>
        <v>UF</v>
      </c>
      <c r="CJ355" s="5" t="str">
        <f t="shared" si="364"/>
        <v>UF</v>
      </c>
      <c r="CK355" s="5" t="str">
        <f t="shared" si="365"/>
        <v>UF</v>
      </c>
      <c r="CL355" s="69" t="str">
        <f t="shared" si="366"/>
        <v/>
      </c>
      <c r="CN355" s="70" t="str">
        <f t="shared" si="367"/>
        <v/>
      </c>
      <c r="CO355" s="5" t="str">
        <f t="shared" si="368"/>
        <v>UF</v>
      </c>
      <c r="CP355" s="5" t="str">
        <f>IF(G355&lt;48,"UF", IF(NOT(ISBLANK(CM:CM)), CM:CM, IF(BW:BW=1, BV:BV+Sheet2!B269, IF(Sheet1!BW:BW=2, Sheet1!BV:BV+Sheet2!B270, IF(Sheet1!BW:BW=7, Sheet1!BV:BV+Sheet2!B271,"")))))</f>
        <v>UF</v>
      </c>
      <c r="CQ355" s="69" t="str">
        <f t="shared" si="393"/>
        <v/>
      </c>
      <c r="CR355" s="5" t="s">
        <v>12</v>
      </c>
      <c r="CT355" s="5" t="str">
        <f t="shared" si="369"/>
        <v/>
      </c>
      <c r="CU355" s="80" t="str">
        <f t="shared" si="370"/>
        <v>UF</v>
      </c>
      <c r="CV355" s="80" t="str">
        <f t="shared" si="371"/>
        <v>UF</v>
      </c>
      <c r="CW355" s="20" t="str">
        <f>IF(G355&lt;48,"UF", IF(NOT(ISBLANK(CS355)), CS355, IF(CE355=5, CC355+Sheet2!B258, IF(CE355=6, CC355+Sheet2!B259, IF(CE355=7, CC355+Sheet2!B260,"")))))</f>
        <v>UF</v>
      </c>
      <c r="CX355" s="68" t="str">
        <f t="shared" si="394"/>
        <v/>
      </c>
      <c r="CY355" s="5" t="s">
        <v>12</v>
      </c>
      <c r="DA355" s="5" t="str">
        <f t="shared" si="372"/>
        <v>UF</v>
      </c>
      <c r="DB355" s="73" t="str">
        <f t="shared" si="373"/>
        <v>UF</v>
      </c>
      <c r="DC355" s="73" t="str">
        <f t="shared" si="374"/>
        <v>UF</v>
      </c>
      <c r="DD355" s="5" t="str">
        <f>IF(G355&lt;48,"UF", IF(NOT(ISBLANK(CZ:CZ)), CZ:CZ, IF(CL:CL=3, CK:CK+Sheet2!B263, IF(CL:CL=4, CK:CK+Sheet2!B264, IF(CL:CL=7, CK:CK+Sheet2!B265,"")))))</f>
        <v>UF</v>
      </c>
      <c r="DE355" s="69" t="str">
        <f t="shared" si="331"/>
        <v/>
      </c>
      <c r="DF355" s="2">
        <v>2</v>
      </c>
      <c r="DG355" s="2">
        <v>24</v>
      </c>
      <c r="DH355" s="2">
        <v>2</v>
      </c>
      <c r="DI355" s="2">
        <v>2</v>
      </c>
      <c r="DJ355" s="2">
        <v>2</v>
      </c>
      <c r="DK355" s="2">
        <v>120</v>
      </c>
      <c r="DL355" s="2">
        <v>60</v>
      </c>
      <c r="DM355" s="2">
        <v>115</v>
      </c>
      <c r="DN355" s="2">
        <v>60</v>
      </c>
      <c r="DO355" s="2">
        <v>110</v>
      </c>
      <c r="DP355" s="2">
        <v>70</v>
      </c>
      <c r="DQ355" s="2">
        <v>2</v>
      </c>
      <c r="DR355" s="2">
        <v>39</v>
      </c>
      <c r="DS355" s="2">
        <v>1</v>
      </c>
      <c r="DT355" s="2">
        <v>95</v>
      </c>
      <c r="DU355" s="2">
        <v>88</v>
      </c>
      <c r="DV355" s="2">
        <v>2</v>
      </c>
      <c r="DW355" s="2">
        <v>2</v>
      </c>
      <c r="DX355" s="2">
        <v>2</v>
      </c>
      <c r="DY355" s="2">
        <v>2</v>
      </c>
      <c r="DZ355" s="2">
        <v>31</v>
      </c>
      <c r="EA355" s="2">
        <v>37</v>
      </c>
      <c r="EB355" s="2">
        <v>46.5</v>
      </c>
      <c r="EC355" s="2">
        <v>1</v>
      </c>
      <c r="ED355" s="2">
        <v>1</v>
      </c>
    </row>
    <row r="356" spans="3:134" x14ac:dyDescent="0.25">
      <c r="C356" s="8" t="s">
        <v>184</v>
      </c>
      <c r="D356" s="4">
        <v>2501054008</v>
      </c>
      <c r="E356" s="5">
        <v>7</v>
      </c>
      <c r="F356" s="2">
        <v>1</v>
      </c>
      <c r="G356" s="2">
        <v>26</v>
      </c>
      <c r="H356" s="2">
        <v>-0.80451002704383157</v>
      </c>
      <c r="I356" s="2">
        <v>51</v>
      </c>
      <c r="J356" s="2">
        <v>0.99441714029262385</v>
      </c>
      <c r="K356" s="1">
        <v>3220</v>
      </c>
      <c r="L356" s="2">
        <v>-2.6666498307373911E-2</v>
      </c>
      <c r="M356" s="2">
        <v>0.49020000000000002</v>
      </c>
      <c r="N356" s="2">
        <f t="shared" si="334"/>
        <v>0.7675050135219158</v>
      </c>
      <c r="O356" s="2">
        <f t="shared" si="335"/>
        <v>0.49020000000000002</v>
      </c>
      <c r="P356" s="2">
        <v>66</v>
      </c>
      <c r="Q356" s="2">
        <v>0.11</v>
      </c>
      <c r="R356" s="5">
        <f t="shared" si="336"/>
        <v>-1.082208570146312</v>
      </c>
      <c r="S356" s="5">
        <f t="shared" si="337"/>
        <v>0.11</v>
      </c>
      <c r="T356" s="1">
        <v>7700</v>
      </c>
      <c r="U356" s="2">
        <v>0.43</v>
      </c>
      <c r="V356" s="2">
        <f t="shared" si="338"/>
        <v>-5.1666750846313045E-2</v>
      </c>
      <c r="W356" s="2">
        <f t="shared" si="339"/>
        <v>0.43</v>
      </c>
      <c r="X356" s="2">
        <v>0.73050000000000004</v>
      </c>
      <c r="Y356" s="76">
        <f t="shared" si="375"/>
        <v>1.5350100270438316</v>
      </c>
      <c r="Z356" s="76">
        <f t="shared" si="376"/>
        <v>2</v>
      </c>
      <c r="AA356" s="2">
        <f t="shared" si="340"/>
        <v>-3.5549999999999998E-2</v>
      </c>
      <c r="AB356" s="2">
        <f t="shared" si="341"/>
        <v>0.73050000000000004</v>
      </c>
      <c r="AC356" s="2">
        <v>71</v>
      </c>
      <c r="AD356" s="2">
        <v>-1.17</v>
      </c>
      <c r="AE356" s="79">
        <f t="shared" si="377"/>
        <v>-2.164417140292624</v>
      </c>
      <c r="AF356" s="79">
        <f t="shared" si="378"/>
        <v>-2</v>
      </c>
      <c r="AG356" s="2">
        <f t="shared" si="395"/>
        <v>-0.52</v>
      </c>
      <c r="AH356" s="2">
        <f t="shared" si="342"/>
        <v>-1.17</v>
      </c>
      <c r="AI356" s="2">
        <v>8800</v>
      </c>
      <c r="AJ356" s="2">
        <v>-0.13</v>
      </c>
      <c r="AK356" s="76">
        <f t="shared" si="379"/>
        <v>-0.10333350169262609</v>
      </c>
      <c r="AL356" s="76">
        <f t="shared" si="380"/>
        <v>-1</v>
      </c>
      <c r="AM356" s="2">
        <f t="shared" si="343"/>
        <v>-0.47499999999999998</v>
      </c>
      <c r="AN356" s="2">
        <f t="shared" si="344"/>
        <v>-0.13</v>
      </c>
      <c r="AO356" s="2">
        <v>3.8899999999999997E-2</v>
      </c>
      <c r="AP356" s="2">
        <f t="shared" si="345"/>
        <v>-0.75779174927943749</v>
      </c>
      <c r="AQ356" s="2">
        <f t="shared" si="346"/>
        <v>3.8899999999999997E-2</v>
      </c>
      <c r="AR356" s="2">
        <v>78</v>
      </c>
      <c r="AS356" s="2">
        <v>-0.93</v>
      </c>
      <c r="AT356" s="2">
        <f t="shared" si="347"/>
        <v>0.52807336982547992</v>
      </c>
      <c r="AU356" s="2">
        <f t="shared" si="348"/>
        <v>-0.93</v>
      </c>
      <c r="AV356" s="2">
        <v>9600</v>
      </c>
      <c r="AW356" s="2">
        <v>-0.52</v>
      </c>
      <c r="AX356" s="2">
        <f t="shared" si="349"/>
        <v>-0.36272540616647186</v>
      </c>
      <c r="AY356" s="2">
        <f t="shared" si="350"/>
        <v>-0.52</v>
      </c>
      <c r="AZ356" s="2">
        <v>-0.78508349855887483</v>
      </c>
      <c r="BA356" s="78">
        <f t="shared" si="381"/>
        <v>-1.515583498558875</v>
      </c>
      <c r="BB356" s="78">
        <f t="shared" si="382"/>
        <v>-2</v>
      </c>
      <c r="BC356" s="2" t="str">
        <f t="shared" si="351"/>
        <v/>
      </c>
      <c r="BD356" s="2">
        <f t="shared" si="352"/>
        <v>-0.78508349855887483</v>
      </c>
      <c r="BE356" s="67">
        <f t="shared" si="383"/>
        <v>7</v>
      </c>
      <c r="BF356" s="2">
        <v>85</v>
      </c>
      <c r="BG356" s="2">
        <v>-0.11385326034904</v>
      </c>
      <c r="BH356" s="2" t="str">
        <f t="shared" si="353"/>
        <v/>
      </c>
      <c r="BI356" s="2">
        <f t="shared" si="354"/>
        <v>-0.11385326034904</v>
      </c>
      <c r="BJ356" s="67">
        <f t="shared" si="355"/>
        <v>7</v>
      </c>
      <c r="BK356" s="2">
        <v>11100</v>
      </c>
      <c r="BL356" s="2">
        <v>-0.85545081233294373</v>
      </c>
      <c r="BM356" s="77">
        <f t="shared" si="384"/>
        <v>-0.72545081233294373</v>
      </c>
      <c r="BN356" s="77">
        <f t="shared" si="385"/>
        <v>-2</v>
      </c>
      <c r="BO356" s="2" t="str">
        <f t="shared" si="356"/>
        <v/>
      </c>
      <c r="BP356" s="2">
        <f t="shared" si="357"/>
        <v>-0.85545081233294373</v>
      </c>
      <c r="BQ356" s="67">
        <f t="shared" si="386"/>
        <v>7</v>
      </c>
      <c r="BS356" s="75" t="str">
        <f t="shared" si="387"/>
        <v>UF</v>
      </c>
      <c r="BT356" s="75" t="str">
        <f t="shared" si="388"/>
        <v>UF</v>
      </c>
      <c r="BU356" s="5" t="str">
        <f t="shared" si="396"/>
        <v>UF</v>
      </c>
      <c r="BV356" s="5" t="str">
        <f t="shared" si="358"/>
        <v>UF</v>
      </c>
      <c r="BW356" s="69" t="str">
        <f t="shared" si="359"/>
        <v/>
      </c>
      <c r="BX356" s="2" t="s">
        <v>12</v>
      </c>
      <c r="BZ356" s="74" t="str">
        <f t="shared" si="389"/>
        <v>UF</v>
      </c>
      <c r="CA356" s="74" t="str">
        <f t="shared" si="390"/>
        <v>UF</v>
      </c>
      <c r="CB356" s="5" t="str">
        <f t="shared" si="360"/>
        <v>UF</v>
      </c>
      <c r="CC356" s="5" t="str">
        <f t="shared" si="361"/>
        <v>UF</v>
      </c>
      <c r="CD356" s="2" t="e">
        <f t="shared" si="362"/>
        <v>#VALUE!</v>
      </c>
      <c r="CE356" s="69" t="str">
        <f t="shared" si="363"/>
        <v/>
      </c>
      <c r="CF356" s="5" t="s">
        <v>12</v>
      </c>
      <c r="CH356" s="72" t="str">
        <f t="shared" si="391"/>
        <v>UF</v>
      </c>
      <c r="CI356" s="72" t="str">
        <f t="shared" si="392"/>
        <v>UF</v>
      </c>
      <c r="CJ356" s="5" t="str">
        <f t="shared" si="364"/>
        <v>UF</v>
      </c>
      <c r="CK356" s="5" t="str">
        <f t="shared" si="365"/>
        <v>UF</v>
      </c>
      <c r="CL356" s="69" t="str">
        <f t="shared" si="366"/>
        <v/>
      </c>
      <c r="CN356" s="70" t="str">
        <f t="shared" si="367"/>
        <v/>
      </c>
      <c r="CO356" s="5" t="str">
        <f t="shared" si="368"/>
        <v>UF</v>
      </c>
      <c r="CP356" s="5" t="str">
        <f>IF(G356&lt;48,"UF", IF(NOT(ISBLANK(CM:CM)), CM:CM, IF(BW:BW=1, BV:BV+Sheet2!B356, IF(Sheet1!BW:BW=2, Sheet1!BV:BV+Sheet2!B357, IF(Sheet1!BW:BW=7, Sheet1!BV:BV+Sheet2!B358,"")))))</f>
        <v>UF</v>
      </c>
      <c r="CQ356" s="69" t="str">
        <f t="shared" si="393"/>
        <v/>
      </c>
      <c r="CR356" s="5" t="s">
        <v>12</v>
      </c>
      <c r="CT356" s="5" t="str">
        <f t="shared" si="369"/>
        <v/>
      </c>
      <c r="CU356" s="80" t="str">
        <f t="shared" si="370"/>
        <v>UF</v>
      </c>
      <c r="CV356" s="80" t="str">
        <f t="shared" si="371"/>
        <v>UF</v>
      </c>
      <c r="CW356" s="20" t="str">
        <f>IF(G356&lt;48,"UF", IF(NOT(ISBLANK(CS356)), CS356, IF(CE356=5, CC356+Sheet2!B345, IF(CE356=6, CC356+Sheet2!B346, IF(CE356=7, CC356+Sheet2!B347,"")))))</f>
        <v>UF</v>
      </c>
      <c r="CX356" s="68" t="str">
        <f t="shared" si="394"/>
        <v/>
      </c>
      <c r="CY356" s="5" t="s">
        <v>12</v>
      </c>
      <c r="DA356" s="5" t="str">
        <f t="shared" si="372"/>
        <v>UF</v>
      </c>
      <c r="DB356" s="73" t="str">
        <f t="shared" si="373"/>
        <v>UF</v>
      </c>
      <c r="DC356" s="73" t="str">
        <f t="shared" si="374"/>
        <v>UF</v>
      </c>
      <c r="DD356" s="5" t="str">
        <f>IF(G356&lt;48,"UF", IF(NOT(ISBLANK(CZ:CZ)), CZ:CZ, IF(CL:CL=3, CK:CK+Sheet2!B350, IF(CL:CL=4, CK:CK+Sheet2!B351, IF(CL:CL=7, CK:CK+Sheet2!B352,"")))))</f>
        <v>UF</v>
      </c>
      <c r="DE356" s="69" t="str">
        <f t="shared" si="331"/>
        <v/>
      </c>
      <c r="DF356" s="2">
        <v>1</v>
      </c>
      <c r="DG356" s="2">
        <v>25</v>
      </c>
      <c r="DH356" s="2">
        <v>2</v>
      </c>
      <c r="DI356" s="2">
        <v>2</v>
      </c>
      <c r="DJ356" s="2">
        <v>2</v>
      </c>
      <c r="DK356" s="2">
        <v>111</v>
      </c>
      <c r="DL356" s="2">
        <v>62</v>
      </c>
      <c r="DM356" s="2">
        <v>105</v>
      </c>
      <c r="DN356" s="2">
        <v>65</v>
      </c>
      <c r="DO356" s="2">
        <v>100</v>
      </c>
      <c r="DP356" s="2">
        <v>60</v>
      </c>
      <c r="DQ356" s="2">
        <v>2</v>
      </c>
      <c r="DR356" s="2">
        <v>39</v>
      </c>
      <c r="DS356" s="2">
        <v>2</v>
      </c>
      <c r="DT356" s="2">
        <v>75</v>
      </c>
      <c r="DU356" s="2">
        <v>82</v>
      </c>
      <c r="DV356" s="2">
        <v>2</v>
      </c>
      <c r="DW356" s="2">
        <v>2</v>
      </c>
      <c r="DX356" s="2">
        <v>2</v>
      </c>
      <c r="DY356" s="2">
        <v>2</v>
      </c>
      <c r="DZ356" s="2">
        <v>35.5</v>
      </c>
      <c r="EA356" s="2" t="s">
        <v>12</v>
      </c>
      <c r="EB356" s="2">
        <v>48</v>
      </c>
      <c r="EC356" s="2" t="s">
        <v>12</v>
      </c>
      <c r="ED356" s="2">
        <v>1</v>
      </c>
    </row>
    <row r="357" spans="3:134" x14ac:dyDescent="0.25">
      <c r="C357" t="s">
        <v>420</v>
      </c>
      <c r="D357" s="3">
        <v>2501054016</v>
      </c>
      <c r="E357" s="3">
        <v>7</v>
      </c>
      <c r="F357" s="2">
        <v>1</v>
      </c>
      <c r="G357" s="2">
        <v>30</v>
      </c>
      <c r="H357">
        <v>-0.87203706367568257</v>
      </c>
      <c r="I357" s="2">
        <v>51</v>
      </c>
      <c r="J357">
        <v>0.99441714029262385</v>
      </c>
      <c r="K357" s="2">
        <v>3200</v>
      </c>
      <c r="L357" s="2">
        <v>-7.0518060756779827E-2</v>
      </c>
      <c r="M357" s="2">
        <v>-1.2327875324630391</v>
      </c>
      <c r="N357" s="2">
        <f t="shared" si="334"/>
        <v>-0.33349545956567966</v>
      </c>
      <c r="O357" s="2">
        <f t="shared" si="335"/>
        <v>-1.2327875324630391</v>
      </c>
      <c r="P357" s="2">
        <v>65.5</v>
      </c>
      <c r="Q357" s="2">
        <v>-0.42811455614711008</v>
      </c>
      <c r="R357" s="5">
        <f t="shared" si="336"/>
        <v>-1.1896635526254458</v>
      </c>
      <c r="S357" s="5">
        <f t="shared" si="337"/>
        <v>-0.42811455614711008</v>
      </c>
      <c r="T357" s="2">
        <v>6500</v>
      </c>
      <c r="U357" s="2">
        <v>-1.1435694685451021</v>
      </c>
      <c r="V357" s="2">
        <f t="shared" si="338"/>
        <v>-0.92176913908536307</v>
      </c>
      <c r="W357" s="2">
        <f t="shared" si="339"/>
        <v>-1.1435694685451021</v>
      </c>
      <c r="X357" s="2">
        <v>-1.5390279828070419</v>
      </c>
      <c r="Y357" s="76">
        <f t="shared" si="375"/>
        <v>-0.66699091913135933</v>
      </c>
      <c r="Z357" s="76">
        <f t="shared" si="376"/>
        <v>-1</v>
      </c>
      <c r="AA357" s="2">
        <f t="shared" si="340"/>
        <v>-0.89967388939000448</v>
      </c>
      <c r="AB357" s="2">
        <f t="shared" si="341"/>
        <v>-1.5390279828070419</v>
      </c>
      <c r="AC357" s="2">
        <v>71</v>
      </c>
      <c r="AD357" s="2">
        <v>-1.3849099649582679</v>
      </c>
      <c r="AE357" s="79">
        <f t="shared" si="377"/>
        <v>-2.3793271052508915</v>
      </c>
      <c r="AF357" s="79">
        <f t="shared" si="378"/>
        <v>-2</v>
      </c>
      <c r="AG357" s="2">
        <f t="shared" si="395"/>
        <v>-0.15807022071739027</v>
      </c>
      <c r="AH357" s="2">
        <f t="shared" si="342"/>
        <v>-1.3849099649582679</v>
      </c>
      <c r="AI357" s="2">
        <v>7200</v>
      </c>
      <c r="AJ357" s="2">
        <v>-1.914056338927506</v>
      </c>
      <c r="AK357" s="76">
        <f t="shared" si="379"/>
        <v>-1.8435382781707261</v>
      </c>
      <c r="AL357" s="76">
        <f t="shared" si="380"/>
        <v>-2</v>
      </c>
      <c r="AM357" s="2">
        <f t="shared" si="343"/>
        <v>-0.42113677761696044</v>
      </c>
      <c r="AN357" s="2">
        <f t="shared" si="344"/>
        <v>-1.914056338927506</v>
      </c>
      <c r="AO357" s="2">
        <v>-2.227462334927119</v>
      </c>
      <c r="AP357" s="2">
        <f t="shared" si="345"/>
        <v>-0.17270796552775658</v>
      </c>
      <c r="AQ357" s="2">
        <f t="shared" si="346"/>
        <v>-2.227462334927119</v>
      </c>
      <c r="AR357" s="2">
        <v>79</v>
      </c>
      <c r="AS357" s="2">
        <v>-0.74425499758189062</v>
      </c>
      <c r="AT357" s="2">
        <f t="shared" si="347"/>
        <v>0.20614012997301351</v>
      </c>
      <c r="AU357" s="2">
        <f t="shared" si="348"/>
        <v>-0.74425499758189062</v>
      </c>
      <c r="AV357" s="2">
        <v>8150</v>
      </c>
      <c r="AW357" s="2">
        <v>-1.985843023779023</v>
      </c>
      <c r="AX357" s="2">
        <f t="shared" si="349"/>
        <v>-0.2901679620886104</v>
      </c>
      <c r="AY357" s="2">
        <f t="shared" si="350"/>
        <v>-1.985843023779023</v>
      </c>
      <c r="AZ357" s="2">
        <v>-1.8844439138625551</v>
      </c>
      <c r="BA357" s="78">
        <f t="shared" si="381"/>
        <v>-0.34541593105551316</v>
      </c>
      <c r="BB357" s="78">
        <f t="shared" si="382"/>
        <v>-1</v>
      </c>
      <c r="BC357" s="2" t="str">
        <f t="shared" si="351"/>
        <v/>
      </c>
      <c r="BD357" s="2">
        <f t="shared" si="352"/>
        <v>-1.8844439138625551</v>
      </c>
      <c r="BE357" s="67">
        <f t="shared" si="383"/>
        <v>7</v>
      </c>
      <c r="BF357" s="2">
        <v>82</v>
      </c>
      <c r="BG357" s="2">
        <v>-0.97262970501224089</v>
      </c>
      <c r="BH357" s="2" t="str">
        <f t="shared" si="353"/>
        <v/>
      </c>
      <c r="BI357" s="2">
        <f t="shared" si="354"/>
        <v>-0.97262970501224089</v>
      </c>
      <c r="BJ357" s="67">
        <f t="shared" si="355"/>
        <v>7</v>
      </c>
      <c r="BK357" s="2">
        <v>9500</v>
      </c>
      <c r="BL357" s="2">
        <v>-2.4943922631047268</v>
      </c>
      <c r="BM357" s="77">
        <f t="shared" si="384"/>
        <v>-0.5803359241772208</v>
      </c>
      <c r="BN357" s="77">
        <f t="shared" si="385"/>
        <v>-1</v>
      </c>
      <c r="BO357" s="2" t="str">
        <f t="shared" si="356"/>
        <v/>
      </c>
      <c r="BP357" s="2">
        <f t="shared" si="357"/>
        <v>-2.4943922631047268</v>
      </c>
      <c r="BQ357" s="67">
        <f t="shared" si="386"/>
        <v>4</v>
      </c>
      <c r="BR357" s="2"/>
      <c r="BS357" s="75" t="str">
        <f t="shared" si="387"/>
        <v>UF</v>
      </c>
      <c r="BT357" s="75" t="str">
        <f t="shared" si="388"/>
        <v>UF</v>
      </c>
      <c r="BU357" s="5" t="str">
        <f t="shared" si="396"/>
        <v>UF</v>
      </c>
      <c r="BV357" s="5" t="str">
        <f t="shared" si="358"/>
        <v>UF</v>
      </c>
      <c r="BW357" s="69" t="str">
        <f t="shared" si="359"/>
        <v/>
      </c>
      <c r="BX357" s="2" t="s">
        <v>12</v>
      </c>
      <c r="BY357" s="2"/>
      <c r="BZ357" s="74" t="str">
        <f t="shared" si="389"/>
        <v>UF</v>
      </c>
      <c r="CA357" s="74" t="str">
        <f t="shared" si="390"/>
        <v>UF</v>
      </c>
      <c r="CB357" s="5" t="str">
        <f t="shared" si="360"/>
        <v>UF</v>
      </c>
      <c r="CC357" s="5" t="str">
        <f t="shared" si="361"/>
        <v>UF</v>
      </c>
      <c r="CD357" s="2" t="e">
        <f t="shared" si="362"/>
        <v>#VALUE!</v>
      </c>
      <c r="CE357" s="69" t="str">
        <f t="shared" si="363"/>
        <v/>
      </c>
      <c r="CF357" s="5" t="s">
        <v>12</v>
      </c>
      <c r="CG357" s="2"/>
      <c r="CH357" s="72" t="str">
        <f t="shared" si="391"/>
        <v>UF</v>
      </c>
      <c r="CI357" s="72" t="str">
        <f t="shared" si="392"/>
        <v>UF</v>
      </c>
      <c r="CJ357" s="5" t="str">
        <f t="shared" si="364"/>
        <v>UF</v>
      </c>
      <c r="CK357" s="5" t="str">
        <f t="shared" si="365"/>
        <v>UF</v>
      </c>
      <c r="CL357" s="69" t="str">
        <f t="shared" si="366"/>
        <v/>
      </c>
      <c r="CM357" s="2"/>
      <c r="CN357" s="70" t="str">
        <f t="shared" si="367"/>
        <v/>
      </c>
      <c r="CO357" s="5" t="str">
        <f t="shared" si="368"/>
        <v>UF</v>
      </c>
      <c r="CP357" s="5" t="str">
        <f>IF(G357&lt;48,"UF", IF(NOT(ISBLANK(CM:CM)), CM:CM, IF(BW:BW=1, BV:BV+Sheet2!B642, IF(Sheet1!BW:BW=2, Sheet1!BV:BV+Sheet2!B643, IF(Sheet1!BW:BW=7, Sheet1!BV:BV+Sheet2!B644,"")))))</f>
        <v>UF</v>
      </c>
      <c r="CQ357" s="69" t="str">
        <f t="shared" si="393"/>
        <v/>
      </c>
      <c r="CR357" s="5" t="s">
        <v>12</v>
      </c>
      <c r="CS357" s="2"/>
      <c r="CT357" s="5" t="str">
        <f t="shared" si="369"/>
        <v/>
      </c>
      <c r="CU357" s="80" t="str">
        <f t="shared" si="370"/>
        <v>UF</v>
      </c>
      <c r="CV357" s="80" t="str">
        <f t="shared" si="371"/>
        <v>UF</v>
      </c>
      <c r="CW357" s="20" t="str">
        <f>IF(G357&lt;48,"UF", IF(NOT(ISBLANK(CS357)), CS357, IF(CE357=5, CC357+Sheet2!B631, IF(CE357=6, CC357+Sheet2!B632, IF(CE357=7, CC357+Sheet2!B633,"")))))</f>
        <v>UF</v>
      </c>
      <c r="CX357" s="68" t="str">
        <f t="shared" si="394"/>
        <v/>
      </c>
      <c r="CY357" s="5" t="s">
        <v>12</v>
      </c>
      <c r="DA357" s="5" t="str">
        <f t="shared" si="372"/>
        <v>UF</v>
      </c>
      <c r="DB357" s="73" t="str">
        <f t="shared" si="373"/>
        <v>UF</v>
      </c>
      <c r="DC357" s="73" t="str">
        <f t="shared" si="374"/>
        <v>UF</v>
      </c>
      <c r="DD357" s="5" t="str">
        <f>IF(G357&lt;48,"UF", IF(NOT(ISBLANK(CZ:CZ)), CZ:CZ, IF(CL:CL=3, CK:CK+Sheet2!B636, IF(CL:CL=4, CK:CK+Sheet2!B637, IF(CL:CL=7, CK:CK+Sheet2!B638,"")))))</f>
        <v>UF</v>
      </c>
      <c r="DE357" s="69" t="str">
        <f t="shared" si="331"/>
        <v/>
      </c>
      <c r="DF357" s="2">
        <v>5</v>
      </c>
      <c r="DG357" s="2">
        <v>35</v>
      </c>
      <c r="DH357" s="2">
        <v>2</v>
      </c>
      <c r="DI357" s="2">
        <v>1</v>
      </c>
      <c r="DJ357" s="2">
        <v>2</v>
      </c>
      <c r="DK357" s="2">
        <v>120</v>
      </c>
      <c r="DL357" s="2">
        <v>68</v>
      </c>
      <c r="DM357" s="2">
        <v>115</v>
      </c>
      <c r="DN357" s="2">
        <v>73</v>
      </c>
      <c r="DO357" s="2">
        <v>110</v>
      </c>
      <c r="DP357" s="2">
        <v>71</v>
      </c>
      <c r="DQ357" s="2">
        <v>2</v>
      </c>
      <c r="DR357" s="2">
        <v>38</v>
      </c>
      <c r="DS357" s="2">
        <v>2</v>
      </c>
      <c r="DT357" s="2">
        <v>75</v>
      </c>
      <c r="DU357" s="2">
        <v>84</v>
      </c>
      <c r="DV357" s="2">
        <v>2</v>
      </c>
      <c r="DW357" s="2">
        <v>2</v>
      </c>
      <c r="DX357" s="2">
        <v>2</v>
      </c>
      <c r="DY357" s="2">
        <v>2</v>
      </c>
      <c r="DZ357" s="2">
        <v>32.5</v>
      </c>
      <c r="EA357" s="2">
        <v>34</v>
      </c>
      <c r="EB357" s="2">
        <v>43.5</v>
      </c>
      <c r="EC357" s="2">
        <v>1</v>
      </c>
      <c r="ED357" s="2">
        <v>1</v>
      </c>
    </row>
    <row r="358" spans="3:134" x14ac:dyDescent="0.25">
      <c r="C358" s="8" t="s">
        <v>190</v>
      </c>
      <c r="D358" s="4">
        <v>2501054202</v>
      </c>
      <c r="E358" s="5">
        <v>7</v>
      </c>
      <c r="F358" s="2">
        <v>1</v>
      </c>
      <c r="G358" s="2">
        <v>26</v>
      </c>
      <c r="H358" s="2">
        <v>-0.91030021631500124</v>
      </c>
      <c r="I358" s="2">
        <v>52</v>
      </c>
      <c r="J358" s="2">
        <v>1.531272843240846</v>
      </c>
      <c r="K358" s="1">
        <v>3315</v>
      </c>
      <c r="L358" s="2">
        <v>0.17935839674337359</v>
      </c>
      <c r="M358" s="2">
        <v>0.62690000000000001</v>
      </c>
      <c r="N358" s="2">
        <f t="shared" si="334"/>
        <v>0.44400010815750063</v>
      </c>
      <c r="O358" s="2">
        <f t="shared" si="335"/>
        <v>0.62690000000000001</v>
      </c>
      <c r="P358" s="2">
        <v>62</v>
      </c>
      <c r="Q358" s="2">
        <v>-1.65</v>
      </c>
      <c r="R358" s="5">
        <f t="shared" si="336"/>
        <v>-0.96063642162042306</v>
      </c>
      <c r="S358" s="5">
        <f t="shared" si="337"/>
        <v>-1.65</v>
      </c>
      <c r="T358" s="1">
        <v>6880</v>
      </c>
      <c r="U358" s="2">
        <v>-0.49</v>
      </c>
      <c r="V358" s="2">
        <f t="shared" si="338"/>
        <v>-0.2046791983716868</v>
      </c>
      <c r="W358" s="2">
        <f t="shared" si="339"/>
        <v>-0.49</v>
      </c>
      <c r="X358" s="2">
        <v>-2.23E-2</v>
      </c>
      <c r="Y358" s="76">
        <f t="shared" si="375"/>
        <v>0.88800021631500126</v>
      </c>
      <c r="Z358" s="76">
        <f t="shared" si="376"/>
        <v>2</v>
      </c>
      <c r="AA358" s="2">
        <f t="shared" si="340"/>
        <v>0.37964999999999993</v>
      </c>
      <c r="AB358" s="2">
        <f t="shared" si="341"/>
        <v>-2.23E-2</v>
      </c>
      <c r="AC358" s="2">
        <v>73</v>
      </c>
      <c r="AD358" s="2">
        <v>-0.39</v>
      </c>
      <c r="AE358" s="79">
        <f t="shared" si="377"/>
        <v>-1.9212728432408461</v>
      </c>
      <c r="AF358" s="79">
        <f t="shared" si="378"/>
        <v>-2</v>
      </c>
      <c r="AG358" s="2">
        <f t="shared" si="395"/>
        <v>0.53</v>
      </c>
      <c r="AH358" s="2">
        <f t="shared" si="342"/>
        <v>-0.39</v>
      </c>
      <c r="AI358" s="2">
        <v>8700</v>
      </c>
      <c r="AJ358" s="2">
        <v>-0.23</v>
      </c>
      <c r="AK358" s="76">
        <f t="shared" si="379"/>
        <v>-0.4093583967433736</v>
      </c>
      <c r="AL358" s="76">
        <f t="shared" si="380"/>
        <v>-1</v>
      </c>
      <c r="AM358" s="2">
        <f t="shared" si="343"/>
        <v>-0.24</v>
      </c>
      <c r="AN358" s="2">
        <f t="shared" si="344"/>
        <v>-0.23</v>
      </c>
      <c r="AO358" s="2">
        <v>-0.89070000000000005</v>
      </c>
      <c r="AP358" s="2">
        <f t="shared" si="345"/>
        <v>-0.61789755771621746</v>
      </c>
      <c r="AQ358" s="2">
        <f t="shared" si="346"/>
        <v>-0.89070000000000005</v>
      </c>
      <c r="AR358" s="2">
        <v>79</v>
      </c>
      <c r="AS358" s="2">
        <v>-0.59</v>
      </c>
      <c r="AT358" s="2">
        <f t="shared" si="347"/>
        <v>-0.14827350475836804</v>
      </c>
      <c r="AU358" s="2">
        <f t="shared" si="348"/>
        <v>-0.59</v>
      </c>
      <c r="AV358" s="2">
        <v>9100</v>
      </c>
      <c r="AW358" s="2">
        <v>-0.97</v>
      </c>
      <c r="AX358" s="2">
        <f t="shared" si="349"/>
        <v>-0.74597586695671847</v>
      </c>
      <c r="AY358" s="2">
        <f t="shared" si="350"/>
        <v>-0.97</v>
      </c>
      <c r="AZ358" s="2">
        <v>-1.2580951154324349</v>
      </c>
      <c r="BA358" s="78">
        <f t="shared" si="381"/>
        <v>-1.2357951154324349</v>
      </c>
      <c r="BB358" s="78">
        <f t="shared" si="382"/>
        <v>-2</v>
      </c>
      <c r="BC358" s="2" t="str">
        <f t="shared" si="351"/>
        <v/>
      </c>
      <c r="BD358" s="2">
        <f t="shared" si="352"/>
        <v>-1.2580951154324349</v>
      </c>
      <c r="BE358" s="67">
        <f t="shared" si="383"/>
        <v>7</v>
      </c>
      <c r="BF358" s="2">
        <v>83</v>
      </c>
      <c r="BG358" s="2">
        <v>-0.68654700951673608</v>
      </c>
      <c r="BH358" s="2" t="str">
        <f t="shared" si="353"/>
        <v/>
      </c>
      <c r="BI358" s="2">
        <f t="shared" si="354"/>
        <v>-0.68654700951673608</v>
      </c>
      <c r="BJ358" s="67">
        <f t="shared" si="355"/>
        <v>7</v>
      </c>
      <c r="BK358" s="2">
        <v>10200</v>
      </c>
      <c r="BL358" s="2">
        <v>-1.7219517339134369</v>
      </c>
      <c r="BM358" s="77">
        <f t="shared" si="384"/>
        <v>-1.4919517339134369</v>
      </c>
      <c r="BN358" s="77">
        <f t="shared" si="385"/>
        <v>-2</v>
      </c>
      <c r="BO358" s="2" t="str">
        <f t="shared" si="356"/>
        <v/>
      </c>
      <c r="BP358" s="2">
        <f t="shared" si="357"/>
        <v>-1.7219517339134369</v>
      </c>
      <c r="BQ358" s="67">
        <f t="shared" si="386"/>
        <v>7</v>
      </c>
      <c r="BS358" s="75" t="str">
        <f t="shared" si="387"/>
        <v>UF</v>
      </c>
      <c r="BT358" s="75" t="str">
        <f t="shared" si="388"/>
        <v>UF</v>
      </c>
      <c r="BU358" s="5" t="str">
        <f t="shared" si="396"/>
        <v>UF</v>
      </c>
      <c r="BV358" s="5" t="str">
        <f t="shared" si="358"/>
        <v>UF</v>
      </c>
      <c r="BW358" s="69" t="str">
        <f t="shared" si="359"/>
        <v/>
      </c>
      <c r="BX358" s="2" t="s">
        <v>12</v>
      </c>
      <c r="BZ358" s="74" t="str">
        <f t="shared" si="389"/>
        <v>UF</v>
      </c>
      <c r="CA358" s="74" t="str">
        <f t="shared" si="390"/>
        <v>UF</v>
      </c>
      <c r="CB358" s="5" t="str">
        <f t="shared" si="360"/>
        <v>UF</v>
      </c>
      <c r="CC358" s="5" t="str">
        <f t="shared" si="361"/>
        <v>UF</v>
      </c>
      <c r="CD358" s="2" t="e">
        <f t="shared" si="362"/>
        <v>#VALUE!</v>
      </c>
      <c r="CE358" s="69" t="str">
        <f t="shared" si="363"/>
        <v/>
      </c>
      <c r="CF358" s="5" t="s">
        <v>12</v>
      </c>
      <c r="CH358" s="72" t="str">
        <f t="shared" si="391"/>
        <v>UF</v>
      </c>
      <c r="CI358" s="72" t="str">
        <f t="shared" si="392"/>
        <v>UF</v>
      </c>
      <c r="CJ358" s="5" t="str">
        <f t="shared" si="364"/>
        <v>UF</v>
      </c>
      <c r="CK358" s="5" t="str">
        <f t="shared" si="365"/>
        <v>UF</v>
      </c>
      <c r="CL358" s="69" t="str">
        <f t="shared" si="366"/>
        <v/>
      </c>
      <c r="CN358" s="70" t="str">
        <f t="shared" si="367"/>
        <v/>
      </c>
      <c r="CO358" s="5" t="str">
        <f t="shared" si="368"/>
        <v>UF</v>
      </c>
      <c r="CP358" s="5" t="str">
        <f>IF(G358&lt;48,"UF", IF(NOT(ISBLANK(CM:CM)), CM:CM, IF(BW:BW=1, BV:BV+Sheet2!B363, IF(Sheet1!BW:BW=2, Sheet1!BV:BV+Sheet2!B364, IF(Sheet1!BW:BW=7, Sheet1!BV:BV+Sheet2!B365,"")))))</f>
        <v>UF</v>
      </c>
      <c r="CQ358" s="69" t="str">
        <f t="shared" si="393"/>
        <v/>
      </c>
      <c r="CR358" s="5" t="s">
        <v>12</v>
      </c>
      <c r="CT358" s="5" t="str">
        <f t="shared" si="369"/>
        <v/>
      </c>
      <c r="CU358" s="80" t="str">
        <f t="shared" si="370"/>
        <v>UF</v>
      </c>
      <c r="CV358" s="80" t="str">
        <f t="shared" si="371"/>
        <v>UF</v>
      </c>
      <c r="CW358" s="20" t="str">
        <f>IF(G358&lt;48,"UF", IF(NOT(ISBLANK(CS358)), CS358, IF(CE358=5, CC358+Sheet2!B352, IF(CE358=6, CC358+Sheet2!B353, IF(CE358=7, CC358+Sheet2!B354,"")))))</f>
        <v>UF</v>
      </c>
      <c r="CX358" s="68" t="str">
        <f t="shared" si="394"/>
        <v/>
      </c>
      <c r="CY358" s="5" t="s">
        <v>12</v>
      </c>
      <c r="DA358" s="5" t="str">
        <f t="shared" si="372"/>
        <v>UF</v>
      </c>
      <c r="DB358" s="73" t="str">
        <f t="shared" si="373"/>
        <v>UF</v>
      </c>
      <c r="DC358" s="73" t="str">
        <f t="shared" si="374"/>
        <v>UF</v>
      </c>
      <c r="DD358" s="5" t="str">
        <f>IF(G358&lt;48,"UF", IF(NOT(ISBLANK(CZ:CZ)), CZ:CZ, IF(CL:CL=3, CK:CK+Sheet2!B357, IF(CL:CL=4, CK:CK+Sheet2!B358, IF(CL:CL=7, CK:CK+Sheet2!B359,"")))))</f>
        <v>UF</v>
      </c>
      <c r="DE358" s="69" t="str">
        <f t="shared" si="331"/>
        <v/>
      </c>
      <c r="DF358" s="2">
        <v>1</v>
      </c>
      <c r="DG358" s="2">
        <v>31</v>
      </c>
      <c r="DH358" s="2">
        <v>1</v>
      </c>
      <c r="DI358" s="2">
        <v>2</v>
      </c>
      <c r="DJ358" s="2">
        <v>2</v>
      </c>
      <c r="DK358" s="2">
        <v>80</v>
      </c>
      <c r="DL358" s="2">
        <v>40</v>
      </c>
      <c r="DM358" s="2" t="s">
        <v>12</v>
      </c>
      <c r="DN358" s="2" t="s">
        <v>12</v>
      </c>
      <c r="DO358" s="2">
        <v>80</v>
      </c>
      <c r="DP358" s="2">
        <v>50</v>
      </c>
      <c r="DQ358" s="2">
        <v>2</v>
      </c>
      <c r="DR358" s="2">
        <v>39</v>
      </c>
      <c r="DS358" s="2">
        <v>1</v>
      </c>
      <c r="DT358" s="2">
        <v>78</v>
      </c>
      <c r="DU358" s="2">
        <v>100</v>
      </c>
      <c r="DV358" s="2">
        <v>4</v>
      </c>
      <c r="DW358" s="2">
        <v>2</v>
      </c>
      <c r="DX358" s="2">
        <v>2</v>
      </c>
      <c r="DY358" s="2">
        <v>1</v>
      </c>
      <c r="DZ358" s="2">
        <v>35</v>
      </c>
      <c r="EA358" s="2">
        <v>35.5</v>
      </c>
      <c r="EB358" s="2">
        <v>44.5</v>
      </c>
      <c r="EC358" s="2">
        <v>1</v>
      </c>
      <c r="ED358" s="2">
        <v>1</v>
      </c>
    </row>
    <row r="359" spans="3:134" x14ac:dyDescent="0.25">
      <c r="C359" s="5" t="s">
        <v>111</v>
      </c>
      <c r="D359" s="2">
        <v>2501054350</v>
      </c>
      <c r="E359" s="5">
        <v>5</v>
      </c>
      <c r="F359" s="2">
        <v>2</v>
      </c>
      <c r="G359" s="2">
        <v>27</v>
      </c>
      <c r="H359" s="2">
        <v>-3.2370047873767218</v>
      </c>
      <c r="I359" s="2">
        <v>47</v>
      </c>
      <c r="J359" s="2">
        <v>-1.5235289479443319</v>
      </c>
      <c r="K359" s="5">
        <v>2200</v>
      </c>
      <c r="L359" s="2">
        <v>-2.672225592197639</v>
      </c>
      <c r="N359" s="2" t="str">
        <f t="shared" si="334"/>
        <v/>
      </c>
      <c r="O359" s="2" t="e">
        <f t="shared" si="335"/>
        <v>#VALUE!</v>
      </c>
      <c r="P359" s="2" t="s">
        <v>12</v>
      </c>
      <c r="R359" s="5" t="str">
        <f t="shared" si="336"/>
        <v/>
      </c>
      <c r="S359" s="5" t="e">
        <f t="shared" si="337"/>
        <v>#VALUE!</v>
      </c>
      <c r="T359" s="1" t="s">
        <v>12</v>
      </c>
      <c r="V359" s="2" t="str">
        <f t="shared" si="338"/>
        <v/>
      </c>
      <c r="W359" s="2" t="e">
        <f t="shared" si="339"/>
        <v>#VALUE!</v>
      </c>
      <c r="Y359" s="76" t="e">
        <f t="shared" si="375"/>
        <v>#VALUE!</v>
      </c>
      <c r="Z359" s="76" t="e">
        <f t="shared" si="376"/>
        <v>#VALUE!</v>
      </c>
      <c r="AA359" s="2" t="str">
        <f t="shared" si="340"/>
        <v/>
      </c>
      <c r="AB359" s="2" t="e">
        <f t="shared" si="341"/>
        <v>#VALUE!</v>
      </c>
      <c r="AC359" s="2" t="s">
        <v>12</v>
      </c>
      <c r="AE359" s="79" t="e">
        <f t="shared" si="377"/>
        <v>#VALUE!</v>
      </c>
      <c r="AF359" s="79" t="e">
        <f t="shared" si="378"/>
        <v>#VALUE!</v>
      </c>
      <c r="AG359" s="2" t="str">
        <f t="shared" si="395"/>
        <v/>
      </c>
      <c r="AH359" s="2" t="e">
        <f t="shared" si="342"/>
        <v>#VALUE!</v>
      </c>
      <c r="AI359" s="2" t="s">
        <v>12</v>
      </c>
      <c r="AK359" s="76" t="e">
        <f t="shared" si="379"/>
        <v>#VALUE!</v>
      </c>
      <c r="AL359" s="76" t="e">
        <f t="shared" si="380"/>
        <v>#VALUE!</v>
      </c>
      <c r="AM359" s="2" t="str">
        <f t="shared" si="343"/>
        <v/>
      </c>
      <c r="AN359" s="2" t="e">
        <f t="shared" si="344"/>
        <v>#VALUE!</v>
      </c>
      <c r="AP359" s="2" t="str">
        <f t="shared" si="345"/>
        <v/>
      </c>
      <c r="AQ359" s="2" t="e">
        <f t="shared" si="346"/>
        <v>#VALUE!</v>
      </c>
      <c r="AR359" s="2" t="s">
        <v>12</v>
      </c>
      <c r="AT359" s="2" t="str">
        <f t="shared" si="347"/>
        <v/>
      </c>
      <c r="AU359" s="2" t="e">
        <f t="shared" si="348"/>
        <v>#VALUE!</v>
      </c>
      <c r="AV359" s="2" t="s">
        <v>12</v>
      </c>
      <c r="AX359" s="2" t="str">
        <f t="shared" si="349"/>
        <v/>
      </c>
      <c r="AY359" s="2" t="e">
        <f t="shared" si="350"/>
        <v>#VALUE!</v>
      </c>
      <c r="BA359" s="78" t="e">
        <f t="shared" si="381"/>
        <v>#VALUE!</v>
      </c>
      <c r="BB359" s="78" t="e">
        <f t="shared" si="382"/>
        <v>#VALUE!</v>
      </c>
      <c r="BC359" s="2" t="str">
        <f t="shared" si="351"/>
        <v/>
      </c>
      <c r="BD359" s="2" t="e">
        <f t="shared" si="352"/>
        <v>#VALUE!</v>
      </c>
      <c r="BE359" s="67" t="e">
        <f t="shared" si="383"/>
        <v>#VALUE!</v>
      </c>
      <c r="BF359" s="2" t="s">
        <v>12</v>
      </c>
      <c r="BH359" s="2" t="str">
        <f t="shared" si="353"/>
        <v/>
      </c>
      <c r="BI359" s="2" t="e">
        <f t="shared" si="354"/>
        <v>#VALUE!</v>
      </c>
      <c r="BJ359" s="67" t="e">
        <f t="shared" si="355"/>
        <v>#VALUE!</v>
      </c>
      <c r="BK359" s="2" t="s">
        <v>12</v>
      </c>
      <c r="BM359" s="77" t="e">
        <f t="shared" si="384"/>
        <v>#VALUE!</v>
      </c>
      <c r="BN359" s="77" t="e">
        <f t="shared" si="385"/>
        <v>#VALUE!</v>
      </c>
      <c r="BO359" s="2" t="str">
        <f t="shared" si="356"/>
        <v/>
      </c>
      <c r="BP359" s="2" t="e">
        <f t="shared" si="357"/>
        <v>#VALUE!</v>
      </c>
      <c r="BQ359" s="67" t="e">
        <f t="shared" si="386"/>
        <v>#VALUE!</v>
      </c>
      <c r="BS359" s="75" t="str">
        <f t="shared" si="387"/>
        <v>UF</v>
      </c>
      <c r="BT359" s="75" t="str">
        <f t="shared" si="388"/>
        <v>UF</v>
      </c>
      <c r="BU359" s="5" t="str">
        <f t="shared" si="396"/>
        <v>UF</v>
      </c>
      <c r="BV359" s="5" t="str">
        <f t="shared" si="358"/>
        <v>UF</v>
      </c>
      <c r="BW359" s="69" t="str">
        <f t="shared" si="359"/>
        <v/>
      </c>
      <c r="BX359" s="2" t="s">
        <v>12</v>
      </c>
      <c r="BZ359" s="74" t="str">
        <f t="shared" si="389"/>
        <v>UF</v>
      </c>
      <c r="CA359" s="74" t="str">
        <f t="shared" si="390"/>
        <v>UF</v>
      </c>
      <c r="CB359" s="5" t="str">
        <f t="shared" si="360"/>
        <v>UF</v>
      </c>
      <c r="CC359" s="5" t="str">
        <f t="shared" si="361"/>
        <v>UF</v>
      </c>
      <c r="CD359" s="2" t="e">
        <f t="shared" si="362"/>
        <v>#VALUE!</v>
      </c>
      <c r="CE359" s="69" t="str">
        <f t="shared" si="363"/>
        <v/>
      </c>
      <c r="CF359" s="5" t="s">
        <v>12</v>
      </c>
      <c r="CH359" s="72" t="str">
        <f t="shared" si="391"/>
        <v>UF</v>
      </c>
      <c r="CI359" s="72" t="str">
        <f t="shared" si="392"/>
        <v>UF</v>
      </c>
      <c r="CJ359" s="5" t="str">
        <f t="shared" si="364"/>
        <v>UF</v>
      </c>
      <c r="CK359" s="5" t="str">
        <f t="shared" si="365"/>
        <v>UF</v>
      </c>
      <c r="CL359" s="69" t="str">
        <f t="shared" si="366"/>
        <v/>
      </c>
      <c r="CN359" s="70" t="str">
        <f t="shared" si="367"/>
        <v/>
      </c>
      <c r="CO359" s="5" t="str">
        <f t="shared" si="368"/>
        <v>UF</v>
      </c>
      <c r="CP359" s="5" t="str">
        <f>IF(G359&lt;48,"UF", IF(NOT(ISBLANK(CM:CM)), CM:CM, IF(BW:BW=1, BV:BV+Sheet2!B249, IF(Sheet1!BW:BW=2, Sheet1!BV:BV+Sheet2!B250, IF(Sheet1!BW:BW=7, Sheet1!BV:BV+Sheet2!B251,"")))))</f>
        <v>UF</v>
      </c>
      <c r="CQ359" s="69" t="str">
        <f t="shared" si="393"/>
        <v/>
      </c>
      <c r="CR359" s="5" t="s">
        <v>12</v>
      </c>
      <c r="CT359" s="5" t="str">
        <f t="shared" si="369"/>
        <v/>
      </c>
      <c r="CU359" s="80" t="str">
        <f t="shared" si="370"/>
        <v>UF</v>
      </c>
      <c r="CV359" s="80" t="str">
        <f t="shared" si="371"/>
        <v>UF</v>
      </c>
      <c r="CW359" s="20" t="str">
        <f>IF(G359&lt;48,"UF", IF(NOT(ISBLANK(CS359)), CS359, IF(CE359=5, CC359+Sheet2!B238, IF(CE359=6, CC359+Sheet2!B239, IF(CE359=7, CC359+Sheet2!B240,"")))))</f>
        <v>UF</v>
      </c>
      <c r="CX359" s="68" t="str">
        <f t="shared" si="394"/>
        <v/>
      </c>
      <c r="CY359" s="5" t="s">
        <v>12</v>
      </c>
      <c r="DA359" s="5" t="str">
        <f t="shared" si="372"/>
        <v>UF</v>
      </c>
      <c r="DB359" s="73" t="str">
        <f t="shared" si="373"/>
        <v>UF</v>
      </c>
      <c r="DC359" s="73" t="str">
        <f t="shared" si="374"/>
        <v>UF</v>
      </c>
      <c r="DD359" s="5" t="str">
        <f>IF(G359&lt;48,"UF", IF(NOT(ISBLANK(CZ:CZ)), CZ:CZ, IF(CL:CL=3, CK:CK+Sheet2!B243, IF(CL:CL=4, CK:CK+Sheet2!B244, IF(CL:CL=7, CK:CK+Sheet2!B245,"")))))</f>
        <v>UF</v>
      </c>
      <c r="DE359" s="69" t="str">
        <f t="shared" si="331"/>
        <v/>
      </c>
      <c r="DF359" s="2">
        <v>3</v>
      </c>
      <c r="DG359" s="2">
        <v>36</v>
      </c>
      <c r="DH359" s="2">
        <v>2</v>
      </c>
      <c r="DI359" s="2">
        <v>2</v>
      </c>
      <c r="DJ359" s="2">
        <v>3</v>
      </c>
      <c r="DK359" s="2" t="s">
        <v>12</v>
      </c>
      <c r="DL359" s="2" t="s">
        <v>12</v>
      </c>
      <c r="DM359" s="2" t="s">
        <v>12</v>
      </c>
      <c r="DN359" s="2" t="s">
        <v>12</v>
      </c>
      <c r="DO359" s="2" t="s">
        <v>12</v>
      </c>
      <c r="DP359" s="2" t="s">
        <v>12</v>
      </c>
      <c r="DQ359" s="2">
        <v>2</v>
      </c>
      <c r="DR359" s="2">
        <v>39</v>
      </c>
      <c r="DS359" s="2">
        <v>3</v>
      </c>
      <c r="DT359" s="2" t="s">
        <v>12</v>
      </c>
      <c r="DU359" s="2" t="s">
        <v>12</v>
      </c>
      <c r="DV359" s="2">
        <v>2</v>
      </c>
      <c r="DW359" s="2">
        <v>2</v>
      </c>
      <c r="DX359" s="2">
        <v>3</v>
      </c>
      <c r="DY359" s="2">
        <v>3</v>
      </c>
      <c r="DZ359" s="2">
        <v>33</v>
      </c>
      <c r="EA359" s="2">
        <v>35.5</v>
      </c>
      <c r="EB359" s="2">
        <v>48</v>
      </c>
      <c r="EC359" s="2">
        <v>4</v>
      </c>
      <c r="ED359" s="2">
        <v>1</v>
      </c>
    </row>
    <row r="360" spans="3:134" x14ac:dyDescent="0.25">
      <c r="C360" s="5" t="s">
        <v>153</v>
      </c>
      <c r="D360" s="2">
        <v>2501054441</v>
      </c>
      <c r="E360" s="5">
        <v>6</v>
      </c>
      <c r="F360" s="2">
        <v>1</v>
      </c>
      <c r="G360" s="2">
        <v>26</v>
      </c>
      <c r="H360" s="2">
        <v>-3.3682559465998758</v>
      </c>
      <c r="I360" s="2">
        <v>48</v>
      </c>
      <c r="J360" s="2">
        <v>-0.61614996855203885</v>
      </c>
      <c r="K360" s="5">
        <v>2250</v>
      </c>
      <c r="L360" s="2">
        <v>-2.3876513308056881</v>
      </c>
      <c r="M360" s="2">
        <v>-0.52700000000000002</v>
      </c>
      <c r="N360" s="2">
        <f t="shared" si="334"/>
        <v>1.6375279732999379</v>
      </c>
      <c r="O360" s="2">
        <f t="shared" si="335"/>
        <v>-0.52700000000000002</v>
      </c>
      <c r="P360" s="2">
        <v>63</v>
      </c>
      <c r="Q360" s="2">
        <v>-1.21</v>
      </c>
      <c r="R360" s="5">
        <f t="shared" si="336"/>
        <v>-0.4719250157239806</v>
      </c>
      <c r="S360" s="5">
        <f t="shared" si="337"/>
        <v>-1.21</v>
      </c>
      <c r="T360" s="1">
        <v>6400</v>
      </c>
      <c r="U360" s="2">
        <v>-1.0900000000000001</v>
      </c>
      <c r="V360" s="2">
        <f t="shared" si="338"/>
        <v>0.70882566540284409</v>
      </c>
      <c r="W360" s="2">
        <f t="shared" si="339"/>
        <v>-1.0900000000000001</v>
      </c>
      <c r="X360" s="2">
        <v>-9.3200000000000005E-2</v>
      </c>
      <c r="Y360" s="76">
        <f t="shared" si="375"/>
        <v>3.2750559465998759</v>
      </c>
      <c r="Z360" s="76">
        <f t="shared" si="376"/>
        <v>2</v>
      </c>
      <c r="AA360" s="2">
        <f t="shared" si="340"/>
        <v>0.37334999999999996</v>
      </c>
      <c r="AB360" s="2">
        <f t="shared" si="341"/>
        <v>-9.3200000000000005E-2</v>
      </c>
      <c r="AC360" s="2">
        <v>70</v>
      </c>
      <c r="AD360" s="2">
        <v>-1.56</v>
      </c>
      <c r="AE360" s="79">
        <f t="shared" si="377"/>
        <v>-0.9438500314479612</v>
      </c>
      <c r="AF360" s="79">
        <f t="shared" si="378"/>
        <v>-2</v>
      </c>
      <c r="AG360" s="2">
        <f t="shared" si="395"/>
        <v>-0.20500000000000007</v>
      </c>
      <c r="AH360" s="2">
        <f t="shared" si="342"/>
        <v>-1.56</v>
      </c>
      <c r="AI360" s="2">
        <v>7950</v>
      </c>
      <c r="AJ360" s="2">
        <v>-0.97</v>
      </c>
      <c r="AK360" s="76">
        <f t="shared" si="379"/>
        <v>1.4176513308056882</v>
      </c>
      <c r="AL360" s="76">
        <f t="shared" si="380"/>
        <v>2</v>
      </c>
      <c r="AM360" s="2">
        <f t="shared" si="343"/>
        <v>-0.11499999999999999</v>
      </c>
      <c r="AN360" s="2">
        <f t="shared" si="344"/>
        <v>-0.97</v>
      </c>
      <c r="AO360" s="2">
        <v>-0.46329999999999999</v>
      </c>
      <c r="AP360" s="2">
        <f t="shared" si="345"/>
        <v>-0.46011928189970097</v>
      </c>
      <c r="AQ360" s="2">
        <f t="shared" si="346"/>
        <v>-0.46329999999999999</v>
      </c>
      <c r="AR360" s="2">
        <v>76</v>
      </c>
      <c r="AS360" s="2">
        <v>-1.62</v>
      </c>
      <c r="AT360" s="2">
        <f t="shared" si="347"/>
        <v>0.15073321475828905</v>
      </c>
      <c r="AU360" s="2">
        <f t="shared" si="348"/>
        <v>-1.62</v>
      </c>
      <c r="AV360" s="2">
        <v>8730</v>
      </c>
      <c r="AW360" s="2">
        <v>-1.32</v>
      </c>
      <c r="AX360" s="2">
        <f t="shared" si="349"/>
        <v>-0.53563676893060796</v>
      </c>
      <c r="AY360" s="2">
        <f t="shared" si="350"/>
        <v>-1.32</v>
      </c>
      <c r="AZ360" s="2">
        <v>-1.0134385637994019</v>
      </c>
      <c r="BA360" s="78">
        <f t="shared" si="381"/>
        <v>-0.92023856379940194</v>
      </c>
      <c r="BB360" s="78">
        <f t="shared" si="382"/>
        <v>-2</v>
      </c>
      <c r="BC360" s="2" t="str">
        <f t="shared" si="351"/>
        <v/>
      </c>
      <c r="BD360" s="2">
        <f t="shared" si="352"/>
        <v>-1.0134385637994019</v>
      </c>
      <c r="BE360" s="67">
        <f t="shared" si="383"/>
        <v>7</v>
      </c>
      <c r="BF360" s="2">
        <v>81</v>
      </c>
      <c r="BG360" s="2">
        <v>-1.258533570483422</v>
      </c>
      <c r="BH360" s="2" t="str">
        <f t="shared" si="353"/>
        <v/>
      </c>
      <c r="BI360" s="2">
        <f t="shared" si="354"/>
        <v>-1.258533570483422</v>
      </c>
      <c r="BJ360" s="67">
        <f t="shared" si="355"/>
        <v>7</v>
      </c>
      <c r="BK360" s="2">
        <v>9900</v>
      </c>
      <c r="BL360" s="2">
        <v>-2.0412735378612159</v>
      </c>
      <c r="BM360" s="77">
        <f t="shared" si="384"/>
        <v>-1.0712735378612159</v>
      </c>
      <c r="BN360" s="77">
        <f t="shared" si="385"/>
        <v>-2</v>
      </c>
      <c r="BO360" s="2" t="str">
        <f t="shared" si="356"/>
        <v/>
      </c>
      <c r="BP360" s="2">
        <f t="shared" si="357"/>
        <v>-2.0412735378612159</v>
      </c>
      <c r="BQ360" s="67">
        <f t="shared" si="386"/>
        <v>4</v>
      </c>
      <c r="BS360" s="75" t="str">
        <f t="shared" si="387"/>
        <v>UF</v>
      </c>
      <c r="BT360" s="75" t="str">
        <f t="shared" si="388"/>
        <v>UF</v>
      </c>
      <c r="BU360" s="5" t="str">
        <f t="shared" si="396"/>
        <v>UF</v>
      </c>
      <c r="BV360" s="5" t="str">
        <f t="shared" si="358"/>
        <v>UF</v>
      </c>
      <c r="BW360" s="69" t="str">
        <f t="shared" si="359"/>
        <v/>
      </c>
      <c r="BX360" s="2" t="s">
        <v>12</v>
      </c>
      <c r="BZ360" s="74" t="str">
        <f t="shared" si="389"/>
        <v>UF</v>
      </c>
      <c r="CA360" s="74" t="str">
        <f t="shared" si="390"/>
        <v>UF</v>
      </c>
      <c r="CB360" s="5" t="str">
        <f t="shared" si="360"/>
        <v>UF</v>
      </c>
      <c r="CC360" s="5" t="str">
        <f t="shared" si="361"/>
        <v>UF</v>
      </c>
      <c r="CD360" s="2" t="e">
        <f t="shared" si="362"/>
        <v>#VALUE!</v>
      </c>
      <c r="CE360" s="69" t="str">
        <f t="shared" si="363"/>
        <v/>
      </c>
      <c r="CF360" s="5" t="s">
        <v>12</v>
      </c>
      <c r="CH360" s="72" t="str">
        <f t="shared" si="391"/>
        <v>UF</v>
      </c>
      <c r="CI360" s="72" t="str">
        <f t="shared" si="392"/>
        <v>UF</v>
      </c>
      <c r="CJ360" s="5" t="str">
        <f t="shared" si="364"/>
        <v>UF</v>
      </c>
      <c r="CK360" s="5" t="str">
        <f t="shared" si="365"/>
        <v>UF</v>
      </c>
      <c r="CL360" s="69" t="str">
        <f t="shared" si="366"/>
        <v/>
      </c>
      <c r="CN360" s="70" t="str">
        <f t="shared" si="367"/>
        <v/>
      </c>
      <c r="CO360" s="5" t="str">
        <f t="shared" si="368"/>
        <v>UF</v>
      </c>
      <c r="CP360" s="5" t="str">
        <f>IF(G360&lt;48,"UF", IF(NOT(ISBLANK(CM:CM)), CM:CM, IF(BW:BW=1, BV:BV+Sheet2!B291, IF(Sheet1!BW:BW=2, Sheet1!BV:BV+Sheet2!B292, IF(Sheet1!BW:BW=7, Sheet1!BV:BV+Sheet2!B293,"")))))</f>
        <v>UF</v>
      </c>
      <c r="CQ360" s="69" t="str">
        <f t="shared" si="393"/>
        <v/>
      </c>
      <c r="CR360" s="5" t="s">
        <v>12</v>
      </c>
      <c r="CT360" s="5" t="str">
        <f t="shared" si="369"/>
        <v/>
      </c>
      <c r="CU360" s="80" t="str">
        <f t="shared" si="370"/>
        <v>UF</v>
      </c>
      <c r="CV360" s="80" t="str">
        <f t="shared" si="371"/>
        <v>UF</v>
      </c>
      <c r="CW360" s="20" t="str">
        <f>IF(G360&lt;48,"UF", IF(NOT(ISBLANK(CS360)), CS360, IF(CE360=5, CC360+Sheet2!B280, IF(CE360=6, CC360+Sheet2!B281, IF(CE360=7, CC360+Sheet2!B282,"")))))</f>
        <v>UF</v>
      </c>
      <c r="CX360" s="68" t="str">
        <f t="shared" si="394"/>
        <v/>
      </c>
      <c r="CY360" s="5" t="s">
        <v>12</v>
      </c>
      <c r="DA360" s="5" t="str">
        <f t="shared" si="372"/>
        <v>UF</v>
      </c>
      <c r="DB360" s="73" t="str">
        <f t="shared" si="373"/>
        <v>UF</v>
      </c>
      <c r="DC360" s="73" t="str">
        <f t="shared" si="374"/>
        <v>UF</v>
      </c>
      <c r="DD360" s="5" t="str">
        <f>IF(G360&lt;48,"UF", IF(NOT(ISBLANK(CZ:CZ)), CZ:CZ, IF(CL:CL=3, CK:CK+Sheet2!B285, IF(CL:CL=4, CK:CK+Sheet2!B286, IF(CL:CL=7, CK:CK+Sheet2!B287,"")))))</f>
        <v>UF</v>
      </c>
      <c r="DE360" s="69" t="str">
        <f t="shared" si="331"/>
        <v/>
      </c>
      <c r="DF360" s="2">
        <v>1</v>
      </c>
      <c r="DG360" s="2">
        <v>26</v>
      </c>
      <c r="DH360" s="2">
        <v>2</v>
      </c>
      <c r="DI360" s="2">
        <v>2</v>
      </c>
      <c r="DJ360" s="2">
        <v>2</v>
      </c>
      <c r="DK360" s="2">
        <v>80</v>
      </c>
      <c r="DL360" s="2">
        <v>50</v>
      </c>
      <c r="DM360" s="2">
        <v>100</v>
      </c>
      <c r="DN360" s="2">
        <v>60</v>
      </c>
      <c r="DO360" s="2">
        <v>90</v>
      </c>
      <c r="DP360" s="2">
        <v>60</v>
      </c>
      <c r="DQ360" s="2">
        <v>2</v>
      </c>
      <c r="DR360" s="2">
        <v>37</v>
      </c>
      <c r="DS360" s="2">
        <v>2</v>
      </c>
      <c r="DT360" s="2">
        <v>83</v>
      </c>
      <c r="DU360" s="2">
        <v>71</v>
      </c>
      <c r="DV360" s="2">
        <v>2</v>
      </c>
      <c r="DW360" s="2">
        <v>2</v>
      </c>
      <c r="DX360" s="2">
        <v>2</v>
      </c>
      <c r="DY360" s="2">
        <v>2</v>
      </c>
      <c r="DZ360" s="2">
        <v>32</v>
      </c>
      <c r="EA360" s="2">
        <v>34</v>
      </c>
      <c r="EB360" s="2">
        <v>45</v>
      </c>
      <c r="EC360" s="2">
        <v>1</v>
      </c>
      <c r="ED360" s="2">
        <v>1</v>
      </c>
    </row>
    <row r="361" spans="3:134" x14ac:dyDescent="0.25">
      <c r="C361" s="8" t="s">
        <v>174</v>
      </c>
      <c r="D361" s="4">
        <v>2501054601</v>
      </c>
      <c r="E361" s="5">
        <v>7</v>
      </c>
      <c r="F361" s="2">
        <v>1</v>
      </c>
      <c r="G361" s="2">
        <v>24</v>
      </c>
      <c r="H361" s="2">
        <v>-1.691719211546902</v>
      </c>
      <c r="I361" s="2">
        <v>52</v>
      </c>
      <c r="J361" s="2">
        <v>1.531272843240846</v>
      </c>
      <c r="K361" s="1">
        <v>3085</v>
      </c>
      <c r="L361" s="2">
        <v>-0.32601790694306299</v>
      </c>
      <c r="M361" s="2">
        <v>-0.23580000000000001</v>
      </c>
      <c r="N361" s="2">
        <f t="shared" si="334"/>
        <v>0.62805960577345099</v>
      </c>
      <c r="O361" s="2">
        <f t="shared" si="335"/>
        <v>-0.23580000000000001</v>
      </c>
      <c r="P361" s="2">
        <v>64</v>
      </c>
      <c r="Q361" s="2">
        <v>-0.77</v>
      </c>
      <c r="R361" s="5">
        <f t="shared" si="336"/>
        <v>-0.67063642162042303</v>
      </c>
      <c r="S361" s="5">
        <f t="shared" si="337"/>
        <v>-0.77</v>
      </c>
      <c r="T361" s="1">
        <v>6780</v>
      </c>
      <c r="U361" s="2">
        <v>-0.61</v>
      </c>
      <c r="V361" s="2">
        <f t="shared" si="338"/>
        <v>6.8008953471531491E-2</v>
      </c>
      <c r="W361" s="2">
        <f t="shared" si="339"/>
        <v>-0.61</v>
      </c>
      <c r="X361" s="2">
        <v>-0.43559999999999999</v>
      </c>
      <c r="Y361" s="76">
        <f t="shared" si="375"/>
        <v>1.256119211546902</v>
      </c>
      <c r="Z361" s="76">
        <f t="shared" si="376"/>
        <v>2</v>
      </c>
      <c r="AA361" s="2">
        <f t="shared" si="340"/>
        <v>-3.2449999999999979E-2</v>
      </c>
      <c r="AB361" s="2">
        <f t="shared" si="341"/>
        <v>-0.43559999999999999</v>
      </c>
      <c r="AC361" s="2">
        <v>74.5</v>
      </c>
      <c r="AD361" s="2">
        <v>0.19</v>
      </c>
      <c r="AE361" s="79">
        <f t="shared" si="377"/>
        <v>-1.3412728432408461</v>
      </c>
      <c r="AF361" s="79">
        <f t="shared" si="378"/>
        <v>-2</v>
      </c>
      <c r="AG361" s="2">
        <f t="shared" si="395"/>
        <v>0.60499999999999998</v>
      </c>
      <c r="AH361" s="2">
        <f t="shared" si="342"/>
        <v>0.19</v>
      </c>
      <c r="AI361" s="2">
        <v>8740</v>
      </c>
      <c r="AJ361" s="2">
        <v>-0.19</v>
      </c>
      <c r="AK361" s="76">
        <f t="shared" si="379"/>
        <v>0.13601790694306298</v>
      </c>
      <c r="AL361" s="76">
        <f t="shared" si="380"/>
        <v>1</v>
      </c>
      <c r="AM361" s="2">
        <f t="shared" si="343"/>
        <v>0.15</v>
      </c>
      <c r="AN361" s="2">
        <f t="shared" si="344"/>
        <v>-0.19</v>
      </c>
      <c r="AO361" s="2">
        <v>-0.83489999999999998</v>
      </c>
      <c r="AP361" s="2">
        <f t="shared" si="345"/>
        <v>-0.5810348536308545</v>
      </c>
      <c r="AQ361" s="2">
        <f t="shared" si="346"/>
        <v>-0.83489999999999998</v>
      </c>
      <c r="AR361" s="2">
        <v>82</v>
      </c>
      <c r="AS361" s="2">
        <v>0.44</v>
      </c>
      <c r="AT361" s="2">
        <f t="shared" si="347"/>
        <v>-0.1089445945562221</v>
      </c>
      <c r="AU361" s="2">
        <f t="shared" si="348"/>
        <v>0.44</v>
      </c>
      <c r="AV361" s="2">
        <v>9850</v>
      </c>
      <c r="AW361" s="2">
        <v>-0.31</v>
      </c>
      <c r="AX361" s="2">
        <f t="shared" si="349"/>
        <v>-0.61433685583615349</v>
      </c>
      <c r="AY361" s="2">
        <f t="shared" si="350"/>
        <v>-0.31</v>
      </c>
      <c r="AZ361" s="2">
        <v>-1.597669707261709</v>
      </c>
      <c r="BA361" s="78">
        <f t="shared" si="381"/>
        <v>-1.162069707261709</v>
      </c>
      <c r="BB361" s="78">
        <f t="shared" si="382"/>
        <v>-2</v>
      </c>
      <c r="BC361" s="2" t="str">
        <f t="shared" si="351"/>
        <v/>
      </c>
      <c r="BD361" s="2">
        <f t="shared" si="352"/>
        <v>-1.597669707261709</v>
      </c>
      <c r="BE361" s="67">
        <f t="shared" si="383"/>
        <v>7</v>
      </c>
      <c r="BF361" s="2">
        <v>85.3</v>
      </c>
      <c r="BG361" s="2">
        <v>-2.7889189112444202E-2</v>
      </c>
      <c r="BH361" s="2" t="str">
        <f t="shared" si="353"/>
        <v/>
      </c>
      <c r="BI361" s="2">
        <f t="shared" si="354"/>
        <v>-2.7889189112444202E-2</v>
      </c>
      <c r="BJ361" s="67">
        <f t="shared" si="355"/>
        <v>7</v>
      </c>
      <c r="BK361" s="2">
        <v>10500</v>
      </c>
      <c r="BL361" s="2">
        <v>-1.4186737116723069</v>
      </c>
      <c r="BM361" s="77">
        <f t="shared" si="384"/>
        <v>-1.228673711672307</v>
      </c>
      <c r="BN361" s="77">
        <f t="shared" si="385"/>
        <v>-2</v>
      </c>
      <c r="BO361" s="2" t="str">
        <f t="shared" si="356"/>
        <v/>
      </c>
      <c r="BP361" s="2">
        <f t="shared" si="357"/>
        <v>-1.4186737116723069</v>
      </c>
      <c r="BQ361" s="67">
        <f t="shared" si="386"/>
        <v>7</v>
      </c>
      <c r="BS361" s="75" t="str">
        <f t="shared" si="387"/>
        <v>UF</v>
      </c>
      <c r="BT361" s="75" t="str">
        <f t="shared" si="388"/>
        <v>UF</v>
      </c>
      <c r="BU361" s="5" t="str">
        <f t="shared" si="396"/>
        <v>UF</v>
      </c>
      <c r="BV361" s="5" t="str">
        <f t="shared" si="358"/>
        <v>UF</v>
      </c>
      <c r="BW361" s="69" t="str">
        <f t="shared" si="359"/>
        <v/>
      </c>
      <c r="BX361" s="2" t="s">
        <v>12</v>
      </c>
      <c r="BZ361" s="74" t="str">
        <f t="shared" si="389"/>
        <v>UF</v>
      </c>
      <c r="CA361" s="74" t="str">
        <f t="shared" si="390"/>
        <v>UF</v>
      </c>
      <c r="CB361" s="5" t="str">
        <f t="shared" si="360"/>
        <v>UF</v>
      </c>
      <c r="CC361" s="5" t="str">
        <f t="shared" si="361"/>
        <v>UF</v>
      </c>
      <c r="CD361" s="2" t="e">
        <f t="shared" si="362"/>
        <v>#VALUE!</v>
      </c>
      <c r="CE361" s="69" t="str">
        <f t="shared" si="363"/>
        <v/>
      </c>
      <c r="CF361" s="5" t="s">
        <v>12</v>
      </c>
      <c r="CH361" s="72" t="str">
        <f t="shared" si="391"/>
        <v>UF</v>
      </c>
      <c r="CI361" s="72" t="str">
        <f t="shared" si="392"/>
        <v>UF</v>
      </c>
      <c r="CJ361" s="5" t="str">
        <f t="shared" si="364"/>
        <v>UF</v>
      </c>
      <c r="CK361" s="5" t="str">
        <f t="shared" si="365"/>
        <v>UF</v>
      </c>
      <c r="CL361" s="69" t="str">
        <f t="shared" si="366"/>
        <v/>
      </c>
      <c r="CN361" s="70" t="str">
        <f t="shared" si="367"/>
        <v/>
      </c>
      <c r="CO361" s="5" t="str">
        <f t="shared" si="368"/>
        <v>UF</v>
      </c>
      <c r="CP361" s="5" t="str">
        <f>IF(G361&lt;48,"UF", IF(NOT(ISBLANK(CM:CM)), CM:CM, IF(BW:BW=1, BV:BV+Sheet2!B341, IF(Sheet1!BW:BW=2, Sheet1!BV:BV+Sheet2!B342, IF(Sheet1!BW:BW=7, Sheet1!BV:BV+Sheet2!B343,"")))))</f>
        <v>UF</v>
      </c>
      <c r="CQ361" s="69" t="str">
        <f t="shared" si="393"/>
        <v/>
      </c>
      <c r="CR361" s="5" t="s">
        <v>12</v>
      </c>
      <c r="CT361" s="5" t="str">
        <f t="shared" si="369"/>
        <v/>
      </c>
      <c r="CU361" s="80" t="str">
        <f t="shared" si="370"/>
        <v>UF</v>
      </c>
      <c r="CV361" s="80" t="str">
        <f t="shared" si="371"/>
        <v>UF</v>
      </c>
      <c r="CW361" s="20" t="str">
        <f>IF(G361&lt;48,"UF", IF(NOT(ISBLANK(CS361)), CS361, IF(CE361=5, CC361+Sheet2!B330, IF(CE361=6, CC361+Sheet2!B331, IF(CE361=7, CC361+Sheet2!B332,"")))))</f>
        <v>UF</v>
      </c>
      <c r="CX361" s="68" t="str">
        <f t="shared" si="394"/>
        <v/>
      </c>
      <c r="CY361" s="5" t="s">
        <v>12</v>
      </c>
      <c r="DA361" s="5" t="str">
        <f t="shared" si="372"/>
        <v>UF</v>
      </c>
      <c r="DB361" s="73" t="str">
        <f t="shared" si="373"/>
        <v>UF</v>
      </c>
      <c r="DC361" s="73" t="str">
        <f t="shared" si="374"/>
        <v>UF</v>
      </c>
      <c r="DD361" s="5" t="str">
        <f>IF(G361&lt;48,"UF", IF(NOT(ISBLANK(CZ:CZ)), CZ:CZ, IF(CL:CL=3, CK:CK+Sheet2!B335, IF(CL:CL=4, CK:CK+Sheet2!B336, IF(CL:CL=7, CK:CK+Sheet2!B337,"")))))</f>
        <v>UF</v>
      </c>
      <c r="DE361" s="69" t="str">
        <f t="shared" si="331"/>
        <v/>
      </c>
      <c r="DF361" s="2">
        <v>1</v>
      </c>
      <c r="DG361" s="2">
        <v>31</v>
      </c>
      <c r="DH361" s="2">
        <v>2</v>
      </c>
      <c r="DI361" s="2">
        <v>2</v>
      </c>
      <c r="DJ361" s="2">
        <v>2</v>
      </c>
      <c r="DK361" s="2">
        <v>110</v>
      </c>
      <c r="DL361" s="2">
        <v>60</v>
      </c>
      <c r="DM361" s="2">
        <v>110</v>
      </c>
      <c r="DN361" s="2">
        <v>70</v>
      </c>
      <c r="DO361" s="2">
        <v>100</v>
      </c>
      <c r="DP361" s="2">
        <v>60</v>
      </c>
      <c r="DQ361" s="2">
        <v>2</v>
      </c>
      <c r="DR361" s="2">
        <v>37</v>
      </c>
      <c r="DS361" s="2">
        <v>2</v>
      </c>
      <c r="DT361" s="2">
        <v>79</v>
      </c>
      <c r="DU361" s="2">
        <v>71</v>
      </c>
      <c r="DV361" s="2">
        <v>2</v>
      </c>
      <c r="DW361" s="2">
        <v>2</v>
      </c>
      <c r="DX361" s="2">
        <v>2</v>
      </c>
      <c r="DY361" s="2">
        <v>3</v>
      </c>
      <c r="DZ361" s="2">
        <v>33</v>
      </c>
      <c r="EA361" s="2" t="s">
        <v>12</v>
      </c>
      <c r="EB361" s="2">
        <v>43.8</v>
      </c>
      <c r="EC361" s="2" t="s">
        <v>12</v>
      </c>
      <c r="ED361" s="2">
        <v>1</v>
      </c>
    </row>
    <row r="362" spans="3:134" x14ac:dyDescent="0.25">
      <c r="C362" s="8" t="s">
        <v>174</v>
      </c>
      <c r="D362" s="4">
        <v>2501054652</v>
      </c>
      <c r="E362" s="5">
        <v>7</v>
      </c>
      <c r="F362" s="2">
        <v>2</v>
      </c>
      <c r="G362" s="2">
        <v>25</v>
      </c>
      <c r="H362" s="2">
        <v>8.4055674823049847E-2</v>
      </c>
      <c r="I362" s="2">
        <v>49</v>
      </c>
      <c r="J362" s="2">
        <v>-0.46706379753639199</v>
      </c>
      <c r="K362" s="1">
        <v>3245</v>
      </c>
      <c r="L362" s="2">
        <v>-0.2095967425436257</v>
      </c>
      <c r="M362" s="2">
        <v>-0.83550000000000002</v>
      </c>
      <c r="N362" s="2">
        <f t="shared" si="334"/>
        <v>-4.4077837411524927E-2</v>
      </c>
      <c r="O362" s="2">
        <f t="shared" si="335"/>
        <v>-0.83550000000000002</v>
      </c>
      <c r="P362" s="2">
        <v>68.5</v>
      </c>
      <c r="Q362" s="2">
        <v>0.4</v>
      </c>
      <c r="R362" s="5">
        <f t="shared" si="336"/>
        <v>0.28853189876819602</v>
      </c>
      <c r="S362" s="5">
        <f t="shared" si="337"/>
        <v>0.4</v>
      </c>
      <c r="T362" s="1">
        <v>7600</v>
      </c>
      <c r="U362" s="2">
        <v>-0.4</v>
      </c>
      <c r="V362" s="2">
        <f t="shared" si="338"/>
        <v>0.12979837127181285</v>
      </c>
      <c r="W362" s="2">
        <f t="shared" si="339"/>
        <v>-0.4</v>
      </c>
      <c r="X362" s="2">
        <v>-4.1000000000000003E-3</v>
      </c>
      <c r="Y362" s="76">
        <f t="shared" si="375"/>
        <v>-8.8155674823049854E-2</v>
      </c>
      <c r="Z362" s="76">
        <f t="shared" si="376"/>
        <v>-1</v>
      </c>
      <c r="AA362" s="2">
        <f t="shared" si="340"/>
        <v>-0.56895000000000007</v>
      </c>
      <c r="AB362" s="2">
        <f t="shared" si="341"/>
        <v>-4.1000000000000003E-3</v>
      </c>
      <c r="AC362" s="2">
        <v>76</v>
      </c>
      <c r="AD362" s="2">
        <v>0.11</v>
      </c>
      <c r="AE362" s="79">
        <f t="shared" si="377"/>
        <v>0.57706379753639203</v>
      </c>
      <c r="AF362" s="79">
        <f t="shared" si="378"/>
        <v>1</v>
      </c>
      <c r="AG362" s="2">
        <f t="shared" si="395"/>
        <v>-6.5000000000000002E-2</v>
      </c>
      <c r="AH362" s="2">
        <f t="shared" si="342"/>
        <v>0.11</v>
      </c>
      <c r="AI362" s="2">
        <v>9700</v>
      </c>
      <c r="AJ362" s="2">
        <v>0.05</v>
      </c>
      <c r="AK362" s="76">
        <f t="shared" si="379"/>
        <v>0.25959674254362569</v>
      </c>
      <c r="AL362" s="76">
        <f t="shared" si="380"/>
        <v>1</v>
      </c>
      <c r="AM362" s="2">
        <f t="shared" si="343"/>
        <v>1.5000000000000013E-2</v>
      </c>
      <c r="AN362" s="2">
        <f t="shared" si="344"/>
        <v>0.05</v>
      </c>
      <c r="AO362" s="2">
        <v>-0.7379</v>
      </c>
      <c r="AP362" s="2">
        <f t="shared" si="345"/>
        <v>-0.92197075356469205</v>
      </c>
      <c r="AQ362" s="2">
        <f t="shared" si="346"/>
        <v>-0.7379</v>
      </c>
      <c r="AR362" s="2">
        <v>83</v>
      </c>
      <c r="AS362" s="2">
        <v>0.27</v>
      </c>
      <c r="AT362" s="2">
        <f t="shared" si="347"/>
        <v>-0.32025437276213997</v>
      </c>
      <c r="AU362" s="2">
        <f t="shared" si="348"/>
        <v>0.27</v>
      </c>
      <c r="AV362" s="2">
        <v>10500</v>
      </c>
      <c r="AW362" s="2">
        <v>-0.37</v>
      </c>
      <c r="AX362" s="2">
        <f t="shared" si="349"/>
        <v>-0.93842284320353553</v>
      </c>
      <c r="AY362" s="2">
        <f t="shared" si="350"/>
        <v>-0.37</v>
      </c>
      <c r="AZ362" s="2">
        <v>-1.8480415071293841</v>
      </c>
      <c r="BA362" s="78">
        <f t="shared" si="381"/>
        <v>-1.8439415071293841</v>
      </c>
      <c r="BB362" s="78">
        <f t="shared" si="382"/>
        <v>-2</v>
      </c>
      <c r="BC362" s="2" t="str">
        <f t="shared" si="351"/>
        <v/>
      </c>
      <c r="BD362" s="2">
        <f t="shared" si="352"/>
        <v>-1.8480415071293841</v>
      </c>
      <c r="BE362" s="67">
        <f t="shared" si="383"/>
        <v>7</v>
      </c>
      <c r="BF362" s="2">
        <v>85</v>
      </c>
      <c r="BG362" s="2">
        <v>-0.53050874552427996</v>
      </c>
      <c r="BH362" s="2" t="str">
        <f t="shared" si="353"/>
        <v/>
      </c>
      <c r="BI362" s="2">
        <f t="shared" si="354"/>
        <v>-0.53050874552427996</v>
      </c>
      <c r="BJ362" s="67">
        <f t="shared" si="355"/>
        <v>7</v>
      </c>
      <c r="BK362" s="2">
        <v>10500</v>
      </c>
      <c r="BL362" s="2">
        <v>-1.826845686407071</v>
      </c>
      <c r="BM362" s="77">
        <f t="shared" si="384"/>
        <v>-1.8768456864070711</v>
      </c>
      <c r="BN362" s="77">
        <f t="shared" si="385"/>
        <v>-2</v>
      </c>
      <c r="BO362" s="2" t="str">
        <f t="shared" si="356"/>
        <v/>
      </c>
      <c r="BP362" s="2">
        <f t="shared" si="357"/>
        <v>-1.826845686407071</v>
      </c>
      <c r="BQ362" s="67">
        <f t="shared" si="386"/>
        <v>7</v>
      </c>
      <c r="BS362" s="75" t="str">
        <f t="shared" si="387"/>
        <v>UF</v>
      </c>
      <c r="BT362" s="75" t="str">
        <f t="shared" si="388"/>
        <v>UF</v>
      </c>
      <c r="BU362" s="5" t="str">
        <f t="shared" si="396"/>
        <v>UF</v>
      </c>
      <c r="BV362" s="5" t="str">
        <f t="shared" si="358"/>
        <v>UF</v>
      </c>
      <c r="BW362" s="69" t="str">
        <f t="shared" si="359"/>
        <v/>
      </c>
      <c r="BX362" s="2" t="s">
        <v>12</v>
      </c>
      <c r="BZ362" s="74" t="str">
        <f t="shared" si="389"/>
        <v>UF</v>
      </c>
      <c r="CA362" s="74" t="str">
        <f t="shared" si="390"/>
        <v>UF</v>
      </c>
      <c r="CB362" s="5" t="str">
        <f t="shared" si="360"/>
        <v>UF</v>
      </c>
      <c r="CC362" s="5" t="str">
        <f t="shared" si="361"/>
        <v>UF</v>
      </c>
      <c r="CD362" s="2" t="e">
        <f t="shared" si="362"/>
        <v>#VALUE!</v>
      </c>
      <c r="CE362" s="69" t="str">
        <f t="shared" si="363"/>
        <v/>
      </c>
      <c r="CF362" s="5" t="s">
        <v>12</v>
      </c>
      <c r="CH362" s="72" t="str">
        <f t="shared" si="391"/>
        <v>UF</v>
      </c>
      <c r="CI362" s="72" t="str">
        <f t="shared" si="392"/>
        <v>UF</v>
      </c>
      <c r="CJ362" s="5" t="str">
        <f t="shared" si="364"/>
        <v>UF</v>
      </c>
      <c r="CK362" s="5" t="str">
        <f t="shared" si="365"/>
        <v>UF</v>
      </c>
      <c r="CL362" s="69" t="str">
        <f t="shared" si="366"/>
        <v/>
      </c>
      <c r="CN362" s="70" t="str">
        <f t="shared" si="367"/>
        <v/>
      </c>
      <c r="CO362" s="5" t="str">
        <f t="shared" si="368"/>
        <v>UF</v>
      </c>
      <c r="CP362" s="5" t="str">
        <f>IF(G362&lt;48,"UF", IF(NOT(ISBLANK(CM:CM)), CM:CM, IF(BW:BW=1, BV:BV+Sheet2!B355, IF(Sheet1!BW:BW=2, Sheet1!BV:BV+Sheet2!B356, IF(Sheet1!BW:BW=7, Sheet1!BV:BV+Sheet2!B357,"")))))</f>
        <v>UF</v>
      </c>
      <c r="CQ362" s="69" t="str">
        <f t="shared" si="393"/>
        <v/>
      </c>
      <c r="CR362" s="5" t="s">
        <v>12</v>
      </c>
      <c r="CT362" s="5" t="str">
        <f t="shared" si="369"/>
        <v/>
      </c>
      <c r="CU362" s="80" t="str">
        <f t="shared" si="370"/>
        <v>UF</v>
      </c>
      <c r="CV362" s="80" t="str">
        <f t="shared" si="371"/>
        <v>UF</v>
      </c>
      <c r="CW362" s="20" t="str">
        <f>IF(G362&lt;48,"UF", IF(NOT(ISBLANK(CS362)), CS362, IF(CE362=5, CC362+Sheet2!B344, IF(CE362=6, CC362+Sheet2!B345, IF(CE362=7, CC362+Sheet2!B346,"")))))</f>
        <v>UF</v>
      </c>
      <c r="CX362" s="68" t="str">
        <f t="shared" si="394"/>
        <v/>
      </c>
      <c r="CY362" s="5" t="s">
        <v>12</v>
      </c>
      <c r="DA362" s="5" t="str">
        <f t="shared" si="372"/>
        <v>UF</v>
      </c>
      <c r="DB362" s="73" t="str">
        <f t="shared" si="373"/>
        <v>UF</v>
      </c>
      <c r="DC362" s="73" t="str">
        <f t="shared" si="374"/>
        <v>UF</v>
      </c>
      <c r="DD362" s="5" t="str">
        <f>IF(G362&lt;48,"UF", IF(NOT(ISBLANK(CZ:CZ)), CZ:CZ, IF(CL:CL=3, CK:CK+Sheet2!B349, IF(CL:CL=4, CK:CK+Sheet2!B350, IF(CL:CL=7, CK:CK+Sheet2!B351,"")))))</f>
        <v>UF</v>
      </c>
      <c r="DE362" s="69" t="str">
        <f t="shared" si="331"/>
        <v/>
      </c>
      <c r="DF362" s="2">
        <v>1</v>
      </c>
      <c r="DG362" s="2">
        <v>27</v>
      </c>
      <c r="DH362" s="2">
        <v>1</v>
      </c>
      <c r="DI362" s="2">
        <v>2</v>
      </c>
      <c r="DJ362" s="2">
        <v>2</v>
      </c>
      <c r="DK362" s="2">
        <v>106</v>
      </c>
      <c r="DL362" s="2">
        <v>65</v>
      </c>
      <c r="DM362" s="2">
        <v>108</v>
      </c>
      <c r="DN362" s="2">
        <v>74</v>
      </c>
      <c r="DO362" s="2" t="s">
        <v>12</v>
      </c>
      <c r="DP362" s="2" t="s">
        <v>12</v>
      </c>
      <c r="DQ362" s="2">
        <v>2</v>
      </c>
      <c r="DR362" s="2">
        <v>39</v>
      </c>
      <c r="DS362" s="2">
        <v>2</v>
      </c>
      <c r="DT362" s="2">
        <v>78</v>
      </c>
      <c r="DU362" s="2">
        <v>86</v>
      </c>
      <c r="DV362" s="2">
        <v>2</v>
      </c>
      <c r="DW362" s="2">
        <v>2</v>
      </c>
      <c r="DX362" s="2">
        <v>4</v>
      </c>
      <c r="DY362" s="2">
        <v>2</v>
      </c>
      <c r="DZ362" s="2">
        <v>34</v>
      </c>
      <c r="EA362" s="2" t="s">
        <v>12</v>
      </c>
      <c r="EB362" s="2">
        <v>45</v>
      </c>
      <c r="EC362" s="2" t="s">
        <v>12</v>
      </c>
      <c r="ED362" s="2">
        <v>1</v>
      </c>
    </row>
    <row r="363" spans="3:134" x14ac:dyDescent="0.25">
      <c r="C363" s="8" t="s">
        <v>170</v>
      </c>
      <c r="D363" s="53">
        <v>2501054891</v>
      </c>
      <c r="E363" s="5">
        <v>7</v>
      </c>
      <c r="F363" s="2">
        <v>2</v>
      </c>
      <c r="G363" s="2">
        <v>24</v>
      </c>
      <c r="H363" s="2">
        <v>-2.0221077842464239</v>
      </c>
      <c r="I363" s="2">
        <v>45</v>
      </c>
      <c r="J363" s="2">
        <v>-2.5799940983522691</v>
      </c>
      <c r="K363" s="1">
        <v>2250</v>
      </c>
      <c r="L363" s="2">
        <v>-2.538740990998142</v>
      </c>
      <c r="M363" s="2">
        <v>0.37480000000000002</v>
      </c>
      <c r="N363" s="2">
        <f t="shared" si="334"/>
        <v>0.85850389212321199</v>
      </c>
      <c r="O363" s="2">
        <f t="shared" si="335"/>
        <v>0.37480000000000002</v>
      </c>
      <c r="P363" s="2">
        <v>65.61</v>
      </c>
      <c r="Q363" s="2">
        <v>-0.95</v>
      </c>
      <c r="R363" s="5">
        <f t="shared" si="336"/>
        <v>1.0299970491761345</v>
      </c>
      <c r="S363" s="5">
        <f t="shared" si="337"/>
        <v>-0.95</v>
      </c>
      <c r="T363" s="1">
        <v>7700</v>
      </c>
      <c r="U363" s="2">
        <v>-0.28000000000000003</v>
      </c>
      <c r="V363" s="2">
        <f t="shared" si="338"/>
        <v>1.0043704954990709</v>
      </c>
      <c r="W363" s="2">
        <f t="shared" si="339"/>
        <v>-0.28000000000000003</v>
      </c>
      <c r="X363" s="2">
        <v>-0.30509999999999998</v>
      </c>
      <c r="Y363" s="76">
        <f t="shared" si="375"/>
        <v>1.717007784246424</v>
      </c>
      <c r="Z363" s="76">
        <f t="shared" si="376"/>
        <v>2</v>
      </c>
      <c r="AA363" s="2">
        <f t="shared" si="340"/>
        <v>8.7249999999999994E-2</v>
      </c>
      <c r="AB363" s="2">
        <f t="shared" si="341"/>
        <v>-0.30509999999999998</v>
      </c>
      <c r="AC363" s="2">
        <v>74.5</v>
      </c>
      <c r="AD363" s="2">
        <v>-0.52</v>
      </c>
      <c r="AE363" s="79">
        <f t="shared" si="377"/>
        <v>2.0599940983522691</v>
      </c>
      <c r="AF363" s="79">
        <f t="shared" si="378"/>
        <v>2</v>
      </c>
      <c r="AG363" s="2">
        <f t="shared" si="395"/>
        <v>0.61</v>
      </c>
      <c r="AH363" s="2">
        <f t="shared" si="342"/>
        <v>-0.52</v>
      </c>
      <c r="AI363" s="2">
        <v>9100</v>
      </c>
      <c r="AJ363" s="2">
        <v>-0.53</v>
      </c>
      <c r="AK363" s="76">
        <f t="shared" si="379"/>
        <v>2.0087409909981417</v>
      </c>
      <c r="AL363" s="76">
        <f t="shared" si="380"/>
        <v>2</v>
      </c>
      <c r="AM363" s="2">
        <f t="shared" si="343"/>
        <v>-5.4999999999999993E-2</v>
      </c>
      <c r="AN363" s="2">
        <f t="shared" si="344"/>
        <v>-0.53</v>
      </c>
      <c r="AO363" s="2">
        <v>-0.77549999999999997</v>
      </c>
      <c r="AP363" s="2">
        <f t="shared" si="345"/>
        <v>-1.8309679022021214E-2</v>
      </c>
      <c r="AQ363" s="2">
        <f t="shared" si="346"/>
        <v>-0.77549999999999997</v>
      </c>
      <c r="AR363" s="2">
        <v>83</v>
      </c>
      <c r="AS363" s="2">
        <v>0.27</v>
      </c>
      <c r="AT363" s="2">
        <f t="shared" si="347"/>
        <v>0.17997384146245693</v>
      </c>
      <c r="AU363" s="2">
        <f t="shared" si="348"/>
        <v>0.27</v>
      </c>
      <c r="AV363" s="2">
        <v>10470</v>
      </c>
      <c r="AW363" s="2">
        <v>-0.39</v>
      </c>
      <c r="AX363" s="2">
        <f t="shared" si="349"/>
        <v>-1.3978918309138388E-2</v>
      </c>
      <c r="AY363" s="2">
        <f t="shared" si="350"/>
        <v>-0.39</v>
      </c>
      <c r="AZ363" s="2">
        <v>-0.34171935804404241</v>
      </c>
      <c r="BA363" s="78">
        <f t="shared" si="381"/>
        <v>-3.6619358044042427E-2</v>
      </c>
      <c r="BB363" s="78">
        <f t="shared" si="382"/>
        <v>-1</v>
      </c>
      <c r="BC363" s="2" t="str">
        <f t="shared" si="351"/>
        <v/>
      </c>
      <c r="BD363" s="2">
        <f t="shared" si="352"/>
        <v>-0.34171935804404241</v>
      </c>
      <c r="BE363" s="67">
        <f t="shared" si="383"/>
        <v>7</v>
      </c>
      <c r="BF363" s="2">
        <v>86.3</v>
      </c>
      <c r="BG363" s="2">
        <v>-0.16005231707508619</v>
      </c>
      <c r="BH363" s="2" t="str">
        <f t="shared" si="353"/>
        <v/>
      </c>
      <c r="BI363" s="2">
        <f t="shared" si="354"/>
        <v>-0.16005231707508619</v>
      </c>
      <c r="BJ363" s="67">
        <f t="shared" si="355"/>
        <v>7</v>
      </c>
      <c r="BK363" s="2">
        <v>12000</v>
      </c>
      <c r="BL363" s="2">
        <v>-0.5579578366182768</v>
      </c>
      <c r="BM363" s="77">
        <f t="shared" si="384"/>
        <v>-2.7957836618276777E-2</v>
      </c>
      <c r="BN363" s="77">
        <f t="shared" si="385"/>
        <v>-1</v>
      </c>
      <c r="BO363" s="2" t="str">
        <f t="shared" si="356"/>
        <v/>
      </c>
      <c r="BP363" s="2">
        <f t="shared" si="357"/>
        <v>-0.5579578366182768</v>
      </c>
      <c r="BQ363" s="67">
        <f t="shared" si="386"/>
        <v>7</v>
      </c>
      <c r="BS363" s="75" t="str">
        <f t="shared" si="387"/>
        <v>UF</v>
      </c>
      <c r="BT363" s="75" t="str">
        <f t="shared" si="388"/>
        <v>UF</v>
      </c>
      <c r="BU363" s="5" t="str">
        <f t="shared" si="396"/>
        <v>UF</v>
      </c>
      <c r="BV363" s="5" t="str">
        <f t="shared" si="358"/>
        <v>UF</v>
      </c>
      <c r="BW363" s="69" t="str">
        <f t="shared" si="359"/>
        <v/>
      </c>
      <c r="BX363" s="2" t="s">
        <v>12</v>
      </c>
      <c r="BZ363" s="74" t="str">
        <f t="shared" si="389"/>
        <v>UF</v>
      </c>
      <c r="CA363" s="74" t="str">
        <f t="shared" si="390"/>
        <v>UF</v>
      </c>
      <c r="CB363" s="5" t="str">
        <f t="shared" si="360"/>
        <v>UF</v>
      </c>
      <c r="CC363" s="5" t="str">
        <f t="shared" si="361"/>
        <v>UF</v>
      </c>
      <c r="CD363" s="2" t="e">
        <f t="shared" si="362"/>
        <v>#VALUE!</v>
      </c>
      <c r="CE363" s="69" t="str">
        <f t="shared" si="363"/>
        <v/>
      </c>
      <c r="CF363" s="5" t="s">
        <v>12</v>
      </c>
      <c r="CH363" s="72" t="str">
        <f t="shared" si="391"/>
        <v>UF</v>
      </c>
      <c r="CI363" s="72" t="str">
        <f t="shared" si="392"/>
        <v>UF</v>
      </c>
      <c r="CJ363" s="5" t="str">
        <f t="shared" si="364"/>
        <v>UF</v>
      </c>
      <c r="CK363" s="5" t="str">
        <f t="shared" si="365"/>
        <v>UF</v>
      </c>
      <c r="CL363" s="69" t="str">
        <f t="shared" si="366"/>
        <v/>
      </c>
      <c r="CN363" s="70" t="str">
        <f t="shared" si="367"/>
        <v/>
      </c>
      <c r="CO363" s="5" t="str">
        <f t="shared" si="368"/>
        <v>UF</v>
      </c>
      <c r="CP363" s="5" t="str">
        <f>IF(G363&lt;48,"UF", IF(NOT(ISBLANK(CM:CM)), CM:CM, IF(BW:BW=1, BV:BV+Sheet2!B336, IF(Sheet1!BW:BW=2, Sheet1!BV:BV+Sheet2!B337, IF(Sheet1!BW:BW=7, Sheet1!BV:BV+Sheet2!B338,"")))))</f>
        <v>UF</v>
      </c>
      <c r="CQ363" s="69" t="str">
        <f t="shared" si="393"/>
        <v/>
      </c>
      <c r="CR363" s="5" t="s">
        <v>12</v>
      </c>
      <c r="CT363" s="5" t="str">
        <f t="shared" si="369"/>
        <v/>
      </c>
      <c r="CU363" s="80" t="str">
        <f t="shared" si="370"/>
        <v>UF</v>
      </c>
      <c r="CV363" s="80" t="str">
        <f t="shared" si="371"/>
        <v>UF</v>
      </c>
      <c r="CW363" s="20" t="str">
        <f>IF(G363&lt;48,"UF", IF(NOT(ISBLANK(CS363)), CS363, IF(CE363=5, CC363+Sheet2!B325, IF(CE363=6, CC363+Sheet2!B326, IF(CE363=7, CC363+Sheet2!B327,"")))))</f>
        <v>UF</v>
      </c>
      <c r="CX363" s="68" t="str">
        <f t="shared" si="394"/>
        <v/>
      </c>
      <c r="CY363" s="5" t="s">
        <v>12</v>
      </c>
      <c r="DA363" s="5" t="str">
        <f t="shared" si="372"/>
        <v>UF</v>
      </c>
      <c r="DB363" s="73" t="str">
        <f t="shared" si="373"/>
        <v>UF</v>
      </c>
      <c r="DC363" s="73" t="str">
        <f t="shared" si="374"/>
        <v>UF</v>
      </c>
      <c r="DD363" s="5" t="str">
        <f>IF(G363&lt;48,"UF", IF(NOT(ISBLANK(CZ:CZ)), CZ:CZ, IF(CL:CL=3, CK:CK+Sheet2!B330, IF(CL:CL=4, CK:CK+Sheet2!B331, IF(CL:CL=7, CK:CK+Sheet2!B332,"")))))</f>
        <v>UF</v>
      </c>
      <c r="DE363" s="69" t="str">
        <f t="shared" si="331"/>
        <v/>
      </c>
      <c r="DF363" s="2">
        <v>3</v>
      </c>
      <c r="DG363" s="2">
        <v>32</v>
      </c>
      <c r="DH363" s="2">
        <v>2</v>
      </c>
      <c r="DI363" s="2">
        <v>2</v>
      </c>
      <c r="DJ363" s="2">
        <v>2</v>
      </c>
      <c r="DK363" s="2">
        <v>108</v>
      </c>
      <c r="DL363" s="2">
        <v>60</v>
      </c>
      <c r="DM363" s="2">
        <v>112</v>
      </c>
      <c r="DN363" s="2">
        <v>68</v>
      </c>
      <c r="DO363" s="2" t="s">
        <v>12</v>
      </c>
      <c r="DP363" s="2" t="s">
        <v>12</v>
      </c>
      <c r="DQ363" s="2">
        <v>2</v>
      </c>
      <c r="DR363" s="2">
        <v>35</v>
      </c>
      <c r="DS363" s="2">
        <v>1</v>
      </c>
      <c r="DT363" s="2">
        <v>100</v>
      </c>
      <c r="DU363" s="2">
        <v>82</v>
      </c>
      <c r="DV363" s="2">
        <v>2</v>
      </c>
      <c r="DW363" s="2">
        <v>2</v>
      </c>
      <c r="DX363" s="2">
        <v>2</v>
      </c>
      <c r="DY363" s="2">
        <v>3</v>
      </c>
      <c r="DZ363" s="2">
        <v>34.5</v>
      </c>
      <c r="EA363" s="2" t="s">
        <v>12</v>
      </c>
      <c r="EB363" s="2" t="s">
        <v>12</v>
      </c>
      <c r="EC363" s="2" t="s">
        <v>12</v>
      </c>
      <c r="ED363" s="2" t="s">
        <v>12</v>
      </c>
    </row>
    <row r="364" spans="3:134" x14ac:dyDescent="0.25">
      <c r="C364" s="8" t="s">
        <v>302</v>
      </c>
      <c r="D364" s="8">
        <v>2501054911</v>
      </c>
      <c r="E364" s="5">
        <v>7</v>
      </c>
      <c r="F364" s="2">
        <v>1</v>
      </c>
      <c r="G364" s="2">
        <v>27</v>
      </c>
      <c r="H364" s="2">
        <v>-3.126282249554762</v>
      </c>
      <c r="I364" s="2">
        <v>50</v>
      </c>
      <c r="J364" s="2">
        <v>0.45756143734440202</v>
      </c>
      <c r="K364" s="2">
        <v>2500</v>
      </c>
      <c r="L364" s="2">
        <v>-1.7268064884432719</v>
      </c>
      <c r="M364" s="2">
        <v>-0.67079999999999995</v>
      </c>
      <c r="N364" s="2">
        <f t="shared" si="334"/>
        <v>1.0565911247773809</v>
      </c>
      <c r="O364" s="2">
        <f t="shared" si="335"/>
        <v>-0.67079999999999995</v>
      </c>
      <c r="P364" s="2">
        <v>70</v>
      </c>
      <c r="Q364" s="2">
        <v>1.87</v>
      </c>
      <c r="R364" s="5">
        <f t="shared" si="336"/>
        <v>0.45121928132779904</v>
      </c>
      <c r="S364" s="5">
        <f t="shared" si="337"/>
        <v>1.87</v>
      </c>
      <c r="T364" s="2">
        <v>7800</v>
      </c>
      <c r="U364" s="2">
        <v>0.54</v>
      </c>
      <c r="V364" s="2">
        <f t="shared" si="338"/>
        <v>0.88840324422163597</v>
      </c>
      <c r="W364" s="2">
        <f t="shared" si="339"/>
        <v>0.54</v>
      </c>
      <c r="X364" s="2">
        <v>-1.0130999999999999</v>
      </c>
      <c r="Y364" s="76">
        <f t="shared" si="375"/>
        <v>2.1131822495547619</v>
      </c>
      <c r="Z364" s="76">
        <f t="shared" si="376"/>
        <v>2</v>
      </c>
      <c r="AA364" s="2">
        <f t="shared" si="340"/>
        <v>-1.10805</v>
      </c>
      <c r="AB364" s="2">
        <f t="shared" si="341"/>
        <v>-1.0130999999999999</v>
      </c>
      <c r="AC364" s="2">
        <v>77.5</v>
      </c>
      <c r="AD364" s="2">
        <v>1.36</v>
      </c>
      <c r="AE364" s="79">
        <f t="shared" si="377"/>
        <v>0.90243856265559808</v>
      </c>
      <c r="AF364" s="79">
        <f t="shared" si="378"/>
        <v>2</v>
      </c>
      <c r="AG364" s="2">
        <f t="shared" si="395"/>
        <v>-0.28500000000000003</v>
      </c>
      <c r="AH364" s="2">
        <f t="shared" si="342"/>
        <v>1.36</v>
      </c>
      <c r="AI364" s="2">
        <v>9000</v>
      </c>
      <c r="AJ364" s="2">
        <v>0.05</v>
      </c>
      <c r="AK364" s="76">
        <f t="shared" si="379"/>
        <v>1.7768064884432719</v>
      </c>
      <c r="AL364" s="76">
        <f t="shared" si="380"/>
        <v>2</v>
      </c>
      <c r="AM364" s="2">
        <f t="shared" si="343"/>
        <v>-1.5000000000000013E-2</v>
      </c>
      <c r="AN364" s="2">
        <f t="shared" si="344"/>
        <v>0.05</v>
      </c>
      <c r="AO364" s="2">
        <v>-0.34610000000000002</v>
      </c>
      <c r="AP364" s="2">
        <f t="shared" si="345"/>
        <v>0.88294086642457992</v>
      </c>
      <c r="AQ364" s="2">
        <f t="shared" si="346"/>
        <v>-0.34610000000000002</v>
      </c>
      <c r="AR364" s="2">
        <v>84.5</v>
      </c>
      <c r="AS364" s="2">
        <v>1.3</v>
      </c>
      <c r="AT364" s="2">
        <f t="shared" si="347"/>
        <v>-0.66528559614585314</v>
      </c>
      <c r="AU364" s="2">
        <f t="shared" si="348"/>
        <v>1.3</v>
      </c>
      <c r="AV364" s="2">
        <v>10900</v>
      </c>
      <c r="AW364" s="2">
        <v>0.51</v>
      </c>
      <c r="AX364" s="2">
        <f t="shared" si="349"/>
        <v>0.21785328256234285</v>
      </c>
      <c r="AY364" s="2">
        <f t="shared" si="350"/>
        <v>0.51</v>
      </c>
      <c r="AZ364" s="2">
        <v>0.75278173284915995</v>
      </c>
      <c r="BA364" s="78">
        <f t="shared" si="381"/>
        <v>1.7658817328491598</v>
      </c>
      <c r="BB364" s="78">
        <f t="shared" si="382"/>
        <v>2</v>
      </c>
      <c r="BC364" s="2" t="str">
        <f t="shared" si="351"/>
        <v/>
      </c>
      <c r="BD364" s="2">
        <f t="shared" si="352"/>
        <v>0.75278173284915995</v>
      </c>
      <c r="BE364" s="67">
        <f t="shared" si="383"/>
        <v>7</v>
      </c>
      <c r="BF364" s="2">
        <v>85.5</v>
      </c>
      <c r="BG364" s="2">
        <v>2.9428807708293769E-2</v>
      </c>
      <c r="BH364" s="2" t="str">
        <f t="shared" si="353"/>
        <v/>
      </c>
      <c r="BI364" s="2">
        <f t="shared" si="354"/>
        <v>2.9428807708293769E-2</v>
      </c>
      <c r="BJ364" s="67">
        <f t="shared" si="355"/>
        <v>7</v>
      </c>
      <c r="BK364" s="2">
        <v>12800</v>
      </c>
      <c r="BL364" s="2">
        <v>0.48570656512468569</v>
      </c>
      <c r="BM364" s="77">
        <f t="shared" si="384"/>
        <v>0.4357065651246857</v>
      </c>
      <c r="BN364" s="77">
        <f t="shared" si="385"/>
        <v>1</v>
      </c>
      <c r="BO364" s="2" t="str">
        <f t="shared" si="356"/>
        <v/>
      </c>
      <c r="BP364" s="2">
        <f t="shared" si="357"/>
        <v>0.48570656512468569</v>
      </c>
      <c r="BQ364" s="67">
        <f t="shared" si="386"/>
        <v>7</v>
      </c>
      <c r="BS364" s="75" t="str">
        <f t="shared" si="387"/>
        <v>UF</v>
      </c>
      <c r="BT364" s="75" t="str">
        <f t="shared" si="388"/>
        <v>UF</v>
      </c>
      <c r="BU364" s="5" t="str">
        <f t="shared" si="396"/>
        <v>UF</v>
      </c>
      <c r="BV364" s="5" t="str">
        <f t="shared" si="358"/>
        <v>UF</v>
      </c>
      <c r="BW364" s="69" t="str">
        <f t="shared" si="359"/>
        <v/>
      </c>
      <c r="BX364" s="2" t="s">
        <v>12</v>
      </c>
      <c r="BZ364" s="74" t="str">
        <f t="shared" si="389"/>
        <v>UF</v>
      </c>
      <c r="CA364" s="74" t="str">
        <f t="shared" si="390"/>
        <v>UF</v>
      </c>
      <c r="CB364" s="5" t="str">
        <f t="shared" si="360"/>
        <v>UF</v>
      </c>
      <c r="CC364" s="5" t="str">
        <f t="shared" si="361"/>
        <v>UF</v>
      </c>
      <c r="CD364" s="2" t="e">
        <f t="shared" si="362"/>
        <v>#VALUE!</v>
      </c>
      <c r="CE364" s="69" t="str">
        <f t="shared" si="363"/>
        <v/>
      </c>
      <c r="CF364" s="5" t="s">
        <v>12</v>
      </c>
      <c r="CH364" s="72" t="str">
        <f t="shared" si="391"/>
        <v>UF</v>
      </c>
      <c r="CI364" s="72" t="str">
        <f t="shared" si="392"/>
        <v>UF</v>
      </c>
      <c r="CJ364" s="5" t="str">
        <f t="shared" si="364"/>
        <v>UF</v>
      </c>
      <c r="CK364" s="5" t="str">
        <f t="shared" si="365"/>
        <v>UF</v>
      </c>
      <c r="CL364" s="69" t="str">
        <f t="shared" si="366"/>
        <v/>
      </c>
      <c r="CN364" s="70" t="str">
        <f t="shared" si="367"/>
        <v/>
      </c>
      <c r="CO364" s="5" t="str">
        <f t="shared" si="368"/>
        <v>UF</v>
      </c>
      <c r="CP364" s="5" t="str">
        <f>IF(G364&lt;48,"UF", IF(NOT(ISBLANK(CM:CM)), CM:CM, IF(BW:BW=1, BV:BV+Sheet2!B515, IF(Sheet1!BW:BW=2, Sheet1!BV:BV+Sheet2!B516, IF(Sheet1!BW:BW=7, Sheet1!BV:BV+Sheet2!B517,"")))))</f>
        <v>UF</v>
      </c>
      <c r="CQ364" s="69" t="str">
        <f t="shared" si="393"/>
        <v/>
      </c>
      <c r="CR364" s="5" t="s">
        <v>12</v>
      </c>
      <c r="CT364" s="5" t="str">
        <f t="shared" si="369"/>
        <v/>
      </c>
      <c r="CU364" s="80" t="str">
        <f t="shared" si="370"/>
        <v>UF</v>
      </c>
      <c r="CV364" s="80" t="str">
        <f t="shared" si="371"/>
        <v>UF</v>
      </c>
      <c r="CW364" s="20" t="str">
        <f>IF(G364&lt;48,"UF", IF(NOT(ISBLANK(CS364)), CS364, IF(CE364=5, CC364+Sheet2!B504, IF(CE364=6, CC364+Sheet2!B505, IF(CE364=7, CC364+Sheet2!B506,"")))))</f>
        <v>UF</v>
      </c>
      <c r="CX364" s="68" t="str">
        <f t="shared" si="394"/>
        <v/>
      </c>
      <c r="CY364" s="5" t="s">
        <v>12</v>
      </c>
      <c r="DA364" s="5" t="str">
        <f t="shared" si="372"/>
        <v>UF</v>
      </c>
      <c r="DB364" s="73" t="str">
        <f t="shared" si="373"/>
        <v>UF</v>
      </c>
      <c r="DC364" s="73" t="str">
        <f t="shared" si="374"/>
        <v>UF</v>
      </c>
      <c r="DD364" s="5" t="str">
        <f>IF(G364&lt;48,"UF", IF(NOT(ISBLANK(CZ:CZ)), CZ:CZ, IF(CL:CL=3, CK:CK+Sheet2!B509, IF(CL:CL=4, CK:CK+Sheet2!B510, IF(CL:CL=7, CK:CK+Sheet2!B511,"")))))</f>
        <v>UF</v>
      </c>
      <c r="DE364" s="69" t="str">
        <f t="shared" si="331"/>
        <v/>
      </c>
      <c r="DF364" s="2">
        <v>1</v>
      </c>
      <c r="DG364" s="2">
        <v>21</v>
      </c>
      <c r="DH364" s="2">
        <v>2</v>
      </c>
      <c r="DI364" s="2">
        <v>2</v>
      </c>
      <c r="DJ364" s="2">
        <v>2</v>
      </c>
      <c r="DK364" s="2">
        <v>110</v>
      </c>
      <c r="DL364" s="2">
        <v>50</v>
      </c>
      <c r="DM364" s="2">
        <v>120</v>
      </c>
      <c r="DN364" s="2">
        <v>60</v>
      </c>
      <c r="DO364" s="2">
        <v>110</v>
      </c>
      <c r="DP364" s="2">
        <v>50</v>
      </c>
      <c r="DQ364" s="2">
        <v>2</v>
      </c>
      <c r="DR364" s="2">
        <v>38</v>
      </c>
      <c r="DS364" s="2">
        <v>2</v>
      </c>
      <c r="DT364" s="2">
        <v>79</v>
      </c>
      <c r="DU364" s="2">
        <v>85</v>
      </c>
      <c r="DV364" s="2">
        <v>2</v>
      </c>
      <c r="DW364" s="2">
        <v>2</v>
      </c>
      <c r="DX364" s="2">
        <v>4</v>
      </c>
      <c r="DY364" s="2">
        <v>2</v>
      </c>
      <c r="DZ364" s="2">
        <v>34</v>
      </c>
      <c r="EA364" s="2">
        <v>33.700000000000003</v>
      </c>
      <c r="EB364" s="2">
        <v>44</v>
      </c>
      <c r="EC364" s="2">
        <v>1</v>
      </c>
      <c r="ED364" s="2">
        <v>1</v>
      </c>
    </row>
    <row r="365" spans="3:134" x14ac:dyDescent="0.25">
      <c r="C365" s="8" t="s">
        <v>179</v>
      </c>
      <c r="D365" s="4">
        <v>2501055063</v>
      </c>
      <c r="E365" s="5">
        <v>7</v>
      </c>
      <c r="F365" s="2">
        <v>2</v>
      </c>
      <c r="G365" s="2">
        <v>24</v>
      </c>
      <c r="H365" s="2">
        <v>-1.435891917887921</v>
      </c>
      <c r="I365" s="2">
        <v>50</v>
      </c>
      <c r="J365" s="2">
        <v>6.1168777667580831E-2</v>
      </c>
      <c r="K365" s="1">
        <v>2930</v>
      </c>
      <c r="L365" s="2">
        <v>-0.88926923450528828</v>
      </c>
      <c r="M365" s="2">
        <v>2.6448</v>
      </c>
      <c r="N365" s="2">
        <f t="shared" si="334"/>
        <v>1.8375959589439606</v>
      </c>
      <c r="O365" s="2">
        <f t="shared" si="335"/>
        <v>2.6448</v>
      </c>
      <c r="P365" s="2">
        <v>67.5</v>
      </c>
      <c r="Q365" s="2">
        <v>-7.0000000000000007E-2</v>
      </c>
      <c r="R365" s="5">
        <f t="shared" si="336"/>
        <v>0.2344156111662096</v>
      </c>
      <c r="S365" s="5">
        <f t="shared" si="337"/>
        <v>-7.0000000000000007E-2</v>
      </c>
      <c r="T365" s="1">
        <v>9870</v>
      </c>
      <c r="U365" s="2">
        <v>2.0099999999999998</v>
      </c>
      <c r="V365" s="2">
        <f t="shared" si="338"/>
        <v>1.449634617252644</v>
      </c>
      <c r="W365" s="2">
        <f t="shared" si="339"/>
        <v>2.0099999999999998</v>
      </c>
      <c r="X365" s="2">
        <v>2.2393000000000001</v>
      </c>
      <c r="Y365" s="76">
        <f t="shared" si="375"/>
        <v>3.6751919178879211</v>
      </c>
      <c r="Z365" s="76">
        <f t="shared" si="376"/>
        <v>2</v>
      </c>
      <c r="AA365" s="2">
        <f t="shared" si="340"/>
        <v>0.84620000000000006</v>
      </c>
      <c r="AB365" s="2">
        <f t="shared" si="341"/>
        <v>2.2393000000000001</v>
      </c>
      <c r="AC365" s="2">
        <v>77</v>
      </c>
      <c r="AD365" s="2">
        <v>0.53</v>
      </c>
      <c r="AE365" s="79">
        <f t="shared" si="377"/>
        <v>0.4688312223324192</v>
      </c>
      <c r="AF365" s="79">
        <f t="shared" si="378"/>
        <v>1</v>
      </c>
      <c r="AG365" s="2">
        <f t="shared" si="395"/>
        <v>0.35499999999999998</v>
      </c>
      <c r="AH365" s="2">
        <f t="shared" si="342"/>
        <v>0.53</v>
      </c>
      <c r="AI365" s="2">
        <v>12000</v>
      </c>
      <c r="AJ365" s="2">
        <v>2.0099999999999998</v>
      </c>
      <c r="AK365" s="76">
        <f t="shared" si="379"/>
        <v>2.899269234505288</v>
      </c>
      <c r="AL365" s="76">
        <f t="shared" si="380"/>
        <v>2</v>
      </c>
      <c r="AM365" s="2">
        <f t="shared" si="343"/>
        <v>-0.22999999999999987</v>
      </c>
      <c r="AN365" s="2">
        <f t="shared" si="344"/>
        <v>2.0099999999999998</v>
      </c>
      <c r="AO365" s="2">
        <v>1.6224000000000001</v>
      </c>
      <c r="AP365" s="2">
        <f t="shared" si="345"/>
        <v>-0.44615727975900854</v>
      </c>
      <c r="AQ365" s="2">
        <f t="shared" si="346"/>
        <v>1.6224000000000001</v>
      </c>
      <c r="AR365" s="2">
        <v>84</v>
      </c>
      <c r="AS365" s="2">
        <v>0.64</v>
      </c>
      <c r="AT365" s="2">
        <f t="shared" si="347"/>
        <v>3.9742523933635032E-2</v>
      </c>
      <c r="AU365" s="2">
        <f t="shared" si="348"/>
        <v>0.64</v>
      </c>
      <c r="AV365" s="2">
        <v>13000</v>
      </c>
      <c r="AW365" s="2">
        <v>1.55</v>
      </c>
      <c r="AX365" s="2">
        <f t="shared" si="349"/>
        <v>-0.32383614968913788</v>
      </c>
      <c r="AY365" s="2">
        <f t="shared" si="350"/>
        <v>1.55</v>
      </c>
      <c r="AZ365" s="2">
        <v>1.346985440481983</v>
      </c>
      <c r="BA365" s="78">
        <f t="shared" si="381"/>
        <v>-0.89231455951801708</v>
      </c>
      <c r="BB365" s="78">
        <f t="shared" si="382"/>
        <v>-2</v>
      </c>
      <c r="BC365" s="2" t="str">
        <f t="shared" si="351"/>
        <v/>
      </c>
      <c r="BD365" s="2">
        <f t="shared" si="352"/>
        <v>1.346985440481983</v>
      </c>
      <c r="BE365" s="67">
        <f t="shared" si="383"/>
        <v>7</v>
      </c>
      <c r="BF365" s="2">
        <v>89</v>
      </c>
      <c r="BG365" s="2">
        <v>0.60948504786727009</v>
      </c>
      <c r="BH365" s="2" t="str">
        <f t="shared" si="353"/>
        <v/>
      </c>
      <c r="BI365" s="2">
        <f t="shared" si="354"/>
        <v>0.60948504786727009</v>
      </c>
      <c r="BJ365" s="67">
        <f t="shared" si="355"/>
        <v>7</v>
      </c>
      <c r="BK365" s="2">
        <v>14800</v>
      </c>
      <c r="BL365" s="2">
        <v>1.362327700621724</v>
      </c>
      <c r="BM365" s="77">
        <f t="shared" si="384"/>
        <v>-0.64767229937827575</v>
      </c>
      <c r="BN365" s="77">
        <f t="shared" si="385"/>
        <v>-1</v>
      </c>
      <c r="BO365" s="2" t="str">
        <f t="shared" si="356"/>
        <v/>
      </c>
      <c r="BP365" s="2">
        <f t="shared" si="357"/>
        <v>1.362327700621724</v>
      </c>
      <c r="BQ365" s="67">
        <f t="shared" si="386"/>
        <v>7</v>
      </c>
      <c r="BS365" s="75" t="str">
        <f t="shared" si="387"/>
        <v>UF</v>
      </c>
      <c r="BT365" s="75" t="str">
        <f t="shared" si="388"/>
        <v>UF</v>
      </c>
      <c r="BU365" s="5" t="str">
        <f t="shared" si="396"/>
        <v>UF</v>
      </c>
      <c r="BV365" s="5" t="str">
        <f t="shared" si="358"/>
        <v>UF</v>
      </c>
      <c r="BW365" s="69" t="str">
        <f t="shared" si="359"/>
        <v/>
      </c>
      <c r="BX365" s="2" t="s">
        <v>12</v>
      </c>
      <c r="BZ365" s="74" t="str">
        <f t="shared" si="389"/>
        <v>UF</v>
      </c>
      <c r="CA365" s="74" t="str">
        <f t="shared" si="390"/>
        <v>UF</v>
      </c>
      <c r="CB365" s="5" t="str">
        <f t="shared" si="360"/>
        <v>UF</v>
      </c>
      <c r="CC365" s="5" t="str">
        <f t="shared" si="361"/>
        <v>UF</v>
      </c>
      <c r="CD365" s="2" t="e">
        <f t="shared" si="362"/>
        <v>#VALUE!</v>
      </c>
      <c r="CE365" s="69" t="str">
        <f t="shared" si="363"/>
        <v/>
      </c>
      <c r="CF365" s="5" t="s">
        <v>12</v>
      </c>
      <c r="CH365" s="72" t="str">
        <f t="shared" si="391"/>
        <v>UF</v>
      </c>
      <c r="CI365" s="72" t="str">
        <f t="shared" si="392"/>
        <v>UF</v>
      </c>
      <c r="CJ365" s="5" t="str">
        <f t="shared" si="364"/>
        <v>UF</v>
      </c>
      <c r="CK365" s="5" t="str">
        <f t="shared" si="365"/>
        <v>UF</v>
      </c>
      <c r="CL365" s="69" t="str">
        <f t="shared" si="366"/>
        <v/>
      </c>
      <c r="CN365" s="70" t="str">
        <f t="shared" si="367"/>
        <v/>
      </c>
      <c r="CO365" s="5" t="str">
        <f t="shared" si="368"/>
        <v>UF</v>
      </c>
      <c r="CP365" s="5" t="str">
        <f>IF(G365&lt;48,"UF", IF(NOT(ISBLANK(CM:CM)), CM:CM, IF(BW:BW=1, BV:BV+Sheet2!B348, IF(Sheet1!BW:BW=2, Sheet1!BV:BV+Sheet2!B349, IF(Sheet1!BW:BW=7, Sheet1!BV:BV+Sheet2!B350,"")))))</f>
        <v>UF</v>
      </c>
      <c r="CQ365" s="69" t="str">
        <f t="shared" si="393"/>
        <v/>
      </c>
      <c r="CR365" s="5" t="s">
        <v>12</v>
      </c>
      <c r="CT365" s="5" t="str">
        <f t="shared" si="369"/>
        <v/>
      </c>
      <c r="CU365" s="80" t="str">
        <f t="shared" si="370"/>
        <v>UF</v>
      </c>
      <c r="CV365" s="80" t="str">
        <f t="shared" si="371"/>
        <v>UF</v>
      </c>
      <c r="CW365" s="20" t="str">
        <f>IF(G365&lt;48,"UF", IF(NOT(ISBLANK(CS365)), CS365, IF(CE365=5, CC365+Sheet2!B337, IF(CE365=6, CC365+Sheet2!B338, IF(CE365=7, CC365+Sheet2!B339,"")))))</f>
        <v>UF</v>
      </c>
      <c r="CX365" s="68" t="str">
        <f t="shared" si="394"/>
        <v/>
      </c>
      <c r="CY365" s="5" t="s">
        <v>12</v>
      </c>
      <c r="DA365" s="5" t="str">
        <f t="shared" si="372"/>
        <v>UF</v>
      </c>
      <c r="DB365" s="73" t="str">
        <f t="shared" si="373"/>
        <v>UF</v>
      </c>
      <c r="DC365" s="73" t="str">
        <f t="shared" si="374"/>
        <v>UF</v>
      </c>
      <c r="DD365" s="5" t="str">
        <f>IF(G365&lt;48,"UF", IF(NOT(ISBLANK(CZ:CZ)), CZ:CZ, IF(CL:CL=3, CK:CK+Sheet2!B342, IF(CL:CL=4, CK:CK+Sheet2!B343, IF(CL:CL=7, CK:CK+Sheet2!B344,"")))))</f>
        <v>UF</v>
      </c>
      <c r="DE365" s="69" t="str">
        <f t="shared" si="331"/>
        <v/>
      </c>
      <c r="DF365" s="2">
        <v>2</v>
      </c>
      <c r="DG365" s="2">
        <v>32</v>
      </c>
      <c r="DH365" s="2">
        <v>2</v>
      </c>
      <c r="DI365" s="2">
        <v>2</v>
      </c>
      <c r="DJ365" s="2">
        <v>2</v>
      </c>
      <c r="DK365" s="2">
        <v>105</v>
      </c>
      <c r="DL365" s="2">
        <v>60</v>
      </c>
      <c r="DM365" s="2">
        <v>115</v>
      </c>
      <c r="DN365" s="2">
        <v>75</v>
      </c>
      <c r="DO365" s="2">
        <v>115</v>
      </c>
      <c r="DP365" s="2">
        <v>65</v>
      </c>
      <c r="DQ365" s="2">
        <v>1</v>
      </c>
      <c r="DR365" s="2">
        <v>37</v>
      </c>
      <c r="DS365" s="2">
        <v>1</v>
      </c>
      <c r="DT365" s="2">
        <v>95</v>
      </c>
      <c r="DU365" s="2">
        <v>80</v>
      </c>
      <c r="DV365" s="2">
        <v>2</v>
      </c>
      <c r="DW365" s="2">
        <v>2</v>
      </c>
      <c r="DX365" s="2">
        <v>2</v>
      </c>
      <c r="DY365" s="2">
        <v>1</v>
      </c>
      <c r="DZ365" s="2">
        <v>33</v>
      </c>
      <c r="EA365" s="2">
        <v>36.5</v>
      </c>
      <c r="EB365" s="2">
        <v>48</v>
      </c>
      <c r="EC365" s="2">
        <v>1</v>
      </c>
      <c r="ED365" s="2">
        <v>4</v>
      </c>
    </row>
    <row r="366" spans="3:134" x14ac:dyDescent="0.25">
      <c r="C366" s="8" t="s">
        <v>171</v>
      </c>
      <c r="D366" s="4">
        <v>2501055179</v>
      </c>
      <c r="E366" s="5">
        <v>7</v>
      </c>
      <c r="F366" s="2">
        <v>2</v>
      </c>
      <c r="G366" s="2">
        <v>24</v>
      </c>
      <c r="H366" s="2">
        <v>-0.27116494427848969</v>
      </c>
      <c r="I366" s="2">
        <v>53</v>
      </c>
      <c r="J366" s="2">
        <v>1.645866503279491</v>
      </c>
      <c r="K366" s="1">
        <v>3670</v>
      </c>
      <c r="L366" s="2">
        <v>0.64243345267517349</v>
      </c>
      <c r="M366" s="2">
        <v>-1.2895000000000001</v>
      </c>
      <c r="N366" s="2">
        <f t="shared" si="334"/>
        <v>-0.17841752786075515</v>
      </c>
      <c r="O366" s="2">
        <f t="shared" si="335"/>
        <v>-1.2895000000000001</v>
      </c>
      <c r="P366" s="2">
        <v>70</v>
      </c>
      <c r="Q366" s="2">
        <v>1.1000000000000001</v>
      </c>
      <c r="R366" s="5">
        <f t="shared" si="336"/>
        <v>-0.45293325163974552</v>
      </c>
      <c r="S366" s="5">
        <f t="shared" si="337"/>
        <v>1.1000000000000001</v>
      </c>
      <c r="T366" s="1">
        <v>7650</v>
      </c>
      <c r="U366" s="2">
        <v>-0.34</v>
      </c>
      <c r="V366" s="2">
        <f t="shared" si="338"/>
        <v>-0.34121672633758676</v>
      </c>
      <c r="W366" s="2">
        <f t="shared" si="339"/>
        <v>-0.34</v>
      </c>
      <c r="X366" s="2">
        <v>-0.628</v>
      </c>
      <c r="Y366" s="76">
        <f t="shared" si="375"/>
        <v>-0.35683505572151031</v>
      </c>
      <c r="Z366" s="76">
        <f t="shared" si="376"/>
        <v>-1</v>
      </c>
      <c r="AA366" s="2">
        <f t="shared" si="340"/>
        <v>-0.33745000000000003</v>
      </c>
      <c r="AB366" s="2">
        <f t="shared" si="341"/>
        <v>-0.628</v>
      </c>
      <c r="AC366" s="2">
        <v>77.5</v>
      </c>
      <c r="AD366" s="2">
        <v>0.74</v>
      </c>
      <c r="AE366" s="79">
        <f t="shared" si="377"/>
        <v>-0.90586650327949103</v>
      </c>
      <c r="AF366" s="79">
        <f t="shared" si="378"/>
        <v>-2</v>
      </c>
      <c r="AG366" s="2">
        <f t="shared" si="395"/>
        <v>-0.41500000000000004</v>
      </c>
      <c r="AH366" s="2">
        <f t="shared" si="342"/>
        <v>0.74</v>
      </c>
      <c r="AI366" s="2">
        <v>9600</v>
      </c>
      <c r="AJ366" s="2">
        <v>-0.04</v>
      </c>
      <c r="AK366" s="76">
        <f t="shared" si="379"/>
        <v>-0.68243345267517352</v>
      </c>
      <c r="AL366" s="76">
        <f t="shared" si="380"/>
        <v>-2</v>
      </c>
      <c r="AM366" s="2">
        <f t="shared" si="343"/>
        <v>0.39500000000000002</v>
      </c>
      <c r="AN366" s="2">
        <f t="shared" si="344"/>
        <v>-0.04</v>
      </c>
      <c r="AO366" s="2">
        <v>0.42509999999999998</v>
      </c>
      <c r="AP366" s="2">
        <f t="shared" si="345"/>
        <v>0.44664371150386251</v>
      </c>
      <c r="AQ366" s="2">
        <f t="shared" si="346"/>
        <v>0.42509999999999998</v>
      </c>
      <c r="AR366" s="2">
        <v>83</v>
      </c>
      <c r="AS366" s="2">
        <v>0.27</v>
      </c>
      <c r="AT366" s="2">
        <f t="shared" si="347"/>
        <v>-0.35027953900144021</v>
      </c>
      <c r="AU366" s="2">
        <f t="shared" si="348"/>
        <v>0.27</v>
      </c>
      <c r="AV366" s="2">
        <v>11500</v>
      </c>
      <c r="AW366" s="2">
        <v>0.45</v>
      </c>
      <c r="AX366" s="2">
        <f t="shared" si="349"/>
        <v>4.1148376557449247E-2</v>
      </c>
      <c r="AY366" s="2">
        <f t="shared" si="350"/>
        <v>0.45</v>
      </c>
      <c r="AZ366" s="2">
        <v>0.26528742300772501</v>
      </c>
      <c r="BA366" s="78">
        <f t="shared" si="381"/>
        <v>0.89328742300772501</v>
      </c>
      <c r="BB366" s="78">
        <f t="shared" si="382"/>
        <v>2</v>
      </c>
      <c r="BC366" s="2" t="str">
        <f t="shared" si="351"/>
        <v/>
      </c>
      <c r="BD366" s="2">
        <f t="shared" si="352"/>
        <v>0.26528742300772501</v>
      </c>
      <c r="BE366" s="67">
        <f t="shared" si="383"/>
        <v>7</v>
      </c>
      <c r="BF366" s="2">
        <v>87</v>
      </c>
      <c r="BG366" s="2">
        <v>3.9440921997119571E-2</v>
      </c>
      <c r="BH366" s="2" t="str">
        <f t="shared" si="353"/>
        <v/>
      </c>
      <c r="BI366" s="2">
        <f t="shared" si="354"/>
        <v>3.9440921997119571E-2</v>
      </c>
      <c r="BJ366" s="67">
        <f t="shared" si="355"/>
        <v>7</v>
      </c>
      <c r="BK366" s="2">
        <v>12800</v>
      </c>
      <c r="BL366" s="2">
        <v>4.2296753114898493E-2</v>
      </c>
      <c r="BM366" s="77">
        <f t="shared" si="384"/>
        <v>8.2296753114898494E-2</v>
      </c>
      <c r="BN366" s="77">
        <f t="shared" si="385"/>
        <v>1</v>
      </c>
      <c r="BO366" s="2" t="str">
        <f t="shared" si="356"/>
        <v/>
      </c>
      <c r="BP366" s="2">
        <f t="shared" si="357"/>
        <v>4.2296753114898493E-2</v>
      </c>
      <c r="BQ366" s="67">
        <f t="shared" si="386"/>
        <v>7</v>
      </c>
      <c r="BS366" s="75" t="str">
        <f t="shared" si="387"/>
        <v>UF</v>
      </c>
      <c r="BT366" s="75" t="str">
        <f t="shared" si="388"/>
        <v>UF</v>
      </c>
      <c r="BU366" s="5" t="str">
        <f t="shared" si="396"/>
        <v>UF</v>
      </c>
      <c r="BV366" s="5" t="str">
        <f t="shared" si="358"/>
        <v>UF</v>
      </c>
      <c r="BW366" s="69" t="str">
        <f t="shared" si="359"/>
        <v/>
      </c>
      <c r="BX366" s="2" t="s">
        <v>12</v>
      </c>
      <c r="BZ366" s="74" t="str">
        <f t="shared" si="389"/>
        <v>UF</v>
      </c>
      <c r="CA366" s="74" t="str">
        <f t="shared" si="390"/>
        <v>UF</v>
      </c>
      <c r="CB366" s="5" t="str">
        <f t="shared" si="360"/>
        <v>UF</v>
      </c>
      <c r="CC366" s="5" t="str">
        <f t="shared" si="361"/>
        <v>UF</v>
      </c>
      <c r="CD366" s="2" t="e">
        <f t="shared" si="362"/>
        <v>#VALUE!</v>
      </c>
      <c r="CE366" s="69" t="str">
        <f t="shared" si="363"/>
        <v/>
      </c>
      <c r="CF366" s="5" t="s">
        <v>12</v>
      </c>
      <c r="CH366" s="72" t="str">
        <f t="shared" si="391"/>
        <v>UF</v>
      </c>
      <c r="CI366" s="72" t="str">
        <f t="shared" si="392"/>
        <v>UF</v>
      </c>
      <c r="CJ366" s="5" t="str">
        <f t="shared" si="364"/>
        <v>UF</v>
      </c>
      <c r="CK366" s="5" t="str">
        <f t="shared" si="365"/>
        <v>UF</v>
      </c>
      <c r="CL366" s="69" t="str">
        <f t="shared" si="366"/>
        <v/>
      </c>
      <c r="CN366" s="70" t="str">
        <f t="shared" si="367"/>
        <v/>
      </c>
      <c r="CO366" s="5" t="str">
        <f t="shared" si="368"/>
        <v>UF</v>
      </c>
      <c r="CP366" s="5" t="str">
        <f>IF(G366&lt;48,"UF", IF(NOT(ISBLANK(CM:CM)), CM:CM, IF(BW:BW=1, BV:BV+Sheet2!B337, IF(Sheet1!BW:BW=2, Sheet1!BV:BV+Sheet2!B338, IF(Sheet1!BW:BW=7, Sheet1!BV:BV+Sheet2!B339,"")))))</f>
        <v>UF</v>
      </c>
      <c r="CQ366" s="69" t="str">
        <f t="shared" si="393"/>
        <v/>
      </c>
      <c r="CR366" s="5" t="s">
        <v>12</v>
      </c>
      <c r="CT366" s="5" t="str">
        <f t="shared" si="369"/>
        <v/>
      </c>
      <c r="CU366" s="80" t="str">
        <f t="shared" si="370"/>
        <v>UF</v>
      </c>
      <c r="CV366" s="80" t="str">
        <f t="shared" si="371"/>
        <v>UF</v>
      </c>
      <c r="CW366" s="20" t="str">
        <f>IF(G366&lt;48,"UF", IF(NOT(ISBLANK(CS366)), CS366, IF(CE366=5, CC366+Sheet2!B326, IF(CE366=6, CC366+Sheet2!B327, IF(CE366=7, CC366+Sheet2!B328,"")))))</f>
        <v>UF</v>
      </c>
      <c r="CX366" s="68" t="str">
        <f t="shared" si="394"/>
        <v/>
      </c>
      <c r="CY366" s="5" t="s">
        <v>12</v>
      </c>
      <c r="DA366" s="5" t="str">
        <f t="shared" si="372"/>
        <v>UF</v>
      </c>
      <c r="DB366" s="73" t="str">
        <f t="shared" si="373"/>
        <v>UF</v>
      </c>
      <c r="DC366" s="73" t="str">
        <f t="shared" si="374"/>
        <v>UF</v>
      </c>
      <c r="DD366" s="5" t="str">
        <f>IF(G366&lt;48,"UF", IF(NOT(ISBLANK(CZ:CZ)), CZ:CZ, IF(CL:CL=3, CK:CK+Sheet2!B331, IF(CL:CL=4, CK:CK+Sheet2!B332, IF(CL:CL=7, CK:CK+Sheet2!B333,"")))))</f>
        <v>UF</v>
      </c>
      <c r="DE366" s="69" t="str">
        <f t="shared" si="331"/>
        <v/>
      </c>
      <c r="DF366" s="2">
        <v>1</v>
      </c>
      <c r="DG366" s="2">
        <v>31</v>
      </c>
      <c r="DH366" s="2">
        <v>1</v>
      </c>
      <c r="DI366" s="2">
        <v>2</v>
      </c>
      <c r="DJ366" s="2">
        <v>2</v>
      </c>
      <c r="DK366" s="2">
        <v>110</v>
      </c>
      <c r="DL366" s="2">
        <v>70</v>
      </c>
      <c r="DM366" s="2">
        <v>110</v>
      </c>
      <c r="DN366" s="2">
        <v>70</v>
      </c>
      <c r="DO366" s="2" t="s">
        <v>12</v>
      </c>
      <c r="DP366" s="2" t="s">
        <v>12</v>
      </c>
      <c r="DQ366" s="2">
        <v>2</v>
      </c>
      <c r="DR366" s="2">
        <v>38</v>
      </c>
      <c r="DS366" s="2">
        <v>1</v>
      </c>
      <c r="DT366" s="2">
        <v>119</v>
      </c>
      <c r="DU366" s="2">
        <v>115</v>
      </c>
      <c r="DV366" s="2">
        <v>2</v>
      </c>
      <c r="DW366" s="2">
        <v>2</v>
      </c>
      <c r="DX366" s="2">
        <v>2</v>
      </c>
      <c r="DY366" s="2">
        <v>3</v>
      </c>
      <c r="DZ366" s="2">
        <v>36</v>
      </c>
      <c r="EA366" s="2" t="s">
        <v>12</v>
      </c>
      <c r="EB366" s="2" t="s">
        <v>12</v>
      </c>
      <c r="EC366" s="2" t="s">
        <v>12</v>
      </c>
      <c r="ED366" s="2" t="s">
        <v>12</v>
      </c>
    </row>
    <row r="367" spans="3:134" x14ac:dyDescent="0.25">
      <c r="C367" s="8" t="s">
        <v>169</v>
      </c>
      <c r="D367" s="4">
        <v>2501055251</v>
      </c>
      <c r="E367" s="5">
        <v>7</v>
      </c>
      <c r="F367" s="2">
        <v>1</v>
      </c>
      <c r="G367" s="2">
        <v>24</v>
      </c>
      <c r="H367" s="2">
        <v>-1.7068089303422469</v>
      </c>
      <c r="I367" s="2">
        <v>48</v>
      </c>
      <c r="J367" s="2">
        <v>-0.61614996855203885</v>
      </c>
      <c r="K367" s="1">
        <v>2625</v>
      </c>
      <c r="L367" s="2">
        <v>-1.4116828235422221</v>
      </c>
      <c r="M367" s="2">
        <v>-0.36770000000000003</v>
      </c>
      <c r="N367" s="2">
        <f t="shared" si="334"/>
        <v>0.86685446517112341</v>
      </c>
      <c r="O367" s="2">
        <f t="shared" si="335"/>
        <v>-0.36770000000000003</v>
      </c>
      <c r="P367" s="2">
        <v>64</v>
      </c>
      <c r="Q367" s="2">
        <v>-0.77</v>
      </c>
      <c r="R367" s="5">
        <f t="shared" si="336"/>
        <v>-8.1925015723980588E-2</v>
      </c>
      <c r="S367" s="5">
        <f t="shared" si="337"/>
        <v>-0.77</v>
      </c>
      <c r="T367" s="1">
        <v>6700</v>
      </c>
      <c r="U367" s="2">
        <v>-0.71</v>
      </c>
      <c r="V367" s="2">
        <f t="shared" si="338"/>
        <v>0.49584141177111107</v>
      </c>
      <c r="W367" s="2">
        <f t="shared" si="339"/>
        <v>-0.71</v>
      </c>
      <c r="X367" s="2">
        <v>2.69E-2</v>
      </c>
      <c r="Y367" s="76">
        <f t="shared" si="375"/>
        <v>1.7337089303422468</v>
      </c>
      <c r="Z367" s="76">
        <f t="shared" si="376"/>
        <v>2</v>
      </c>
      <c r="AA367" s="2" t="str">
        <f t="shared" si="340"/>
        <v/>
      </c>
      <c r="AB367" s="2">
        <f t="shared" si="341"/>
        <v>2.69E-2</v>
      </c>
      <c r="AC367" s="2">
        <v>72</v>
      </c>
      <c r="AD367" s="2">
        <v>-0.78</v>
      </c>
      <c r="AE367" s="79">
        <f t="shared" si="377"/>
        <v>-0.16385003144796118</v>
      </c>
      <c r="AF367" s="79">
        <f t="shared" si="378"/>
        <v>-1</v>
      </c>
      <c r="AG367" s="2" t="str">
        <f t="shared" si="395"/>
        <v/>
      </c>
      <c r="AH367" s="2">
        <f t="shared" si="342"/>
        <v>-0.78</v>
      </c>
      <c r="AI367" s="2">
        <v>8500</v>
      </c>
      <c r="AJ367" s="2">
        <v>-0.42</v>
      </c>
      <c r="AK367" s="76">
        <f t="shared" si="379"/>
        <v>0.99168282354222215</v>
      </c>
      <c r="AL367" s="76">
        <f t="shared" si="380"/>
        <v>2</v>
      </c>
      <c r="AM367" s="2" t="str">
        <f t="shared" si="343"/>
        <v/>
      </c>
      <c r="AN367" s="2">
        <f t="shared" si="344"/>
        <v>-0.42</v>
      </c>
      <c r="AP367" s="2">
        <f t="shared" si="345"/>
        <v>-0.41910961293099702</v>
      </c>
      <c r="AQ367" s="2">
        <f t="shared" si="346"/>
        <v>-0.39220961293099704</v>
      </c>
      <c r="AR367" s="2" t="s">
        <v>12</v>
      </c>
      <c r="AT367" s="2">
        <f t="shared" si="347"/>
        <v>-6.7713703091604627E-2</v>
      </c>
      <c r="AU367" s="2">
        <f t="shared" si="348"/>
        <v>-0.84771370309160465</v>
      </c>
      <c r="AV367" s="2" t="s">
        <v>12</v>
      </c>
      <c r="AX367" s="2" t="str">
        <f t="shared" si="349"/>
        <v/>
      </c>
      <c r="AY367" s="2" t="e">
        <f t="shared" si="350"/>
        <v>#VALUE!</v>
      </c>
      <c r="AZ367" s="2">
        <v>-0.81131922586199401</v>
      </c>
      <c r="BA367" s="78">
        <f t="shared" si="381"/>
        <v>-0.83821922586199404</v>
      </c>
      <c r="BB367" s="78">
        <f t="shared" si="382"/>
        <v>-2</v>
      </c>
      <c r="BC367" s="2" t="str">
        <f t="shared" si="351"/>
        <v/>
      </c>
      <c r="BD367" s="2">
        <f t="shared" si="352"/>
        <v>-0.81131922586199401</v>
      </c>
      <c r="BE367" s="67">
        <f t="shared" si="383"/>
        <v>7</v>
      </c>
      <c r="BF367" s="2">
        <v>82.2</v>
      </c>
      <c r="BG367" s="2">
        <v>-0.91542740618320928</v>
      </c>
      <c r="BH367" s="2" t="str">
        <f t="shared" si="353"/>
        <v/>
      </c>
      <c r="BI367" s="2">
        <f t="shared" si="354"/>
        <v>-0.91542740618320928</v>
      </c>
      <c r="BJ367" s="67">
        <f t="shared" si="355"/>
        <v>7</v>
      </c>
      <c r="BK367" s="2" t="s">
        <v>12</v>
      </c>
      <c r="BM367" s="77" t="e">
        <f t="shared" si="384"/>
        <v>#VALUE!</v>
      </c>
      <c r="BN367" s="77" t="e">
        <f t="shared" si="385"/>
        <v>#VALUE!</v>
      </c>
      <c r="BO367" s="2" t="str">
        <f t="shared" si="356"/>
        <v/>
      </c>
      <c r="BP367" s="2" t="e">
        <f t="shared" si="357"/>
        <v>#VALUE!</v>
      </c>
      <c r="BQ367" s="67" t="e">
        <f t="shared" si="386"/>
        <v>#VALUE!</v>
      </c>
      <c r="BS367" s="75" t="str">
        <f t="shared" si="387"/>
        <v>UF</v>
      </c>
      <c r="BT367" s="75" t="str">
        <f t="shared" si="388"/>
        <v>UF</v>
      </c>
      <c r="BU367" s="5" t="str">
        <f t="shared" si="396"/>
        <v>UF</v>
      </c>
      <c r="BV367" s="5" t="str">
        <f t="shared" si="358"/>
        <v>UF</v>
      </c>
      <c r="BW367" s="69" t="str">
        <f t="shared" si="359"/>
        <v/>
      </c>
      <c r="BX367" s="2" t="s">
        <v>12</v>
      </c>
      <c r="BZ367" s="74" t="str">
        <f t="shared" si="389"/>
        <v>UF</v>
      </c>
      <c r="CA367" s="74" t="str">
        <f t="shared" si="390"/>
        <v>UF</v>
      </c>
      <c r="CB367" s="5" t="str">
        <f t="shared" si="360"/>
        <v>UF</v>
      </c>
      <c r="CC367" s="5" t="str">
        <f t="shared" si="361"/>
        <v>UF</v>
      </c>
      <c r="CD367" s="2" t="e">
        <f t="shared" si="362"/>
        <v>#VALUE!</v>
      </c>
      <c r="CE367" s="69" t="str">
        <f t="shared" si="363"/>
        <v/>
      </c>
      <c r="CF367" s="5" t="s">
        <v>12</v>
      </c>
      <c r="CH367" s="72" t="str">
        <f t="shared" si="391"/>
        <v>UF</v>
      </c>
      <c r="CI367" s="72" t="str">
        <f t="shared" si="392"/>
        <v>UF</v>
      </c>
      <c r="CJ367" s="5" t="str">
        <f t="shared" si="364"/>
        <v>UF</v>
      </c>
      <c r="CK367" s="5" t="str">
        <f t="shared" si="365"/>
        <v>UF</v>
      </c>
      <c r="CL367" s="69" t="str">
        <f t="shared" si="366"/>
        <v/>
      </c>
      <c r="CN367" s="70" t="str">
        <f t="shared" si="367"/>
        <v/>
      </c>
      <c r="CO367" s="5" t="str">
        <f t="shared" si="368"/>
        <v>UF</v>
      </c>
      <c r="CP367" s="5" t="str">
        <f>IF(G367&lt;48,"UF", IF(NOT(ISBLANK(CM:CM)), CM:CM, IF(BW:BW=1, BV:BV+Sheet2!B335, IF(Sheet1!BW:BW=2, Sheet1!BV:BV+Sheet2!B336, IF(Sheet1!BW:BW=7, Sheet1!BV:BV+Sheet2!B337,"")))))</f>
        <v>UF</v>
      </c>
      <c r="CQ367" s="69" t="str">
        <f t="shared" si="393"/>
        <v/>
      </c>
      <c r="CR367" s="5" t="s">
        <v>12</v>
      </c>
      <c r="CT367" s="5" t="str">
        <f t="shared" si="369"/>
        <v/>
      </c>
      <c r="CU367" s="80" t="str">
        <f t="shared" si="370"/>
        <v>UF</v>
      </c>
      <c r="CV367" s="80" t="str">
        <f t="shared" si="371"/>
        <v>UF</v>
      </c>
      <c r="CW367" s="20" t="str">
        <f>IF(G367&lt;48,"UF", IF(NOT(ISBLANK(CS367)), CS367, IF(CE367=5, CC367+Sheet2!B324, IF(CE367=6, CC367+Sheet2!B325, IF(CE367=7, CC367+Sheet2!B326,"")))))</f>
        <v>UF</v>
      </c>
      <c r="CX367" s="68" t="str">
        <f t="shared" si="394"/>
        <v/>
      </c>
      <c r="CY367" s="5" t="s">
        <v>12</v>
      </c>
      <c r="DA367" s="5" t="str">
        <f t="shared" si="372"/>
        <v>UF</v>
      </c>
      <c r="DB367" s="73" t="str">
        <f t="shared" si="373"/>
        <v>UF</v>
      </c>
      <c r="DC367" s="73" t="str">
        <f t="shared" si="374"/>
        <v>UF</v>
      </c>
      <c r="DD367" s="5" t="str">
        <f>IF(G367&lt;48,"UF", IF(NOT(ISBLANK(CZ:CZ)), CZ:CZ, IF(CL:CL=3, CK:CK+Sheet2!B329, IF(CL:CL=4, CK:CK+Sheet2!B330, IF(CL:CL=7, CK:CK+Sheet2!B331,"")))))</f>
        <v>UF</v>
      </c>
      <c r="DE367" s="69" t="str">
        <f t="shared" ref="DE367:DE430" si="397">IF(DD:DD&lt;-3,3,IF(AND(DD:DD&gt;=-3,DD:DD&lt;-2),4,IF(AND(DD:DD&gt;=-2,DD:DD&lt;=2),7,"")))</f>
        <v/>
      </c>
      <c r="DF367" s="2">
        <v>1</v>
      </c>
      <c r="DG367" s="2">
        <v>43</v>
      </c>
      <c r="DH367" s="2">
        <v>1</v>
      </c>
      <c r="DI367" s="2">
        <v>2</v>
      </c>
      <c r="DJ367" s="2">
        <v>2</v>
      </c>
      <c r="DK367" s="2">
        <v>110</v>
      </c>
      <c r="DL367" s="2">
        <v>70</v>
      </c>
      <c r="DM367" s="2" t="s">
        <v>12</v>
      </c>
      <c r="DN367" s="2" t="s">
        <v>12</v>
      </c>
      <c r="DO367" s="2" t="s">
        <v>12</v>
      </c>
      <c r="DP367" s="2" t="s">
        <v>12</v>
      </c>
      <c r="DQ367" s="2">
        <v>2</v>
      </c>
      <c r="DR367" s="2">
        <v>37</v>
      </c>
      <c r="DS367" s="2">
        <v>2</v>
      </c>
      <c r="DT367" s="2">
        <v>90</v>
      </c>
      <c r="DU367" s="2">
        <v>87</v>
      </c>
      <c r="DV367" s="2">
        <v>2</v>
      </c>
      <c r="DW367" s="2">
        <v>2</v>
      </c>
      <c r="DX367" s="2">
        <v>3</v>
      </c>
      <c r="DY367" s="2">
        <v>3</v>
      </c>
      <c r="DZ367" s="2">
        <v>33</v>
      </c>
      <c r="EA367" s="2" t="s">
        <v>12</v>
      </c>
      <c r="EB367" s="2">
        <v>44.5</v>
      </c>
      <c r="EC367" s="2" t="s">
        <v>12</v>
      </c>
      <c r="ED367" s="2">
        <v>1</v>
      </c>
    </row>
    <row r="368" spans="3:134" x14ac:dyDescent="0.25">
      <c r="C368" s="8" t="s">
        <v>172</v>
      </c>
      <c r="D368" s="8">
        <v>2501055365</v>
      </c>
      <c r="E368" s="5">
        <v>7</v>
      </c>
      <c r="F368" s="2">
        <v>1</v>
      </c>
      <c r="G368" s="2">
        <v>25</v>
      </c>
      <c r="H368" s="2">
        <v>1.3505329485372639</v>
      </c>
      <c r="I368" s="2">
        <v>46</v>
      </c>
      <c r="J368" s="2">
        <v>-1.6898613744484801</v>
      </c>
      <c r="K368" s="2">
        <v>3200</v>
      </c>
      <c r="L368" s="2">
        <v>-7.0518060756779827E-2</v>
      </c>
      <c r="M368" s="2">
        <v>0.58030000000000004</v>
      </c>
      <c r="N368" s="2">
        <f t="shared" si="334"/>
        <v>-0.43281647426863196</v>
      </c>
      <c r="O368" s="2">
        <f t="shared" si="335"/>
        <v>0.58030000000000004</v>
      </c>
      <c r="P368" s="2">
        <v>64</v>
      </c>
      <c r="Q368" s="2">
        <v>-0.77</v>
      </c>
      <c r="R368" s="5">
        <f t="shared" si="336"/>
        <v>0.64993068722424008</v>
      </c>
      <c r="S368" s="5">
        <f t="shared" si="337"/>
        <v>-0.77</v>
      </c>
      <c r="T368" s="2">
        <v>7300</v>
      </c>
      <c r="U368" s="2">
        <v>0</v>
      </c>
      <c r="V368" s="2">
        <f t="shared" si="338"/>
        <v>0.10525903037838992</v>
      </c>
      <c r="W368" s="2">
        <f t="shared" si="339"/>
        <v>0</v>
      </c>
      <c r="X368" s="2">
        <v>0.4849</v>
      </c>
      <c r="Y368" s="76">
        <f t="shared" si="375"/>
        <v>-0.86563294853726391</v>
      </c>
      <c r="Z368" s="76">
        <f t="shared" si="376"/>
        <v>-2</v>
      </c>
      <c r="AA368" s="2">
        <f t="shared" si="340"/>
        <v>0.71504999999999996</v>
      </c>
      <c r="AB368" s="2">
        <f t="shared" si="341"/>
        <v>0.4849</v>
      </c>
      <c r="AC368" s="2">
        <v>73</v>
      </c>
      <c r="AD368" s="2">
        <v>-0.39</v>
      </c>
      <c r="AE368" s="79">
        <f t="shared" si="377"/>
        <v>1.2998613744484802</v>
      </c>
      <c r="AF368" s="79">
        <f t="shared" si="378"/>
        <v>2</v>
      </c>
      <c r="AG368" s="2">
        <f t="shared" si="395"/>
        <v>9.0000000000000024E-2</v>
      </c>
      <c r="AH368" s="2">
        <f t="shared" si="342"/>
        <v>-0.39</v>
      </c>
      <c r="AI368" s="2">
        <v>9100</v>
      </c>
      <c r="AJ368" s="2">
        <v>0.14000000000000001</v>
      </c>
      <c r="AK368" s="76">
        <f t="shared" si="379"/>
        <v>0.21051806075677984</v>
      </c>
      <c r="AL368" s="76">
        <f t="shared" si="380"/>
        <v>1</v>
      </c>
      <c r="AM368" s="2">
        <f t="shared" si="343"/>
        <v>6.5000000000000002E-2</v>
      </c>
      <c r="AN368" s="2">
        <f t="shared" si="344"/>
        <v>0.14000000000000001</v>
      </c>
      <c r="AO368" s="2">
        <v>0.66010000000000002</v>
      </c>
      <c r="AP368" s="2">
        <f t="shared" si="345"/>
        <v>-0.28956273890008488</v>
      </c>
      <c r="AQ368" s="2">
        <f t="shared" si="346"/>
        <v>0.66010000000000002</v>
      </c>
      <c r="AR368" s="2">
        <v>79</v>
      </c>
      <c r="AS368" s="2">
        <v>-0.59</v>
      </c>
      <c r="AT368" s="2">
        <f t="shared" si="347"/>
        <v>-0.14827350475836804</v>
      </c>
      <c r="AU368" s="2">
        <f t="shared" si="348"/>
        <v>-0.59</v>
      </c>
      <c r="AV368" s="2">
        <v>10400</v>
      </c>
      <c r="AW368" s="2">
        <v>0.13</v>
      </c>
      <c r="AX368" s="2">
        <f t="shared" si="349"/>
        <v>-0.45336795020202253</v>
      </c>
      <c r="AY368" s="2">
        <f t="shared" si="350"/>
        <v>0.13</v>
      </c>
      <c r="AZ368" s="2">
        <v>-9.4225477800169793E-2</v>
      </c>
      <c r="BA368" s="78">
        <f t="shared" si="381"/>
        <v>-0.57912547780016976</v>
      </c>
      <c r="BB368" s="78">
        <f t="shared" si="382"/>
        <v>-1</v>
      </c>
      <c r="BC368" s="2" t="str">
        <f t="shared" si="351"/>
        <v/>
      </c>
      <c r="BD368" s="2">
        <f t="shared" si="352"/>
        <v>-9.4225477800169793E-2</v>
      </c>
      <c r="BE368" s="67">
        <f t="shared" si="383"/>
        <v>7</v>
      </c>
      <c r="BF368" s="2">
        <v>83</v>
      </c>
      <c r="BG368" s="2">
        <v>-0.68654700951673608</v>
      </c>
      <c r="BH368" s="2" t="str">
        <f t="shared" si="353"/>
        <v/>
      </c>
      <c r="BI368" s="2">
        <f t="shared" si="354"/>
        <v>-0.68654700951673608</v>
      </c>
      <c r="BJ368" s="67">
        <f t="shared" si="355"/>
        <v>7</v>
      </c>
      <c r="BK368" s="2">
        <v>11200</v>
      </c>
      <c r="BL368" s="2">
        <v>-0.76673590040404505</v>
      </c>
      <c r="BM368" s="77">
        <f t="shared" si="384"/>
        <v>-0.90673590040404506</v>
      </c>
      <c r="BN368" s="77">
        <f t="shared" si="385"/>
        <v>-2</v>
      </c>
      <c r="BO368" s="2" t="str">
        <f t="shared" si="356"/>
        <v/>
      </c>
      <c r="BP368" s="2">
        <f t="shared" si="357"/>
        <v>-0.76673590040404505</v>
      </c>
      <c r="BQ368" s="67">
        <f t="shared" si="386"/>
        <v>7</v>
      </c>
      <c r="BS368" s="75" t="str">
        <f t="shared" si="387"/>
        <v>UF</v>
      </c>
      <c r="BT368" s="75" t="str">
        <f t="shared" si="388"/>
        <v>UF</v>
      </c>
      <c r="BU368" s="5" t="str">
        <f t="shared" si="396"/>
        <v>UF</v>
      </c>
      <c r="BV368" s="5" t="str">
        <f t="shared" si="358"/>
        <v>UF</v>
      </c>
      <c r="BW368" s="69" t="str">
        <f t="shared" si="359"/>
        <v/>
      </c>
      <c r="BX368" s="2" t="s">
        <v>12</v>
      </c>
      <c r="BZ368" s="74" t="str">
        <f t="shared" si="389"/>
        <v>UF</v>
      </c>
      <c r="CA368" s="74" t="str">
        <f t="shared" si="390"/>
        <v>UF</v>
      </c>
      <c r="CB368" s="5" t="str">
        <f t="shared" si="360"/>
        <v>UF</v>
      </c>
      <c r="CC368" s="5" t="str">
        <f t="shared" si="361"/>
        <v>UF</v>
      </c>
      <c r="CD368" s="2" t="e">
        <f t="shared" si="362"/>
        <v>#VALUE!</v>
      </c>
      <c r="CE368" s="69" t="str">
        <f t="shared" si="363"/>
        <v/>
      </c>
      <c r="CF368" s="5" t="s">
        <v>12</v>
      </c>
      <c r="CH368" s="72" t="str">
        <f t="shared" si="391"/>
        <v>UF</v>
      </c>
      <c r="CI368" s="72" t="str">
        <f t="shared" si="392"/>
        <v>UF</v>
      </c>
      <c r="CJ368" s="5" t="str">
        <f t="shared" si="364"/>
        <v>UF</v>
      </c>
      <c r="CK368" s="5" t="str">
        <f t="shared" si="365"/>
        <v>UF</v>
      </c>
      <c r="CL368" s="69" t="str">
        <f t="shared" si="366"/>
        <v/>
      </c>
      <c r="CN368" s="70" t="str">
        <f t="shared" si="367"/>
        <v/>
      </c>
      <c r="CO368" s="5" t="str">
        <f t="shared" si="368"/>
        <v>UF</v>
      </c>
      <c r="CP368" s="5" t="str">
        <f>IF(G368&lt;48,"UF", IF(NOT(ISBLANK(CM:CM)), CM:CM, IF(BW:BW=1, BV:BV+Sheet2!B439, IF(Sheet1!BW:BW=2, Sheet1!BV:BV+Sheet2!B440, IF(Sheet1!BW:BW=7, Sheet1!BV:BV+Sheet2!B441,"")))))</f>
        <v>UF</v>
      </c>
      <c r="CQ368" s="69" t="str">
        <f t="shared" si="393"/>
        <v/>
      </c>
      <c r="CR368" s="5" t="s">
        <v>12</v>
      </c>
      <c r="CT368" s="5" t="str">
        <f t="shared" si="369"/>
        <v/>
      </c>
      <c r="CU368" s="80" t="str">
        <f t="shared" si="370"/>
        <v>UF</v>
      </c>
      <c r="CV368" s="80" t="str">
        <f t="shared" si="371"/>
        <v>UF</v>
      </c>
      <c r="CW368" s="20" t="str">
        <f>IF(G368&lt;48,"UF", IF(NOT(ISBLANK(CS368)), CS368, IF(CE368=5, CC368+Sheet2!B428, IF(CE368=6, CC368+Sheet2!B429, IF(CE368=7, CC368+Sheet2!B430,"")))))</f>
        <v>UF</v>
      </c>
      <c r="CX368" s="68" t="str">
        <f t="shared" si="394"/>
        <v/>
      </c>
      <c r="CY368" s="5" t="s">
        <v>12</v>
      </c>
      <c r="DA368" s="5" t="str">
        <f t="shared" si="372"/>
        <v>UF</v>
      </c>
      <c r="DB368" s="73" t="str">
        <f t="shared" si="373"/>
        <v>UF</v>
      </c>
      <c r="DC368" s="73" t="str">
        <f t="shared" si="374"/>
        <v>UF</v>
      </c>
      <c r="DD368" s="5" t="str">
        <f>IF(G368&lt;48,"UF", IF(NOT(ISBLANK(CZ:CZ)), CZ:CZ, IF(CL:CL=3, CK:CK+Sheet2!B433, IF(CL:CL=4, CK:CK+Sheet2!B434, IF(CL:CL=7, CK:CK+Sheet2!B435,"")))))</f>
        <v>UF</v>
      </c>
      <c r="DE368" s="69" t="str">
        <f t="shared" si="397"/>
        <v/>
      </c>
      <c r="DF368" s="2">
        <v>2</v>
      </c>
      <c r="DG368" s="2">
        <v>36</v>
      </c>
      <c r="DH368" s="2">
        <v>1</v>
      </c>
      <c r="DI368" s="2">
        <v>2</v>
      </c>
      <c r="DJ368" s="2">
        <v>2</v>
      </c>
      <c r="DK368" s="2">
        <v>115</v>
      </c>
      <c r="DL368" s="2">
        <v>65</v>
      </c>
      <c r="DM368" s="2">
        <v>100</v>
      </c>
      <c r="DN368" s="2">
        <v>60</v>
      </c>
      <c r="DO368" s="2">
        <v>110</v>
      </c>
      <c r="DP368" s="2">
        <v>70</v>
      </c>
      <c r="DQ368" s="2">
        <v>2</v>
      </c>
      <c r="DR368" s="2">
        <v>37</v>
      </c>
      <c r="DS368" s="2">
        <v>2</v>
      </c>
      <c r="DT368" s="2">
        <v>81</v>
      </c>
      <c r="DU368" s="2">
        <v>70</v>
      </c>
      <c r="DV368" s="2">
        <v>2</v>
      </c>
      <c r="DW368" s="2">
        <v>2</v>
      </c>
      <c r="DX368" s="2">
        <v>2</v>
      </c>
      <c r="DY368" s="2">
        <v>2</v>
      </c>
      <c r="DZ368" s="2">
        <v>35</v>
      </c>
      <c r="EA368" s="2">
        <v>34</v>
      </c>
      <c r="EB368" s="2">
        <v>44</v>
      </c>
      <c r="EC368" s="2">
        <v>1</v>
      </c>
      <c r="ED368" s="2">
        <v>1</v>
      </c>
    </row>
    <row r="369" spans="3:134" x14ac:dyDescent="0.25">
      <c r="C369" s="8" t="s">
        <v>172</v>
      </c>
      <c r="D369" s="4">
        <v>2501055438</v>
      </c>
      <c r="E369" s="5">
        <v>7</v>
      </c>
      <c r="F369" s="2">
        <v>2</v>
      </c>
      <c r="G369" s="2">
        <v>25</v>
      </c>
      <c r="H369" s="2">
        <v>-3.332397772502611</v>
      </c>
      <c r="I369" s="2">
        <v>47</v>
      </c>
      <c r="J369" s="2">
        <v>-1.5235289479443319</v>
      </c>
      <c r="K369" s="1">
        <v>2180</v>
      </c>
      <c r="L369" s="2">
        <v>-2.7261726472222518</v>
      </c>
      <c r="M369" s="2">
        <v>4.1200000000000001E-2</v>
      </c>
      <c r="N369" s="2" t="str">
        <f t="shared" si="334"/>
        <v/>
      </c>
      <c r="O369" s="2">
        <f t="shared" si="335"/>
        <v>4.1200000000000001E-2</v>
      </c>
      <c r="P369" s="2">
        <v>66</v>
      </c>
      <c r="Q369" s="2">
        <v>-0.77</v>
      </c>
      <c r="R369" s="5" t="str">
        <f t="shared" si="336"/>
        <v/>
      </c>
      <c r="S369" s="5">
        <f t="shared" si="337"/>
        <v>-0.77</v>
      </c>
      <c r="T369" s="1">
        <v>7580</v>
      </c>
      <c r="U369" s="2">
        <v>-0.42</v>
      </c>
      <c r="V369" s="2" t="str">
        <f t="shared" si="338"/>
        <v/>
      </c>
      <c r="W369" s="2">
        <f t="shared" si="339"/>
        <v>-0.42</v>
      </c>
      <c r="Y369" s="76" t="e">
        <f t="shared" si="375"/>
        <v>#VALUE!</v>
      </c>
      <c r="Z369" s="76" t="e">
        <f t="shared" si="376"/>
        <v>#VALUE!</v>
      </c>
      <c r="AA369" s="2" t="str">
        <f t="shared" si="340"/>
        <v/>
      </c>
      <c r="AB369" s="2" t="e">
        <f t="shared" si="341"/>
        <v>#VALUE!</v>
      </c>
      <c r="AC369" s="2" t="s">
        <v>12</v>
      </c>
      <c r="AE369" s="79" t="e">
        <f t="shared" si="377"/>
        <v>#VALUE!</v>
      </c>
      <c r="AF369" s="79" t="e">
        <f t="shared" si="378"/>
        <v>#VALUE!</v>
      </c>
      <c r="AG369" s="2" t="str">
        <f t="shared" si="395"/>
        <v/>
      </c>
      <c r="AH369" s="2" t="e">
        <f t="shared" si="342"/>
        <v>#VALUE!</v>
      </c>
      <c r="AI369" s="2" t="s">
        <v>12</v>
      </c>
      <c r="AK369" s="76" t="e">
        <f t="shared" si="379"/>
        <v>#VALUE!</v>
      </c>
      <c r="AL369" s="76" t="e">
        <f t="shared" si="380"/>
        <v>#VALUE!</v>
      </c>
      <c r="AM369" s="2" t="str">
        <f t="shared" si="343"/>
        <v/>
      </c>
      <c r="AN369" s="2" t="e">
        <f t="shared" si="344"/>
        <v>#VALUE!</v>
      </c>
      <c r="AP369" s="2" t="str">
        <f t="shared" si="345"/>
        <v/>
      </c>
      <c r="AQ369" s="2" t="e">
        <f t="shared" si="346"/>
        <v>#VALUE!</v>
      </c>
      <c r="AR369" s="2" t="s">
        <v>12</v>
      </c>
      <c r="AT369" s="2" t="str">
        <f t="shared" si="347"/>
        <v/>
      </c>
      <c r="AU369" s="2" t="e">
        <f t="shared" si="348"/>
        <v>#VALUE!</v>
      </c>
      <c r="AV369" s="2" t="s">
        <v>12</v>
      </c>
      <c r="AX369" s="2" t="str">
        <f t="shared" si="349"/>
        <v/>
      </c>
      <c r="AY369" s="2" t="e">
        <f t="shared" si="350"/>
        <v>#VALUE!</v>
      </c>
      <c r="BA369" s="78" t="e">
        <f t="shared" si="381"/>
        <v>#VALUE!</v>
      </c>
      <c r="BB369" s="78" t="e">
        <f t="shared" si="382"/>
        <v>#VALUE!</v>
      </c>
      <c r="BC369" s="2" t="str">
        <f t="shared" si="351"/>
        <v/>
      </c>
      <c r="BD369" s="2" t="e">
        <f t="shared" si="352"/>
        <v>#VALUE!</v>
      </c>
      <c r="BE369" s="67" t="e">
        <f t="shared" si="383"/>
        <v>#VALUE!</v>
      </c>
      <c r="BF369" s="2" t="s">
        <v>12</v>
      </c>
      <c r="BH369" s="2" t="str">
        <f t="shared" si="353"/>
        <v/>
      </c>
      <c r="BI369" s="2" t="e">
        <f t="shared" si="354"/>
        <v>#VALUE!</v>
      </c>
      <c r="BJ369" s="67" t="e">
        <f t="shared" si="355"/>
        <v>#VALUE!</v>
      </c>
      <c r="BK369" s="2" t="s">
        <v>12</v>
      </c>
      <c r="BM369" s="77" t="e">
        <f t="shared" si="384"/>
        <v>#VALUE!</v>
      </c>
      <c r="BN369" s="77" t="e">
        <f t="shared" si="385"/>
        <v>#VALUE!</v>
      </c>
      <c r="BO369" s="2" t="str">
        <f t="shared" si="356"/>
        <v/>
      </c>
      <c r="BP369" s="2" t="e">
        <f t="shared" si="357"/>
        <v>#VALUE!</v>
      </c>
      <c r="BQ369" s="67" t="e">
        <f t="shared" si="386"/>
        <v>#VALUE!</v>
      </c>
      <c r="BS369" s="75" t="str">
        <f t="shared" si="387"/>
        <v>UF</v>
      </c>
      <c r="BT369" s="75" t="str">
        <f t="shared" si="388"/>
        <v>UF</v>
      </c>
      <c r="BU369" s="5" t="str">
        <f t="shared" si="396"/>
        <v>UF</v>
      </c>
      <c r="BV369" s="5" t="str">
        <f t="shared" si="358"/>
        <v>UF</v>
      </c>
      <c r="BW369" s="69" t="str">
        <f t="shared" si="359"/>
        <v/>
      </c>
      <c r="BX369" s="2" t="s">
        <v>12</v>
      </c>
      <c r="BZ369" s="74" t="str">
        <f t="shared" si="389"/>
        <v>UF</v>
      </c>
      <c r="CA369" s="74" t="str">
        <f t="shared" si="390"/>
        <v>UF</v>
      </c>
      <c r="CB369" s="5" t="str">
        <f t="shared" si="360"/>
        <v>UF</v>
      </c>
      <c r="CC369" s="5" t="str">
        <f t="shared" si="361"/>
        <v>UF</v>
      </c>
      <c r="CD369" s="2" t="e">
        <f t="shared" si="362"/>
        <v>#VALUE!</v>
      </c>
      <c r="CE369" s="69" t="str">
        <f t="shared" si="363"/>
        <v/>
      </c>
      <c r="CF369" s="5" t="s">
        <v>12</v>
      </c>
      <c r="CH369" s="72" t="str">
        <f t="shared" si="391"/>
        <v>UF</v>
      </c>
      <c r="CI369" s="72" t="str">
        <f t="shared" si="392"/>
        <v>UF</v>
      </c>
      <c r="CJ369" s="5" t="str">
        <f t="shared" si="364"/>
        <v>UF</v>
      </c>
      <c r="CK369" s="5" t="str">
        <f t="shared" si="365"/>
        <v>UF</v>
      </c>
      <c r="CL369" s="69" t="str">
        <f t="shared" si="366"/>
        <v/>
      </c>
      <c r="CN369" s="70" t="str">
        <f t="shared" si="367"/>
        <v/>
      </c>
      <c r="CO369" s="5" t="str">
        <f t="shared" si="368"/>
        <v>UF</v>
      </c>
      <c r="CP369" s="5" t="str">
        <f>IF(G369&lt;48,"UF", IF(NOT(ISBLANK(CM:CM)), CM:CM, IF(BW:BW=1, BV:BV+Sheet2!B367, IF(Sheet1!BW:BW=2, Sheet1!BV:BV+Sheet2!B368, IF(Sheet1!BW:BW=7, Sheet1!BV:BV+Sheet2!B369,"")))))</f>
        <v>UF</v>
      </c>
      <c r="CQ369" s="69" t="str">
        <f t="shared" si="393"/>
        <v/>
      </c>
      <c r="CR369" s="5" t="s">
        <v>12</v>
      </c>
      <c r="CT369" s="5" t="str">
        <f t="shared" si="369"/>
        <v/>
      </c>
      <c r="CU369" s="80" t="str">
        <f t="shared" si="370"/>
        <v>UF</v>
      </c>
      <c r="CV369" s="80" t="str">
        <f t="shared" si="371"/>
        <v>UF</v>
      </c>
      <c r="CW369" s="20" t="str">
        <f>IF(G369&lt;48,"UF", IF(NOT(ISBLANK(CS369)), CS369, IF(CE369=5, CC369+Sheet2!B356, IF(CE369=6, CC369+Sheet2!B357, IF(CE369=7, CC369+Sheet2!B358,"")))))</f>
        <v>UF</v>
      </c>
      <c r="CX369" s="68" t="str">
        <f t="shared" si="394"/>
        <v/>
      </c>
      <c r="CY369" s="5" t="s">
        <v>12</v>
      </c>
      <c r="DA369" s="5" t="str">
        <f t="shared" si="372"/>
        <v>UF</v>
      </c>
      <c r="DB369" s="73" t="str">
        <f t="shared" si="373"/>
        <v>UF</v>
      </c>
      <c r="DC369" s="73" t="str">
        <f t="shared" si="374"/>
        <v>UF</v>
      </c>
      <c r="DD369" s="5" t="str">
        <f>IF(G369&lt;48,"UF", IF(NOT(ISBLANK(CZ:CZ)), CZ:CZ, IF(CL:CL=3, CK:CK+Sheet2!B361, IF(CL:CL=4, CK:CK+Sheet2!B362, IF(CL:CL=7, CK:CK+Sheet2!B363,"")))))</f>
        <v>UF</v>
      </c>
      <c r="DE369" s="69" t="str">
        <f t="shared" si="397"/>
        <v/>
      </c>
      <c r="DF369" s="2">
        <v>2</v>
      </c>
      <c r="DG369" s="2">
        <v>34</v>
      </c>
      <c r="DH369" s="2">
        <v>1</v>
      </c>
      <c r="DI369" s="2">
        <v>2</v>
      </c>
      <c r="DJ369" s="2">
        <v>2</v>
      </c>
      <c r="DK369" s="2">
        <v>107</v>
      </c>
      <c r="DL369" s="2">
        <v>59</v>
      </c>
      <c r="DM369" s="2">
        <v>119</v>
      </c>
      <c r="DN369" s="2">
        <v>64</v>
      </c>
      <c r="DO369" s="2" t="s">
        <v>12</v>
      </c>
      <c r="DP369" s="2" t="s">
        <v>12</v>
      </c>
      <c r="DQ369" s="2">
        <v>1</v>
      </c>
      <c r="DR369" s="2">
        <v>37</v>
      </c>
      <c r="DS369" s="2">
        <v>1</v>
      </c>
      <c r="DT369" s="2">
        <v>99</v>
      </c>
      <c r="DU369" s="2">
        <v>82</v>
      </c>
      <c r="DV369" s="2">
        <v>2</v>
      </c>
      <c r="DW369" s="2">
        <v>2</v>
      </c>
      <c r="DX369" s="2">
        <v>2</v>
      </c>
      <c r="DY369" s="2">
        <v>3</v>
      </c>
      <c r="DZ369" s="2">
        <v>33</v>
      </c>
      <c r="EA369" s="2">
        <v>34</v>
      </c>
      <c r="EB369" s="2">
        <v>47</v>
      </c>
      <c r="EC369" s="2">
        <v>1</v>
      </c>
      <c r="ED369" s="2">
        <v>1</v>
      </c>
    </row>
    <row r="370" spans="3:134" x14ac:dyDescent="0.25">
      <c r="C370" s="9" t="s">
        <v>172</v>
      </c>
      <c r="D370" s="4">
        <v>2501055454</v>
      </c>
      <c r="E370" s="5">
        <v>7</v>
      </c>
      <c r="F370" s="2">
        <v>1</v>
      </c>
      <c r="G370" s="2">
        <v>24</v>
      </c>
      <c r="H370" s="2">
        <v>-1.46017743418861</v>
      </c>
      <c r="I370" s="2">
        <v>45</v>
      </c>
      <c r="J370" s="2">
        <v>-2.2267170773967009</v>
      </c>
      <c r="K370" s="1">
        <v>2360</v>
      </c>
      <c r="L370" s="2">
        <v>-2.091552924543135</v>
      </c>
      <c r="M370" s="2">
        <v>-0.92200000000000004</v>
      </c>
      <c r="N370" s="2">
        <f t="shared" si="334"/>
        <v>0.62823871709430501</v>
      </c>
      <c r="O370" s="2">
        <f t="shared" si="335"/>
        <v>-0.92200000000000004</v>
      </c>
      <c r="P370" s="2">
        <v>62.5</v>
      </c>
      <c r="Q370" s="2">
        <v>-1.43</v>
      </c>
      <c r="R370" s="5">
        <f t="shared" si="336"/>
        <v>0.52835853869835048</v>
      </c>
      <c r="S370" s="5">
        <f t="shared" si="337"/>
        <v>-1.43</v>
      </c>
      <c r="T370" s="1">
        <v>6080</v>
      </c>
      <c r="U370" s="2">
        <v>-1.51</v>
      </c>
      <c r="V370" s="2">
        <f t="shared" si="338"/>
        <v>0.63577646227156759</v>
      </c>
      <c r="W370" s="2">
        <f t="shared" si="339"/>
        <v>-1.51</v>
      </c>
      <c r="X370" s="2">
        <v>-0.20369999999999999</v>
      </c>
      <c r="Y370" s="76">
        <f t="shared" si="375"/>
        <v>1.25647743418861</v>
      </c>
      <c r="Z370" s="76">
        <f t="shared" si="376"/>
        <v>2</v>
      </c>
      <c r="AA370" s="2">
        <f t="shared" si="340"/>
        <v>0.73799999999999999</v>
      </c>
      <c r="AB370" s="2">
        <f t="shared" si="341"/>
        <v>-0.20369999999999999</v>
      </c>
      <c r="AC370" s="2">
        <v>71</v>
      </c>
      <c r="AD370" s="2">
        <v>-1.17</v>
      </c>
      <c r="AE370" s="79">
        <f t="shared" si="377"/>
        <v>1.056717077396701</v>
      </c>
      <c r="AF370" s="79">
        <f t="shared" si="378"/>
        <v>2</v>
      </c>
      <c r="AG370" s="2">
        <f t="shared" si="395"/>
        <v>-0.18000000000000005</v>
      </c>
      <c r="AH370" s="2">
        <f t="shared" si="342"/>
        <v>-1.17</v>
      </c>
      <c r="AI370" s="2">
        <v>8100</v>
      </c>
      <c r="AJ370" s="2">
        <v>-0.82</v>
      </c>
      <c r="AK370" s="76">
        <f t="shared" si="379"/>
        <v>1.2715529245431352</v>
      </c>
      <c r="AL370" s="76">
        <f t="shared" si="380"/>
        <v>2</v>
      </c>
      <c r="AM370" s="2">
        <f t="shared" si="343"/>
        <v>0.22499999999999998</v>
      </c>
      <c r="AN370" s="2">
        <f t="shared" si="344"/>
        <v>-0.82</v>
      </c>
      <c r="AO370" s="2">
        <v>4.5999999999999999E-2</v>
      </c>
      <c r="AP370" s="2">
        <f t="shared" si="345"/>
        <v>-0.98269082701118449</v>
      </c>
      <c r="AQ370" s="2">
        <f t="shared" si="346"/>
        <v>4.5999999999999999E-2</v>
      </c>
      <c r="AR370" s="2">
        <v>75.5</v>
      </c>
      <c r="AS370" s="2">
        <v>-1.79</v>
      </c>
      <c r="AT370" s="2">
        <f t="shared" si="347"/>
        <v>0.52807336982547992</v>
      </c>
      <c r="AU370" s="2">
        <f t="shared" si="348"/>
        <v>-1.79</v>
      </c>
      <c r="AV370" s="2">
        <v>9000</v>
      </c>
      <c r="AW370" s="2">
        <v>-1.06</v>
      </c>
      <c r="AX370" s="2">
        <f t="shared" si="349"/>
        <v>-0.55648431136150411</v>
      </c>
      <c r="AY370" s="2">
        <f t="shared" si="350"/>
        <v>-1.06</v>
      </c>
      <c r="AZ370" s="2">
        <v>-2.169081654022369</v>
      </c>
      <c r="BA370" s="78">
        <f t="shared" si="381"/>
        <v>-1.965381654022369</v>
      </c>
      <c r="BB370" s="78">
        <f t="shared" si="382"/>
        <v>-2</v>
      </c>
      <c r="BC370" s="2" t="str">
        <f t="shared" si="351"/>
        <v/>
      </c>
      <c r="BD370" s="2">
        <f t="shared" si="352"/>
        <v>-2.169081654022369</v>
      </c>
      <c r="BE370" s="67">
        <f t="shared" si="383"/>
        <v>2</v>
      </c>
      <c r="BF370" s="2">
        <v>85</v>
      </c>
      <c r="BG370" s="2">
        <v>-0.11385326034904</v>
      </c>
      <c r="BH370" s="2" t="str">
        <f t="shared" si="353"/>
        <v/>
      </c>
      <c r="BI370" s="2">
        <f t="shared" si="354"/>
        <v>-0.11385326034904</v>
      </c>
      <c r="BJ370" s="67">
        <f t="shared" si="355"/>
        <v>7</v>
      </c>
      <c r="BK370" s="2">
        <v>10000</v>
      </c>
      <c r="BL370" s="2">
        <v>-1.9329686227230081</v>
      </c>
      <c r="BM370" s="77">
        <f t="shared" si="384"/>
        <v>-1.1129686227230082</v>
      </c>
      <c r="BN370" s="77">
        <f t="shared" si="385"/>
        <v>-2</v>
      </c>
      <c r="BO370" s="2" t="str">
        <f t="shared" si="356"/>
        <v/>
      </c>
      <c r="BP370" s="2">
        <f t="shared" si="357"/>
        <v>-1.9329686227230081</v>
      </c>
      <c r="BQ370" s="67">
        <f t="shared" si="386"/>
        <v>7</v>
      </c>
      <c r="BS370" s="75" t="str">
        <f t="shared" si="387"/>
        <v>UF</v>
      </c>
      <c r="BT370" s="75" t="str">
        <f t="shared" si="388"/>
        <v>UF</v>
      </c>
      <c r="BU370" s="5" t="str">
        <f t="shared" si="396"/>
        <v>UF</v>
      </c>
      <c r="BV370" s="5" t="str">
        <f t="shared" si="358"/>
        <v>UF</v>
      </c>
      <c r="BW370" s="69" t="str">
        <f t="shared" si="359"/>
        <v/>
      </c>
      <c r="BX370" s="2" t="s">
        <v>12</v>
      </c>
      <c r="BZ370" s="74" t="str">
        <f t="shared" si="389"/>
        <v>UF</v>
      </c>
      <c r="CA370" s="74" t="str">
        <f t="shared" si="390"/>
        <v>UF</v>
      </c>
      <c r="CB370" s="5" t="str">
        <f t="shared" si="360"/>
        <v>UF</v>
      </c>
      <c r="CC370" s="5" t="str">
        <f t="shared" si="361"/>
        <v>UF</v>
      </c>
      <c r="CD370" s="2" t="e">
        <f t="shared" si="362"/>
        <v>#VALUE!</v>
      </c>
      <c r="CE370" s="69" t="str">
        <f t="shared" si="363"/>
        <v/>
      </c>
      <c r="CF370" s="5" t="s">
        <v>12</v>
      </c>
      <c r="CH370" s="72" t="str">
        <f t="shared" si="391"/>
        <v>UF</v>
      </c>
      <c r="CI370" s="72" t="str">
        <f t="shared" si="392"/>
        <v>UF</v>
      </c>
      <c r="CJ370" s="5" t="str">
        <f t="shared" si="364"/>
        <v>UF</v>
      </c>
      <c r="CK370" s="5" t="str">
        <f t="shared" si="365"/>
        <v>UF</v>
      </c>
      <c r="CL370" s="69" t="str">
        <f t="shared" si="366"/>
        <v/>
      </c>
      <c r="CN370" s="70" t="str">
        <f t="shared" si="367"/>
        <v/>
      </c>
      <c r="CO370" s="5" t="str">
        <f t="shared" si="368"/>
        <v>UF</v>
      </c>
      <c r="CP370" s="5" t="str">
        <f>IF(G370&lt;48,"UF", IF(NOT(ISBLANK(CM:CM)), CM:CM, IF(BW:BW=1, BV:BV+Sheet2!B347, IF(Sheet1!BW:BW=2, Sheet1!BV:BV+Sheet2!B348, IF(Sheet1!BW:BW=7, Sheet1!BV:BV+Sheet2!B349,"")))))</f>
        <v>UF</v>
      </c>
      <c r="CQ370" s="69" t="str">
        <f t="shared" si="393"/>
        <v/>
      </c>
      <c r="CR370" s="5" t="s">
        <v>12</v>
      </c>
      <c r="CT370" s="5" t="str">
        <f t="shared" si="369"/>
        <v/>
      </c>
      <c r="CU370" s="80" t="str">
        <f t="shared" si="370"/>
        <v>UF</v>
      </c>
      <c r="CV370" s="80" t="str">
        <f t="shared" si="371"/>
        <v>UF</v>
      </c>
      <c r="CW370" s="20" t="str">
        <f>IF(G370&lt;48,"UF", IF(NOT(ISBLANK(CS370)), CS370, IF(CE370=5, CC370+Sheet2!B336, IF(CE370=6, CC370+Sheet2!B337, IF(CE370=7, CC370+Sheet2!B338,"")))))</f>
        <v>UF</v>
      </c>
      <c r="CX370" s="68" t="str">
        <f t="shared" si="394"/>
        <v/>
      </c>
      <c r="CY370" s="5" t="s">
        <v>12</v>
      </c>
      <c r="DA370" s="5" t="str">
        <f t="shared" si="372"/>
        <v>UF</v>
      </c>
      <c r="DB370" s="73" t="str">
        <f t="shared" si="373"/>
        <v>UF</v>
      </c>
      <c r="DC370" s="73" t="str">
        <f t="shared" si="374"/>
        <v>UF</v>
      </c>
      <c r="DD370" s="5" t="str">
        <f>IF(G370&lt;48,"UF", IF(NOT(ISBLANK(CZ:CZ)), CZ:CZ, IF(CL:CL=3, CK:CK+Sheet2!B341, IF(CL:CL=4, CK:CK+Sheet2!B342, IF(CL:CL=7, CK:CK+Sheet2!B343,"")))))</f>
        <v>UF</v>
      </c>
      <c r="DE370" s="69" t="str">
        <f t="shared" si="397"/>
        <v/>
      </c>
      <c r="DF370" s="2">
        <v>1</v>
      </c>
      <c r="DG370" s="2">
        <v>21</v>
      </c>
      <c r="DH370" s="2">
        <v>2</v>
      </c>
      <c r="DI370" s="2">
        <v>2</v>
      </c>
      <c r="DJ370" s="2">
        <v>2</v>
      </c>
      <c r="DK370" s="2">
        <v>95</v>
      </c>
      <c r="DL370" s="2">
        <v>55</v>
      </c>
      <c r="DM370" s="2">
        <v>100</v>
      </c>
      <c r="DN370" s="2">
        <v>60</v>
      </c>
      <c r="DO370" s="2" t="s">
        <v>12</v>
      </c>
      <c r="DP370" s="2" t="s">
        <v>12</v>
      </c>
      <c r="DQ370" s="2">
        <v>2</v>
      </c>
      <c r="DR370" s="2">
        <v>37</v>
      </c>
      <c r="DS370" s="2">
        <v>2</v>
      </c>
      <c r="DT370" s="2">
        <v>76</v>
      </c>
      <c r="DU370" s="2">
        <v>77</v>
      </c>
      <c r="DV370" s="2">
        <v>1</v>
      </c>
      <c r="DW370" s="2">
        <v>2</v>
      </c>
      <c r="DX370" s="2">
        <v>2</v>
      </c>
      <c r="DY370" s="2">
        <v>2</v>
      </c>
      <c r="DZ370" s="2">
        <v>34</v>
      </c>
      <c r="EA370" s="2">
        <v>33</v>
      </c>
      <c r="EB370" s="2">
        <v>42.5</v>
      </c>
      <c r="EC370" s="2">
        <v>1</v>
      </c>
      <c r="ED370" s="2">
        <v>1</v>
      </c>
    </row>
    <row r="371" spans="3:134" x14ac:dyDescent="0.25">
      <c r="C371" s="8" t="s">
        <v>172</v>
      </c>
      <c r="D371" s="4">
        <v>2501055497</v>
      </c>
      <c r="E371" s="5">
        <v>7</v>
      </c>
      <c r="F371" s="2">
        <v>1</v>
      </c>
      <c r="G371" s="2">
        <v>24</v>
      </c>
      <c r="H371" s="2">
        <v>-0.54512632558867147</v>
      </c>
      <c r="I371" s="2">
        <v>50</v>
      </c>
      <c r="J371" s="2">
        <v>0.45756143734440202</v>
      </c>
      <c r="K371" s="1">
        <v>3170</v>
      </c>
      <c r="L371" s="2">
        <v>-0.13661471091968461</v>
      </c>
      <c r="N371" s="2">
        <f t="shared" si="334"/>
        <v>-0.26478683720566426</v>
      </c>
      <c r="O371" s="2">
        <f t="shared" si="335"/>
        <v>-0.80991316279433567</v>
      </c>
      <c r="P371" s="2" t="s">
        <v>12</v>
      </c>
      <c r="R371" s="5">
        <f t="shared" si="336"/>
        <v>-1.1037807186722011</v>
      </c>
      <c r="S371" s="5">
        <f t="shared" si="337"/>
        <v>-0.64621928132779904</v>
      </c>
      <c r="T371" s="1" t="s">
        <v>12</v>
      </c>
      <c r="V371" s="2">
        <f t="shared" si="338"/>
        <v>-0.83669264454015768</v>
      </c>
      <c r="W371" s="2">
        <f t="shared" si="339"/>
        <v>-0.97330735545984226</v>
      </c>
      <c r="X371" s="2">
        <v>-1.0747</v>
      </c>
      <c r="Y371" s="76">
        <f t="shared" si="375"/>
        <v>-0.52957367441132852</v>
      </c>
      <c r="Z371" s="76">
        <f t="shared" si="376"/>
        <v>-1</v>
      </c>
      <c r="AA371" s="2">
        <f t="shared" si="340"/>
        <v>2.0259640663899514E-2</v>
      </c>
      <c r="AB371" s="2">
        <f t="shared" si="341"/>
        <v>-1.0747</v>
      </c>
      <c r="AC371" s="2">
        <v>69.5</v>
      </c>
      <c r="AD371" s="2">
        <v>-1.75</v>
      </c>
      <c r="AE371" s="79">
        <f t="shared" si="377"/>
        <v>-2.2075614373444021</v>
      </c>
      <c r="AF371" s="79">
        <f t="shared" si="378"/>
        <v>-2</v>
      </c>
      <c r="AG371" s="2">
        <f t="shared" si="395"/>
        <v>-0.66189035933610052</v>
      </c>
      <c r="AH371" s="2">
        <f t="shared" si="342"/>
        <v>-1.75</v>
      </c>
      <c r="AI371" s="2">
        <v>7200</v>
      </c>
      <c r="AJ371" s="2">
        <v>-1.81</v>
      </c>
      <c r="AK371" s="76">
        <f t="shared" si="379"/>
        <v>-1.6733852890803154</v>
      </c>
      <c r="AL371" s="76">
        <f t="shared" si="380"/>
        <v>-2</v>
      </c>
      <c r="AM371" s="2">
        <f t="shared" si="343"/>
        <v>-0.33834632227007883</v>
      </c>
      <c r="AN371" s="2">
        <f t="shared" si="344"/>
        <v>-1.81</v>
      </c>
      <c r="AO371" s="2">
        <v>-0.60570000000000002</v>
      </c>
      <c r="AP371" s="2" t="str">
        <f t="shared" si="345"/>
        <v/>
      </c>
      <c r="AQ371" s="2">
        <f t="shared" si="346"/>
        <v>-0.60570000000000002</v>
      </c>
      <c r="AR371" s="2">
        <v>75</v>
      </c>
      <c r="AS371" s="2">
        <v>-1.97</v>
      </c>
      <c r="AT371" s="2" t="str">
        <f t="shared" si="347"/>
        <v/>
      </c>
      <c r="AU371" s="2">
        <f t="shared" si="348"/>
        <v>-1.97</v>
      </c>
      <c r="AV371" s="2">
        <v>8400</v>
      </c>
      <c r="AW371" s="2">
        <v>-1.65</v>
      </c>
      <c r="AX371" s="2" t="str">
        <f t="shared" si="349"/>
        <v/>
      </c>
      <c r="AY371" s="2">
        <f t="shared" si="350"/>
        <v>-1.65</v>
      </c>
      <c r="BA371" s="78" t="e">
        <f t="shared" si="381"/>
        <v>#VALUE!</v>
      </c>
      <c r="BB371" s="78" t="e">
        <f t="shared" si="382"/>
        <v>#VALUE!</v>
      </c>
      <c r="BC371" s="2" t="str">
        <f t="shared" si="351"/>
        <v/>
      </c>
      <c r="BD371" s="2" t="e">
        <f t="shared" si="352"/>
        <v>#VALUE!</v>
      </c>
      <c r="BE371" s="67" t="e">
        <f t="shared" si="383"/>
        <v>#VALUE!</v>
      </c>
      <c r="BF371" s="2" t="s">
        <v>12</v>
      </c>
      <c r="BH371" s="2" t="str">
        <f t="shared" si="353"/>
        <v/>
      </c>
      <c r="BI371" s="2" t="e">
        <f t="shared" si="354"/>
        <v>#VALUE!</v>
      </c>
      <c r="BJ371" s="67" t="e">
        <f t="shared" si="355"/>
        <v>#VALUE!</v>
      </c>
      <c r="BK371" s="2" t="s">
        <v>12</v>
      </c>
      <c r="BM371" s="77" t="e">
        <f t="shared" si="384"/>
        <v>#VALUE!</v>
      </c>
      <c r="BN371" s="77" t="e">
        <f t="shared" si="385"/>
        <v>#VALUE!</v>
      </c>
      <c r="BO371" s="2" t="str">
        <f t="shared" si="356"/>
        <v/>
      </c>
      <c r="BP371" s="2" t="e">
        <f t="shared" si="357"/>
        <v>#VALUE!</v>
      </c>
      <c r="BQ371" s="67" t="e">
        <f t="shared" si="386"/>
        <v>#VALUE!</v>
      </c>
      <c r="BS371" s="75" t="str">
        <f t="shared" si="387"/>
        <v>UF</v>
      </c>
      <c r="BT371" s="75" t="str">
        <f t="shared" si="388"/>
        <v>UF</v>
      </c>
      <c r="BU371" s="5" t="e">
        <f>IF(#REF!&gt;=36, IF(AND(NOT(ISBLANK(CM:CM)), NOT(ISBLANK(BD:BD))), (CM:CM-BD:BD)/2, ""), "UF")</f>
        <v>#REF!</v>
      </c>
      <c r="BV371" s="5" t="str">
        <f t="shared" si="358"/>
        <v>UF</v>
      </c>
      <c r="BW371" s="69" t="str">
        <f t="shared" si="359"/>
        <v/>
      </c>
      <c r="BX371" s="2" t="s">
        <v>12</v>
      </c>
      <c r="BZ371" s="74" t="str">
        <f t="shared" si="389"/>
        <v>UF</v>
      </c>
      <c r="CA371" s="74" t="str">
        <f t="shared" si="390"/>
        <v>UF</v>
      </c>
      <c r="CB371" s="5" t="str">
        <f t="shared" si="360"/>
        <v>UF</v>
      </c>
      <c r="CC371" s="5" t="str">
        <f t="shared" si="361"/>
        <v>UF</v>
      </c>
      <c r="CD371" s="2" t="e">
        <f t="shared" si="362"/>
        <v>#VALUE!</v>
      </c>
      <c r="CE371" s="69" t="str">
        <f t="shared" si="363"/>
        <v/>
      </c>
      <c r="CF371" s="5" t="s">
        <v>12</v>
      </c>
      <c r="CH371" s="72" t="str">
        <f t="shared" si="391"/>
        <v>UF</v>
      </c>
      <c r="CI371" s="72" t="str">
        <f t="shared" si="392"/>
        <v>UF</v>
      </c>
      <c r="CJ371" s="5" t="str">
        <f t="shared" si="364"/>
        <v>UF</v>
      </c>
      <c r="CK371" s="5" t="str">
        <f t="shared" si="365"/>
        <v>UF</v>
      </c>
      <c r="CL371" s="69" t="str">
        <f t="shared" si="366"/>
        <v/>
      </c>
      <c r="CN371" s="70" t="str">
        <f t="shared" si="367"/>
        <v/>
      </c>
      <c r="CO371" s="5" t="str">
        <f t="shared" si="368"/>
        <v>UF</v>
      </c>
      <c r="CP371" s="5" t="str">
        <f>IF(G371&lt;48,"UF", IF(NOT(ISBLANK(CM:CM)), CM:CM, IF(BW:BW=1, BV:BV+Sheet2!B338, IF(Sheet1!BW:BW=2, Sheet1!BV:BV+Sheet2!B339, IF(Sheet1!BW:BW=7, Sheet1!BV:BV+Sheet2!B340,"")))))</f>
        <v>UF</v>
      </c>
      <c r="CQ371" s="69" t="str">
        <f t="shared" si="393"/>
        <v/>
      </c>
      <c r="CR371" s="5" t="s">
        <v>12</v>
      </c>
      <c r="CT371" s="5" t="str">
        <f t="shared" si="369"/>
        <v/>
      </c>
      <c r="CU371" s="80" t="str">
        <f t="shared" si="370"/>
        <v>UF</v>
      </c>
      <c r="CV371" s="80" t="str">
        <f t="shared" si="371"/>
        <v>UF</v>
      </c>
      <c r="CW371" s="20" t="str">
        <f>IF(G371&lt;48,"UF", IF(NOT(ISBLANK(CS371)), CS371, IF(CE371=5, CC371+Sheet2!B327, IF(CE371=6, CC371+Sheet2!B328, IF(CE371=7, CC371+Sheet2!B329,"")))))</f>
        <v>UF</v>
      </c>
      <c r="CX371" s="68" t="str">
        <f t="shared" si="394"/>
        <v/>
      </c>
      <c r="CY371" s="5" t="s">
        <v>12</v>
      </c>
      <c r="DA371" s="5" t="str">
        <f t="shared" si="372"/>
        <v>UF</v>
      </c>
      <c r="DB371" s="73" t="str">
        <f t="shared" si="373"/>
        <v>UF</v>
      </c>
      <c r="DC371" s="73" t="str">
        <f t="shared" si="374"/>
        <v>UF</v>
      </c>
      <c r="DD371" s="5" t="str">
        <f>IF(G371&lt;48,"UF", IF(NOT(ISBLANK(CZ:CZ)), CZ:CZ, IF(CL:CL=3, CK:CK+Sheet2!B332, IF(CL:CL=4, CK:CK+Sheet2!B333, IF(CL:CL=7, CK:CK+Sheet2!B334,"")))))</f>
        <v>UF</v>
      </c>
      <c r="DE371" s="69" t="str">
        <f t="shared" si="397"/>
        <v/>
      </c>
      <c r="DF371" s="2">
        <v>1</v>
      </c>
      <c r="DG371" s="2">
        <v>37</v>
      </c>
      <c r="DH371" s="2">
        <v>1</v>
      </c>
      <c r="DI371" s="2">
        <v>2</v>
      </c>
      <c r="DJ371" s="2">
        <v>2</v>
      </c>
      <c r="DK371" s="2">
        <v>110</v>
      </c>
      <c r="DL371" s="2">
        <v>60</v>
      </c>
      <c r="DM371" s="2" t="s">
        <v>12</v>
      </c>
      <c r="DN371" s="2" t="s">
        <v>12</v>
      </c>
      <c r="DO371" s="2" t="s">
        <v>12</v>
      </c>
      <c r="DP371" s="2" t="s">
        <v>12</v>
      </c>
      <c r="DQ371" s="2">
        <v>2</v>
      </c>
      <c r="DR371" s="2">
        <v>39</v>
      </c>
      <c r="DS371" s="2">
        <v>1</v>
      </c>
      <c r="DT371" s="2">
        <v>88</v>
      </c>
      <c r="DU371" s="2">
        <v>100</v>
      </c>
      <c r="DV371" s="2">
        <v>2</v>
      </c>
      <c r="DW371" s="2">
        <v>2</v>
      </c>
      <c r="DX371" s="2">
        <v>2</v>
      </c>
      <c r="DY371" s="2">
        <v>3</v>
      </c>
      <c r="DZ371" s="2">
        <v>34</v>
      </c>
      <c r="EA371" s="2">
        <v>34.5</v>
      </c>
      <c r="EB371" s="2">
        <v>43.8</v>
      </c>
      <c r="EC371" s="2">
        <v>1</v>
      </c>
      <c r="ED371" s="2">
        <v>4</v>
      </c>
    </row>
    <row r="372" spans="3:134" x14ac:dyDescent="0.25">
      <c r="C372" s="9" t="s">
        <v>178</v>
      </c>
      <c r="D372" s="4">
        <v>2501055561</v>
      </c>
      <c r="E372" s="5">
        <v>7</v>
      </c>
      <c r="F372" s="2">
        <v>2</v>
      </c>
      <c r="G372" s="2">
        <v>24</v>
      </c>
      <c r="H372" s="2">
        <v>-1.3740445785908459</v>
      </c>
      <c r="I372" s="2">
        <v>49</v>
      </c>
      <c r="J372" s="2">
        <v>-0.46706379753639199</v>
      </c>
      <c r="K372" s="1">
        <v>2830</v>
      </c>
      <c r="L372" s="2">
        <v>-1.114946864466642</v>
      </c>
      <c r="M372" s="2">
        <v>0.43390000000000001</v>
      </c>
      <c r="N372" s="2">
        <f t="shared" si="334"/>
        <v>4.1872289295422971E-2</v>
      </c>
      <c r="O372" s="2">
        <f t="shared" si="335"/>
        <v>0.43390000000000001</v>
      </c>
      <c r="P372" s="2">
        <v>67.5</v>
      </c>
      <c r="Q372" s="2">
        <v>-7.0000000000000007E-2</v>
      </c>
      <c r="R372" s="5">
        <f t="shared" si="336"/>
        <v>7.8531898768195996E-2</v>
      </c>
      <c r="S372" s="5">
        <f t="shared" si="337"/>
        <v>-7.0000000000000007E-2</v>
      </c>
      <c r="T372" s="1">
        <v>8190</v>
      </c>
      <c r="U372" s="2">
        <v>0.28000000000000003</v>
      </c>
      <c r="V372" s="2">
        <f t="shared" si="338"/>
        <v>2.4734322333209713E-3</v>
      </c>
      <c r="W372" s="2">
        <f t="shared" si="339"/>
        <v>0.28000000000000003</v>
      </c>
      <c r="X372" s="2">
        <v>-1.2903</v>
      </c>
      <c r="Y372" s="76">
        <f t="shared" si="375"/>
        <v>8.3744578590845942E-2</v>
      </c>
      <c r="Z372" s="76">
        <f t="shared" si="376"/>
        <v>1</v>
      </c>
      <c r="AA372" s="2" t="str">
        <f t="shared" si="340"/>
        <v/>
      </c>
      <c r="AB372" s="2">
        <f t="shared" si="341"/>
        <v>-1.2903</v>
      </c>
      <c r="AC372" s="2">
        <v>75</v>
      </c>
      <c r="AD372" s="2">
        <v>-0.31</v>
      </c>
      <c r="AE372" s="79">
        <f t="shared" si="377"/>
        <v>0.15706379753639199</v>
      </c>
      <c r="AF372" s="79">
        <f t="shared" si="378"/>
        <v>1</v>
      </c>
      <c r="AG372" s="2" t="str">
        <f t="shared" si="395"/>
        <v/>
      </c>
      <c r="AH372" s="2">
        <f t="shared" si="342"/>
        <v>-0.31</v>
      </c>
      <c r="AI372" s="2">
        <v>8540</v>
      </c>
      <c r="AJ372" s="2">
        <v>-1.1100000000000001</v>
      </c>
      <c r="AK372" s="76">
        <f t="shared" si="379"/>
        <v>4.9468644666419426E-3</v>
      </c>
      <c r="AL372" s="76">
        <f t="shared" si="380"/>
        <v>1</v>
      </c>
      <c r="AM372" s="2" t="str">
        <f t="shared" si="343"/>
        <v/>
      </c>
      <c r="AN372" s="2">
        <f t="shared" si="344"/>
        <v>-1.1100000000000001</v>
      </c>
      <c r="AP372" s="2" t="str">
        <f t="shared" si="345"/>
        <v/>
      </c>
      <c r="AQ372" s="2" t="e">
        <f t="shared" si="346"/>
        <v>#VALUE!</v>
      </c>
      <c r="AR372" s="2" t="s">
        <v>12</v>
      </c>
      <c r="AT372" s="2" t="str">
        <f t="shared" si="347"/>
        <v/>
      </c>
      <c r="AU372" s="2" t="e">
        <f t="shared" si="348"/>
        <v>#VALUE!</v>
      </c>
      <c r="AV372" s="2" t="s">
        <v>12</v>
      </c>
      <c r="AX372" s="2" t="str">
        <f t="shared" si="349"/>
        <v/>
      </c>
      <c r="AY372" s="2" t="e">
        <f t="shared" si="350"/>
        <v>#VALUE!</v>
      </c>
      <c r="BA372" s="78" t="e">
        <f t="shared" si="381"/>
        <v>#VALUE!</v>
      </c>
      <c r="BB372" s="78" t="e">
        <f t="shared" si="382"/>
        <v>#VALUE!</v>
      </c>
      <c r="BC372" s="2" t="str">
        <f t="shared" si="351"/>
        <v/>
      </c>
      <c r="BD372" s="2" t="e">
        <f t="shared" si="352"/>
        <v>#VALUE!</v>
      </c>
      <c r="BE372" s="67" t="e">
        <f t="shared" si="383"/>
        <v>#VALUE!</v>
      </c>
      <c r="BF372" s="2" t="s">
        <v>12</v>
      </c>
      <c r="BH372" s="2" t="str">
        <f t="shared" si="353"/>
        <v/>
      </c>
      <c r="BI372" s="2" t="e">
        <f t="shared" si="354"/>
        <v>#VALUE!</v>
      </c>
      <c r="BJ372" s="67" t="e">
        <f t="shared" si="355"/>
        <v>#VALUE!</v>
      </c>
      <c r="BK372" s="2" t="s">
        <v>12</v>
      </c>
      <c r="BM372" s="77" t="e">
        <f t="shared" si="384"/>
        <v>#VALUE!</v>
      </c>
      <c r="BN372" s="77" t="e">
        <f t="shared" si="385"/>
        <v>#VALUE!</v>
      </c>
      <c r="BO372" s="2" t="str">
        <f t="shared" si="356"/>
        <v/>
      </c>
      <c r="BP372" s="2" t="e">
        <f t="shared" si="357"/>
        <v>#VALUE!</v>
      </c>
      <c r="BQ372" s="67" t="e">
        <f t="shared" si="386"/>
        <v>#VALUE!</v>
      </c>
      <c r="BS372" s="75" t="str">
        <f t="shared" si="387"/>
        <v>UF</v>
      </c>
      <c r="BT372" s="75" t="str">
        <f t="shared" si="388"/>
        <v>UF</v>
      </c>
      <c r="BU372" s="5" t="str">
        <f t="shared" ref="BU372:BU379" si="398">IF(G380&gt;=36, IF(AND(NOT(ISBLANK(CM:CM)), NOT(ISBLANK(BD:BD))), (CM:CM-BD:BD)/2, ""), "UF")</f>
        <v>UF</v>
      </c>
      <c r="BV372" s="5" t="str">
        <f t="shared" si="358"/>
        <v>UF</v>
      </c>
      <c r="BW372" s="69" t="str">
        <f t="shared" si="359"/>
        <v/>
      </c>
      <c r="BX372" s="2" t="s">
        <v>12</v>
      </c>
      <c r="BZ372" s="74" t="str">
        <f t="shared" si="389"/>
        <v>UF</v>
      </c>
      <c r="CA372" s="74" t="str">
        <f t="shared" si="390"/>
        <v>UF</v>
      </c>
      <c r="CB372" s="5" t="str">
        <f t="shared" si="360"/>
        <v>UF</v>
      </c>
      <c r="CC372" s="5" t="str">
        <f t="shared" si="361"/>
        <v>UF</v>
      </c>
      <c r="CD372" s="2" t="e">
        <f t="shared" si="362"/>
        <v>#VALUE!</v>
      </c>
      <c r="CE372" s="69" t="str">
        <f t="shared" si="363"/>
        <v/>
      </c>
      <c r="CF372" s="5" t="s">
        <v>12</v>
      </c>
      <c r="CH372" s="72" t="str">
        <f t="shared" si="391"/>
        <v>UF</v>
      </c>
      <c r="CI372" s="72" t="str">
        <f t="shared" si="392"/>
        <v>UF</v>
      </c>
      <c r="CJ372" s="5" t="str">
        <f t="shared" si="364"/>
        <v>UF</v>
      </c>
      <c r="CK372" s="5" t="str">
        <f t="shared" si="365"/>
        <v>UF</v>
      </c>
      <c r="CL372" s="69" t="str">
        <f t="shared" si="366"/>
        <v/>
      </c>
      <c r="CN372" s="70" t="str">
        <f t="shared" si="367"/>
        <v/>
      </c>
      <c r="CO372" s="5" t="str">
        <f t="shared" si="368"/>
        <v>UF</v>
      </c>
      <c r="CP372" s="5" t="str">
        <f>IF(G372&lt;48,"UF", IF(NOT(ISBLANK(CM:CM)), CM:CM, IF(BW:BW=1, BV:BV+Sheet2!B345, IF(Sheet1!BW:BW=2, Sheet1!BV:BV+Sheet2!B346, IF(Sheet1!BW:BW=7, Sheet1!BV:BV+Sheet2!B347,"")))))</f>
        <v>UF</v>
      </c>
      <c r="CQ372" s="69" t="str">
        <f t="shared" si="393"/>
        <v/>
      </c>
      <c r="CR372" s="5" t="s">
        <v>12</v>
      </c>
      <c r="CT372" s="5" t="str">
        <f t="shared" si="369"/>
        <v/>
      </c>
      <c r="CU372" s="80" t="str">
        <f t="shared" si="370"/>
        <v>UF</v>
      </c>
      <c r="CV372" s="80" t="str">
        <f t="shared" si="371"/>
        <v>UF</v>
      </c>
      <c r="CW372" s="20" t="str">
        <f>IF(G372&lt;48,"UF", IF(NOT(ISBLANK(CS372)), CS372, IF(CE372=5, CC372+Sheet2!B334, IF(CE372=6, CC372+Sheet2!B335, IF(CE372=7, CC372+Sheet2!B336,"")))))</f>
        <v>UF</v>
      </c>
      <c r="CX372" s="68" t="str">
        <f t="shared" si="394"/>
        <v/>
      </c>
      <c r="CY372" s="5" t="s">
        <v>12</v>
      </c>
      <c r="DA372" s="5" t="str">
        <f t="shared" si="372"/>
        <v>UF</v>
      </c>
      <c r="DB372" s="73" t="str">
        <f t="shared" si="373"/>
        <v>UF</v>
      </c>
      <c r="DC372" s="73" t="str">
        <f t="shared" si="374"/>
        <v>UF</v>
      </c>
      <c r="DD372" s="5" t="str">
        <f>IF(G372&lt;48,"UF", IF(NOT(ISBLANK(CZ:CZ)), CZ:CZ, IF(CL:CL=3, CK:CK+Sheet2!B339, IF(CL:CL=4, CK:CK+Sheet2!B340, IF(CL:CL=7, CK:CK+Sheet2!B341,"")))))</f>
        <v>UF</v>
      </c>
      <c r="DE372" s="69" t="str">
        <f t="shared" si="397"/>
        <v/>
      </c>
      <c r="DF372" s="2">
        <v>1</v>
      </c>
      <c r="DG372" s="2">
        <v>32</v>
      </c>
      <c r="DH372" s="2">
        <v>1</v>
      </c>
      <c r="DI372" s="2">
        <v>2</v>
      </c>
      <c r="DJ372" s="2">
        <v>2</v>
      </c>
      <c r="DK372" s="2">
        <v>90</v>
      </c>
      <c r="DL372" s="2">
        <v>60</v>
      </c>
      <c r="DM372" s="2">
        <v>95</v>
      </c>
      <c r="DN372" s="2">
        <v>60</v>
      </c>
      <c r="DO372" s="2" t="s">
        <v>12</v>
      </c>
      <c r="DP372" s="2" t="s">
        <v>12</v>
      </c>
      <c r="DQ372" s="2">
        <v>2</v>
      </c>
      <c r="DR372" s="2">
        <v>37</v>
      </c>
      <c r="DS372" s="2">
        <v>2</v>
      </c>
      <c r="DT372" s="2">
        <v>88</v>
      </c>
      <c r="DU372" s="2">
        <v>77</v>
      </c>
      <c r="DV372" s="2">
        <v>2</v>
      </c>
      <c r="DW372" s="2">
        <v>2</v>
      </c>
      <c r="DX372" s="2">
        <v>3</v>
      </c>
      <c r="DY372" s="2">
        <v>3</v>
      </c>
      <c r="DZ372" s="2">
        <v>33</v>
      </c>
      <c r="EA372" s="2">
        <v>32.5</v>
      </c>
      <c r="EB372" s="2">
        <v>44.3</v>
      </c>
      <c r="EC372" s="2">
        <v>1</v>
      </c>
      <c r="ED372" s="2">
        <v>4</v>
      </c>
    </row>
    <row r="373" spans="3:134" x14ac:dyDescent="0.25">
      <c r="C373" s="8" t="s">
        <v>168</v>
      </c>
      <c r="D373" s="4">
        <v>2501055594</v>
      </c>
      <c r="E373" s="5">
        <v>7</v>
      </c>
      <c r="F373" s="2">
        <v>2</v>
      </c>
      <c r="G373" s="2">
        <v>24</v>
      </c>
      <c r="H373" s="2">
        <v>-3.400669222641731</v>
      </c>
      <c r="I373" s="2">
        <v>51</v>
      </c>
      <c r="J373" s="2">
        <v>0.58940135287155082</v>
      </c>
      <c r="K373" s="1">
        <v>2550</v>
      </c>
      <c r="L373" s="2">
        <v>-1.7758515475898951</v>
      </c>
      <c r="N373" s="2">
        <f t="shared" si="334"/>
        <v>2.0497346113208654</v>
      </c>
      <c r="O373" s="2">
        <f t="shared" si="335"/>
        <v>-1.3509346113208656</v>
      </c>
      <c r="P373" s="2" t="s">
        <v>12</v>
      </c>
      <c r="R373" s="5">
        <f t="shared" si="336"/>
        <v>-0.44970067643577538</v>
      </c>
      <c r="S373" s="5">
        <f t="shared" si="337"/>
        <v>0.13970067643577544</v>
      </c>
      <c r="T373" s="1" t="s">
        <v>12</v>
      </c>
      <c r="V373" s="2">
        <f t="shared" si="338"/>
        <v>1.0529257737949476</v>
      </c>
      <c r="W373" s="2">
        <f t="shared" si="339"/>
        <v>-0.72292577379494749</v>
      </c>
      <c r="X373" s="2">
        <v>0.69879999999999998</v>
      </c>
      <c r="Y373" s="76">
        <f t="shared" si="375"/>
        <v>4.0994692226417309</v>
      </c>
      <c r="Z373" s="76">
        <f t="shared" si="376"/>
        <v>2</v>
      </c>
      <c r="AA373" s="2" t="str">
        <f t="shared" si="340"/>
        <v/>
      </c>
      <c r="AB373" s="2">
        <f t="shared" si="341"/>
        <v>0.69879999999999998</v>
      </c>
      <c r="AC373" s="2">
        <v>75</v>
      </c>
      <c r="AD373" s="2">
        <v>-0.31</v>
      </c>
      <c r="AE373" s="79">
        <f t="shared" si="377"/>
        <v>-0.89940135287155076</v>
      </c>
      <c r="AF373" s="79">
        <f t="shared" si="378"/>
        <v>-2</v>
      </c>
      <c r="AG373" s="2" t="str">
        <f t="shared" si="395"/>
        <v/>
      </c>
      <c r="AH373" s="2">
        <f t="shared" si="342"/>
        <v>-0.31</v>
      </c>
      <c r="AI373" s="2">
        <v>10000</v>
      </c>
      <c r="AJ373" s="2">
        <v>0.33</v>
      </c>
      <c r="AK373" s="76">
        <f t="shared" si="379"/>
        <v>2.1058515475898951</v>
      </c>
      <c r="AL373" s="76">
        <f t="shared" si="380"/>
        <v>2</v>
      </c>
      <c r="AM373" s="2" t="str">
        <f t="shared" si="343"/>
        <v/>
      </c>
      <c r="AN373" s="2">
        <f t="shared" si="344"/>
        <v>0.33</v>
      </c>
      <c r="AP373" s="2">
        <f t="shared" si="345"/>
        <v>-0.11346287312146278</v>
      </c>
      <c r="AQ373" s="2">
        <f t="shared" si="346"/>
        <v>0.58533712687853723</v>
      </c>
      <c r="AR373" s="2" t="s">
        <v>12</v>
      </c>
      <c r="AT373" s="2">
        <f t="shared" si="347"/>
        <v>-0.32395384214650702</v>
      </c>
      <c r="AU373" s="2">
        <f t="shared" si="348"/>
        <v>-0.63395384214650696</v>
      </c>
      <c r="AV373" s="2" t="s">
        <v>12</v>
      </c>
      <c r="AX373" s="2">
        <f t="shared" si="349"/>
        <v>-0.44397891830913838</v>
      </c>
      <c r="AY373" s="2">
        <f t="shared" si="350"/>
        <v>-0.11397891830913837</v>
      </c>
      <c r="AZ373" s="2">
        <v>0.47187425375707442</v>
      </c>
      <c r="BA373" s="78">
        <f t="shared" si="381"/>
        <v>-0.22692574624292555</v>
      </c>
      <c r="BB373" s="78">
        <f t="shared" si="382"/>
        <v>-1</v>
      </c>
      <c r="BC373" s="2" t="str">
        <f t="shared" si="351"/>
        <v/>
      </c>
      <c r="BD373" s="2">
        <f t="shared" si="352"/>
        <v>0.47187425375707442</v>
      </c>
      <c r="BE373" s="67">
        <f t="shared" si="383"/>
        <v>7</v>
      </c>
      <c r="BF373" s="2">
        <v>83.5</v>
      </c>
      <c r="BG373" s="2">
        <v>-0.95790768429301398</v>
      </c>
      <c r="BH373" s="2" t="str">
        <f t="shared" si="353"/>
        <v/>
      </c>
      <c r="BI373" s="2">
        <f t="shared" si="354"/>
        <v>-0.95790768429301398</v>
      </c>
      <c r="BJ373" s="67">
        <f t="shared" si="355"/>
        <v>7</v>
      </c>
      <c r="BK373" s="2">
        <v>12000</v>
      </c>
      <c r="BL373" s="2">
        <v>-0.5579578366182768</v>
      </c>
      <c r="BM373" s="77">
        <f t="shared" si="384"/>
        <v>-0.88795783661827676</v>
      </c>
      <c r="BN373" s="77">
        <f t="shared" si="385"/>
        <v>-2</v>
      </c>
      <c r="BO373" s="2" t="str">
        <f t="shared" si="356"/>
        <v/>
      </c>
      <c r="BP373" s="2">
        <f t="shared" si="357"/>
        <v>-0.5579578366182768</v>
      </c>
      <c r="BQ373" s="67">
        <f t="shared" si="386"/>
        <v>7</v>
      </c>
      <c r="BS373" s="75" t="str">
        <f t="shared" si="387"/>
        <v>UF</v>
      </c>
      <c r="BT373" s="75" t="str">
        <f t="shared" si="388"/>
        <v>UF</v>
      </c>
      <c r="BU373" s="5" t="str">
        <f t="shared" si="398"/>
        <v>UF</v>
      </c>
      <c r="BV373" s="5" t="str">
        <f t="shared" si="358"/>
        <v>UF</v>
      </c>
      <c r="BW373" s="69" t="str">
        <f t="shared" si="359"/>
        <v/>
      </c>
      <c r="BX373" s="2" t="s">
        <v>12</v>
      </c>
      <c r="BZ373" s="74" t="str">
        <f t="shared" si="389"/>
        <v>UF</v>
      </c>
      <c r="CA373" s="74" t="str">
        <f t="shared" si="390"/>
        <v>UF</v>
      </c>
      <c r="CB373" s="5" t="str">
        <f t="shared" si="360"/>
        <v>UF</v>
      </c>
      <c r="CC373" s="5" t="str">
        <f t="shared" si="361"/>
        <v>UF</v>
      </c>
      <c r="CD373" s="2" t="e">
        <f t="shared" si="362"/>
        <v>#VALUE!</v>
      </c>
      <c r="CE373" s="69" t="str">
        <f t="shared" si="363"/>
        <v/>
      </c>
      <c r="CF373" s="5" t="s">
        <v>12</v>
      </c>
      <c r="CH373" s="72" t="str">
        <f t="shared" si="391"/>
        <v>UF</v>
      </c>
      <c r="CI373" s="72" t="str">
        <f t="shared" si="392"/>
        <v>UF</v>
      </c>
      <c r="CJ373" s="5" t="str">
        <f t="shared" si="364"/>
        <v>UF</v>
      </c>
      <c r="CK373" s="5" t="str">
        <f t="shared" si="365"/>
        <v>UF</v>
      </c>
      <c r="CL373" s="69" t="str">
        <f t="shared" si="366"/>
        <v/>
      </c>
      <c r="CN373" s="70" t="str">
        <f t="shared" si="367"/>
        <v/>
      </c>
      <c r="CO373" s="5" t="str">
        <f t="shared" si="368"/>
        <v>UF</v>
      </c>
      <c r="CP373" s="5" t="str">
        <f>IF(G373&lt;48,"UF", IF(NOT(ISBLANK(CM:CM)), CM:CM, IF(BW:BW=1, BV:BV+Sheet2!B334, IF(Sheet1!BW:BW=2, Sheet1!BV:BV+Sheet2!B335, IF(Sheet1!BW:BW=7, Sheet1!BV:BV+Sheet2!B336,"")))))</f>
        <v>UF</v>
      </c>
      <c r="CQ373" s="69" t="str">
        <f t="shared" si="393"/>
        <v/>
      </c>
      <c r="CR373" s="5" t="s">
        <v>12</v>
      </c>
      <c r="CT373" s="5" t="str">
        <f t="shared" si="369"/>
        <v/>
      </c>
      <c r="CU373" s="80" t="str">
        <f t="shared" si="370"/>
        <v>UF</v>
      </c>
      <c r="CV373" s="80" t="str">
        <f t="shared" si="371"/>
        <v>UF</v>
      </c>
      <c r="CW373" s="20" t="str">
        <f>IF(G373&lt;48,"UF", IF(NOT(ISBLANK(CS373)), CS373, IF(CE373=5, CC373+Sheet2!B323, IF(CE373=6, CC373+Sheet2!B324, IF(CE373=7, CC373+Sheet2!B325,"")))))</f>
        <v>UF</v>
      </c>
      <c r="CX373" s="68" t="str">
        <f t="shared" si="394"/>
        <v/>
      </c>
      <c r="CY373" s="5" t="s">
        <v>12</v>
      </c>
      <c r="DA373" s="5" t="str">
        <f t="shared" si="372"/>
        <v>UF</v>
      </c>
      <c r="DB373" s="73" t="str">
        <f t="shared" si="373"/>
        <v>UF</v>
      </c>
      <c r="DC373" s="73" t="str">
        <f t="shared" si="374"/>
        <v>UF</v>
      </c>
      <c r="DD373" s="5" t="str">
        <f>IF(G373&lt;48,"UF", IF(NOT(ISBLANK(CZ:CZ)), CZ:CZ, IF(CL:CL=3, CK:CK+Sheet2!B328, IF(CL:CL=4, CK:CK+Sheet2!B329, IF(CL:CL=7, CK:CK+Sheet2!B330,"")))))</f>
        <v>UF</v>
      </c>
      <c r="DE373" s="69" t="str">
        <f t="shared" si="397"/>
        <v/>
      </c>
      <c r="DF373" s="2">
        <v>1</v>
      </c>
      <c r="DG373" s="2">
        <v>29</v>
      </c>
      <c r="DH373" s="2">
        <v>2</v>
      </c>
      <c r="DI373" s="2">
        <v>2</v>
      </c>
      <c r="DJ373" s="2">
        <v>1</v>
      </c>
      <c r="DK373" s="2">
        <v>138</v>
      </c>
      <c r="DL373" s="2">
        <v>88</v>
      </c>
      <c r="DM373" s="2">
        <v>132</v>
      </c>
      <c r="DN373" s="2">
        <v>92</v>
      </c>
      <c r="DO373" s="2">
        <v>149</v>
      </c>
      <c r="DP373" s="2">
        <v>97</v>
      </c>
      <c r="DQ373" s="2">
        <v>2</v>
      </c>
      <c r="DR373" s="2">
        <v>38</v>
      </c>
      <c r="DS373" s="2">
        <v>2</v>
      </c>
      <c r="DT373" s="2">
        <v>83</v>
      </c>
      <c r="DU373" s="2">
        <v>83</v>
      </c>
      <c r="DV373" s="2">
        <v>2</v>
      </c>
      <c r="DW373" s="2">
        <v>2</v>
      </c>
      <c r="DX373" s="2">
        <v>2</v>
      </c>
      <c r="DY373" s="2">
        <v>3</v>
      </c>
      <c r="DZ373" s="2">
        <v>37</v>
      </c>
      <c r="EA373" s="2" t="s">
        <v>12</v>
      </c>
      <c r="EB373" s="2" t="s">
        <v>12</v>
      </c>
      <c r="EC373" s="2" t="s">
        <v>12</v>
      </c>
      <c r="ED373" s="2" t="s">
        <v>12</v>
      </c>
    </row>
    <row r="374" spans="3:134" x14ac:dyDescent="0.25">
      <c r="C374" s="8" t="s">
        <v>173</v>
      </c>
      <c r="D374" s="4">
        <v>2501055640</v>
      </c>
      <c r="E374" s="5">
        <v>7</v>
      </c>
      <c r="F374" s="2">
        <v>1</v>
      </c>
      <c r="G374" s="2">
        <v>24</v>
      </c>
      <c r="H374" s="2">
        <v>-0.73755800528797799</v>
      </c>
      <c r="I374" s="2">
        <v>48</v>
      </c>
      <c r="J374" s="2">
        <v>-0.61614996855203885</v>
      </c>
      <c r="K374" s="1">
        <v>2870</v>
      </c>
      <c r="L374" s="2">
        <v>-0.81999077001751175</v>
      </c>
      <c r="M374" s="2">
        <v>-1.3089</v>
      </c>
      <c r="N374" s="2">
        <f t="shared" si="334"/>
        <v>-0.8378209973560109</v>
      </c>
      <c r="O374" s="2">
        <f t="shared" si="335"/>
        <v>-1.3089</v>
      </c>
      <c r="P374" s="2">
        <v>66.5</v>
      </c>
      <c r="Q374" s="2">
        <v>0.33</v>
      </c>
      <c r="R374" s="5">
        <f t="shared" si="336"/>
        <v>0.50307498427601938</v>
      </c>
      <c r="S374" s="5">
        <f t="shared" si="337"/>
        <v>0.33</v>
      </c>
      <c r="T374" s="1">
        <v>66500</v>
      </c>
      <c r="U374" s="2">
        <v>-0.77</v>
      </c>
      <c r="V374" s="2">
        <f t="shared" si="338"/>
        <v>-0.32000461499124411</v>
      </c>
      <c r="W374" s="2">
        <f t="shared" si="339"/>
        <v>-0.77</v>
      </c>
      <c r="X374" s="2">
        <v>-2.4131999999999998</v>
      </c>
      <c r="Y374" s="76">
        <f t="shared" si="375"/>
        <v>-1.6756419947120218</v>
      </c>
      <c r="Z374" s="76">
        <f t="shared" si="376"/>
        <v>-2</v>
      </c>
      <c r="AA374" s="2" t="str">
        <f t="shared" si="340"/>
        <v/>
      </c>
      <c r="AB374" s="2">
        <f t="shared" si="341"/>
        <v>-2.4131999999999998</v>
      </c>
      <c r="AC374" s="2">
        <v>75</v>
      </c>
      <c r="AD374" s="2">
        <v>0.39</v>
      </c>
      <c r="AE374" s="79">
        <f t="shared" si="377"/>
        <v>1.0061499685520388</v>
      </c>
      <c r="AF374" s="79">
        <f t="shared" si="378"/>
        <v>2</v>
      </c>
      <c r="AG374" s="2" t="str">
        <f t="shared" si="395"/>
        <v/>
      </c>
      <c r="AH374" s="2">
        <f t="shared" si="342"/>
        <v>0.39</v>
      </c>
      <c r="AI374" s="2">
        <v>7500</v>
      </c>
      <c r="AJ374" s="2">
        <v>-1.46</v>
      </c>
      <c r="AK374" s="76">
        <f t="shared" si="379"/>
        <v>-0.64000922998248821</v>
      </c>
      <c r="AL374" s="76">
        <f t="shared" si="380"/>
        <v>-1</v>
      </c>
      <c r="AM374" s="2" t="str">
        <f t="shared" si="343"/>
        <v/>
      </c>
      <c r="AN374" s="2">
        <f t="shared" si="344"/>
        <v>-1.46</v>
      </c>
      <c r="AP374" s="2" t="str">
        <f t="shared" si="345"/>
        <v/>
      </c>
      <c r="AQ374" s="2" t="e">
        <f t="shared" si="346"/>
        <v>#VALUE!</v>
      </c>
      <c r="AR374" s="2" t="s">
        <v>12</v>
      </c>
      <c r="AT374" s="2" t="str">
        <f t="shared" si="347"/>
        <v/>
      </c>
      <c r="AU374" s="2" t="e">
        <f t="shared" si="348"/>
        <v>#VALUE!</v>
      </c>
      <c r="AV374" s="2" t="s">
        <v>12</v>
      </c>
      <c r="AX374" s="2" t="str">
        <f t="shared" si="349"/>
        <v/>
      </c>
      <c r="AY374" s="2" t="e">
        <f t="shared" si="350"/>
        <v>#VALUE!</v>
      </c>
      <c r="BA374" s="78" t="e">
        <f t="shared" si="381"/>
        <v>#VALUE!</v>
      </c>
      <c r="BB374" s="78" t="e">
        <f t="shared" si="382"/>
        <v>#VALUE!</v>
      </c>
      <c r="BC374" s="2" t="str">
        <f t="shared" si="351"/>
        <v/>
      </c>
      <c r="BD374" s="2" t="e">
        <f t="shared" si="352"/>
        <v>#VALUE!</v>
      </c>
      <c r="BE374" s="67" t="e">
        <f t="shared" si="383"/>
        <v>#VALUE!</v>
      </c>
      <c r="BF374" s="2" t="s">
        <v>12</v>
      </c>
      <c r="BH374" s="2" t="str">
        <f t="shared" si="353"/>
        <v/>
      </c>
      <c r="BI374" s="2" t="e">
        <f t="shared" si="354"/>
        <v>#VALUE!</v>
      </c>
      <c r="BJ374" s="67" t="e">
        <f t="shared" si="355"/>
        <v>#VALUE!</v>
      </c>
      <c r="BK374" s="2" t="s">
        <v>12</v>
      </c>
      <c r="BM374" s="77" t="e">
        <f t="shared" si="384"/>
        <v>#VALUE!</v>
      </c>
      <c r="BN374" s="77" t="e">
        <f t="shared" si="385"/>
        <v>#VALUE!</v>
      </c>
      <c r="BO374" s="2" t="str">
        <f t="shared" si="356"/>
        <v/>
      </c>
      <c r="BP374" s="2" t="e">
        <f t="shared" si="357"/>
        <v>#VALUE!</v>
      </c>
      <c r="BQ374" s="67" t="e">
        <f t="shared" si="386"/>
        <v>#VALUE!</v>
      </c>
      <c r="BS374" s="75" t="str">
        <f t="shared" si="387"/>
        <v>UF</v>
      </c>
      <c r="BT374" s="75" t="str">
        <f t="shared" si="388"/>
        <v>UF</v>
      </c>
      <c r="BU374" s="5" t="str">
        <f t="shared" si="398"/>
        <v>UF</v>
      </c>
      <c r="BV374" s="5" t="str">
        <f t="shared" si="358"/>
        <v>UF</v>
      </c>
      <c r="BW374" s="69" t="str">
        <f t="shared" si="359"/>
        <v/>
      </c>
      <c r="BX374" s="2" t="s">
        <v>12</v>
      </c>
      <c r="BZ374" s="74" t="str">
        <f t="shared" si="389"/>
        <v>UF</v>
      </c>
      <c r="CA374" s="74" t="str">
        <f t="shared" si="390"/>
        <v>UF</v>
      </c>
      <c r="CB374" s="5" t="str">
        <f t="shared" si="360"/>
        <v>UF</v>
      </c>
      <c r="CC374" s="5" t="str">
        <f t="shared" si="361"/>
        <v>UF</v>
      </c>
      <c r="CD374" s="2" t="e">
        <f t="shared" si="362"/>
        <v>#VALUE!</v>
      </c>
      <c r="CE374" s="69" t="str">
        <f t="shared" si="363"/>
        <v/>
      </c>
      <c r="CF374" s="5" t="s">
        <v>12</v>
      </c>
      <c r="CH374" s="72" t="str">
        <f t="shared" si="391"/>
        <v>UF</v>
      </c>
      <c r="CI374" s="72" t="str">
        <f t="shared" si="392"/>
        <v>UF</v>
      </c>
      <c r="CJ374" s="5" t="str">
        <f t="shared" si="364"/>
        <v>UF</v>
      </c>
      <c r="CK374" s="5" t="str">
        <f t="shared" si="365"/>
        <v>UF</v>
      </c>
      <c r="CL374" s="69" t="str">
        <f t="shared" si="366"/>
        <v/>
      </c>
      <c r="CN374" s="70" t="str">
        <f t="shared" si="367"/>
        <v/>
      </c>
      <c r="CO374" s="5" t="str">
        <f t="shared" si="368"/>
        <v>UF</v>
      </c>
      <c r="CP374" s="5" t="str">
        <f>IF(G374&lt;48,"UF", IF(NOT(ISBLANK(CM:CM)), CM:CM, IF(BW:BW=1, BV:BV+Sheet2!B339, IF(Sheet1!BW:BW=2, Sheet1!BV:BV+Sheet2!B340, IF(Sheet1!BW:BW=7, Sheet1!BV:BV+Sheet2!B341,"")))))</f>
        <v>UF</v>
      </c>
      <c r="CQ374" s="69" t="str">
        <f t="shared" si="393"/>
        <v/>
      </c>
      <c r="CR374" s="5" t="s">
        <v>12</v>
      </c>
      <c r="CT374" s="5" t="str">
        <f t="shared" si="369"/>
        <v/>
      </c>
      <c r="CU374" s="80" t="str">
        <f t="shared" si="370"/>
        <v>UF</v>
      </c>
      <c r="CV374" s="80" t="str">
        <f t="shared" si="371"/>
        <v>UF</v>
      </c>
      <c r="CW374" s="20" t="str">
        <f>IF(G374&lt;48,"UF", IF(NOT(ISBLANK(CS374)), CS374, IF(CE374=5, CC374+Sheet2!B328, IF(CE374=6, CC374+Sheet2!B329, IF(CE374=7, CC374+Sheet2!B330,"")))))</f>
        <v>UF</v>
      </c>
      <c r="CX374" s="68" t="str">
        <f t="shared" si="394"/>
        <v/>
      </c>
      <c r="CY374" s="5" t="s">
        <v>12</v>
      </c>
      <c r="DA374" s="5" t="str">
        <f t="shared" si="372"/>
        <v>UF</v>
      </c>
      <c r="DB374" s="73" t="str">
        <f t="shared" si="373"/>
        <v>UF</v>
      </c>
      <c r="DC374" s="73" t="str">
        <f t="shared" si="374"/>
        <v>UF</v>
      </c>
      <c r="DD374" s="5" t="str">
        <f>IF(G374&lt;48,"UF", IF(NOT(ISBLANK(CZ:CZ)), CZ:CZ, IF(CL:CL=3, CK:CK+Sheet2!B333, IF(CL:CL=4, CK:CK+Sheet2!B334, IF(CL:CL=7, CK:CK+Sheet2!B335,"")))))</f>
        <v>UF</v>
      </c>
      <c r="DE374" s="69" t="str">
        <f t="shared" si="397"/>
        <v/>
      </c>
      <c r="DF374" s="2">
        <v>2</v>
      </c>
      <c r="DG374" s="2">
        <v>30</v>
      </c>
      <c r="DH374" s="2">
        <v>1</v>
      </c>
      <c r="DI374" s="2">
        <v>1</v>
      </c>
      <c r="DJ374" s="2">
        <v>2</v>
      </c>
      <c r="DK374" s="2">
        <v>90</v>
      </c>
      <c r="DL374" s="2">
        <v>60</v>
      </c>
      <c r="DM374" s="2" t="s">
        <v>12</v>
      </c>
      <c r="DN374" s="2" t="s">
        <v>12</v>
      </c>
      <c r="DO374" s="2" t="s">
        <v>12</v>
      </c>
      <c r="DP374" s="2" t="s">
        <v>12</v>
      </c>
      <c r="DQ374" s="2">
        <v>2</v>
      </c>
      <c r="DR374" s="2">
        <v>38</v>
      </c>
      <c r="DS374" s="2">
        <v>2</v>
      </c>
      <c r="DT374" s="2">
        <v>90</v>
      </c>
      <c r="DU374" s="2" t="s">
        <v>12</v>
      </c>
      <c r="DV374" s="2">
        <v>2</v>
      </c>
      <c r="DW374" s="2">
        <v>3</v>
      </c>
      <c r="DX374" s="2">
        <v>2</v>
      </c>
      <c r="DY374" s="2">
        <v>3</v>
      </c>
      <c r="DZ374" s="2">
        <v>35</v>
      </c>
      <c r="EA374" s="2" t="s">
        <v>12</v>
      </c>
      <c r="EB374" s="2" t="s">
        <v>12</v>
      </c>
      <c r="EC374" s="2" t="s">
        <v>12</v>
      </c>
      <c r="ED374" s="2" t="s">
        <v>12</v>
      </c>
    </row>
    <row r="375" spans="3:134" x14ac:dyDescent="0.25">
      <c r="C375" s="8" t="s">
        <v>166</v>
      </c>
      <c r="D375" s="4">
        <v>2501055756</v>
      </c>
      <c r="E375" s="5">
        <v>7</v>
      </c>
      <c r="F375" s="2">
        <v>1</v>
      </c>
      <c r="G375" s="2">
        <v>24</v>
      </c>
      <c r="H375" s="2">
        <v>-1.400220112593147</v>
      </c>
      <c r="I375" s="2">
        <v>48</v>
      </c>
      <c r="J375" s="2">
        <v>-0.61614996855203885</v>
      </c>
      <c r="K375" s="1">
        <v>2700</v>
      </c>
      <c r="L375" s="2">
        <v>-1.2270493270806959</v>
      </c>
      <c r="M375" s="2">
        <v>-0.14660000000000001</v>
      </c>
      <c r="N375" s="2">
        <f t="shared" si="334"/>
        <v>0.55581005629657354</v>
      </c>
      <c r="O375" s="2">
        <f t="shared" si="335"/>
        <v>-0.14660000000000001</v>
      </c>
      <c r="P375" s="2">
        <v>65</v>
      </c>
      <c r="Q375" s="2">
        <v>-0.33</v>
      </c>
      <c r="R375" s="5">
        <f t="shared" si="336"/>
        <v>0.44307498427601943</v>
      </c>
      <c r="S375" s="5">
        <f t="shared" si="337"/>
        <v>-0.33</v>
      </c>
      <c r="T375" s="1">
        <v>7050</v>
      </c>
      <c r="U375" s="2">
        <v>-0.28999999999999998</v>
      </c>
      <c r="V375" s="2">
        <f t="shared" si="338"/>
        <v>0.59352466354034794</v>
      </c>
      <c r="W375" s="2">
        <f t="shared" si="339"/>
        <v>-0.28999999999999998</v>
      </c>
      <c r="X375" s="2">
        <v>-0.28860000000000002</v>
      </c>
      <c r="Y375" s="76">
        <f t="shared" si="375"/>
        <v>1.1116201125931471</v>
      </c>
      <c r="Z375" s="76">
        <f t="shared" si="376"/>
        <v>2</v>
      </c>
      <c r="AA375" s="2">
        <f t="shared" si="340"/>
        <v>-0.28910000000000002</v>
      </c>
      <c r="AB375" s="2">
        <f t="shared" si="341"/>
        <v>-0.28860000000000002</v>
      </c>
      <c r="AC375" s="2">
        <v>74.7</v>
      </c>
      <c r="AD375" s="2">
        <v>0.27</v>
      </c>
      <c r="AE375" s="79">
        <f t="shared" si="377"/>
        <v>0.88614996855203887</v>
      </c>
      <c r="AF375" s="79">
        <f t="shared" si="378"/>
        <v>2</v>
      </c>
      <c r="AG375" s="2">
        <f t="shared" si="395"/>
        <v>0.38500000000000001</v>
      </c>
      <c r="AH375" s="2">
        <f t="shared" si="342"/>
        <v>0.27</v>
      </c>
      <c r="AI375" s="2">
        <v>8900</v>
      </c>
      <c r="AJ375" s="2">
        <v>-0.04</v>
      </c>
      <c r="AK375" s="76">
        <f t="shared" si="379"/>
        <v>1.1870493270806959</v>
      </c>
      <c r="AL375" s="76">
        <f t="shared" si="380"/>
        <v>2</v>
      </c>
      <c r="AM375" s="2">
        <f t="shared" si="343"/>
        <v>-3.5000000000000003E-2</v>
      </c>
      <c r="AN375" s="2">
        <f t="shared" si="344"/>
        <v>-0.04</v>
      </c>
      <c r="AO375" s="2">
        <v>-0.90820000000000001</v>
      </c>
      <c r="AP375" s="2" t="str">
        <f t="shared" si="345"/>
        <v/>
      </c>
      <c r="AQ375" s="2">
        <f t="shared" si="346"/>
        <v>-0.90820000000000001</v>
      </c>
      <c r="AR375" s="2">
        <v>82</v>
      </c>
      <c r="AS375" s="2">
        <v>0.44</v>
      </c>
      <c r="AT375" s="2" t="str">
        <f t="shared" si="347"/>
        <v/>
      </c>
      <c r="AU375" s="2">
        <f t="shared" si="348"/>
        <v>0.44</v>
      </c>
      <c r="AV375" s="2">
        <v>9790</v>
      </c>
      <c r="AW375" s="2">
        <v>-0.36</v>
      </c>
      <c r="AX375" s="2" t="str">
        <f t="shared" si="349"/>
        <v/>
      </c>
      <c r="AY375" s="2">
        <f t="shared" si="350"/>
        <v>-0.36</v>
      </c>
      <c r="BA375" s="78" t="e">
        <f t="shared" si="381"/>
        <v>#VALUE!</v>
      </c>
      <c r="BB375" s="78" t="e">
        <f t="shared" si="382"/>
        <v>#VALUE!</v>
      </c>
      <c r="BC375" s="2" t="str">
        <f t="shared" si="351"/>
        <v/>
      </c>
      <c r="BD375" s="2" t="e">
        <f t="shared" si="352"/>
        <v>#VALUE!</v>
      </c>
      <c r="BE375" s="67" t="e">
        <f t="shared" si="383"/>
        <v>#VALUE!</v>
      </c>
      <c r="BF375" s="2" t="s">
        <v>12</v>
      </c>
      <c r="BH375" s="2" t="str">
        <f t="shared" si="353"/>
        <v/>
      </c>
      <c r="BI375" s="2" t="e">
        <f t="shared" si="354"/>
        <v>#VALUE!</v>
      </c>
      <c r="BJ375" s="67" t="e">
        <f t="shared" si="355"/>
        <v>#VALUE!</v>
      </c>
      <c r="BK375" s="2" t="s">
        <v>12</v>
      </c>
      <c r="BM375" s="77" t="e">
        <f t="shared" si="384"/>
        <v>#VALUE!</v>
      </c>
      <c r="BN375" s="77" t="e">
        <f t="shared" si="385"/>
        <v>#VALUE!</v>
      </c>
      <c r="BO375" s="2" t="str">
        <f t="shared" si="356"/>
        <v/>
      </c>
      <c r="BP375" s="2" t="e">
        <f t="shared" si="357"/>
        <v>#VALUE!</v>
      </c>
      <c r="BQ375" s="67" t="e">
        <f t="shared" si="386"/>
        <v>#VALUE!</v>
      </c>
      <c r="BS375" s="75" t="str">
        <f t="shared" si="387"/>
        <v>UF</v>
      </c>
      <c r="BT375" s="75" t="str">
        <f t="shared" si="388"/>
        <v>UF</v>
      </c>
      <c r="BU375" s="5" t="str">
        <f t="shared" si="398"/>
        <v>UF</v>
      </c>
      <c r="BV375" s="5" t="str">
        <f t="shared" si="358"/>
        <v>UF</v>
      </c>
      <c r="BW375" s="69" t="str">
        <f t="shared" si="359"/>
        <v/>
      </c>
      <c r="BX375" s="2" t="s">
        <v>12</v>
      </c>
      <c r="BZ375" s="74" t="str">
        <f t="shared" si="389"/>
        <v>UF</v>
      </c>
      <c r="CA375" s="74" t="str">
        <f t="shared" si="390"/>
        <v>UF</v>
      </c>
      <c r="CB375" s="5" t="str">
        <f t="shared" si="360"/>
        <v>UF</v>
      </c>
      <c r="CC375" s="5" t="str">
        <f t="shared" si="361"/>
        <v>UF</v>
      </c>
      <c r="CD375" s="2" t="e">
        <f t="shared" si="362"/>
        <v>#VALUE!</v>
      </c>
      <c r="CE375" s="69" t="str">
        <f t="shared" si="363"/>
        <v/>
      </c>
      <c r="CF375" s="5" t="s">
        <v>12</v>
      </c>
      <c r="CH375" s="72" t="str">
        <f t="shared" si="391"/>
        <v>UF</v>
      </c>
      <c r="CI375" s="72" t="str">
        <f t="shared" si="392"/>
        <v>UF</v>
      </c>
      <c r="CJ375" s="5" t="str">
        <f t="shared" si="364"/>
        <v>UF</v>
      </c>
      <c r="CK375" s="5" t="str">
        <f t="shared" si="365"/>
        <v>UF</v>
      </c>
      <c r="CL375" s="69" t="str">
        <f t="shared" si="366"/>
        <v/>
      </c>
      <c r="CN375" s="70" t="str">
        <f t="shared" si="367"/>
        <v/>
      </c>
      <c r="CO375" s="5" t="str">
        <f t="shared" si="368"/>
        <v>UF</v>
      </c>
      <c r="CP375" s="5" t="str">
        <f>IF(G375&lt;48,"UF", IF(NOT(ISBLANK(CM:CM)), CM:CM, IF(BW:BW=1, BV:BV+Sheet2!B332, IF(Sheet1!BW:BW=2, Sheet1!BV:BV+Sheet2!B333, IF(Sheet1!BW:BW=7, Sheet1!BV:BV+Sheet2!B334,"")))))</f>
        <v>UF</v>
      </c>
      <c r="CQ375" s="69" t="str">
        <f t="shared" si="393"/>
        <v/>
      </c>
      <c r="CR375" s="5" t="s">
        <v>12</v>
      </c>
      <c r="CT375" s="5" t="str">
        <f t="shared" si="369"/>
        <v/>
      </c>
      <c r="CU375" s="80" t="str">
        <f t="shared" si="370"/>
        <v>UF</v>
      </c>
      <c r="CV375" s="80" t="str">
        <f t="shared" si="371"/>
        <v>UF</v>
      </c>
      <c r="CW375" s="20" t="str">
        <f>IF(G375&lt;48,"UF", IF(NOT(ISBLANK(CS375)), CS375, IF(CE375=5, CC375+Sheet2!B321, IF(CE375=6, CC375+Sheet2!B322, IF(CE375=7, CC375+Sheet2!B323,"")))))</f>
        <v>UF</v>
      </c>
      <c r="CX375" s="68" t="str">
        <f t="shared" si="394"/>
        <v/>
      </c>
      <c r="CY375" s="5" t="s">
        <v>12</v>
      </c>
      <c r="DA375" s="5" t="str">
        <f t="shared" si="372"/>
        <v>UF</v>
      </c>
      <c r="DB375" s="73" t="str">
        <f t="shared" si="373"/>
        <v>UF</v>
      </c>
      <c r="DC375" s="73" t="str">
        <f t="shared" si="374"/>
        <v>UF</v>
      </c>
      <c r="DD375" s="5" t="str">
        <f>IF(G375&lt;48,"UF", IF(NOT(ISBLANK(CZ:CZ)), CZ:CZ, IF(CL:CL=3, CK:CK+Sheet2!B326, IF(CL:CL=4, CK:CK+Sheet2!B327, IF(CL:CL=7, CK:CK+Sheet2!B328,"")))))</f>
        <v>UF</v>
      </c>
      <c r="DE375" s="69" t="str">
        <f t="shared" si="397"/>
        <v/>
      </c>
      <c r="DF375" s="2">
        <v>1</v>
      </c>
      <c r="DG375" s="2">
        <v>40</v>
      </c>
      <c r="DH375" s="2">
        <v>1</v>
      </c>
      <c r="DI375" s="2">
        <v>2</v>
      </c>
      <c r="DJ375" s="2">
        <v>2</v>
      </c>
      <c r="DK375" s="2">
        <v>105</v>
      </c>
      <c r="DL375" s="2">
        <v>60</v>
      </c>
      <c r="DM375" s="2">
        <v>107</v>
      </c>
      <c r="DN375" s="2">
        <v>60</v>
      </c>
      <c r="DO375" s="2">
        <v>120</v>
      </c>
      <c r="DP375" s="2">
        <v>80</v>
      </c>
      <c r="DQ375" s="2">
        <v>1</v>
      </c>
      <c r="DR375" s="2">
        <v>37</v>
      </c>
      <c r="DS375" s="2">
        <v>2</v>
      </c>
      <c r="DT375" s="2">
        <v>87</v>
      </c>
      <c r="DU375" s="2">
        <v>85</v>
      </c>
      <c r="DV375" s="2">
        <v>2</v>
      </c>
      <c r="DW375" s="2">
        <v>2</v>
      </c>
      <c r="DX375" s="2">
        <v>2</v>
      </c>
      <c r="DY375" s="2">
        <v>1</v>
      </c>
      <c r="DZ375" s="2">
        <v>31.2</v>
      </c>
      <c r="EA375" s="2">
        <v>33</v>
      </c>
      <c r="EB375" s="2">
        <v>43.2</v>
      </c>
      <c r="EC375" s="2">
        <v>1</v>
      </c>
      <c r="ED375" s="2">
        <v>1</v>
      </c>
    </row>
    <row r="376" spans="3:134" x14ac:dyDescent="0.25">
      <c r="C376" s="8" t="s">
        <v>172</v>
      </c>
      <c r="D376" s="8">
        <v>2501055901</v>
      </c>
      <c r="E376" s="5">
        <v>7</v>
      </c>
      <c r="F376" s="2">
        <v>2</v>
      </c>
      <c r="G376" s="2">
        <v>26</v>
      </c>
      <c r="H376" s="2">
        <v>0.16404358669322289</v>
      </c>
      <c r="I376" s="2">
        <v>49</v>
      </c>
      <c r="J376" s="2">
        <v>-0.46706379753639199</v>
      </c>
      <c r="K376" s="2">
        <v>3270</v>
      </c>
      <c r="L376" s="2">
        <v>-0.15752922143323009</v>
      </c>
      <c r="M376" s="2">
        <v>0.77329999999999999</v>
      </c>
      <c r="N376" s="2">
        <f t="shared" si="334"/>
        <v>0.24387820665338858</v>
      </c>
      <c r="O376" s="2">
        <f t="shared" si="335"/>
        <v>0.77329999999999999</v>
      </c>
      <c r="P376" s="2">
        <v>67</v>
      </c>
      <c r="Q376" s="2">
        <v>-0.3</v>
      </c>
      <c r="R376" s="5">
        <f t="shared" si="336"/>
        <v>0.49853189876819604</v>
      </c>
      <c r="S376" s="5">
        <f t="shared" si="337"/>
        <v>-0.3</v>
      </c>
      <c r="T376" s="2">
        <v>8300</v>
      </c>
      <c r="U376" s="2">
        <v>0.41</v>
      </c>
      <c r="V376" s="2">
        <f t="shared" si="338"/>
        <v>0.46876461071661507</v>
      </c>
      <c r="W376" s="2">
        <f t="shared" si="339"/>
        <v>0.41</v>
      </c>
      <c r="X376" s="2">
        <v>0.65180000000000005</v>
      </c>
      <c r="Y376" s="76">
        <f t="shared" si="375"/>
        <v>0.48775641330677716</v>
      </c>
      <c r="Z376" s="76">
        <f t="shared" si="376"/>
        <v>1</v>
      </c>
      <c r="AA376" s="2">
        <f t="shared" si="340"/>
        <v>0.45884999999999998</v>
      </c>
      <c r="AB376" s="2">
        <f t="shared" si="341"/>
        <v>0.65180000000000005</v>
      </c>
      <c r="AC376" s="2">
        <v>77</v>
      </c>
      <c r="AD376" s="2">
        <v>0.53</v>
      </c>
      <c r="AE376" s="79">
        <f t="shared" si="377"/>
        <v>0.99706379753639207</v>
      </c>
      <c r="AF376" s="79">
        <f t="shared" si="378"/>
        <v>2</v>
      </c>
      <c r="AG376" s="2">
        <f t="shared" si="395"/>
        <v>9.9999999999999992E-2</v>
      </c>
      <c r="AH376" s="2">
        <f t="shared" si="342"/>
        <v>0.53</v>
      </c>
      <c r="AI376" s="2">
        <v>10500</v>
      </c>
      <c r="AJ376" s="2">
        <v>0.78</v>
      </c>
      <c r="AK376" s="76">
        <f t="shared" si="379"/>
        <v>0.93752922143323014</v>
      </c>
      <c r="AL376" s="76">
        <f t="shared" si="380"/>
        <v>2</v>
      </c>
      <c r="AM376" s="2">
        <f t="shared" si="343"/>
        <v>-1.999999999999999E-2</v>
      </c>
      <c r="AN376" s="2">
        <f t="shared" si="344"/>
        <v>0.78</v>
      </c>
      <c r="AO376" s="2">
        <v>0.61770000000000003</v>
      </c>
      <c r="AP376" s="2">
        <f t="shared" si="345"/>
        <v>-0.69190644439936699</v>
      </c>
      <c r="AQ376" s="2">
        <f t="shared" si="346"/>
        <v>0.61770000000000003</v>
      </c>
      <c r="AR376" s="2">
        <v>82</v>
      </c>
      <c r="AS376" s="2">
        <v>-0.1</v>
      </c>
      <c r="AT376" s="2">
        <f t="shared" si="347"/>
        <v>3.9742523933635032E-2</v>
      </c>
      <c r="AU376" s="2">
        <f t="shared" si="348"/>
        <v>-0.1</v>
      </c>
      <c r="AV376" s="2">
        <v>11400</v>
      </c>
      <c r="AW376" s="2">
        <v>0.37</v>
      </c>
      <c r="AX376" s="2">
        <f t="shared" si="349"/>
        <v>-0.51597043034205514</v>
      </c>
      <c r="AY376" s="2">
        <f t="shared" si="350"/>
        <v>0.37</v>
      </c>
      <c r="AZ376" s="2">
        <v>-0.73201288879873405</v>
      </c>
      <c r="BA376" s="78">
        <f t="shared" si="381"/>
        <v>-1.383812888798734</v>
      </c>
      <c r="BB376" s="78">
        <f t="shared" si="382"/>
        <v>-2</v>
      </c>
      <c r="BC376" s="2" t="str">
        <f t="shared" si="351"/>
        <v/>
      </c>
      <c r="BD376" s="2">
        <f t="shared" si="352"/>
        <v>-0.73201288879873405</v>
      </c>
      <c r="BE376" s="67">
        <f t="shared" si="383"/>
        <v>7</v>
      </c>
      <c r="BF376" s="2">
        <v>89</v>
      </c>
      <c r="BG376" s="2">
        <v>0.60948504786727009</v>
      </c>
      <c r="BH376" s="2" t="str">
        <f t="shared" si="353"/>
        <v/>
      </c>
      <c r="BI376" s="2">
        <f t="shared" si="354"/>
        <v>0.60948504786727009</v>
      </c>
      <c r="BJ376" s="67">
        <f t="shared" si="355"/>
        <v>7</v>
      </c>
      <c r="BK376" s="2">
        <v>12400</v>
      </c>
      <c r="BL376" s="2">
        <v>-0.25194086068411031</v>
      </c>
      <c r="BM376" s="77">
        <f t="shared" si="384"/>
        <v>-1.0319408606841103</v>
      </c>
      <c r="BN376" s="77">
        <f t="shared" si="385"/>
        <v>-2</v>
      </c>
      <c r="BO376" s="2" t="str">
        <f t="shared" si="356"/>
        <v/>
      </c>
      <c r="BP376" s="2">
        <f t="shared" si="357"/>
        <v>-0.25194086068411031</v>
      </c>
      <c r="BQ376" s="67">
        <f t="shared" si="386"/>
        <v>7</v>
      </c>
      <c r="BS376" s="75" t="str">
        <f t="shared" si="387"/>
        <v>UF</v>
      </c>
      <c r="BT376" s="75" t="str">
        <f t="shared" si="388"/>
        <v>UF</v>
      </c>
      <c r="BU376" s="5" t="str">
        <f t="shared" si="398"/>
        <v>UF</v>
      </c>
      <c r="BV376" s="5" t="str">
        <f t="shared" si="358"/>
        <v>UF</v>
      </c>
      <c r="BW376" s="69" t="str">
        <f t="shared" si="359"/>
        <v/>
      </c>
      <c r="BX376" s="2" t="s">
        <v>12</v>
      </c>
      <c r="BZ376" s="74" t="str">
        <f t="shared" si="389"/>
        <v>UF</v>
      </c>
      <c r="CA376" s="74" t="str">
        <f t="shared" si="390"/>
        <v>UF</v>
      </c>
      <c r="CB376" s="5" t="str">
        <f t="shared" si="360"/>
        <v>UF</v>
      </c>
      <c r="CC376" s="5" t="str">
        <f t="shared" si="361"/>
        <v>UF</v>
      </c>
      <c r="CD376" s="2" t="e">
        <f t="shared" si="362"/>
        <v>#VALUE!</v>
      </c>
      <c r="CE376" s="69" t="str">
        <f t="shared" si="363"/>
        <v/>
      </c>
      <c r="CF376" s="5" t="s">
        <v>12</v>
      </c>
      <c r="CH376" s="72" t="str">
        <f t="shared" si="391"/>
        <v>UF</v>
      </c>
      <c r="CI376" s="72" t="str">
        <f t="shared" si="392"/>
        <v>UF</v>
      </c>
      <c r="CJ376" s="5" t="str">
        <f t="shared" si="364"/>
        <v>UF</v>
      </c>
      <c r="CK376" s="5" t="str">
        <f t="shared" si="365"/>
        <v>UF</v>
      </c>
      <c r="CL376" s="69" t="str">
        <f t="shared" si="366"/>
        <v/>
      </c>
      <c r="CN376" s="70" t="str">
        <f t="shared" si="367"/>
        <v/>
      </c>
      <c r="CO376" s="5" t="str">
        <f t="shared" si="368"/>
        <v>UF</v>
      </c>
      <c r="CP376" s="5" t="str">
        <f>IF(G376&lt;48,"UF", IF(NOT(ISBLANK(CM:CM)), CM:CM, IF(BW:BW=1, BV:BV+Sheet2!B498, IF(Sheet1!BW:BW=2, Sheet1!BV:BV+Sheet2!B499, IF(Sheet1!BW:BW=7, Sheet1!BV:BV+Sheet2!B500,"")))))</f>
        <v>UF</v>
      </c>
      <c r="CQ376" s="69" t="str">
        <f t="shared" si="393"/>
        <v/>
      </c>
      <c r="CR376" s="5" t="s">
        <v>12</v>
      </c>
      <c r="CT376" s="5" t="str">
        <f t="shared" si="369"/>
        <v/>
      </c>
      <c r="CU376" s="80" t="str">
        <f t="shared" si="370"/>
        <v>UF</v>
      </c>
      <c r="CV376" s="80" t="str">
        <f t="shared" si="371"/>
        <v>UF</v>
      </c>
      <c r="CW376" s="20" t="str">
        <f>IF(G376&lt;48,"UF", IF(NOT(ISBLANK(CS376)), CS376, IF(CE376=5, CC376+Sheet2!B487, IF(CE376=6, CC376+Sheet2!B488, IF(CE376=7, CC376+Sheet2!B489,"")))))</f>
        <v>UF</v>
      </c>
      <c r="CX376" s="68" t="str">
        <f t="shared" si="394"/>
        <v/>
      </c>
      <c r="CY376" s="5" t="s">
        <v>12</v>
      </c>
      <c r="DA376" s="5" t="str">
        <f t="shared" si="372"/>
        <v>UF</v>
      </c>
      <c r="DB376" s="73" t="str">
        <f t="shared" si="373"/>
        <v>UF</v>
      </c>
      <c r="DC376" s="73" t="str">
        <f t="shared" si="374"/>
        <v>UF</v>
      </c>
      <c r="DD376" s="5" t="str">
        <f>IF(G376&lt;48,"UF", IF(NOT(ISBLANK(CZ:CZ)), CZ:CZ, IF(CL:CL=3, CK:CK+Sheet2!B492, IF(CL:CL=4, CK:CK+Sheet2!B493, IF(CL:CL=7, CK:CK+Sheet2!B494,"")))))</f>
        <v>UF</v>
      </c>
      <c r="DE376" s="69" t="str">
        <f t="shared" si="397"/>
        <v/>
      </c>
      <c r="DF376" s="2">
        <v>1</v>
      </c>
      <c r="DG376" s="2">
        <v>28</v>
      </c>
      <c r="DH376" s="2">
        <v>1</v>
      </c>
      <c r="DI376" s="2">
        <v>2</v>
      </c>
      <c r="DJ376" s="2">
        <v>2</v>
      </c>
      <c r="DK376" s="2">
        <v>112</v>
      </c>
      <c r="DL376" s="2">
        <v>57</v>
      </c>
      <c r="DM376" s="2" t="s">
        <v>12</v>
      </c>
      <c r="DN376" s="2" t="s">
        <v>12</v>
      </c>
      <c r="DO376" s="2">
        <v>110</v>
      </c>
      <c r="DP376" s="2">
        <v>70</v>
      </c>
      <c r="DQ376" s="2">
        <v>2</v>
      </c>
      <c r="DR376" s="2">
        <v>37</v>
      </c>
      <c r="DS376" s="2">
        <v>2</v>
      </c>
      <c r="DT376" s="2">
        <v>72</v>
      </c>
      <c r="DU376" s="2">
        <v>70</v>
      </c>
      <c r="DV376" s="2">
        <v>2</v>
      </c>
      <c r="DW376" s="2">
        <v>2</v>
      </c>
      <c r="DX376" s="2">
        <v>2</v>
      </c>
      <c r="DY376" s="2">
        <v>2</v>
      </c>
      <c r="DZ376" s="2">
        <v>36</v>
      </c>
      <c r="EA376" s="2">
        <v>36.5</v>
      </c>
      <c r="EB376" s="2">
        <v>47.5</v>
      </c>
      <c r="EC376" s="2">
        <v>1</v>
      </c>
      <c r="ED376" s="2">
        <v>1</v>
      </c>
    </row>
    <row r="377" spans="3:134" x14ac:dyDescent="0.25">
      <c r="C377" s="8" t="s">
        <v>167</v>
      </c>
      <c r="D377" s="8">
        <v>2501055934</v>
      </c>
      <c r="E377" s="5">
        <v>7</v>
      </c>
      <c r="F377" s="2">
        <v>2</v>
      </c>
      <c r="G377" s="2">
        <v>25</v>
      </c>
      <c r="H377" s="2">
        <v>-4.7443195305394257</v>
      </c>
      <c r="I377" s="2">
        <v>48</v>
      </c>
      <c r="J377" s="2">
        <v>-0.99529637274036198</v>
      </c>
      <c r="K377" s="2">
        <v>1965</v>
      </c>
      <c r="L377" s="2">
        <v>-3.3042386828168189</v>
      </c>
      <c r="M377" s="2">
        <v>-0.74529999999999996</v>
      </c>
      <c r="N377" s="2">
        <f t="shared" si="334"/>
        <v>2.2348597652697126</v>
      </c>
      <c r="O377" s="2">
        <f t="shared" si="335"/>
        <v>-0.74529999999999996</v>
      </c>
      <c r="P377" s="2">
        <v>65.5</v>
      </c>
      <c r="Q377" s="2">
        <v>-1</v>
      </c>
      <c r="R377" s="5">
        <f t="shared" si="336"/>
        <v>0.132648186370181</v>
      </c>
      <c r="S377" s="5">
        <f t="shared" si="337"/>
        <v>-1</v>
      </c>
      <c r="T377" s="2">
        <v>7000</v>
      </c>
      <c r="U377" s="2">
        <v>-1.1399999999999999</v>
      </c>
      <c r="V377" s="2">
        <f t="shared" si="338"/>
        <v>1.3371193414084095</v>
      </c>
      <c r="W377" s="2">
        <f t="shared" si="339"/>
        <v>-1.1399999999999999</v>
      </c>
      <c r="X377" s="2">
        <v>-0.27460000000000001</v>
      </c>
      <c r="Y377" s="76">
        <f t="shared" si="375"/>
        <v>4.4697195305394253</v>
      </c>
      <c r="Z377" s="76">
        <f t="shared" si="376"/>
        <v>2</v>
      </c>
      <c r="AA377" s="2">
        <f t="shared" si="340"/>
        <v>0.45419999999999999</v>
      </c>
      <c r="AB377" s="2">
        <f t="shared" si="341"/>
        <v>-0.27460000000000001</v>
      </c>
      <c r="AC377" s="2">
        <v>74</v>
      </c>
      <c r="AD377" s="2">
        <v>-0.73</v>
      </c>
      <c r="AE377" s="79">
        <f t="shared" si="377"/>
        <v>0.265296372740362</v>
      </c>
      <c r="AF377" s="79">
        <f t="shared" si="378"/>
        <v>1</v>
      </c>
      <c r="AG377" s="2">
        <f t="shared" si="395"/>
        <v>-0.10499999999999998</v>
      </c>
      <c r="AH377" s="2">
        <f t="shared" si="342"/>
        <v>-0.73</v>
      </c>
      <c r="AI377" s="2">
        <v>9000</v>
      </c>
      <c r="AJ377" s="2">
        <v>-0.63</v>
      </c>
      <c r="AK377" s="76">
        <f t="shared" si="379"/>
        <v>2.674238682816819</v>
      </c>
      <c r="AL377" s="76">
        <f t="shared" si="380"/>
        <v>2</v>
      </c>
      <c r="AM377" s="2">
        <f t="shared" si="343"/>
        <v>0.16499999999999992</v>
      </c>
      <c r="AN377" s="2">
        <f t="shared" si="344"/>
        <v>-0.63</v>
      </c>
      <c r="AO377" s="2">
        <v>-9.1600000000000001E-2</v>
      </c>
      <c r="AP377" s="2" t="str">
        <f t="shared" si="345"/>
        <v/>
      </c>
      <c r="AQ377" s="2">
        <f t="shared" si="346"/>
        <v>-9.1600000000000001E-2</v>
      </c>
      <c r="AR377" s="2">
        <v>79</v>
      </c>
      <c r="AS377" s="2">
        <v>-1.21</v>
      </c>
      <c r="AT377" s="2" t="str">
        <f t="shared" si="347"/>
        <v/>
      </c>
      <c r="AU377" s="2">
        <f t="shared" si="348"/>
        <v>-1.21</v>
      </c>
      <c r="AV377" s="2">
        <v>10000</v>
      </c>
      <c r="AW377" s="2">
        <v>-0.81</v>
      </c>
      <c r="AX377" s="2" t="str">
        <f t="shared" si="349"/>
        <v/>
      </c>
      <c r="AY377" s="2">
        <f t="shared" si="350"/>
        <v>-0.81</v>
      </c>
      <c r="BA377" s="78" t="e">
        <f t="shared" si="381"/>
        <v>#VALUE!</v>
      </c>
      <c r="BB377" s="78" t="e">
        <f t="shared" si="382"/>
        <v>#VALUE!</v>
      </c>
      <c r="BC377" s="2" t="str">
        <f t="shared" si="351"/>
        <v/>
      </c>
      <c r="BD377" s="2" t="e">
        <f t="shared" si="352"/>
        <v>#VALUE!</v>
      </c>
      <c r="BE377" s="67" t="e">
        <f t="shared" si="383"/>
        <v>#VALUE!</v>
      </c>
      <c r="BF377" s="2" t="s">
        <v>12</v>
      </c>
      <c r="BH377" s="2" t="str">
        <f t="shared" si="353"/>
        <v/>
      </c>
      <c r="BI377" s="2" t="e">
        <f t="shared" si="354"/>
        <v>#VALUE!</v>
      </c>
      <c r="BJ377" s="67" t="e">
        <f t="shared" si="355"/>
        <v>#VALUE!</v>
      </c>
      <c r="BK377" s="2" t="s">
        <v>12</v>
      </c>
      <c r="BM377" s="77" t="e">
        <f t="shared" si="384"/>
        <v>#VALUE!</v>
      </c>
      <c r="BN377" s="77" t="e">
        <f t="shared" si="385"/>
        <v>#VALUE!</v>
      </c>
      <c r="BO377" s="2" t="str">
        <f t="shared" si="356"/>
        <v/>
      </c>
      <c r="BP377" s="2" t="e">
        <f t="shared" si="357"/>
        <v>#VALUE!</v>
      </c>
      <c r="BQ377" s="67" t="e">
        <f t="shared" si="386"/>
        <v>#VALUE!</v>
      </c>
      <c r="BS377" s="75" t="str">
        <f t="shared" si="387"/>
        <v>UF</v>
      </c>
      <c r="BT377" s="75" t="str">
        <f t="shared" si="388"/>
        <v>UF</v>
      </c>
      <c r="BU377" s="5" t="str">
        <f t="shared" si="398"/>
        <v>UF</v>
      </c>
      <c r="BV377" s="5" t="str">
        <f t="shared" si="358"/>
        <v>UF</v>
      </c>
      <c r="BW377" s="69" t="str">
        <f t="shared" si="359"/>
        <v/>
      </c>
      <c r="BX377" s="2" t="s">
        <v>12</v>
      </c>
      <c r="BZ377" s="74" t="str">
        <f t="shared" si="389"/>
        <v>UF</v>
      </c>
      <c r="CA377" s="74" t="str">
        <f t="shared" si="390"/>
        <v>UF</v>
      </c>
      <c r="CB377" s="5" t="str">
        <f t="shared" si="360"/>
        <v>UF</v>
      </c>
      <c r="CC377" s="5" t="str">
        <f t="shared" si="361"/>
        <v>UF</v>
      </c>
      <c r="CD377" s="2" t="e">
        <f t="shared" si="362"/>
        <v>#VALUE!</v>
      </c>
      <c r="CE377" s="69" t="str">
        <f t="shared" si="363"/>
        <v/>
      </c>
      <c r="CF377" s="5" t="s">
        <v>12</v>
      </c>
      <c r="CH377" s="72" t="str">
        <f t="shared" si="391"/>
        <v>UF</v>
      </c>
      <c r="CI377" s="72" t="str">
        <f t="shared" si="392"/>
        <v>UF</v>
      </c>
      <c r="CJ377" s="5" t="str">
        <f t="shared" si="364"/>
        <v>UF</v>
      </c>
      <c r="CK377" s="5" t="str">
        <f t="shared" si="365"/>
        <v>UF</v>
      </c>
      <c r="CL377" s="69" t="str">
        <f t="shared" si="366"/>
        <v/>
      </c>
      <c r="CN377" s="70" t="str">
        <f t="shared" si="367"/>
        <v/>
      </c>
      <c r="CO377" s="5" t="str">
        <f t="shared" si="368"/>
        <v>UF</v>
      </c>
      <c r="CP377" s="5" t="str">
        <f>IF(G377&lt;48,"UF", IF(NOT(ISBLANK(CM:CM)), CM:CM, IF(BW:BW=1, BV:BV+Sheet2!B452, IF(Sheet1!BW:BW=2, Sheet1!BV:BV+Sheet2!B453, IF(Sheet1!BW:BW=7, Sheet1!BV:BV+Sheet2!B454,"")))))</f>
        <v>UF</v>
      </c>
      <c r="CQ377" s="69" t="str">
        <f t="shared" si="393"/>
        <v/>
      </c>
      <c r="CR377" s="5" t="s">
        <v>12</v>
      </c>
      <c r="CT377" s="5" t="str">
        <f t="shared" si="369"/>
        <v/>
      </c>
      <c r="CU377" s="80" t="str">
        <f t="shared" si="370"/>
        <v>UF</v>
      </c>
      <c r="CV377" s="80" t="str">
        <f t="shared" si="371"/>
        <v>UF</v>
      </c>
      <c r="CW377" s="20" t="str">
        <f>IF(G377&lt;48,"UF", IF(NOT(ISBLANK(CS377)), CS377, IF(CE377=5, CC377+Sheet2!B441, IF(CE377=6, CC377+Sheet2!B442, IF(CE377=7, CC377+Sheet2!B443,"")))))</f>
        <v>UF</v>
      </c>
      <c r="CX377" s="68" t="str">
        <f t="shared" si="394"/>
        <v/>
      </c>
      <c r="CY377" s="5" t="s">
        <v>12</v>
      </c>
      <c r="DA377" s="5" t="str">
        <f t="shared" si="372"/>
        <v>UF</v>
      </c>
      <c r="DB377" s="73" t="str">
        <f t="shared" si="373"/>
        <v>UF</v>
      </c>
      <c r="DC377" s="73" t="str">
        <f t="shared" si="374"/>
        <v>UF</v>
      </c>
      <c r="DD377" s="5" t="str">
        <f>IF(G377&lt;48,"UF", IF(NOT(ISBLANK(CZ:CZ)), CZ:CZ, IF(CL:CL=3, CK:CK+Sheet2!B446, IF(CL:CL=4, CK:CK+Sheet2!B447, IF(CL:CL=7, CK:CK+Sheet2!B448,"")))))</f>
        <v>UF</v>
      </c>
      <c r="DE377" s="69" t="str">
        <f t="shared" si="397"/>
        <v/>
      </c>
      <c r="DF377" s="2">
        <v>1</v>
      </c>
      <c r="DG377" s="2">
        <v>26</v>
      </c>
      <c r="DH377" s="2">
        <v>2</v>
      </c>
      <c r="DI377" s="2">
        <v>2</v>
      </c>
      <c r="DJ377" s="2">
        <v>2</v>
      </c>
      <c r="DK377" s="2">
        <v>125</v>
      </c>
      <c r="DL377" s="2">
        <v>75</v>
      </c>
      <c r="DM377" s="2">
        <v>120</v>
      </c>
      <c r="DN377" s="2">
        <v>80</v>
      </c>
      <c r="DO377" s="2" t="s">
        <v>12</v>
      </c>
      <c r="DP377" s="2" t="s">
        <v>12</v>
      </c>
      <c r="DQ377" s="2">
        <v>2</v>
      </c>
      <c r="DR377" s="2">
        <v>37</v>
      </c>
      <c r="DS377" s="2">
        <v>2</v>
      </c>
      <c r="DT377" s="2">
        <v>84</v>
      </c>
      <c r="DU377" s="2">
        <v>89</v>
      </c>
      <c r="DV377" s="2">
        <v>2</v>
      </c>
      <c r="DW377" s="2">
        <v>2</v>
      </c>
      <c r="DX377" s="2">
        <v>2</v>
      </c>
      <c r="DY377" s="2">
        <v>2</v>
      </c>
      <c r="DZ377" s="2">
        <v>33.5</v>
      </c>
      <c r="EA377" s="2">
        <v>33</v>
      </c>
      <c r="EB377" s="2">
        <v>45</v>
      </c>
      <c r="EC377" s="2">
        <v>4</v>
      </c>
      <c r="ED377" s="2">
        <v>1</v>
      </c>
    </row>
    <row r="378" spans="3:134" x14ac:dyDescent="0.25">
      <c r="C378" s="9" t="s">
        <v>167</v>
      </c>
      <c r="D378" s="4">
        <v>2501056027</v>
      </c>
      <c r="E378" s="5">
        <v>7</v>
      </c>
      <c r="F378" s="2">
        <v>1</v>
      </c>
      <c r="G378" s="2">
        <v>24</v>
      </c>
      <c r="H378" s="2">
        <v>-1.893236974006588</v>
      </c>
      <c r="I378" s="2">
        <v>50</v>
      </c>
      <c r="J378" s="2">
        <v>0.45756143734440202</v>
      </c>
      <c r="K378" s="1">
        <v>2800</v>
      </c>
      <c r="L378" s="2">
        <v>-0.98574519678023331</v>
      </c>
      <c r="M378" s="2">
        <v>-2.92E-2</v>
      </c>
      <c r="N378" s="2">
        <f t="shared" si="334"/>
        <v>1.2626184870032939</v>
      </c>
      <c r="O378" s="2">
        <f t="shared" si="335"/>
        <v>-2.92E-2</v>
      </c>
      <c r="P378" s="2">
        <v>63.5</v>
      </c>
      <c r="Q378" s="2">
        <v>-0.99</v>
      </c>
      <c r="R378" s="5">
        <f t="shared" si="336"/>
        <v>-0.908780718672201</v>
      </c>
      <c r="S378" s="5">
        <f t="shared" si="337"/>
        <v>-0.99</v>
      </c>
      <c r="T378" s="1">
        <v>6800</v>
      </c>
      <c r="U378" s="2">
        <v>-0.57999999999999996</v>
      </c>
      <c r="V378" s="2">
        <f t="shared" si="338"/>
        <v>0.33287259839011663</v>
      </c>
      <c r="W378" s="2">
        <f t="shared" si="339"/>
        <v>-0.57999999999999996</v>
      </c>
      <c r="X378" s="2">
        <v>0.63200000000000001</v>
      </c>
      <c r="Y378" s="76">
        <f t="shared" si="375"/>
        <v>2.5252369740065879</v>
      </c>
      <c r="Z378" s="76">
        <f t="shared" si="376"/>
        <v>2</v>
      </c>
      <c r="AA378" s="2">
        <f t="shared" si="340"/>
        <v>-0.12224999999999997</v>
      </c>
      <c r="AB378" s="2">
        <f t="shared" si="341"/>
        <v>0.63200000000000001</v>
      </c>
      <c r="AC378" s="2">
        <v>70.5</v>
      </c>
      <c r="AD378" s="2">
        <v>-1.36</v>
      </c>
      <c r="AE378" s="79">
        <f t="shared" si="377"/>
        <v>-1.817561437344402</v>
      </c>
      <c r="AF378" s="79">
        <f t="shared" si="378"/>
        <v>-2</v>
      </c>
      <c r="AG378" s="2">
        <f t="shared" si="395"/>
        <v>1.06</v>
      </c>
      <c r="AH378" s="2">
        <f t="shared" si="342"/>
        <v>-1.36</v>
      </c>
      <c r="AI378" s="2">
        <v>8600</v>
      </c>
      <c r="AJ378" s="2">
        <v>-0.32</v>
      </c>
      <c r="AK378" s="76">
        <f t="shared" si="379"/>
        <v>0.66574519678023325</v>
      </c>
      <c r="AL378" s="76">
        <f t="shared" si="380"/>
        <v>1</v>
      </c>
      <c r="AM378" s="2">
        <f t="shared" si="343"/>
        <v>0.19499999999999998</v>
      </c>
      <c r="AN378" s="2">
        <f t="shared" si="344"/>
        <v>-0.32</v>
      </c>
      <c r="AO378" s="2">
        <v>-1.2344999999999999</v>
      </c>
      <c r="AP378" s="2" t="str">
        <f t="shared" si="345"/>
        <v/>
      </c>
      <c r="AQ378" s="2">
        <f t="shared" si="346"/>
        <v>-1.2344999999999999</v>
      </c>
      <c r="AR378" s="2">
        <v>84</v>
      </c>
      <c r="AS378" s="2">
        <v>1.1299999999999999</v>
      </c>
      <c r="AT378" s="2" t="str">
        <f t="shared" si="347"/>
        <v/>
      </c>
      <c r="AU378" s="2">
        <f t="shared" si="348"/>
        <v>1.1299999999999999</v>
      </c>
      <c r="AV378" s="2">
        <v>10000</v>
      </c>
      <c r="AW378" s="2">
        <v>-0.19</v>
      </c>
      <c r="AX378" s="2" t="str">
        <f t="shared" si="349"/>
        <v/>
      </c>
      <c r="AY378" s="2">
        <f t="shared" si="350"/>
        <v>-0.19</v>
      </c>
      <c r="BA378" s="78" t="e">
        <f t="shared" si="381"/>
        <v>#VALUE!</v>
      </c>
      <c r="BB378" s="78" t="e">
        <f t="shared" si="382"/>
        <v>#VALUE!</v>
      </c>
      <c r="BC378" s="2" t="str">
        <f t="shared" si="351"/>
        <v/>
      </c>
      <c r="BD378" s="2" t="e">
        <f t="shared" si="352"/>
        <v>#VALUE!</v>
      </c>
      <c r="BE378" s="67" t="e">
        <f t="shared" si="383"/>
        <v>#VALUE!</v>
      </c>
      <c r="BF378" s="2" t="s">
        <v>12</v>
      </c>
      <c r="BH378" s="2" t="str">
        <f t="shared" si="353"/>
        <v/>
      </c>
      <c r="BI378" s="2" t="e">
        <f t="shared" si="354"/>
        <v>#VALUE!</v>
      </c>
      <c r="BJ378" s="67" t="e">
        <f t="shared" si="355"/>
        <v>#VALUE!</v>
      </c>
      <c r="BK378" s="2" t="s">
        <v>12</v>
      </c>
      <c r="BM378" s="77" t="e">
        <f t="shared" si="384"/>
        <v>#VALUE!</v>
      </c>
      <c r="BN378" s="77" t="e">
        <f t="shared" si="385"/>
        <v>#VALUE!</v>
      </c>
      <c r="BO378" s="2" t="str">
        <f t="shared" si="356"/>
        <v/>
      </c>
      <c r="BP378" s="2" t="e">
        <f t="shared" si="357"/>
        <v>#VALUE!</v>
      </c>
      <c r="BQ378" s="67" t="e">
        <f t="shared" si="386"/>
        <v>#VALUE!</v>
      </c>
      <c r="BS378" s="75" t="str">
        <f t="shared" si="387"/>
        <v>UF</v>
      </c>
      <c r="BT378" s="75" t="str">
        <f t="shared" si="388"/>
        <v>UF</v>
      </c>
      <c r="BU378" s="5" t="str">
        <f t="shared" si="398"/>
        <v>UF</v>
      </c>
      <c r="BV378" s="5" t="str">
        <f t="shared" si="358"/>
        <v>UF</v>
      </c>
      <c r="BW378" s="69" t="str">
        <f t="shared" si="359"/>
        <v/>
      </c>
      <c r="BX378" s="2" t="s">
        <v>12</v>
      </c>
      <c r="BZ378" s="74" t="str">
        <f t="shared" si="389"/>
        <v>UF</v>
      </c>
      <c r="CA378" s="74" t="str">
        <f t="shared" si="390"/>
        <v>UF</v>
      </c>
      <c r="CB378" s="5" t="str">
        <f t="shared" si="360"/>
        <v>UF</v>
      </c>
      <c r="CC378" s="5" t="str">
        <f t="shared" si="361"/>
        <v>UF</v>
      </c>
      <c r="CD378" s="2" t="e">
        <f t="shared" si="362"/>
        <v>#VALUE!</v>
      </c>
      <c r="CE378" s="69" t="str">
        <f t="shared" si="363"/>
        <v/>
      </c>
      <c r="CF378" s="5" t="s">
        <v>12</v>
      </c>
      <c r="CH378" s="72" t="str">
        <f t="shared" si="391"/>
        <v>UF</v>
      </c>
      <c r="CI378" s="72" t="str">
        <f t="shared" si="392"/>
        <v>UF</v>
      </c>
      <c r="CJ378" s="5" t="str">
        <f t="shared" si="364"/>
        <v>UF</v>
      </c>
      <c r="CK378" s="5" t="str">
        <f t="shared" si="365"/>
        <v>UF</v>
      </c>
      <c r="CL378" s="69" t="str">
        <f t="shared" si="366"/>
        <v/>
      </c>
      <c r="CN378" s="70" t="str">
        <f t="shared" si="367"/>
        <v/>
      </c>
      <c r="CO378" s="5" t="str">
        <f t="shared" si="368"/>
        <v>UF</v>
      </c>
      <c r="CP378" s="5" t="str">
        <f>IF(G378&lt;48,"UF", IF(NOT(ISBLANK(CM:CM)), CM:CM, IF(BW:BW=1, BV:BV+Sheet2!B346, IF(Sheet1!BW:BW=2, Sheet1!BV:BV+Sheet2!B347, IF(Sheet1!BW:BW=7, Sheet1!BV:BV+Sheet2!B348,"")))))</f>
        <v>UF</v>
      </c>
      <c r="CQ378" s="69" t="str">
        <f t="shared" si="393"/>
        <v/>
      </c>
      <c r="CR378" s="5" t="s">
        <v>12</v>
      </c>
      <c r="CT378" s="5" t="str">
        <f t="shared" si="369"/>
        <v/>
      </c>
      <c r="CU378" s="80" t="str">
        <f t="shared" si="370"/>
        <v>UF</v>
      </c>
      <c r="CV378" s="80" t="str">
        <f t="shared" si="371"/>
        <v>UF</v>
      </c>
      <c r="CW378" s="20" t="str">
        <f>IF(G378&lt;48,"UF", IF(NOT(ISBLANK(CS378)), CS378, IF(CE378=5, CC378+Sheet2!B335, IF(CE378=6, CC378+Sheet2!B336, IF(CE378=7, CC378+Sheet2!B337,"")))))</f>
        <v>UF</v>
      </c>
      <c r="CX378" s="68" t="str">
        <f t="shared" si="394"/>
        <v/>
      </c>
      <c r="CY378" s="5" t="s">
        <v>12</v>
      </c>
      <c r="DA378" s="5" t="str">
        <f t="shared" si="372"/>
        <v>UF</v>
      </c>
      <c r="DB378" s="73" t="str">
        <f t="shared" si="373"/>
        <v>UF</v>
      </c>
      <c r="DC378" s="73" t="str">
        <f t="shared" si="374"/>
        <v>UF</v>
      </c>
      <c r="DD378" s="5" t="str">
        <f>IF(G378&lt;48,"UF", IF(NOT(ISBLANK(CZ:CZ)), CZ:CZ, IF(CL:CL=3, CK:CK+Sheet2!B340, IF(CL:CL=4, CK:CK+Sheet2!B341, IF(CL:CL=7, CK:CK+Sheet2!B342,"")))))</f>
        <v>UF</v>
      </c>
      <c r="DE378" s="69" t="str">
        <f t="shared" si="397"/>
        <v/>
      </c>
      <c r="DF378" s="2">
        <v>1</v>
      </c>
      <c r="DG378" s="2">
        <v>27</v>
      </c>
      <c r="DH378" s="2">
        <v>2</v>
      </c>
      <c r="DI378" s="2">
        <v>2</v>
      </c>
      <c r="DJ378" s="2">
        <v>2</v>
      </c>
      <c r="DK378" s="2">
        <v>109</v>
      </c>
      <c r="DL378" s="2">
        <v>51</v>
      </c>
      <c r="DM378" s="2">
        <v>103</v>
      </c>
      <c r="DN378" s="2">
        <v>58</v>
      </c>
      <c r="DO378" s="2">
        <v>102</v>
      </c>
      <c r="DP378" s="2">
        <v>65</v>
      </c>
      <c r="DQ378" s="2">
        <v>1</v>
      </c>
      <c r="DR378" s="2">
        <v>38</v>
      </c>
      <c r="DS378" s="2">
        <v>2</v>
      </c>
      <c r="DT378" s="2">
        <v>76</v>
      </c>
      <c r="DU378" s="2">
        <v>79</v>
      </c>
      <c r="DV378" s="2">
        <v>2</v>
      </c>
      <c r="DW378" s="2">
        <v>2</v>
      </c>
      <c r="DX378" s="2">
        <v>2</v>
      </c>
      <c r="DY378" s="2">
        <v>3</v>
      </c>
      <c r="DZ378" s="2">
        <v>34</v>
      </c>
      <c r="EA378" s="2">
        <v>35</v>
      </c>
      <c r="EB378" s="2">
        <v>44</v>
      </c>
      <c r="EC378" s="2">
        <v>1</v>
      </c>
      <c r="ED378" s="2">
        <v>1</v>
      </c>
    </row>
    <row r="379" spans="3:134" x14ac:dyDescent="0.25">
      <c r="C379" s="2">
        <v>14011113</v>
      </c>
      <c r="D379" s="2">
        <v>2501056051</v>
      </c>
      <c r="E379" s="5" t="s">
        <v>535</v>
      </c>
      <c r="F379" s="2">
        <v>1</v>
      </c>
      <c r="G379" s="2">
        <v>28</v>
      </c>
      <c r="H379" s="2">
        <v>-2.633980370260248</v>
      </c>
      <c r="I379" s="2">
        <v>52</v>
      </c>
      <c r="J379" s="2">
        <v>1.531272843240846</v>
      </c>
      <c r="K379" s="5">
        <v>2830</v>
      </c>
      <c r="L379" s="2">
        <v>-0.91439702060638994</v>
      </c>
      <c r="M379" s="2">
        <v>-2.9828000000000001</v>
      </c>
      <c r="N379" s="2">
        <f t="shared" si="334"/>
        <v>-0.42300981486987599</v>
      </c>
      <c r="O379" s="2">
        <f t="shared" si="335"/>
        <v>-2.9828000000000001</v>
      </c>
      <c r="P379" s="2">
        <v>64.5</v>
      </c>
      <c r="Q379" s="2">
        <v>-0.55000000000000004</v>
      </c>
      <c r="R379" s="5">
        <f t="shared" si="336"/>
        <v>-0.96063642162042306</v>
      </c>
      <c r="S379" s="5">
        <f t="shared" si="337"/>
        <v>-0.55000000000000004</v>
      </c>
      <c r="T379" s="1">
        <v>5400</v>
      </c>
      <c r="U379" s="2">
        <v>-2.5</v>
      </c>
      <c r="V379" s="2">
        <f t="shared" si="338"/>
        <v>-0.88780148969680495</v>
      </c>
      <c r="W379" s="2">
        <f t="shared" si="339"/>
        <v>-2.5</v>
      </c>
      <c r="X379" s="2">
        <v>-3.48</v>
      </c>
      <c r="Y379" s="76">
        <f t="shared" si="375"/>
        <v>-0.84601962973975198</v>
      </c>
      <c r="Z379" s="76">
        <f t="shared" si="376"/>
        <v>-2</v>
      </c>
      <c r="AA379" s="2">
        <f t="shared" si="340"/>
        <v>-1.6046</v>
      </c>
      <c r="AB379" s="2">
        <f t="shared" si="341"/>
        <v>-3.48</v>
      </c>
      <c r="AC379" s="2">
        <v>73</v>
      </c>
      <c r="AD379" s="2">
        <v>-0.39</v>
      </c>
      <c r="AE379" s="79">
        <f t="shared" si="377"/>
        <v>-1.9212728432408461</v>
      </c>
      <c r="AF379" s="79">
        <f t="shared" si="378"/>
        <v>-2</v>
      </c>
      <c r="AG379" s="2">
        <f t="shared" si="395"/>
        <v>0.15000000000000002</v>
      </c>
      <c r="AH379" s="2">
        <f t="shared" si="342"/>
        <v>-0.39</v>
      </c>
      <c r="AI379" s="2">
        <v>6500</v>
      </c>
      <c r="AJ379" s="2">
        <v>-2.69</v>
      </c>
      <c r="AK379" s="76">
        <f t="shared" si="379"/>
        <v>-1.7756029793936099</v>
      </c>
      <c r="AL379" s="76">
        <f t="shared" si="380"/>
        <v>-2</v>
      </c>
      <c r="AM379" s="2">
        <f t="shared" si="343"/>
        <v>-0.125</v>
      </c>
      <c r="AN379" s="2">
        <f t="shared" si="344"/>
        <v>-2.69</v>
      </c>
      <c r="AO379" s="2">
        <v>-3.7591999999999999</v>
      </c>
      <c r="AP379" s="2">
        <f t="shared" si="345"/>
        <v>-0.11310458395774803</v>
      </c>
      <c r="AQ379" s="2">
        <f t="shared" si="346"/>
        <v>-3.7591999999999999</v>
      </c>
      <c r="AR379" s="2">
        <v>80</v>
      </c>
      <c r="AS379" s="2">
        <v>-0.25</v>
      </c>
      <c r="AT379" s="2">
        <f t="shared" si="347"/>
        <v>-5.1437644175385544E-3</v>
      </c>
      <c r="AU379" s="2">
        <f t="shared" si="348"/>
        <v>-0.25</v>
      </c>
      <c r="AV379" s="2">
        <v>7400</v>
      </c>
      <c r="AW379" s="2">
        <v>-2.75</v>
      </c>
      <c r="AX379" s="2">
        <f t="shared" si="349"/>
        <v>-0.34174006973812854</v>
      </c>
      <c r="AY379" s="2">
        <f t="shared" si="350"/>
        <v>-2.75</v>
      </c>
      <c r="AZ379" s="2">
        <v>-3.706209167915496</v>
      </c>
      <c r="BA379" s="78">
        <f t="shared" si="381"/>
        <v>-0.22620916791549606</v>
      </c>
      <c r="BB379" s="78">
        <f t="shared" si="382"/>
        <v>-1</v>
      </c>
      <c r="BC379" s="2" t="str">
        <f t="shared" si="351"/>
        <v/>
      </c>
      <c r="BD379" s="2">
        <f t="shared" si="352"/>
        <v>-3.706209167915496</v>
      </c>
      <c r="BE379" s="67">
        <f t="shared" si="383"/>
        <v>1</v>
      </c>
      <c r="BF379" s="2">
        <v>84</v>
      </c>
      <c r="BG379" s="2">
        <v>-0.40028752883507712</v>
      </c>
      <c r="BH379" s="2" t="str">
        <f t="shared" si="353"/>
        <v/>
      </c>
      <c r="BI379" s="2">
        <f t="shared" si="354"/>
        <v>-0.40028752883507712</v>
      </c>
      <c r="BJ379" s="67">
        <f t="shared" si="355"/>
        <v>7</v>
      </c>
      <c r="BK379" s="2">
        <v>8800</v>
      </c>
      <c r="BL379" s="2">
        <v>-3.373480139476257</v>
      </c>
      <c r="BM379" s="77">
        <f t="shared" si="384"/>
        <v>-0.68348013947625708</v>
      </c>
      <c r="BN379" s="77">
        <f t="shared" si="385"/>
        <v>-2</v>
      </c>
      <c r="BO379" s="2" t="str">
        <f t="shared" si="356"/>
        <v/>
      </c>
      <c r="BP379" s="2">
        <f t="shared" si="357"/>
        <v>-3.373480139476257</v>
      </c>
      <c r="BQ379" s="67">
        <f t="shared" si="386"/>
        <v>3</v>
      </c>
      <c r="BS379" s="75" t="str">
        <f t="shared" si="387"/>
        <v>UF</v>
      </c>
      <c r="BT379" s="75" t="str">
        <f t="shared" si="388"/>
        <v>UF</v>
      </c>
      <c r="BU379" s="5" t="str">
        <f t="shared" si="398"/>
        <v>UF</v>
      </c>
      <c r="BV379" s="5" t="str">
        <f t="shared" si="358"/>
        <v>UF</v>
      </c>
      <c r="BW379" s="69" t="str">
        <f t="shared" si="359"/>
        <v/>
      </c>
      <c r="BX379" s="2" t="s">
        <v>12</v>
      </c>
      <c r="BZ379" s="74" t="str">
        <f t="shared" si="389"/>
        <v>UF</v>
      </c>
      <c r="CA379" s="74" t="str">
        <f t="shared" si="390"/>
        <v>UF</v>
      </c>
      <c r="CB379" s="5" t="str">
        <f t="shared" si="360"/>
        <v>UF</v>
      </c>
      <c r="CC379" s="5" t="str">
        <f t="shared" si="361"/>
        <v>UF</v>
      </c>
      <c r="CD379" s="2" t="e">
        <f t="shared" si="362"/>
        <v>#VALUE!</v>
      </c>
      <c r="CE379" s="69" t="str">
        <f t="shared" si="363"/>
        <v/>
      </c>
      <c r="CF379" s="5" t="s">
        <v>12</v>
      </c>
      <c r="CH379" s="72" t="str">
        <f t="shared" si="391"/>
        <v>UF</v>
      </c>
      <c r="CI379" s="72" t="str">
        <f t="shared" si="392"/>
        <v>UF</v>
      </c>
      <c r="CJ379" s="5" t="str">
        <f t="shared" si="364"/>
        <v>UF</v>
      </c>
      <c r="CK379" s="5" t="str">
        <f t="shared" si="365"/>
        <v>UF</v>
      </c>
      <c r="CL379" s="69" t="str">
        <f t="shared" si="366"/>
        <v/>
      </c>
      <c r="CN379" s="70" t="str">
        <f t="shared" si="367"/>
        <v/>
      </c>
      <c r="CO379" s="5" t="str">
        <f t="shared" si="368"/>
        <v>UF</v>
      </c>
      <c r="CP379" s="5" t="str">
        <f>IF(G379&lt;48,"UF", IF(NOT(ISBLANK(CM:CM)), CM:CM, IF(BW:BW=1, BV:BV+Sheet2!B30, IF(Sheet1!BW:BW=2, Sheet1!BV:BV+Sheet2!B31, IF(Sheet1!BW:BW=7, Sheet1!BV:BV+Sheet2!B32,"")))))</f>
        <v>UF</v>
      </c>
      <c r="CQ379" s="69" t="str">
        <f t="shared" si="393"/>
        <v/>
      </c>
      <c r="CR379" s="5" t="s">
        <v>12</v>
      </c>
      <c r="CT379" s="5" t="str">
        <f t="shared" si="369"/>
        <v/>
      </c>
      <c r="CU379" s="80" t="str">
        <f t="shared" si="370"/>
        <v>UF</v>
      </c>
      <c r="CV379" s="80" t="str">
        <f t="shared" si="371"/>
        <v>UF</v>
      </c>
      <c r="CW379" s="20" t="str">
        <f>IF(G379&lt;48,"UF", IF(NOT(ISBLANK(CS379)), CS379, IF(CE379=5, CC379+Sheet2!B19, IF(CE379=6, CC379+Sheet2!B20, IF(CE379=7, CC379+Sheet2!B21,"")))))</f>
        <v>UF</v>
      </c>
      <c r="CX379" s="68" t="str">
        <f t="shared" si="394"/>
        <v/>
      </c>
      <c r="CY379" s="5" t="s">
        <v>12</v>
      </c>
      <c r="DA379" s="5" t="str">
        <f t="shared" si="372"/>
        <v>UF</v>
      </c>
      <c r="DB379" s="73" t="str">
        <f t="shared" si="373"/>
        <v>UF</v>
      </c>
      <c r="DC379" s="73" t="str">
        <f t="shared" si="374"/>
        <v>UF</v>
      </c>
      <c r="DD379" s="5" t="str">
        <f>IF(G379&lt;48,"UF", IF(NOT(ISBLANK(CZ:CZ)), CZ:CZ, IF(CL:CL=3, CK:CK+Sheet2!B24, IF(CL:CL=4, CK:CK+Sheet2!B25, IF(CL:CL=7, CK:CK+Sheet2!B26,"")))))</f>
        <v>UF</v>
      </c>
      <c r="DE379" s="69" t="str">
        <f t="shared" si="397"/>
        <v/>
      </c>
      <c r="DF379" s="2">
        <v>1</v>
      </c>
      <c r="DG379" s="2">
        <v>32</v>
      </c>
      <c r="DH379" s="2">
        <v>1</v>
      </c>
      <c r="DI379" s="2">
        <v>2</v>
      </c>
      <c r="DJ379" s="2">
        <v>2</v>
      </c>
      <c r="DK379" s="2">
        <v>110</v>
      </c>
      <c r="DL379" s="2">
        <v>70</v>
      </c>
      <c r="DM379" s="2">
        <v>110</v>
      </c>
      <c r="DN379" s="2">
        <v>60</v>
      </c>
      <c r="DO379" s="2">
        <v>100</v>
      </c>
      <c r="DP379" s="2">
        <v>60</v>
      </c>
      <c r="DQ379" s="2">
        <v>1</v>
      </c>
      <c r="DR379" s="2">
        <v>39</v>
      </c>
      <c r="DS379" s="2">
        <v>2</v>
      </c>
      <c r="DT379" s="2">
        <v>84</v>
      </c>
      <c r="DU379" s="2">
        <v>71</v>
      </c>
      <c r="DV379" s="2">
        <v>3</v>
      </c>
      <c r="DW379" s="2">
        <v>2</v>
      </c>
      <c r="DX379" s="2">
        <v>3</v>
      </c>
      <c r="DY379" s="2">
        <v>1</v>
      </c>
      <c r="DZ379" s="2">
        <v>34.5</v>
      </c>
      <c r="EA379" s="2">
        <v>35</v>
      </c>
      <c r="EB379" s="2">
        <v>44.7</v>
      </c>
      <c r="EC379" s="2">
        <v>1</v>
      </c>
      <c r="ED379" s="2">
        <v>1</v>
      </c>
    </row>
    <row r="380" spans="3:134" x14ac:dyDescent="0.25">
      <c r="C380" s="8" t="s">
        <v>166</v>
      </c>
      <c r="D380" s="4">
        <v>2501056108</v>
      </c>
      <c r="E380" s="5">
        <v>7</v>
      </c>
      <c r="F380" s="2">
        <v>1</v>
      </c>
      <c r="G380" s="2">
        <v>24</v>
      </c>
      <c r="H380" s="2">
        <v>-0.28070825170052832</v>
      </c>
      <c r="I380" s="2">
        <v>53</v>
      </c>
      <c r="J380" s="2">
        <v>2.0681285461890671</v>
      </c>
      <c r="K380" s="1">
        <v>3650</v>
      </c>
      <c r="L380" s="2">
        <v>0.87800837274108989</v>
      </c>
      <c r="N380" s="2">
        <f t="shared" si="334"/>
        <v>-0.61389587414973579</v>
      </c>
      <c r="O380" s="2">
        <f t="shared" si="335"/>
        <v>-0.89460412585026416</v>
      </c>
      <c r="P380" s="2" t="s">
        <v>12</v>
      </c>
      <c r="R380" s="5">
        <f t="shared" si="336"/>
        <v>-0.64906427309453352</v>
      </c>
      <c r="S380" s="5">
        <f t="shared" si="337"/>
        <v>1.4190642730945335</v>
      </c>
      <c r="T380" s="1" t="s">
        <v>12</v>
      </c>
      <c r="V380" s="2">
        <f t="shared" si="338"/>
        <v>-0.749004186370545</v>
      </c>
      <c r="W380" s="2">
        <f t="shared" si="339"/>
        <v>0.12900418637054489</v>
      </c>
      <c r="X380" s="2">
        <v>-1.5085</v>
      </c>
      <c r="Y380" s="76">
        <f t="shared" si="375"/>
        <v>-1.2277917482994716</v>
      </c>
      <c r="Z380" s="76">
        <f t="shared" si="376"/>
        <v>-2</v>
      </c>
      <c r="AA380" s="2">
        <f t="shared" si="340"/>
        <v>-1.8786821365472668</v>
      </c>
      <c r="AB380" s="2">
        <f t="shared" si="341"/>
        <v>-1.5085</v>
      </c>
      <c r="AC380" s="2">
        <v>76</v>
      </c>
      <c r="AD380" s="2">
        <v>0.77</v>
      </c>
      <c r="AE380" s="79">
        <f t="shared" si="377"/>
        <v>-1.298128546189067</v>
      </c>
      <c r="AF380" s="79">
        <f t="shared" si="378"/>
        <v>-2</v>
      </c>
      <c r="AG380" s="2">
        <f t="shared" si="395"/>
        <v>-0.26453213654726676</v>
      </c>
      <c r="AH380" s="2">
        <f t="shared" si="342"/>
        <v>0.77</v>
      </c>
      <c r="AI380" s="2">
        <v>8300</v>
      </c>
      <c r="AJ380" s="2">
        <v>-0.62</v>
      </c>
      <c r="AK380" s="76">
        <f t="shared" si="379"/>
        <v>-1.49800837274109</v>
      </c>
      <c r="AL380" s="76">
        <f t="shared" si="380"/>
        <v>-2</v>
      </c>
      <c r="AM380" s="2">
        <f t="shared" si="343"/>
        <v>-0.59450209318527247</v>
      </c>
      <c r="AN380" s="2">
        <f t="shared" si="344"/>
        <v>-0.62</v>
      </c>
      <c r="AO380" s="2">
        <v>-2.3382999999999998</v>
      </c>
      <c r="AP380" s="2" t="str">
        <f t="shared" si="345"/>
        <v/>
      </c>
      <c r="AQ380" s="2">
        <f t="shared" si="346"/>
        <v>-2.3382999999999998</v>
      </c>
      <c r="AR380" s="2">
        <v>83.3</v>
      </c>
      <c r="AS380" s="2">
        <v>0.89</v>
      </c>
      <c r="AT380" s="2" t="str">
        <f t="shared" si="347"/>
        <v/>
      </c>
      <c r="AU380" s="2">
        <f t="shared" si="348"/>
        <v>0.89</v>
      </c>
      <c r="AV380" s="2">
        <v>9000</v>
      </c>
      <c r="AW380" s="2">
        <v>-1.06</v>
      </c>
      <c r="AX380" s="2" t="str">
        <f t="shared" si="349"/>
        <v/>
      </c>
      <c r="AY380" s="2">
        <f t="shared" si="350"/>
        <v>-1.06</v>
      </c>
      <c r="BA380" s="78" t="e">
        <f t="shared" si="381"/>
        <v>#VALUE!</v>
      </c>
      <c r="BB380" s="78" t="e">
        <f t="shared" si="382"/>
        <v>#VALUE!</v>
      </c>
      <c r="BC380" s="2" t="str">
        <f t="shared" si="351"/>
        <v/>
      </c>
      <c r="BD380" s="2" t="e">
        <f t="shared" si="352"/>
        <v>#VALUE!</v>
      </c>
      <c r="BE380" s="67" t="e">
        <f t="shared" si="383"/>
        <v>#VALUE!</v>
      </c>
      <c r="BF380" s="2" t="s">
        <v>12</v>
      </c>
      <c r="BH380" s="2" t="str">
        <f t="shared" si="353"/>
        <v/>
      </c>
      <c r="BI380" s="2" t="e">
        <f t="shared" si="354"/>
        <v>#VALUE!</v>
      </c>
      <c r="BJ380" s="67" t="e">
        <f t="shared" si="355"/>
        <v>#VALUE!</v>
      </c>
      <c r="BK380" s="2" t="s">
        <v>12</v>
      </c>
      <c r="BM380" s="77" t="e">
        <f t="shared" si="384"/>
        <v>#VALUE!</v>
      </c>
      <c r="BN380" s="77" t="e">
        <f t="shared" si="385"/>
        <v>#VALUE!</v>
      </c>
      <c r="BO380" s="2" t="str">
        <f t="shared" si="356"/>
        <v/>
      </c>
      <c r="BP380" s="2" t="e">
        <f t="shared" si="357"/>
        <v>#VALUE!</v>
      </c>
      <c r="BQ380" s="67" t="e">
        <f t="shared" si="386"/>
        <v>#VALUE!</v>
      </c>
      <c r="BS380" s="75" t="str">
        <f t="shared" si="387"/>
        <v>UF</v>
      </c>
      <c r="BT380" s="75" t="str">
        <f t="shared" si="388"/>
        <v>UF</v>
      </c>
      <c r="BU380" s="5" t="e">
        <f>IF(#REF!&gt;=36, IF(AND(NOT(ISBLANK(CM:CM)), NOT(ISBLANK(BD:BD))), (CM:CM-BD:BD)/2, ""), "UF")</f>
        <v>#REF!</v>
      </c>
      <c r="BV380" s="5" t="str">
        <f t="shared" si="358"/>
        <v>UF</v>
      </c>
      <c r="BW380" s="69" t="str">
        <f t="shared" si="359"/>
        <v/>
      </c>
      <c r="BX380" s="2" t="s">
        <v>12</v>
      </c>
      <c r="BZ380" s="74" t="str">
        <f t="shared" si="389"/>
        <v>UF</v>
      </c>
      <c r="CA380" s="74" t="str">
        <f t="shared" si="390"/>
        <v>UF</v>
      </c>
      <c r="CB380" s="5" t="str">
        <f t="shared" si="360"/>
        <v>UF</v>
      </c>
      <c r="CC380" s="5" t="str">
        <f t="shared" si="361"/>
        <v>UF</v>
      </c>
      <c r="CD380" s="2" t="e">
        <f t="shared" si="362"/>
        <v>#VALUE!</v>
      </c>
      <c r="CE380" s="69" t="str">
        <f t="shared" si="363"/>
        <v/>
      </c>
      <c r="CF380" s="5" t="s">
        <v>12</v>
      </c>
      <c r="CH380" s="72" t="str">
        <f t="shared" si="391"/>
        <v>UF</v>
      </c>
      <c r="CI380" s="72" t="str">
        <f t="shared" si="392"/>
        <v>UF</v>
      </c>
      <c r="CJ380" s="5" t="str">
        <f t="shared" si="364"/>
        <v>UF</v>
      </c>
      <c r="CK380" s="5" t="str">
        <f t="shared" si="365"/>
        <v>UF</v>
      </c>
      <c r="CL380" s="69" t="str">
        <f t="shared" si="366"/>
        <v/>
      </c>
      <c r="CN380" s="70" t="str">
        <f t="shared" si="367"/>
        <v/>
      </c>
      <c r="CO380" s="5" t="str">
        <f t="shared" si="368"/>
        <v>UF</v>
      </c>
      <c r="CP380" s="5" t="str">
        <f>IF(G380&lt;48,"UF", IF(NOT(ISBLANK(CM:CM)), CM:CM, IF(BW:BW=1, BV:BV+Sheet2!B340, IF(Sheet1!BW:BW=2, Sheet1!BV:BV+Sheet2!B341, IF(Sheet1!BW:BW=7, Sheet1!BV:BV+Sheet2!B342,"")))))</f>
        <v>UF</v>
      </c>
      <c r="CQ380" s="69" t="str">
        <f t="shared" si="393"/>
        <v/>
      </c>
      <c r="CR380" s="5" t="s">
        <v>12</v>
      </c>
      <c r="CT380" s="5" t="str">
        <f t="shared" si="369"/>
        <v/>
      </c>
      <c r="CU380" s="80" t="str">
        <f t="shared" si="370"/>
        <v>UF</v>
      </c>
      <c r="CV380" s="80" t="str">
        <f t="shared" si="371"/>
        <v>UF</v>
      </c>
      <c r="CW380" s="20" t="str">
        <f>IF(G380&lt;48,"UF", IF(NOT(ISBLANK(CS380)), CS380, IF(CE380=5, CC380+Sheet2!B329, IF(CE380=6, CC380+Sheet2!B330, IF(CE380=7, CC380+Sheet2!B331,"")))))</f>
        <v>UF</v>
      </c>
      <c r="CX380" s="68" t="str">
        <f t="shared" si="394"/>
        <v/>
      </c>
      <c r="CY380" s="5" t="s">
        <v>12</v>
      </c>
      <c r="DA380" s="5" t="str">
        <f t="shared" si="372"/>
        <v>UF</v>
      </c>
      <c r="DB380" s="73" t="str">
        <f t="shared" si="373"/>
        <v>UF</v>
      </c>
      <c r="DC380" s="73" t="str">
        <f t="shared" si="374"/>
        <v>UF</v>
      </c>
      <c r="DD380" s="5" t="str">
        <f>IF(G380&lt;48,"UF", IF(NOT(ISBLANK(CZ:CZ)), CZ:CZ, IF(CL:CL=3, CK:CK+Sheet2!B334, IF(CL:CL=4, CK:CK+Sheet2!B335, IF(CL:CL=7, CK:CK+Sheet2!B336,"")))))</f>
        <v>UF</v>
      </c>
      <c r="DE380" s="69" t="str">
        <f t="shared" si="397"/>
        <v/>
      </c>
      <c r="DF380" s="2">
        <v>1</v>
      </c>
      <c r="DG380" s="2">
        <v>29</v>
      </c>
      <c r="DH380" s="2">
        <v>2</v>
      </c>
      <c r="DI380" s="2">
        <v>2</v>
      </c>
      <c r="DJ380" s="2">
        <v>3</v>
      </c>
      <c r="DK380" s="2" t="s">
        <v>12</v>
      </c>
      <c r="DL380" s="2" t="s">
        <v>12</v>
      </c>
      <c r="DM380" s="2" t="s">
        <v>12</v>
      </c>
      <c r="DN380" s="2" t="s">
        <v>12</v>
      </c>
      <c r="DO380" s="2" t="s">
        <v>12</v>
      </c>
      <c r="DP380" s="2" t="s">
        <v>12</v>
      </c>
      <c r="DQ380" s="2">
        <v>2</v>
      </c>
      <c r="DR380" s="2">
        <v>40</v>
      </c>
      <c r="DS380" s="2">
        <v>3</v>
      </c>
      <c r="DT380" s="2" t="s">
        <v>12</v>
      </c>
      <c r="DU380" s="2" t="s">
        <v>12</v>
      </c>
      <c r="DV380" s="2">
        <v>2</v>
      </c>
      <c r="DW380" s="2">
        <v>2</v>
      </c>
      <c r="DX380" s="2">
        <v>2</v>
      </c>
      <c r="DY380" s="2">
        <v>3</v>
      </c>
      <c r="DZ380" s="2">
        <v>35</v>
      </c>
      <c r="EA380" s="2">
        <v>35</v>
      </c>
      <c r="EB380" s="2">
        <v>45.5</v>
      </c>
      <c r="EC380" s="2">
        <v>1</v>
      </c>
      <c r="ED380" s="2">
        <v>1</v>
      </c>
    </row>
    <row r="381" spans="3:134" x14ac:dyDescent="0.25">
      <c r="C381" s="8" t="s">
        <v>167</v>
      </c>
      <c r="D381" s="4">
        <v>2501056116</v>
      </c>
      <c r="E381" s="5">
        <v>7</v>
      </c>
      <c r="F381" s="2">
        <v>1</v>
      </c>
      <c r="G381" s="2">
        <v>24</v>
      </c>
      <c r="H381" s="2">
        <v>-1.164120829866075</v>
      </c>
      <c r="I381" s="2">
        <v>51</v>
      </c>
      <c r="J381" s="2">
        <v>0.99441714029262385</v>
      </c>
      <c r="K381" s="1">
        <v>3115</v>
      </c>
      <c r="L381" s="2">
        <v>-0.25880501736883832</v>
      </c>
      <c r="M381" s="2">
        <v>1.1511</v>
      </c>
      <c r="N381" s="2">
        <f t="shared" si="334"/>
        <v>0.67966041493303753</v>
      </c>
      <c r="O381" s="2">
        <f t="shared" si="335"/>
        <v>1.1511</v>
      </c>
      <c r="P381" s="2">
        <v>64.7</v>
      </c>
      <c r="Q381" s="2">
        <v>-0.46</v>
      </c>
      <c r="R381" s="5">
        <f t="shared" si="336"/>
        <v>-0.73220857014631191</v>
      </c>
      <c r="S381" s="5">
        <f t="shared" si="337"/>
        <v>-0.46</v>
      </c>
      <c r="T381" s="1">
        <v>7860</v>
      </c>
      <c r="U381" s="2">
        <v>0.6</v>
      </c>
      <c r="V381" s="2">
        <f t="shared" si="338"/>
        <v>6.9402508684419162E-2</v>
      </c>
      <c r="W381" s="2">
        <f t="shared" si="339"/>
        <v>0.6</v>
      </c>
      <c r="X381" s="2">
        <v>0.19520000000000001</v>
      </c>
      <c r="Y381" s="76">
        <f t="shared" si="375"/>
        <v>1.3593208298660751</v>
      </c>
      <c r="Z381" s="76">
        <f t="shared" si="376"/>
        <v>2</v>
      </c>
      <c r="AA381" s="2">
        <f t="shared" si="340"/>
        <v>0.34294999999999998</v>
      </c>
      <c r="AB381" s="2">
        <f t="shared" si="341"/>
        <v>0.19520000000000001</v>
      </c>
      <c r="AC381" s="2">
        <v>72.8</v>
      </c>
      <c r="AD381" s="2">
        <v>-0.47</v>
      </c>
      <c r="AE381" s="79">
        <f t="shared" si="377"/>
        <v>-1.4644171402926238</v>
      </c>
      <c r="AF381" s="79">
        <f t="shared" si="378"/>
        <v>-2</v>
      </c>
      <c r="AG381" s="2">
        <f t="shared" si="395"/>
        <v>-0.03</v>
      </c>
      <c r="AH381" s="2">
        <f t="shared" si="342"/>
        <v>-0.47</v>
      </c>
      <c r="AI381" s="2">
        <v>8820</v>
      </c>
      <c r="AJ381" s="2">
        <v>-0.12</v>
      </c>
      <c r="AK381" s="76">
        <f t="shared" si="379"/>
        <v>0.13880501736883832</v>
      </c>
      <c r="AL381" s="76">
        <f t="shared" si="380"/>
        <v>1</v>
      </c>
      <c r="AM381" s="2">
        <f t="shared" si="343"/>
        <v>-0.37</v>
      </c>
      <c r="AN381" s="2">
        <f t="shared" si="344"/>
        <v>-0.12</v>
      </c>
      <c r="AO381" s="2">
        <v>0.22589999999999999</v>
      </c>
      <c r="AP381" s="2" t="str">
        <f t="shared" si="345"/>
        <v/>
      </c>
      <c r="AQ381" s="2">
        <f t="shared" si="346"/>
        <v>0.22589999999999999</v>
      </c>
      <c r="AR381" s="2">
        <v>79.2</v>
      </c>
      <c r="AS381" s="2">
        <v>-0.52</v>
      </c>
      <c r="AT381" s="2" t="str">
        <f t="shared" si="347"/>
        <v/>
      </c>
      <c r="AU381" s="2">
        <f t="shared" si="348"/>
        <v>-0.52</v>
      </c>
      <c r="AV381" s="2">
        <v>10060</v>
      </c>
      <c r="AW381" s="2">
        <v>-0.14000000000000001</v>
      </c>
      <c r="AX381" s="2" t="str">
        <f t="shared" si="349"/>
        <v/>
      </c>
      <c r="AY381" s="2">
        <f t="shared" si="350"/>
        <v>-0.14000000000000001</v>
      </c>
      <c r="BA381" s="78" t="e">
        <f t="shared" si="381"/>
        <v>#VALUE!</v>
      </c>
      <c r="BB381" s="78" t="e">
        <f t="shared" si="382"/>
        <v>#VALUE!</v>
      </c>
      <c r="BC381" s="2" t="str">
        <f t="shared" si="351"/>
        <v/>
      </c>
      <c r="BD381" s="2" t="e">
        <f t="shared" si="352"/>
        <v>#VALUE!</v>
      </c>
      <c r="BE381" s="67" t="e">
        <f t="shared" si="383"/>
        <v>#VALUE!</v>
      </c>
      <c r="BF381" s="2" t="s">
        <v>12</v>
      </c>
      <c r="BH381" s="2" t="str">
        <f t="shared" si="353"/>
        <v/>
      </c>
      <c r="BI381" s="2" t="e">
        <f t="shared" si="354"/>
        <v>#VALUE!</v>
      </c>
      <c r="BJ381" s="67" t="e">
        <f t="shared" si="355"/>
        <v>#VALUE!</v>
      </c>
      <c r="BK381" s="2" t="s">
        <v>12</v>
      </c>
      <c r="BM381" s="77" t="e">
        <f t="shared" si="384"/>
        <v>#VALUE!</v>
      </c>
      <c r="BN381" s="77" t="e">
        <f t="shared" si="385"/>
        <v>#VALUE!</v>
      </c>
      <c r="BO381" s="2" t="str">
        <f t="shared" si="356"/>
        <v/>
      </c>
      <c r="BP381" s="2" t="e">
        <f t="shared" si="357"/>
        <v>#VALUE!</v>
      </c>
      <c r="BQ381" s="67" t="e">
        <f t="shared" si="386"/>
        <v>#VALUE!</v>
      </c>
      <c r="BS381" s="75" t="str">
        <f t="shared" si="387"/>
        <v>UF</v>
      </c>
      <c r="BT381" s="75" t="str">
        <f t="shared" si="388"/>
        <v>UF</v>
      </c>
      <c r="BU381" s="5" t="str">
        <f>IF(G389&gt;=36, IF(AND(NOT(ISBLANK(CM:CM)), NOT(ISBLANK(BD:BD))), (CM:CM-BD:BD)/2, ""), "UF")</f>
        <v>UF</v>
      </c>
      <c r="BV381" s="5" t="str">
        <f t="shared" si="358"/>
        <v>UF</v>
      </c>
      <c r="BW381" s="69" t="str">
        <f t="shared" si="359"/>
        <v/>
      </c>
      <c r="BX381" s="2" t="s">
        <v>12</v>
      </c>
      <c r="BZ381" s="74" t="str">
        <f t="shared" si="389"/>
        <v>UF</v>
      </c>
      <c r="CA381" s="74" t="str">
        <f t="shared" si="390"/>
        <v>UF</v>
      </c>
      <c r="CB381" s="5" t="str">
        <f t="shared" si="360"/>
        <v>UF</v>
      </c>
      <c r="CC381" s="5" t="str">
        <f t="shared" si="361"/>
        <v>UF</v>
      </c>
      <c r="CD381" s="2" t="e">
        <f t="shared" si="362"/>
        <v>#VALUE!</v>
      </c>
      <c r="CE381" s="69" t="str">
        <f t="shared" si="363"/>
        <v/>
      </c>
      <c r="CF381" s="5" t="s">
        <v>12</v>
      </c>
      <c r="CH381" s="72" t="str">
        <f t="shared" si="391"/>
        <v>UF</v>
      </c>
      <c r="CI381" s="72" t="str">
        <f t="shared" si="392"/>
        <v>UF</v>
      </c>
      <c r="CJ381" s="5" t="str">
        <f t="shared" si="364"/>
        <v>UF</v>
      </c>
      <c r="CK381" s="5" t="str">
        <f t="shared" si="365"/>
        <v>UF</v>
      </c>
      <c r="CL381" s="69" t="str">
        <f t="shared" si="366"/>
        <v/>
      </c>
      <c r="CN381" s="70" t="str">
        <f t="shared" si="367"/>
        <v/>
      </c>
      <c r="CO381" s="5" t="str">
        <f t="shared" si="368"/>
        <v>UF</v>
      </c>
      <c r="CP381" s="5" t="str">
        <f>IF(G381&lt;48,"UF", IF(NOT(ISBLANK(CM:CM)), CM:CM, IF(BW:BW=1, BV:BV+Sheet2!B333, IF(Sheet1!BW:BW=2, Sheet1!BV:BV+Sheet2!B334, IF(Sheet1!BW:BW=7, Sheet1!BV:BV+Sheet2!B335,"")))))</f>
        <v>UF</v>
      </c>
      <c r="CQ381" s="69" t="str">
        <f t="shared" si="393"/>
        <v/>
      </c>
      <c r="CR381" s="5" t="s">
        <v>12</v>
      </c>
      <c r="CT381" s="5" t="str">
        <f t="shared" si="369"/>
        <v/>
      </c>
      <c r="CU381" s="80" t="str">
        <f t="shared" si="370"/>
        <v>UF</v>
      </c>
      <c r="CV381" s="80" t="str">
        <f t="shared" si="371"/>
        <v>UF</v>
      </c>
      <c r="CW381" s="20" t="str">
        <f>IF(G381&lt;48,"UF", IF(NOT(ISBLANK(CS381)), CS381, IF(CE381=5, CC381+Sheet2!B322, IF(CE381=6, CC381+Sheet2!B323, IF(CE381=7, CC381+Sheet2!B324,"")))))</f>
        <v>UF</v>
      </c>
      <c r="CX381" s="68" t="str">
        <f t="shared" si="394"/>
        <v/>
      </c>
      <c r="CY381" s="5" t="s">
        <v>12</v>
      </c>
      <c r="DA381" s="5" t="str">
        <f t="shared" si="372"/>
        <v>UF</v>
      </c>
      <c r="DB381" s="73" t="str">
        <f t="shared" si="373"/>
        <v>UF</v>
      </c>
      <c r="DC381" s="73" t="str">
        <f t="shared" si="374"/>
        <v>UF</v>
      </c>
      <c r="DD381" s="5" t="str">
        <f>IF(G381&lt;48,"UF", IF(NOT(ISBLANK(CZ:CZ)), CZ:CZ, IF(CL:CL=3, CK:CK+Sheet2!B327, IF(CL:CL=4, CK:CK+Sheet2!B328, IF(CL:CL=7, CK:CK+Sheet2!B329,"")))))</f>
        <v>UF</v>
      </c>
      <c r="DE381" s="69" t="str">
        <f t="shared" si="397"/>
        <v/>
      </c>
      <c r="DF381" s="2">
        <v>1</v>
      </c>
      <c r="DG381" s="2">
        <v>32</v>
      </c>
      <c r="DH381" s="2">
        <v>2</v>
      </c>
      <c r="DI381" s="2">
        <v>2</v>
      </c>
      <c r="DJ381" s="2">
        <v>2</v>
      </c>
      <c r="DK381" s="2">
        <v>103</v>
      </c>
      <c r="DL381" s="2">
        <v>60</v>
      </c>
      <c r="DM381" s="2" t="s">
        <v>12</v>
      </c>
      <c r="DN381" s="2" t="s">
        <v>12</v>
      </c>
      <c r="DO381" s="2" t="s">
        <v>12</v>
      </c>
      <c r="DP381" s="2" t="s">
        <v>12</v>
      </c>
      <c r="DQ381" s="2">
        <v>2</v>
      </c>
      <c r="DR381" s="2">
        <v>39</v>
      </c>
      <c r="DS381" s="2">
        <v>2</v>
      </c>
      <c r="DT381" s="2">
        <v>76</v>
      </c>
      <c r="DU381" s="2">
        <v>85</v>
      </c>
      <c r="DV381" s="2">
        <v>2</v>
      </c>
      <c r="DW381" s="2">
        <v>2</v>
      </c>
      <c r="DX381" s="2">
        <v>2</v>
      </c>
      <c r="DY381" s="2">
        <v>2</v>
      </c>
      <c r="DZ381" s="2">
        <v>35</v>
      </c>
      <c r="EA381" s="2">
        <v>34.5</v>
      </c>
      <c r="EB381" s="2">
        <v>44.5</v>
      </c>
      <c r="EC381" s="2">
        <v>1</v>
      </c>
      <c r="ED381" s="2">
        <v>1</v>
      </c>
    </row>
    <row r="382" spans="3:134" x14ac:dyDescent="0.25">
      <c r="C382" s="8" t="s">
        <v>223</v>
      </c>
      <c r="D382" s="4">
        <v>2501056213</v>
      </c>
      <c r="E382" s="5">
        <v>7</v>
      </c>
      <c r="F382" s="2">
        <v>1</v>
      </c>
      <c r="G382" s="2">
        <v>24</v>
      </c>
      <c r="H382" s="2">
        <v>-2.759118950759019</v>
      </c>
      <c r="I382" s="2">
        <v>55</v>
      </c>
      <c r="J382" s="2">
        <v>3.141839952085506</v>
      </c>
      <c r="K382" s="2">
        <v>3130</v>
      </c>
      <c r="L382" s="2">
        <v>-0.22534879896655061</v>
      </c>
      <c r="M382" s="2">
        <v>-0.25180000000000002</v>
      </c>
      <c r="N382" s="2">
        <f t="shared" si="334"/>
        <v>1.4064094753795096</v>
      </c>
      <c r="O382" s="2">
        <f t="shared" si="335"/>
        <v>-0.25180000000000002</v>
      </c>
      <c r="P382" s="2">
        <v>66</v>
      </c>
      <c r="Q382" s="2">
        <v>0.11</v>
      </c>
      <c r="R382" s="5">
        <f t="shared" si="336"/>
        <v>-1.570919976042753</v>
      </c>
      <c r="S382" s="5">
        <f t="shared" si="337"/>
        <v>0.11</v>
      </c>
      <c r="T382" s="2">
        <v>7200</v>
      </c>
      <c r="U382" s="2">
        <v>-0.11</v>
      </c>
      <c r="V382" s="2">
        <f t="shared" si="338"/>
        <v>0.13767439948327531</v>
      </c>
      <c r="W382" s="2">
        <f t="shared" si="339"/>
        <v>-0.11</v>
      </c>
      <c r="X382" s="2">
        <v>5.3699999999999998E-2</v>
      </c>
      <c r="Y382" s="76">
        <f t="shared" si="375"/>
        <v>2.8128189507590191</v>
      </c>
      <c r="Z382" s="76">
        <f t="shared" si="376"/>
        <v>2</v>
      </c>
      <c r="AA382" s="2">
        <f t="shared" si="340"/>
        <v>-0.26515</v>
      </c>
      <c r="AB382" s="2">
        <f t="shared" si="341"/>
        <v>5.3699999999999998E-2</v>
      </c>
      <c r="AC382" s="2">
        <v>74</v>
      </c>
      <c r="AD382" s="2">
        <v>0</v>
      </c>
      <c r="AE382" s="79">
        <f t="shared" si="377"/>
        <v>-3.141839952085506</v>
      </c>
      <c r="AF382" s="79">
        <f t="shared" si="378"/>
        <v>-2</v>
      </c>
      <c r="AG382" s="2">
        <f t="shared" si="395"/>
        <v>0.16500000000000001</v>
      </c>
      <c r="AH382" s="2">
        <f t="shared" si="342"/>
        <v>0</v>
      </c>
      <c r="AI382" s="2">
        <v>9000</v>
      </c>
      <c r="AJ382" s="2">
        <v>0.05</v>
      </c>
      <c r="AK382" s="76">
        <f t="shared" si="379"/>
        <v>0.27534879896655062</v>
      </c>
      <c r="AL382" s="76">
        <f t="shared" si="380"/>
        <v>1</v>
      </c>
      <c r="AM382" s="2">
        <f t="shared" si="343"/>
        <v>0.04</v>
      </c>
      <c r="AN382" s="2">
        <f t="shared" si="344"/>
        <v>0.05</v>
      </c>
      <c r="AO382" s="2">
        <v>-0.42030000000000001</v>
      </c>
      <c r="AP382" s="2">
        <f t="shared" si="345"/>
        <v>-0.62664036600042006</v>
      </c>
      <c r="AQ382" s="2">
        <f t="shared" si="346"/>
        <v>-0.42030000000000001</v>
      </c>
      <c r="AR382" s="2">
        <v>82</v>
      </c>
      <c r="AS382" s="2">
        <v>0.44</v>
      </c>
      <c r="AT382" s="2">
        <f t="shared" si="347"/>
        <v>8.6376922184507848E-2</v>
      </c>
      <c r="AU382" s="2">
        <f t="shared" si="348"/>
        <v>0.44</v>
      </c>
      <c r="AV382" s="2">
        <v>10200</v>
      </c>
      <c r="AW382" s="2">
        <v>-0.03</v>
      </c>
      <c r="AX382" s="2">
        <f t="shared" si="349"/>
        <v>-0.49778864706458925</v>
      </c>
      <c r="AY382" s="2">
        <f t="shared" si="350"/>
        <v>-0.03</v>
      </c>
      <c r="AZ382" s="2">
        <v>-1.19958073200084</v>
      </c>
      <c r="BA382" s="78">
        <f t="shared" si="381"/>
        <v>-1.2532807320008401</v>
      </c>
      <c r="BB382" s="78">
        <f t="shared" si="382"/>
        <v>-2</v>
      </c>
      <c r="BC382" s="2" t="str">
        <f t="shared" si="351"/>
        <v/>
      </c>
      <c r="BD382" s="2">
        <f t="shared" si="352"/>
        <v>-1.19958073200084</v>
      </c>
      <c r="BE382" s="67">
        <f t="shared" si="383"/>
        <v>7</v>
      </c>
      <c r="BF382" s="2">
        <v>86</v>
      </c>
      <c r="BG382" s="2">
        <v>0.1727538443690157</v>
      </c>
      <c r="BH382" s="2" t="str">
        <f t="shared" si="353"/>
        <v/>
      </c>
      <c r="BI382" s="2">
        <f t="shared" si="354"/>
        <v>0.1727538443690157</v>
      </c>
      <c r="BJ382" s="67">
        <f t="shared" si="355"/>
        <v>7</v>
      </c>
      <c r="BK382" s="2">
        <v>11000</v>
      </c>
      <c r="BL382" s="2">
        <v>-0.94557729412917846</v>
      </c>
      <c r="BM382" s="77">
        <f t="shared" si="384"/>
        <v>-0.9955772941291785</v>
      </c>
      <c r="BN382" s="77">
        <f t="shared" si="385"/>
        <v>-2</v>
      </c>
      <c r="BO382" s="2" t="str">
        <f t="shared" si="356"/>
        <v/>
      </c>
      <c r="BP382" s="2">
        <f t="shared" si="357"/>
        <v>-0.94557729412917846</v>
      </c>
      <c r="BQ382" s="67">
        <f t="shared" si="386"/>
        <v>7</v>
      </c>
      <c r="BS382" s="75" t="str">
        <f t="shared" si="387"/>
        <v>UF</v>
      </c>
      <c r="BT382" s="75" t="str">
        <f t="shared" si="388"/>
        <v>UF</v>
      </c>
      <c r="BU382" s="5" t="str">
        <f>IF(G390&gt;=36, IF(AND(NOT(ISBLANK(CM:CM)), NOT(ISBLANK(BD:BD))), (CM:CM-BD:BD)/2, ""), "UF")</f>
        <v>UF</v>
      </c>
      <c r="BV382" s="5" t="str">
        <f t="shared" si="358"/>
        <v>UF</v>
      </c>
      <c r="BW382" s="69" t="str">
        <f t="shared" si="359"/>
        <v/>
      </c>
      <c r="BX382" s="2" t="s">
        <v>12</v>
      </c>
      <c r="BZ382" s="74" t="str">
        <f t="shared" si="389"/>
        <v>UF</v>
      </c>
      <c r="CA382" s="74" t="str">
        <f t="shared" si="390"/>
        <v>UF</v>
      </c>
      <c r="CB382" s="5" t="str">
        <f t="shared" si="360"/>
        <v>UF</v>
      </c>
      <c r="CC382" s="5" t="str">
        <f t="shared" si="361"/>
        <v>UF</v>
      </c>
      <c r="CD382" s="2" t="e">
        <f t="shared" si="362"/>
        <v>#VALUE!</v>
      </c>
      <c r="CE382" s="69" t="str">
        <f t="shared" si="363"/>
        <v/>
      </c>
      <c r="CF382" s="5" t="s">
        <v>12</v>
      </c>
      <c r="CH382" s="72" t="str">
        <f t="shared" si="391"/>
        <v>UF</v>
      </c>
      <c r="CI382" s="72" t="str">
        <f t="shared" si="392"/>
        <v>UF</v>
      </c>
      <c r="CJ382" s="5" t="str">
        <f t="shared" si="364"/>
        <v>UF</v>
      </c>
      <c r="CK382" s="5" t="str">
        <f t="shared" si="365"/>
        <v>UF</v>
      </c>
      <c r="CL382" s="69" t="str">
        <f t="shared" si="366"/>
        <v/>
      </c>
      <c r="CN382" s="70" t="str">
        <f t="shared" si="367"/>
        <v/>
      </c>
      <c r="CO382" s="5" t="str">
        <f t="shared" si="368"/>
        <v>UF</v>
      </c>
      <c r="CP382" s="5" t="str">
        <f>IF(G382&lt;48,"UF", IF(NOT(ISBLANK(CM:CM)), CM:CM, IF(BW:BW=1, BV:BV+Sheet2!B404, IF(Sheet1!BW:BW=2, Sheet1!BV:BV+Sheet2!B405, IF(Sheet1!BW:BW=7, Sheet1!BV:BV+Sheet2!B406,"")))))</f>
        <v>UF</v>
      </c>
      <c r="CQ382" s="69" t="str">
        <f t="shared" si="393"/>
        <v/>
      </c>
      <c r="CR382" s="5" t="s">
        <v>12</v>
      </c>
      <c r="CT382" s="5" t="str">
        <f t="shared" si="369"/>
        <v/>
      </c>
      <c r="CU382" s="80" t="str">
        <f t="shared" si="370"/>
        <v>UF</v>
      </c>
      <c r="CV382" s="80" t="str">
        <f t="shared" si="371"/>
        <v>UF</v>
      </c>
      <c r="CW382" s="20" t="str">
        <f>IF(G382&lt;48,"UF", IF(NOT(ISBLANK(CS382)), CS382, IF(CE382=5, CC382+Sheet2!B393, IF(CE382=6, CC382+Sheet2!B394, IF(CE382=7, CC382+Sheet2!B395,"")))))</f>
        <v>UF</v>
      </c>
      <c r="CX382" s="68" t="str">
        <f t="shared" si="394"/>
        <v/>
      </c>
      <c r="CY382" s="5" t="s">
        <v>12</v>
      </c>
      <c r="DA382" s="5" t="str">
        <f t="shared" si="372"/>
        <v>UF</v>
      </c>
      <c r="DB382" s="73" t="str">
        <f t="shared" si="373"/>
        <v>UF</v>
      </c>
      <c r="DC382" s="73" t="str">
        <f t="shared" si="374"/>
        <v>UF</v>
      </c>
      <c r="DD382" s="5" t="str">
        <f>IF(G382&lt;48,"UF", IF(NOT(ISBLANK(CZ:CZ)), CZ:CZ, IF(CL:CL=3, CK:CK+Sheet2!B398, IF(CL:CL=4, CK:CK+Sheet2!B399, IF(CL:CL=7, CK:CK+Sheet2!B400,"")))))</f>
        <v>UF</v>
      </c>
      <c r="DE382" s="69" t="str">
        <f t="shared" si="397"/>
        <v/>
      </c>
      <c r="DF382" s="2">
        <v>1</v>
      </c>
      <c r="DG382" s="2">
        <v>28</v>
      </c>
      <c r="DH382" s="2">
        <v>1</v>
      </c>
      <c r="DI382" s="2">
        <v>1</v>
      </c>
      <c r="DJ382" s="2">
        <v>2</v>
      </c>
      <c r="DK382" s="2">
        <v>110</v>
      </c>
      <c r="DL382" s="2">
        <v>60</v>
      </c>
      <c r="DM382" s="2">
        <v>110</v>
      </c>
      <c r="DN382" s="2">
        <v>60</v>
      </c>
      <c r="DO382" s="2">
        <v>110</v>
      </c>
      <c r="DP382" s="2">
        <v>60</v>
      </c>
      <c r="DQ382" s="2">
        <v>2</v>
      </c>
      <c r="DR382" s="2">
        <v>38</v>
      </c>
      <c r="DS382" s="2">
        <v>1</v>
      </c>
      <c r="DT382" s="2">
        <v>93</v>
      </c>
      <c r="DU382" s="2">
        <v>87</v>
      </c>
      <c r="DV382" s="2">
        <v>2</v>
      </c>
      <c r="DW382" s="2">
        <v>2</v>
      </c>
      <c r="DX382" s="2">
        <v>2</v>
      </c>
      <c r="DY382" s="2">
        <v>2</v>
      </c>
      <c r="DZ382" s="2">
        <v>35</v>
      </c>
      <c r="EA382" s="2">
        <v>36</v>
      </c>
      <c r="EB382" s="2">
        <v>46</v>
      </c>
      <c r="EC382" s="2">
        <v>1</v>
      </c>
      <c r="ED382" s="2">
        <v>1</v>
      </c>
    </row>
    <row r="383" spans="3:134" x14ac:dyDescent="0.25">
      <c r="C383" s="8" t="s">
        <v>166</v>
      </c>
      <c r="D383" s="8">
        <v>2501056450</v>
      </c>
      <c r="E383" s="5">
        <v>7</v>
      </c>
      <c r="F383" s="2">
        <v>1</v>
      </c>
      <c r="G383" s="2">
        <v>26</v>
      </c>
      <c r="H383" s="2">
        <v>0.82563718360109473</v>
      </c>
      <c r="I383" s="2">
        <v>50</v>
      </c>
      <c r="J383" s="2">
        <v>0.45756143734440202</v>
      </c>
      <c r="K383" s="2">
        <v>3600</v>
      </c>
      <c r="L383" s="2">
        <v>0.77632791249600197</v>
      </c>
      <c r="N383" s="2">
        <f t="shared" si="334"/>
        <v>-0.44946859180054738</v>
      </c>
      <c r="O383" s="2">
        <f t="shared" si="335"/>
        <v>0.37616859180054735</v>
      </c>
      <c r="P383" s="2" t="s">
        <v>12</v>
      </c>
      <c r="R383" s="5">
        <f t="shared" si="336"/>
        <v>-0.22878071867220101</v>
      </c>
      <c r="S383" s="5">
        <f t="shared" si="337"/>
        <v>0.22878071867220101</v>
      </c>
      <c r="T383" s="2" t="s">
        <v>12</v>
      </c>
      <c r="V383" s="2">
        <f t="shared" si="338"/>
        <v>-0.408163956248001</v>
      </c>
      <c r="W383" s="2">
        <f t="shared" si="339"/>
        <v>0.36816395624800097</v>
      </c>
      <c r="X383" s="2">
        <v>-7.3300000000000004E-2</v>
      </c>
      <c r="Y383" s="76">
        <f t="shared" si="375"/>
        <v>-0.89893718360109476</v>
      </c>
      <c r="Z383" s="76">
        <f t="shared" si="376"/>
        <v>-2</v>
      </c>
      <c r="AA383" s="2">
        <f t="shared" si="340"/>
        <v>-0.66569035933610055</v>
      </c>
      <c r="AB383" s="2">
        <f t="shared" si="341"/>
        <v>-7.3300000000000004E-2</v>
      </c>
      <c r="AC383" s="2">
        <v>74</v>
      </c>
      <c r="AD383" s="2">
        <v>0</v>
      </c>
      <c r="AE383" s="79">
        <f t="shared" si="377"/>
        <v>-0.45756143734440202</v>
      </c>
      <c r="AF383" s="79">
        <f t="shared" si="378"/>
        <v>-1</v>
      </c>
      <c r="AG383" s="2">
        <f t="shared" si="395"/>
        <v>-6.4390359336100503E-2</v>
      </c>
      <c r="AH383" s="2">
        <f t="shared" si="342"/>
        <v>0</v>
      </c>
      <c r="AI383" s="2">
        <v>8900</v>
      </c>
      <c r="AJ383" s="2">
        <v>-0.04</v>
      </c>
      <c r="AK383" s="76">
        <f t="shared" si="379"/>
        <v>-0.81632791249600201</v>
      </c>
      <c r="AL383" s="76">
        <f t="shared" si="380"/>
        <v>-2</v>
      </c>
      <c r="AM383" s="2">
        <f t="shared" si="343"/>
        <v>-0.53408197812400049</v>
      </c>
      <c r="AN383" s="2">
        <f t="shared" si="344"/>
        <v>-0.04</v>
      </c>
      <c r="AO383" s="2">
        <v>-1.1026</v>
      </c>
      <c r="AP383" s="2">
        <f t="shared" si="345"/>
        <v>-0.28089950232655575</v>
      </c>
      <c r="AQ383" s="2">
        <f t="shared" si="346"/>
        <v>-1.1026</v>
      </c>
      <c r="AR383" s="2">
        <v>81</v>
      </c>
      <c r="AS383" s="2">
        <v>0.1</v>
      </c>
      <c r="AT383" s="2">
        <f t="shared" si="347"/>
        <v>8.6376922184507848E-2</v>
      </c>
      <c r="AU383" s="2">
        <f t="shared" si="348"/>
        <v>0.1</v>
      </c>
      <c r="AV383" s="2">
        <v>9400</v>
      </c>
      <c r="AW383" s="2">
        <v>-0.7</v>
      </c>
      <c r="AX383" s="2">
        <f t="shared" si="349"/>
        <v>-0.23436101425682296</v>
      </c>
      <c r="AY383" s="2">
        <f t="shared" si="350"/>
        <v>-0.7</v>
      </c>
      <c r="AZ383" s="2">
        <v>-0.63509900465311153</v>
      </c>
      <c r="BA383" s="78">
        <f t="shared" si="381"/>
        <v>-0.5617990046531115</v>
      </c>
      <c r="BB383" s="78">
        <f t="shared" si="382"/>
        <v>-1</v>
      </c>
      <c r="BC383" s="2" t="str">
        <f t="shared" si="351"/>
        <v/>
      </c>
      <c r="BD383" s="2">
        <f t="shared" si="352"/>
        <v>-0.63509900465311153</v>
      </c>
      <c r="BE383" s="67">
        <f t="shared" si="383"/>
        <v>7</v>
      </c>
      <c r="BF383" s="2">
        <v>86</v>
      </c>
      <c r="BG383" s="2">
        <v>0.1727538443690157</v>
      </c>
      <c r="BH383" s="2" t="str">
        <f t="shared" si="353"/>
        <v/>
      </c>
      <c r="BI383" s="2">
        <f t="shared" si="354"/>
        <v>0.1727538443690157</v>
      </c>
      <c r="BJ383" s="67">
        <f t="shared" si="355"/>
        <v>7</v>
      </c>
      <c r="BK383" s="2">
        <v>11500</v>
      </c>
      <c r="BL383" s="2">
        <v>-0.5087220285136459</v>
      </c>
      <c r="BM383" s="77">
        <f t="shared" si="384"/>
        <v>-0.46872202851364592</v>
      </c>
      <c r="BN383" s="77">
        <f t="shared" si="385"/>
        <v>-1</v>
      </c>
      <c r="BO383" s="2" t="str">
        <f t="shared" si="356"/>
        <v/>
      </c>
      <c r="BP383" s="2">
        <f t="shared" si="357"/>
        <v>-0.5087220285136459</v>
      </c>
      <c r="BQ383" s="67">
        <f t="shared" si="386"/>
        <v>7</v>
      </c>
      <c r="BS383" s="75" t="str">
        <f t="shared" si="387"/>
        <v>UF</v>
      </c>
      <c r="BT383" s="75" t="str">
        <f t="shared" si="388"/>
        <v>UF</v>
      </c>
      <c r="BU383" s="5" t="str">
        <f>IF(G391&gt;=36, IF(AND(NOT(ISBLANK(CM:CM)), NOT(ISBLANK(BD:BD))), (CM:CM-BD:BD)/2, ""), "UF")</f>
        <v>UF</v>
      </c>
      <c r="BV383" s="5" t="str">
        <f t="shared" si="358"/>
        <v>UF</v>
      </c>
      <c r="BW383" s="69" t="str">
        <f t="shared" si="359"/>
        <v/>
      </c>
      <c r="BX383" s="2" t="s">
        <v>12</v>
      </c>
      <c r="BZ383" s="74" t="str">
        <f t="shared" si="389"/>
        <v>UF</v>
      </c>
      <c r="CA383" s="74" t="str">
        <f t="shared" si="390"/>
        <v>UF</v>
      </c>
      <c r="CB383" s="5" t="str">
        <f t="shared" si="360"/>
        <v>UF</v>
      </c>
      <c r="CC383" s="5" t="str">
        <f t="shared" si="361"/>
        <v>UF</v>
      </c>
      <c r="CD383" s="2" t="e">
        <f t="shared" si="362"/>
        <v>#VALUE!</v>
      </c>
      <c r="CE383" s="69" t="str">
        <f t="shared" si="363"/>
        <v/>
      </c>
      <c r="CF383" s="5" t="s">
        <v>12</v>
      </c>
      <c r="CH383" s="72" t="str">
        <f t="shared" si="391"/>
        <v>UF</v>
      </c>
      <c r="CI383" s="72" t="str">
        <f t="shared" si="392"/>
        <v>UF</v>
      </c>
      <c r="CJ383" s="5" t="str">
        <f t="shared" si="364"/>
        <v>UF</v>
      </c>
      <c r="CK383" s="5" t="str">
        <f t="shared" si="365"/>
        <v>UF</v>
      </c>
      <c r="CL383" s="69" t="str">
        <f t="shared" si="366"/>
        <v/>
      </c>
      <c r="CN383" s="70" t="str">
        <f t="shared" si="367"/>
        <v/>
      </c>
      <c r="CO383" s="5" t="str">
        <f t="shared" si="368"/>
        <v>UF</v>
      </c>
      <c r="CP383" s="5" t="str">
        <f>IF(G383&lt;48,"UF", IF(NOT(ISBLANK(CM:CM)), CM:CM, IF(BW:BW=1, BV:BV+Sheet2!B494, IF(Sheet1!BW:BW=2, Sheet1!BV:BV+Sheet2!B495, IF(Sheet1!BW:BW=7, Sheet1!BV:BV+Sheet2!B496,"")))))</f>
        <v>UF</v>
      </c>
      <c r="CQ383" s="69" t="str">
        <f t="shared" si="393"/>
        <v/>
      </c>
      <c r="CR383" s="5" t="s">
        <v>12</v>
      </c>
      <c r="CT383" s="5" t="str">
        <f t="shared" si="369"/>
        <v/>
      </c>
      <c r="CU383" s="80" t="str">
        <f t="shared" si="370"/>
        <v>UF</v>
      </c>
      <c r="CV383" s="80" t="str">
        <f t="shared" si="371"/>
        <v>UF</v>
      </c>
      <c r="CW383" s="20" t="str">
        <f>IF(G383&lt;48,"UF", IF(NOT(ISBLANK(CS383)), CS383, IF(CE383=5, CC383+Sheet2!B483, IF(CE383=6, CC383+Sheet2!B484, IF(CE383=7, CC383+Sheet2!B485,"")))))</f>
        <v>UF</v>
      </c>
      <c r="CX383" s="68" t="str">
        <f t="shared" si="394"/>
        <v/>
      </c>
      <c r="CY383" s="5" t="s">
        <v>12</v>
      </c>
      <c r="DA383" s="5" t="str">
        <f t="shared" si="372"/>
        <v>UF</v>
      </c>
      <c r="DB383" s="73" t="str">
        <f t="shared" si="373"/>
        <v>UF</v>
      </c>
      <c r="DC383" s="73" t="str">
        <f t="shared" si="374"/>
        <v>UF</v>
      </c>
      <c r="DD383" s="5" t="str">
        <f>IF(G383&lt;48,"UF", IF(NOT(ISBLANK(CZ:CZ)), CZ:CZ, IF(CL:CL=3, CK:CK+Sheet2!B488, IF(CL:CL=4, CK:CK+Sheet2!B489, IF(CL:CL=7, CK:CK+Sheet2!B490,"")))))</f>
        <v>UF</v>
      </c>
      <c r="DE383" s="69" t="str">
        <f t="shared" si="397"/>
        <v/>
      </c>
      <c r="DF383" s="2">
        <v>2</v>
      </c>
      <c r="DG383" s="2">
        <v>35</v>
      </c>
      <c r="DH383" s="2">
        <v>2</v>
      </c>
      <c r="DI383" s="2">
        <v>2</v>
      </c>
      <c r="DJ383" s="2">
        <v>2</v>
      </c>
      <c r="DK383" s="2">
        <v>110</v>
      </c>
      <c r="DL383" s="2">
        <v>60</v>
      </c>
      <c r="DM383" s="2" t="s">
        <v>12</v>
      </c>
      <c r="DN383" s="2" t="s">
        <v>12</v>
      </c>
      <c r="DO383" s="2" t="s">
        <v>12</v>
      </c>
      <c r="DP383" s="2" t="s">
        <v>12</v>
      </c>
      <c r="DQ383" s="2">
        <v>2</v>
      </c>
      <c r="DR383" s="2">
        <v>40</v>
      </c>
      <c r="DS383" s="2">
        <v>2</v>
      </c>
      <c r="DT383" s="2">
        <v>77</v>
      </c>
      <c r="DU383" s="2">
        <v>83</v>
      </c>
      <c r="DV383" s="2">
        <v>2</v>
      </c>
      <c r="DW383" s="2">
        <v>4</v>
      </c>
      <c r="DX383" s="2">
        <v>4</v>
      </c>
      <c r="DY383" s="2">
        <v>3</v>
      </c>
      <c r="DZ383" s="2">
        <v>33</v>
      </c>
      <c r="EA383" s="2">
        <v>36</v>
      </c>
      <c r="EB383" s="2">
        <v>45</v>
      </c>
      <c r="EC383" s="2">
        <v>1</v>
      </c>
      <c r="ED383" s="2">
        <v>1</v>
      </c>
    </row>
    <row r="384" spans="3:134" x14ac:dyDescent="0.25">
      <c r="C384" s="8" t="s">
        <v>183</v>
      </c>
      <c r="D384" s="8">
        <v>2501056523</v>
      </c>
      <c r="E384" s="5">
        <v>7</v>
      </c>
      <c r="F384" s="2">
        <v>2</v>
      </c>
      <c r="G384" s="2">
        <v>25</v>
      </c>
      <c r="H384" s="2">
        <v>-0.43034021162035158</v>
      </c>
      <c r="I384" s="2">
        <v>52</v>
      </c>
      <c r="J384" s="2">
        <v>1.117633928075521</v>
      </c>
      <c r="K384" s="2">
        <v>3480</v>
      </c>
      <c r="L384" s="2">
        <v>0.26993260059024082</v>
      </c>
      <c r="M384" s="2">
        <v>-2.0573999999999999</v>
      </c>
      <c r="N384" s="2">
        <f t="shared" si="334"/>
        <v>4.9170105810175779E-2</v>
      </c>
      <c r="O384" s="2">
        <f t="shared" si="335"/>
        <v>-2.0573999999999999</v>
      </c>
      <c r="P384" s="2">
        <v>71</v>
      </c>
      <c r="Q384" s="2">
        <v>1.57</v>
      </c>
      <c r="R384" s="5">
        <f t="shared" si="336"/>
        <v>-0.50381696403776044</v>
      </c>
      <c r="S384" s="5">
        <f t="shared" si="337"/>
        <v>1.57</v>
      </c>
      <c r="T384" s="2">
        <v>7400</v>
      </c>
      <c r="U384" s="2">
        <v>-0.64</v>
      </c>
      <c r="V384" s="2">
        <f t="shared" si="338"/>
        <v>-0.22996630029512041</v>
      </c>
      <c r="W384" s="2">
        <f t="shared" si="339"/>
        <v>-0.64</v>
      </c>
      <c r="X384" s="2">
        <v>-0.33200000000000002</v>
      </c>
      <c r="Y384" s="76">
        <f t="shared" si="375"/>
        <v>9.8340211620351559E-2</v>
      </c>
      <c r="Z384" s="76">
        <f t="shared" si="376"/>
        <v>1</v>
      </c>
      <c r="AA384" s="2">
        <f t="shared" si="340"/>
        <v>-1.5863</v>
      </c>
      <c r="AB384" s="2">
        <f t="shared" si="341"/>
        <v>-0.33200000000000002</v>
      </c>
      <c r="AC384" s="2">
        <v>76</v>
      </c>
      <c r="AD384" s="2">
        <v>0.11</v>
      </c>
      <c r="AE384" s="79">
        <f t="shared" si="377"/>
        <v>-1.0076339280755209</v>
      </c>
      <c r="AF384" s="79">
        <f t="shared" si="378"/>
        <v>-2</v>
      </c>
      <c r="AG384" s="2">
        <f t="shared" si="395"/>
        <v>-0.37000000000000005</v>
      </c>
      <c r="AH384" s="2">
        <f t="shared" si="342"/>
        <v>0.11</v>
      </c>
      <c r="AI384" s="2">
        <v>9450</v>
      </c>
      <c r="AJ384" s="2">
        <v>-0.19</v>
      </c>
      <c r="AK384" s="76">
        <f t="shared" si="379"/>
        <v>-0.45993260059024083</v>
      </c>
      <c r="AL384" s="76">
        <f t="shared" si="380"/>
        <v>-1</v>
      </c>
      <c r="AM384" s="2">
        <f t="shared" si="343"/>
        <v>5.0000000000000044E-3</v>
      </c>
      <c r="AN384" s="2">
        <f t="shared" si="344"/>
        <v>-0.19</v>
      </c>
      <c r="AO384" s="2">
        <v>-1.6026</v>
      </c>
      <c r="AP384" s="2">
        <f t="shared" si="345"/>
        <v>-0.61509661281649841</v>
      </c>
      <c r="AQ384" s="2">
        <f t="shared" si="346"/>
        <v>-1.6026</v>
      </c>
      <c r="AR384" s="2">
        <v>84.5</v>
      </c>
      <c r="AS384" s="2">
        <v>0.83</v>
      </c>
      <c r="AT384" s="2">
        <f t="shared" si="347"/>
        <v>-3.5279539001440215E-2</v>
      </c>
      <c r="AU384" s="2">
        <f t="shared" si="348"/>
        <v>0.83</v>
      </c>
      <c r="AV384" s="2">
        <v>10200</v>
      </c>
      <c r="AW384" s="2">
        <v>-0.63</v>
      </c>
      <c r="AX384" s="2">
        <f t="shared" si="349"/>
        <v>-0.50949231946146301</v>
      </c>
      <c r="AY384" s="2">
        <f t="shared" si="350"/>
        <v>-0.63</v>
      </c>
      <c r="AZ384" s="2">
        <v>-1.5621932256329969</v>
      </c>
      <c r="BA384" s="78">
        <f t="shared" si="381"/>
        <v>-1.2301932256329968</v>
      </c>
      <c r="BB384" s="78">
        <f t="shared" si="382"/>
        <v>-2</v>
      </c>
      <c r="BC384" s="2" t="str">
        <f t="shared" si="351"/>
        <v/>
      </c>
      <c r="BD384" s="2">
        <f t="shared" si="352"/>
        <v>-1.5621932256329969</v>
      </c>
      <c r="BE384" s="67">
        <f t="shared" si="383"/>
        <v>7</v>
      </c>
      <c r="BF384" s="2">
        <v>87</v>
      </c>
      <c r="BG384" s="2">
        <v>3.9440921997119571E-2</v>
      </c>
      <c r="BH384" s="2" t="str">
        <f t="shared" si="353"/>
        <v/>
      </c>
      <c r="BI384" s="2">
        <f t="shared" si="354"/>
        <v>3.9440921997119571E-2</v>
      </c>
      <c r="BJ384" s="67">
        <f t="shared" si="355"/>
        <v>7</v>
      </c>
      <c r="BK384" s="2">
        <v>11200</v>
      </c>
      <c r="BL384" s="2">
        <v>-1.208984638922926</v>
      </c>
      <c r="BM384" s="77">
        <f t="shared" si="384"/>
        <v>-1.018984638922926</v>
      </c>
      <c r="BN384" s="77">
        <f t="shared" si="385"/>
        <v>-2</v>
      </c>
      <c r="BO384" s="2" t="str">
        <f t="shared" si="356"/>
        <v/>
      </c>
      <c r="BP384" s="2">
        <f t="shared" si="357"/>
        <v>-1.208984638922926</v>
      </c>
      <c r="BQ384" s="67">
        <f t="shared" si="386"/>
        <v>7</v>
      </c>
      <c r="BS384" s="75" t="str">
        <f t="shared" si="387"/>
        <v>UF</v>
      </c>
      <c r="BT384" s="75" t="str">
        <f t="shared" si="388"/>
        <v>UF</v>
      </c>
      <c r="BU384" s="5" t="str">
        <f>IF(G392&gt;=36, IF(AND(NOT(ISBLANK(CM:CM)), NOT(ISBLANK(BD:BD))), (CM:CM-BD:BD)/2, ""), "UF")</f>
        <v>UF</v>
      </c>
      <c r="BV384" s="5" t="str">
        <f t="shared" si="358"/>
        <v>UF</v>
      </c>
      <c r="BW384" s="69" t="str">
        <f t="shared" si="359"/>
        <v/>
      </c>
      <c r="BX384" s="2" t="s">
        <v>12</v>
      </c>
      <c r="BZ384" s="74" t="str">
        <f t="shared" si="389"/>
        <v>UF</v>
      </c>
      <c r="CA384" s="74" t="str">
        <f t="shared" si="390"/>
        <v>UF</v>
      </c>
      <c r="CB384" s="5" t="str">
        <f t="shared" si="360"/>
        <v>UF</v>
      </c>
      <c r="CC384" s="5" t="str">
        <f t="shared" si="361"/>
        <v>UF</v>
      </c>
      <c r="CD384" s="2" t="e">
        <f t="shared" si="362"/>
        <v>#VALUE!</v>
      </c>
      <c r="CE384" s="69" t="str">
        <f t="shared" si="363"/>
        <v/>
      </c>
      <c r="CF384" s="5" t="s">
        <v>12</v>
      </c>
      <c r="CH384" s="72" t="str">
        <f t="shared" si="391"/>
        <v>UF</v>
      </c>
      <c r="CI384" s="72" t="str">
        <f t="shared" si="392"/>
        <v>UF</v>
      </c>
      <c r="CJ384" s="5" t="str">
        <f t="shared" si="364"/>
        <v>UF</v>
      </c>
      <c r="CK384" s="5" t="str">
        <f t="shared" si="365"/>
        <v>UF</v>
      </c>
      <c r="CL384" s="69" t="str">
        <f t="shared" si="366"/>
        <v/>
      </c>
      <c r="CN384" s="70" t="str">
        <f t="shared" si="367"/>
        <v/>
      </c>
      <c r="CO384" s="5" t="str">
        <f t="shared" si="368"/>
        <v>UF</v>
      </c>
      <c r="CP384" s="5" t="str">
        <f>IF(G384&lt;48,"UF", IF(NOT(ISBLANK(CM:CM)), CM:CM, IF(BW:BW=1, BV:BV+Sheet2!B519, IF(Sheet1!BW:BW=2, Sheet1!BV:BV+Sheet2!B520, IF(Sheet1!BW:BW=7, Sheet1!BV:BV+Sheet2!B521,"")))))</f>
        <v>UF</v>
      </c>
      <c r="CQ384" s="69" t="str">
        <f t="shared" si="393"/>
        <v/>
      </c>
      <c r="CR384" s="5" t="s">
        <v>12</v>
      </c>
      <c r="CT384" s="5" t="str">
        <f t="shared" si="369"/>
        <v/>
      </c>
      <c r="CU384" s="80" t="str">
        <f t="shared" si="370"/>
        <v>UF</v>
      </c>
      <c r="CV384" s="80" t="str">
        <f t="shared" si="371"/>
        <v>UF</v>
      </c>
      <c r="CW384" s="20" t="str">
        <f>IF(G384&lt;48,"UF", IF(NOT(ISBLANK(CS384)), CS384, IF(CE384=5, CC384+Sheet2!B508, IF(CE384=6, CC384+Sheet2!B509, IF(CE384=7, CC384+Sheet2!B510,"")))))</f>
        <v>UF</v>
      </c>
      <c r="CX384" s="68" t="str">
        <f t="shared" si="394"/>
        <v/>
      </c>
      <c r="CY384" s="5" t="s">
        <v>12</v>
      </c>
      <c r="DA384" s="5" t="str">
        <f t="shared" si="372"/>
        <v>UF</v>
      </c>
      <c r="DB384" s="73" t="str">
        <f t="shared" si="373"/>
        <v>UF</v>
      </c>
      <c r="DC384" s="73" t="str">
        <f t="shared" si="374"/>
        <v>UF</v>
      </c>
      <c r="DD384" s="5" t="str">
        <f>IF(G384&lt;48,"UF", IF(NOT(ISBLANK(CZ:CZ)), CZ:CZ, IF(CL:CL=3, CK:CK+Sheet2!B513, IF(CL:CL=4, CK:CK+Sheet2!B514, IF(CL:CL=7, CK:CK+Sheet2!B515,"")))))</f>
        <v>UF</v>
      </c>
      <c r="DE384" s="69" t="str">
        <f t="shared" si="397"/>
        <v/>
      </c>
      <c r="DF384" s="2">
        <v>2</v>
      </c>
      <c r="DG384" s="2">
        <v>26</v>
      </c>
      <c r="DH384" s="2">
        <v>2</v>
      </c>
      <c r="DI384" s="2">
        <v>2</v>
      </c>
      <c r="DJ384" s="2">
        <v>2</v>
      </c>
      <c r="DK384" s="2">
        <v>109</v>
      </c>
      <c r="DL384" s="2">
        <v>69</v>
      </c>
      <c r="DM384" s="2">
        <v>100</v>
      </c>
      <c r="DN384" s="2">
        <v>60</v>
      </c>
      <c r="DO384" s="2">
        <v>109</v>
      </c>
      <c r="DP384" s="2">
        <v>65</v>
      </c>
      <c r="DQ384" s="2">
        <v>2</v>
      </c>
      <c r="DR384" s="2">
        <v>41</v>
      </c>
      <c r="DS384" s="2">
        <v>1</v>
      </c>
      <c r="DT384" s="2">
        <v>97</v>
      </c>
      <c r="DU384" s="2">
        <v>86</v>
      </c>
      <c r="DV384" s="2">
        <v>2</v>
      </c>
      <c r="DW384" s="2">
        <v>2</v>
      </c>
      <c r="DX384" s="2">
        <v>2</v>
      </c>
      <c r="DY384" s="2">
        <v>2</v>
      </c>
      <c r="DZ384" s="2">
        <v>35</v>
      </c>
      <c r="EA384" s="2">
        <v>35.5</v>
      </c>
      <c r="EB384" s="2">
        <v>46</v>
      </c>
      <c r="EC384" s="2">
        <v>1</v>
      </c>
      <c r="ED384" s="2">
        <v>1</v>
      </c>
    </row>
    <row r="385" spans="2:134" x14ac:dyDescent="0.25">
      <c r="C385" s="8" t="s">
        <v>199</v>
      </c>
      <c r="D385" s="4">
        <v>2501056531</v>
      </c>
      <c r="E385" s="5">
        <v>7</v>
      </c>
      <c r="F385" s="2">
        <v>2</v>
      </c>
      <c r="G385" s="2">
        <v>34</v>
      </c>
      <c r="H385" s="2">
        <v>-3.0364732758827069E-2</v>
      </c>
      <c r="I385" s="2">
        <v>48</v>
      </c>
      <c r="J385" s="2">
        <v>-0.99529637274036198</v>
      </c>
      <c r="K385" s="2">
        <v>3080</v>
      </c>
      <c r="L385" s="2">
        <v>-0.5599727996542323</v>
      </c>
      <c r="M385" s="2">
        <v>2.1429999999999998</v>
      </c>
      <c r="N385" s="2">
        <f t="shared" si="334"/>
        <v>0.35398236637941355</v>
      </c>
      <c r="O385" s="2">
        <f t="shared" si="335"/>
        <v>2.1429999999999998</v>
      </c>
      <c r="P385" s="2">
        <v>64</v>
      </c>
      <c r="Q385" s="2">
        <v>-1.7</v>
      </c>
      <c r="R385" s="5">
        <f t="shared" si="336"/>
        <v>-0.28735181362981904</v>
      </c>
      <c r="S385" s="5">
        <f t="shared" si="337"/>
        <v>-1.7</v>
      </c>
      <c r="T385" s="2">
        <v>8500</v>
      </c>
      <c r="U385" s="2">
        <v>0.63</v>
      </c>
      <c r="V385" s="2">
        <f t="shared" si="338"/>
        <v>6.4986399827116154E-2</v>
      </c>
      <c r="W385" s="2">
        <f t="shared" si="339"/>
        <v>0.63</v>
      </c>
      <c r="X385" s="2">
        <v>0.67759999999999998</v>
      </c>
      <c r="Y385" s="76">
        <f t="shared" si="375"/>
        <v>0.7079647327588271</v>
      </c>
      <c r="Z385" s="76">
        <f t="shared" si="376"/>
        <v>2</v>
      </c>
      <c r="AA385" s="2" t="str">
        <f t="shared" si="340"/>
        <v/>
      </c>
      <c r="AB385" s="2">
        <f t="shared" si="341"/>
        <v>0.67759999999999998</v>
      </c>
      <c r="AC385" s="2">
        <v>72</v>
      </c>
      <c r="AD385" s="2">
        <v>-1.57</v>
      </c>
      <c r="AE385" s="79">
        <f t="shared" si="377"/>
        <v>-0.57470362725963808</v>
      </c>
      <c r="AF385" s="79">
        <f t="shared" si="378"/>
        <v>-1</v>
      </c>
      <c r="AG385" s="2" t="str">
        <f t="shared" si="395"/>
        <v/>
      </c>
      <c r="AH385" s="2">
        <f t="shared" si="342"/>
        <v>-1.57</v>
      </c>
      <c r="AI385" s="2">
        <v>9200</v>
      </c>
      <c r="AJ385" s="2">
        <v>-0.43</v>
      </c>
      <c r="AK385" s="76">
        <f t="shared" si="379"/>
        <v>0.12997279965423231</v>
      </c>
      <c r="AL385" s="76">
        <f t="shared" si="380"/>
        <v>1</v>
      </c>
      <c r="AM385" s="2" t="str">
        <f t="shared" si="343"/>
        <v/>
      </c>
      <c r="AN385" s="2">
        <f t="shared" si="344"/>
        <v>-0.43</v>
      </c>
      <c r="AP385" s="2">
        <f t="shared" si="345"/>
        <v>-1.0803512493440506</v>
      </c>
      <c r="AQ385" s="2">
        <f t="shared" si="346"/>
        <v>-0.4027512493440506</v>
      </c>
      <c r="AR385" s="2" t="s">
        <v>12</v>
      </c>
      <c r="AT385" s="2">
        <f t="shared" si="347"/>
        <v>0.66222707270927483</v>
      </c>
      <c r="AU385" s="2">
        <f t="shared" si="348"/>
        <v>-0.90777292729072523</v>
      </c>
      <c r="AV385" s="2" t="s">
        <v>12</v>
      </c>
      <c r="AX385" s="2">
        <f t="shared" si="349"/>
        <v>-0.47530871938501107</v>
      </c>
      <c r="AY385" s="2">
        <f t="shared" si="350"/>
        <v>-0.90530871938501112</v>
      </c>
      <c r="AZ385" s="2">
        <v>-1.483102498688101</v>
      </c>
      <c r="BA385" s="78">
        <f t="shared" si="381"/>
        <v>-2.1607024986881012</v>
      </c>
      <c r="BB385" s="78">
        <f t="shared" si="382"/>
        <v>-2</v>
      </c>
      <c r="BC385" s="2" t="str">
        <f t="shared" si="351"/>
        <v/>
      </c>
      <c r="BD385" s="2">
        <f t="shared" si="352"/>
        <v>-1.483102498688101</v>
      </c>
      <c r="BE385" s="67">
        <f t="shared" si="383"/>
        <v>7</v>
      </c>
      <c r="BF385" s="2">
        <v>86</v>
      </c>
      <c r="BG385" s="2">
        <v>-0.24554585458145031</v>
      </c>
      <c r="BH385" s="2" t="str">
        <f t="shared" si="353"/>
        <v/>
      </c>
      <c r="BI385" s="2">
        <f t="shared" si="354"/>
        <v>-0.24554585458145031</v>
      </c>
      <c r="BJ385" s="67">
        <f t="shared" si="355"/>
        <v>7</v>
      </c>
      <c r="BK385" s="2">
        <v>11000</v>
      </c>
      <c r="BL385" s="2">
        <v>-1.3806174387700221</v>
      </c>
      <c r="BM385" s="77">
        <f t="shared" si="384"/>
        <v>-0.95061743877002214</v>
      </c>
      <c r="BN385" s="77">
        <f t="shared" si="385"/>
        <v>-2</v>
      </c>
      <c r="BO385" s="2" t="str">
        <f t="shared" si="356"/>
        <v/>
      </c>
      <c r="BP385" s="2">
        <f t="shared" si="357"/>
        <v>-1.3806174387700221</v>
      </c>
      <c r="BQ385" s="67">
        <f t="shared" si="386"/>
        <v>7</v>
      </c>
      <c r="BS385" s="75" t="str">
        <f t="shared" si="387"/>
        <v>UF</v>
      </c>
      <c r="BT385" s="75" t="str">
        <f t="shared" si="388"/>
        <v>UF</v>
      </c>
      <c r="BU385" s="5" t="e">
        <f>IF(#REF!&gt;=36, IF(AND(NOT(ISBLANK(CM:CM)), NOT(ISBLANK(BD:BD))), (CM:CM-BD:BD)/2, ""), "UF")</f>
        <v>#REF!</v>
      </c>
      <c r="BV385" s="5" t="str">
        <f t="shared" si="358"/>
        <v>UF</v>
      </c>
      <c r="BW385" s="69" t="str">
        <f t="shared" si="359"/>
        <v/>
      </c>
      <c r="BX385" s="2" t="s">
        <v>12</v>
      </c>
      <c r="BZ385" s="74" t="str">
        <f t="shared" si="389"/>
        <v>UF</v>
      </c>
      <c r="CA385" s="74" t="str">
        <f t="shared" si="390"/>
        <v>UF</v>
      </c>
      <c r="CB385" s="5" t="str">
        <f t="shared" si="360"/>
        <v>UF</v>
      </c>
      <c r="CC385" s="5" t="str">
        <f t="shared" si="361"/>
        <v>UF</v>
      </c>
      <c r="CD385" s="2" t="e">
        <f t="shared" si="362"/>
        <v>#VALUE!</v>
      </c>
      <c r="CE385" s="69" t="str">
        <f t="shared" si="363"/>
        <v/>
      </c>
      <c r="CF385" s="5" t="s">
        <v>12</v>
      </c>
      <c r="CH385" s="72" t="str">
        <f t="shared" si="391"/>
        <v>UF</v>
      </c>
      <c r="CI385" s="72" t="str">
        <f t="shared" si="392"/>
        <v>UF</v>
      </c>
      <c r="CJ385" s="5" t="str">
        <f t="shared" si="364"/>
        <v>UF</v>
      </c>
      <c r="CK385" s="5" t="str">
        <f t="shared" si="365"/>
        <v>UF</v>
      </c>
      <c r="CL385" s="69" t="str">
        <f t="shared" si="366"/>
        <v/>
      </c>
      <c r="CN385" s="70" t="str">
        <f t="shared" si="367"/>
        <v/>
      </c>
      <c r="CO385" s="5" t="str">
        <f t="shared" si="368"/>
        <v>UF</v>
      </c>
      <c r="CP385" s="5" t="str">
        <f>IF(G385&lt;48,"UF", IF(NOT(ISBLANK(CM:CM)), CM:CM, IF(BW:BW=1, BV:BV+Sheet2!B433, IF(Sheet1!BW:BW=2, Sheet1!BV:BV+Sheet2!B434, IF(Sheet1!BW:BW=7, Sheet1!BV:BV+Sheet2!B435,"")))))</f>
        <v>UF</v>
      </c>
      <c r="CQ385" s="69" t="str">
        <f t="shared" si="393"/>
        <v/>
      </c>
      <c r="CR385" s="5" t="s">
        <v>12</v>
      </c>
      <c r="CT385" s="5" t="str">
        <f t="shared" si="369"/>
        <v/>
      </c>
      <c r="CU385" s="80" t="str">
        <f t="shared" si="370"/>
        <v>UF</v>
      </c>
      <c r="CV385" s="80" t="str">
        <f t="shared" si="371"/>
        <v>UF</v>
      </c>
      <c r="CW385" s="20" t="str">
        <f>IF(G385&lt;48,"UF", IF(NOT(ISBLANK(CS385)), CS385, IF(CE385=5, CC385+Sheet2!B422, IF(CE385=6, CC385+Sheet2!B423, IF(CE385=7, CC385+Sheet2!B424,"")))))</f>
        <v>UF</v>
      </c>
      <c r="CX385" s="68" t="str">
        <f t="shared" si="394"/>
        <v/>
      </c>
      <c r="CY385" s="5" t="s">
        <v>12</v>
      </c>
      <c r="DA385" s="5" t="str">
        <f t="shared" si="372"/>
        <v>UF</v>
      </c>
      <c r="DB385" s="73" t="str">
        <f t="shared" si="373"/>
        <v>UF</v>
      </c>
      <c r="DC385" s="73" t="str">
        <f t="shared" si="374"/>
        <v>UF</v>
      </c>
      <c r="DD385" s="5" t="str">
        <f>IF(G385&lt;48,"UF", IF(NOT(ISBLANK(CZ:CZ)), CZ:CZ, IF(CL:CL=3, CK:CK+Sheet2!B427, IF(CL:CL=4, CK:CK+Sheet2!B428, IF(CL:CL=7, CK:CK+Sheet2!B429,"")))))</f>
        <v>UF</v>
      </c>
      <c r="DE385" s="69" t="str">
        <f t="shared" si="397"/>
        <v/>
      </c>
      <c r="DF385" s="2">
        <v>2</v>
      </c>
      <c r="DG385" s="2">
        <v>36</v>
      </c>
      <c r="DH385" s="2">
        <v>1</v>
      </c>
      <c r="DI385" s="2">
        <v>2</v>
      </c>
      <c r="DJ385" s="2">
        <v>2</v>
      </c>
      <c r="DK385" s="2">
        <v>100</v>
      </c>
      <c r="DL385" s="2">
        <v>72</v>
      </c>
      <c r="DM385" s="2">
        <v>95</v>
      </c>
      <c r="DN385" s="2">
        <v>60</v>
      </c>
      <c r="DO385" s="2">
        <v>100</v>
      </c>
      <c r="DP385" s="2">
        <v>55</v>
      </c>
      <c r="DQ385" s="2">
        <v>2</v>
      </c>
      <c r="DR385" s="2">
        <v>38</v>
      </c>
      <c r="DS385" s="2">
        <v>1</v>
      </c>
      <c r="DT385" s="2">
        <v>106</v>
      </c>
      <c r="DU385" s="2">
        <v>83</v>
      </c>
      <c r="DV385" s="2">
        <v>2</v>
      </c>
      <c r="DW385" s="2">
        <v>2</v>
      </c>
      <c r="DX385" s="2">
        <v>2</v>
      </c>
      <c r="DY385" s="2">
        <v>2</v>
      </c>
      <c r="DZ385" s="2">
        <v>37</v>
      </c>
      <c r="EA385" s="2">
        <v>37</v>
      </c>
      <c r="EB385" s="2">
        <v>48</v>
      </c>
      <c r="EC385" s="2">
        <v>1</v>
      </c>
      <c r="ED385" s="2">
        <v>1</v>
      </c>
    </row>
    <row r="386" spans="2:134" x14ac:dyDescent="0.25">
      <c r="C386" s="8" t="s">
        <v>183</v>
      </c>
      <c r="D386" s="4">
        <v>2501056541</v>
      </c>
      <c r="E386" s="5">
        <v>7</v>
      </c>
      <c r="F386" s="2">
        <v>2</v>
      </c>
      <c r="G386" s="2">
        <v>24</v>
      </c>
      <c r="H386" s="2">
        <v>-3.373995629823233</v>
      </c>
      <c r="I386" s="2">
        <v>49</v>
      </c>
      <c r="J386" s="2">
        <v>-0.46706379753639199</v>
      </c>
      <c r="K386" s="1">
        <v>2360</v>
      </c>
      <c r="L386" s="2">
        <v>-2.251731131941717</v>
      </c>
      <c r="M386" s="2">
        <v>-0.81989999999999996</v>
      </c>
      <c r="N386" s="2">
        <f t="shared" ref="N386:N449" si="399">IF(AND(NOT(ISBLANK(H:H)), NOT(ISBLANK(X:X))), (X:X - H:H)/2, "")</f>
        <v>1.1831478149116164</v>
      </c>
      <c r="O386" s="2">
        <f t="shared" ref="O386:O449" si="400">IF(NOT(ISBLANK(M:M)),M:M,IF(AND(NOT(ISBLANK(N:N)),NOT(ISBLANK(H:H))),H:H+N:N,""))</f>
        <v>-0.81989999999999996</v>
      </c>
      <c r="P386" s="2">
        <v>67</v>
      </c>
      <c r="Q386" s="2">
        <v>-0.3</v>
      </c>
      <c r="R386" s="5">
        <f t="shared" ref="R386:R449" si="401">IF(AND(NOT(ISBLANK(J386)), NOT(ISBLANK(AD386))), (AD386 - J386)/2, "")</f>
        <v>0.49853189876819604</v>
      </c>
      <c r="S386" s="5">
        <f t="shared" ref="S386:S449" si="402">IF(NOT(ISBLANK(Q386)),Q386,IF(AND(NOT(ISBLANK(J386)),NOT(ISBLANK(R386))),J386+R386,""))</f>
        <v>-0.3</v>
      </c>
      <c r="T386" s="1">
        <v>7280</v>
      </c>
      <c r="U386" s="2">
        <v>-0.79</v>
      </c>
      <c r="V386" s="2">
        <f t="shared" ref="V386:V449" si="403">IF(AND(NOT(ISBLANK(L386)), NOT(ISBLANK(AJ386))), (AJ386 - L386)/2, "")</f>
        <v>0.91086556597085855</v>
      </c>
      <c r="W386" s="2">
        <f t="shared" ref="W386:W449" si="404">IF(NOT(ISBLANK(U386)), U386, IF(AND(NOT(ISBLANK(L386)), NOT(ISBLANK(V386))), L386 + V386, ""))</f>
        <v>-0.79</v>
      </c>
      <c r="X386" s="2">
        <v>-1.0077</v>
      </c>
      <c r="Y386" s="76">
        <f t="shared" si="375"/>
        <v>2.3662956298232327</v>
      </c>
      <c r="Z386" s="76">
        <f t="shared" si="376"/>
        <v>2</v>
      </c>
      <c r="AA386" s="2">
        <f t="shared" ref="AA386:AA449" si="405">IF(AND(NOT(ISBLANK(S:S)), NOT(ISBLANK(AO:AO))), (AO:AO- S:S)/2, "")</f>
        <v>-1.5802500000000002</v>
      </c>
      <c r="AB386" s="2">
        <f t="shared" ref="AB386:AB449" si="406">IF(NOT(ISBLANK(X:X)),X:X,IF(AND(NOT(ISBLANK(O:O)),NOT(ISBLANK(AA:AA))),O:O+AA:AA,""))</f>
        <v>-1.0077</v>
      </c>
      <c r="AC386" s="2">
        <v>77</v>
      </c>
      <c r="AD386" s="2">
        <v>0.53</v>
      </c>
      <c r="AE386" s="79">
        <f t="shared" si="377"/>
        <v>0.99706379753639207</v>
      </c>
      <c r="AF386" s="79">
        <f t="shared" si="378"/>
        <v>2</v>
      </c>
      <c r="AG386" s="2">
        <f t="shared" si="395"/>
        <v>1.03</v>
      </c>
      <c r="AH386" s="2">
        <f t="shared" ref="AH386:AH449" si="407">IF(NOT(ISBLANK(AD386)), AD386, IF(AND(NOT(ISBLANK(S386)), NOT(ISBLANK(AG386))), S386 + AG386, ""))</f>
        <v>0.53</v>
      </c>
      <c r="AI386" s="2">
        <v>9200</v>
      </c>
      <c r="AJ386" s="2">
        <v>-0.43</v>
      </c>
      <c r="AK386" s="76">
        <f t="shared" si="379"/>
        <v>1.8217311319417171</v>
      </c>
      <c r="AL386" s="76">
        <f t="shared" si="380"/>
        <v>2</v>
      </c>
      <c r="AM386" s="2">
        <f t="shared" ref="AM386:AM449" si="408">IF(AND(NOT(ISBLANK(W386)), NOT(ISBLANK(AW386))), (AW386 - W386)/2, "")</f>
        <v>-0.26</v>
      </c>
      <c r="AN386" s="2">
        <f t="shared" ref="AN386:AN449" si="409">IF(NOT(ISBLANK(AJ386)), AJ386, IF(AND(NOT(ISBLANK(W386)), NOT(ISBLANK(AM386))), W386 + AM386, ""))</f>
        <v>-0.43</v>
      </c>
      <c r="AO386" s="2">
        <v>-3.4605000000000001</v>
      </c>
      <c r="AP386" s="2">
        <f t="shared" ref="AP386:AP449" si="410">IF(AND(NOT(ISBLANK(AB:AB)), NOT(ISBLANK(AZ:AZ))), (AZ:AZ - AB:AB)/2, "")</f>
        <v>-2.1313671046354954E-2</v>
      </c>
      <c r="AQ386" s="2">
        <f t="shared" ref="AQ386:AQ449" si="411">IF(NOT(ISBLANK(AO:AO)),AO:AO,IF(AND(NOT(ISBLANK(AB:AB)),NOT(ISBLANK(AP:AP))),AP:AP+AB:AB,""))</f>
        <v>-3.4605000000000001</v>
      </c>
      <c r="AR386" s="2">
        <v>87</v>
      </c>
      <c r="AS386" s="2">
        <v>1.76</v>
      </c>
      <c r="AT386" s="2">
        <f t="shared" ref="AT386:AT449" si="412">IF(AND(NOT(ISBLANK(AH386)), NOT(ISBLANK(BG386))), (BG386 - AH386)/2, "")</f>
        <v>0.18227093514407361</v>
      </c>
      <c r="AU386" s="2">
        <f t="shared" ref="AU386:AU449" si="413">IF(NOT(ISBLANK(AS386)), AS386, IF(AND(NOT(ISBLANK(AH386)), NOT(ISBLANK(AT386))), AH386 + AT386, ""))</f>
        <v>1.76</v>
      </c>
      <c r="AV386" s="2">
        <v>11450</v>
      </c>
      <c r="AW386" s="2">
        <v>-1.31</v>
      </c>
      <c r="AX386" s="2">
        <f t="shared" ref="AX386:AX449" si="414">IF(AND(NOT(ISBLANK(AN386)), NOT(ISBLANK(BL386))), (BL386 - AN386)/2, "")</f>
        <v>8.902956965794484E-2</v>
      </c>
      <c r="AY386" s="2">
        <f t="shared" ref="AY386:AY449" si="415">IF(NOT(ISBLANK(AW386)), AW386, IF(AND(NOT(ISBLANK(AN386)), NOT(ISBLANK(AX386))),AN386 + AX386, ""))</f>
        <v>-1.31</v>
      </c>
      <c r="AZ386" s="2">
        <v>-1.0503273420927099</v>
      </c>
      <c r="BA386" s="78">
        <f t="shared" si="381"/>
        <v>-4.2627342092709908E-2</v>
      </c>
      <c r="BB386" s="78">
        <f t="shared" si="382"/>
        <v>-1</v>
      </c>
      <c r="BC386" s="2" t="str">
        <f t="shared" ref="BC386:BC449" si="416">IF(AND(NOT(ISBLANK(AQ:AQ)), NOT(ISBLANK(BR:BR))), (BR:BR - AQ:AQ)/3, "")</f>
        <v/>
      </c>
      <c r="BD386" s="2">
        <f t="shared" ref="BD386:BD449" si="417">IF(NOT(ISBLANK(AZ:AZ)),AZ:AZ,IF(AND(NOT(ISBLANK(BC:BC)),NOT(ISBLANK(AQ:AQ))),AQ:AQ+BC:BC,""))</f>
        <v>-1.0503273420927099</v>
      </c>
      <c r="BE386" s="67">
        <f t="shared" si="383"/>
        <v>7</v>
      </c>
      <c r="BF386" s="2">
        <v>90</v>
      </c>
      <c r="BG386" s="2">
        <v>0.89454187028814725</v>
      </c>
      <c r="BH386" s="2" t="str">
        <f t="shared" ref="BH386:BH449" si="418">IF(AND(NOT(ISBLANK(AU386)), NOT(ISBLANK(BY386))), (BY386 - AU386)/3, "")</f>
        <v/>
      </c>
      <c r="BI386" s="2">
        <f t="shared" ref="BI386:BI449" si="419">IF(NOT(ISBLANK(BG386)), BG386, IF(AND(NOT(ISBLANK(AU386)), NOT(ISBLANK(BH386))),AU386 + BH386, ""))</f>
        <v>0.89454187028814725</v>
      </c>
      <c r="BJ386" s="67">
        <f t="shared" ref="BJ386:BJ449" si="420">IF(BI:BI&lt;-3,5,IF(AND(BI:BI&gt;=-3,BI:BI&lt;-2),6,IF(AND(BI:BI&gt;=-2,BI:BI&lt;=2),7,"")))</f>
        <v>7</v>
      </c>
      <c r="BK386" s="2">
        <v>12400</v>
      </c>
      <c r="BL386" s="2">
        <v>-0.25194086068411031</v>
      </c>
      <c r="BM386" s="77">
        <f t="shared" si="384"/>
        <v>0.17805913931588968</v>
      </c>
      <c r="BN386" s="77">
        <f t="shared" si="385"/>
        <v>1</v>
      </c>
      <c r="BO386" s="2" t="str">
        <f t="shared" ref="BO386:BO449" si="421">IF(AND(NOT(ISBLANK(AY386)), NOT(ISBLANK(CG386))), (CG386 - AY386)/3, "")</f>
        <v/>
      </c>
      <c r="BP386" s="2">
        <f t="shared" ref="BP386:BP449" si="422">IF(NOT(ISBLANK(BL386)), BL386, IF(AND(NOT(ISBLANK(AY386)), NOT(ISBLANK(BO386))),AY386 + BO386, ""))</f>
        <v>-0.25194086068411031</v>
      </c>
      <c r="BQ386" s="67">
        <f t="shared" si="386"/>
        <v>7</v>
      </c>
      <c r="BS386" s="75" t="str">
        <f t="shared" si="387"/>
        <v>UF</v>
      </c>
      <c r="BT386" s="75" t="str">
        <f t="shared" si="388"/>
        <v>UF</v>
      </c>
      <c r="BU386" s="5" t="str">
        <f>IF(G393&gt;=36, IF(AND(NOT(ISBLANK(CM:CM)), NOT(ISBLANK(BD:BD))), (CM:CM-BD:BD)/2, ""), "UF")</f>
        <v>UF</v>
      </c>
      <c r="BV386" s="5" t="str">
        <f t="shared" ref="BV386:BV449" si="423">IF(G386&gt;=36, IF(NOT(ISBLANK(BR:BR)), BR:BR, IF(AND(NOT(ISBLANK(BD:BD)), NOT(ISBLANK(BU:BU))),BD:BD + BU:BU, "")), "UF")</f>
        <v>UF</v>
      </c>
      <c r="BW386" s="69" t="str">
        <f t="shared" ref="BW386:BW449" si="424">IF(BV:BV&lt;-3,1,IF(AND(BV:BV&gt;=-3,BV:BV&lt;-2),2,IF(AND(BV:BV&gt;=-2,BV:BV&lt;=2),7,"")))</f>
        <v/>
      </c>
      <c r="BX386" s="2" t="s">
        <v>12</v>
      </c>
      <c r="BZ386" s="74" t="str">
        <f t="shared" si="389"/>
        <v>UF</v>
      </c>
      <c r="CA386" s="74" t="str">
        <f t="shared" si="390"/>
        <v>UF</v>
      </c>
      <c r="CB386" s="5" t="str">
        <f t="shared" ref="CB386:CB449" si="425">IF(G386&gt;=36, IF(AND(NOT(ISBLANK(BI386)), NOT(ISBLANK(CS386))), (CS386-BI386)/2, ""), "UF")</f>
        <v>UF</v>
      </c>
      <c r="CC386" s="5" t="str">
        <f t="shared" ref="CC386:CC449" si="426">IF(G386&gt;=36, IF(NOT(ISBLANK(BY386)), BY386, IF(AND(NOT(ISBLANK(CB386)), NOT(ISBLANK(BI386))),CB386 + BI386, "")), "UF")</f>
        <v>UF</v>
      </c>
      <c r="CD386" s="2" t="e">
        <f t="shared" ref="CD386:CD449" si="427">IF(AND(NOT(ISBLANK(BI:BI)), NOT(ISBLANK(CC:CC))), CC:CC-BI:BI, "")</f>
        <v>#VALUE!</v>
      </c>
      <c r="CE386" s="69" t="str">
        <f t="shared" ref="CE386:CE449" si="428">IF(CC386&lt;-3,5,IF(AND(CC386&gt;=-3,CC386&lt;-2),6,IF(AND(CC386&gt;=-2,CC386&lt;=2),7,"")))</f>
        <v/>
      </c>
      <c r="CF386" s="5" t="s">
        <v>12</v>
      </c>
      <c r="CH386" s="72" t="str">
        <f t="shared" si="391"/>
        <v>UF</v>
      </c>
      <c r="CI386" s="72" t="str">
        <f t="shared" si="392"/>
        <v>UF</v>
      </c>
      <c r="CJ386" s="5" t="str">
        <f t="shared" ref="CJ386:CJ449" si="429">IF(G386&gt;=36, IF(AND(NOT(ISBLANK(BP386)), NOT(ISBLANK(CZ386))), (CZ386-BP386)/2, ""), "UF")</f>
        <v>UF</v>
      </c>
      <c r="CK386" s="5" t="str">
        <f t="shared" ref="CK386:CK449" si="430">IF(G386&gt;=36, IF(NOT(ISBLANK(CG386)), CG386, IF(AND(NOT(ISBLANK(BP386)), NOT(ISBLANK(CJ386))),BP386 + CJ386, "")), "UF")</f>
        <v>UF</v>
      </c>
      <c r="CL386" s="69" t="str">
        <f t="shared" ref="CL386:CL449" si="431">IF(CK:CK&lt;-3,3,IF(AND(CK:CK&gt;=-3,CK:CK&lt;-2),4,IF(AND(CK:CK&gt;=-2,CK:CK&lt;=2),7,"")))</f>
        <v/>
      </c>
      <c r="CN386" s="70" t="str">
        <f t="shared" ref="CN386:CN449" si="432">IF(AND(NOT(ISBLANK(BV:BV)), NOT(ISBLANK(CM:CM))), CM:CM-BV:BV, "")</f>
        <v/>
      </c>
      <c r="CO386" s="5" t="str">
        <f t="shared" ref="CO386:CO449" si="433">IF(G386&lt;48,"UF",IF(AND(NOT(ISBLANK(BV:BV)),NOT(ISBLANK(CP:CP))),CP:CP-BV:BV,""))</f>
        <v>UF</v>
      </c>
      <c r="CP386" s="5" t="str">
        <f>IF(G386&lt;48,"UF", IF(NOT(ISBLANK(CM:CM)), CM:CM, IF(BW:BW=1, BV:BV+Sheet2!B353, IF(Sheet1!BW:BW=2, Sheet1!BV:BV+Sheet2!B354, IF(Sheet1!BW:BW=7, Sheet1!BV:BV+Sheet2!B355,"")))))</f>
        <v>UF</v>
      </c>
      <c r="CQ386" s="69" t="str">
        <f t="shared" si="393"/>
        <v/>
      </c>
      <c r="CR386" s="5" t="s">
        <v>12</v>
      </c>
      <c r="CT386" s="5" t="str">
        <f t="shared" ref="CT386:CT449" si="434">IF(AND(NOT(ISBLANK(CC386)), NOT(ISBLANK(CS386))), CS386-CC386, "")</f>
        <v/>
      </c>
      <c r="CU386" s="80" t="str">
        <f t="shared" ref="CU386:CU449" si="435">IF(G386&lt;48,"UF",IF(AND(NOT(ISBLANK(CW:CW)), NOT(ISBLANK(CC:CC))), CW:CW-CC:CC, ""))</f>
        <v>UF</v>
      </c>
      <c r="CV386" s="80" t="str">
        <f t="shared" ref="CV386:CV449" si="436">IF(CU:CU=""," ",IF(G386&lt;48,"UF",IF(CU:CU&gt;0.67,2,IF(AND(CU:CU&gt;0,CU:CU&lt;=0.67),1,IF(AND(CU:CU&gt;=-0.67,CU:CU&lt;=0),-1,IF(CU:CU&lt;-0.67,-2))))))</f>
        <v>UF</v>
      </c>
      <c r="CW386" s="20" t="str">
        <f>IF(G386&lt;48,"UF", IF(NOT(ISBLANK(CS386)), CS386, IF(CE386=5, CC386+Sheet2!B342, IF(CE386=6, CC386+Sheet2!B343, IF(CE386=7, CC386+Sheet2!B344,"")))))</f>
        <v>UF</v>
      </c>
      <c r="CX386" s="68" t="str">
        <f t="shared" si="394"/>
        <v/>
      </c>
      <c r="CY386" s="5" t="s">
        <v>12</v>
      </c>
      <c r="DA386" s="5" t="str">
        <f t="shared" ref="DA386:DA449" si="437">IF(G386&lt;48,"UF",IF(AND(NOT(ISBLANK(CZ:CZ)), NOT(ISBLANK(CK:CK))), CZ:CZ-CK:CK, ""))</f>
        <v>UF</v>
      </c>
      <c r="DB386" s="73" t="str">
        <f t="shared" ref="DB386:DB449" si="438">IF(G386&lt;48,"UF",IF(AND(NOT(ISBLANK(DD:DD)), NOT(ISBLANK(CK:CK))), DD:DD-CK:CK, ""))</f>
        <v>UF</v>
      </c>
      <c r="DC386" s="73" t="str">
        <f t="shared" ref="DC386:DC449" si="439">IF(DB:DB=""," ",IF(G386&lt;48,"UF",IF(DB:DB&gt;0.67,2,IF(AND(DB:DB&gt;0,DB:DB&lt;=0.67),1,IF(AND(DB:DB&gt;=-0.67,DB:DB&lt;=0),-1,IF(DB:DB&lt;-0.67,-2))))))</f>
        <v>UF</v>
      </c>
      <c r="DD386" s="5" t="str">
        <f>IF(G386&lt;48,"UF", IF(NOT(ISBLANK(CZ:CZ)), CZ:CZ, IF(CL:CL=3, CK:CK+Sheet2!B347, IF(CL:CL=4, CK:CK+Sheet2!B348, IF(CL:CL=7, CK:CK+Sheet2!B349,"")))))</f>
        <v>UF</v>
      </c>
      <c r="DE386" s="69" t="str">
        <f t="shared" si="397"/>
        <v/>
      </c>
      <c r="DF386" s="2">
        <v>2</v>
      </c>
      <c r="DG386" s="2">
        <v>34</v>
      </c>
      <c r="DH386" s="2">
        <v>2</v>
      </c>
      <c r="DI386" s="2">
        <v>2</v>
      </c>
      <c r="DJ386" s="2">
        <v>2</v>
      </c>
      <c r="DK386" s="2">
        <v>110</v>
      </c>
      <c r="DL386" s="2">
        <v>70</v>
      </c>
      <c r="DM386" s="2">
        <v>110</v>
      </c>
      <c r="DN386" s="2">
        <v>60</v>
      </c>
      <c r="DO386" s="2" t="s">
        <v>12</v>
      </c>
      <c r="DP386" s="2" t="s">
        <v>12</v>
      </c>
      <c r="DQ386" s="2">
        <v>2</v>
      </c>
      <c r="DR386" s="2">
        <v>33</v>
      </c>
      <c r="DS386" s="2">
        <v>1</v>
      </c>
      <c r="DT386" s="2">
        <v>98</v>
      </c>
      <c r="DU386" s="2">
        <v>96</v>
      </c>
      <c r="DV386" s="2">
        <v>2</v>
      </c>
      <c r="DW386" s="2">
        <v>2</v>
      </c>
      <c r="DX386" s="2">
        <v>2</v>
      </c>
      <c r="DY386" s="2">
        <v>1</v>
      </c>
      <c r="DZ386" s="2">
        <v>31.5</v>
      </c>
      <c r="EA386" s="2">
        <v>31.5</v>
      </c>
      <c r="EB386" s="2">
        <v>44.5</v>
      </c>
      <c r="EC386" s="2">
        <v>3</v>
      </c>
      <c r="ED386" s="2">
        <v>1</v>
      </c>
    </row>
    <row r="387" spans="2:134" x14ac:dyDescent="0.25">
      <c r="C387" s="8" t="s">
        <v>282</v>
      </c>
      <c r="D387" s="8">
        <v>2501056582</v>
      </c>
      <c r="E387" s="5">
        <v>7</v>
      </c>
      <c r="F387" s="2">
        <v>1</v>
      </c>
      <c r="G387" s="2">
        <v>25</v>
      </c>
      <c r="H387" s="2">
        <v>-1.6388966007400689</v>
      </c>
      <c r="I387" s="2">
        <v>52</v>
      </c>
      <c r="J387" s="2">
        <v>1.531272843240846</v>
      </c>
      <c r="K387" s="2">
        <v>3100</v>
      </c>
      <c r="L387" s="2">
        <v>-0.29236112544414727</v>
      </c>
      <c r="M387" s="2">
        <v>-1.0903</v>
      </c>
      <c r="N387" s="2">
        <f t="shared" si="399"/>
        <v>0.76649830037003452</v>
      </c>
      <c r="O387" s="2">
        <f t="shared" si="400"/>
        <v>-1.0903</v>
      </c>
      <c r="P387" s="2">
        <v>69</v>
      </c>
      <c r="Q387" s="2">
        <v>1.43</v>
      </c>
      <c r="R387" s="5">
        <f t="shared" si="401"/>
        <v>9.36357837957702E-3</v>
      </c>
      <c r="S387" s="5">
        <f t="shared" si="402"/>
        <v>1.43</v>
      </c>
      <c r="T387" s="2">
        <v>7300</v>
      </c>
      <c r="U387" s="2">
        <v>0</v>
      </c>
      <c r="V387" s="2">
        <f t="shared" si="403"/>
        <v>0.5411805627220736</v>
      </c>
      <c r="W387" s="2">
        <f t="shared" si="404"/>
        <v>0</v>
      </c>
      <c r="X387" s="2">
        <v>-0.10589999999999999</v>
      </c>
      <c r="Y387" s="76">
        <f t="shared" ref="Y387:Y450" si="440" xml:space="preserve"> IF(AND(NOT(ISBLANK(AB:AB)), NOT(ISBLANK(H:H))), (AB:AB-H:H), "")</f>
        <v>1.532996600740069</v>
      </c>
      <c r="Z387" s="76">
        <f t="shared" ref="Z387:Z450" si="441">IF(Y:Y&gt;0.67,2,IF(AND(Y:Y&gt;0,Y:Y&lt;=0.67),1,IF(AND(Y:Y&gt;=-0.67,Y:Y&lt;=0),-1,IF(Y:Y&lt;-0.67,-2))))</f>
        <v>2</v>
      </c>
      <c r="AA387" s="2" t="str">
        <f t="shared" si="405"/>
        <v/>
      </c>
      <c r="AB387" s="2">
        <f t="shared" si="406"/>
        <v>-0.10589999999999999</v>
      </c>
      <c r="AC387" s="2">
        <v>78</v>
      </c>
      <c r="AD387" s="2">
        <v>1.55</v>
      </c>
      <c r="AE387" s="79">
        <f t="shared" ref="AE387:AE450" si="442" xml:space="preserve"> IF(AND(NOT(ISBLANK(AH:AH)), NOT(ISBLANK(J:J))), (AH:AH-J:J), "")</f>
        <v>1.872715675915404E-2</v>
      </c>
      <c r="AF387" s="79">
        <f t="shared" ref="AF387:AF450" si="443">IF(AE:AE&gt;0.67,2,IF(AND(AE:AE&gt;0,AE:AE&lt;=0.67),1,IF(AND(AE:AE&gt;=-0.67,AE:AE&lt;=0),-1,IF(AE:AE&lt;-0.67,-2))))</f>
        <v>1</v>
      </c>
      <c r="AG387" s="2" t="str">
        <f t="shared" si="395"/>
        <v/>
      </c>
      <c r="AH387" s="2">
        <f t="shared" si="407"/>
        <v>1.55</v>
      </c>
      <c r="AI387" s="2">
        <v>9860</v>
      </c>
      <c r="AJ387" s="2">
        <v>0.79</v>
      </c>
      <c r="AK387" s="76">
        <f t="shared" ref="AK387:AK450" si="444" xml:space="preserve"> IF(AND(NOT(ISBLANK(AN:AN)), NOT(ISBLANK(L:L))), (AN:AN-L:L), "")</f>
        <v>1.0823611254441472</v>
      </c>
      <c r="AL387" s="76">
        <f t="shared" ref="AL387:AL450" si="445">IF(AK:AK&gt;0.67,2,IF(AND(AK:AK&gt;0,AK:AK&lt;=0.67),1,IF(AND(AK:AK&gt;=-0.67,AK:AK&lt;=0),-1,IF(AK:AK&lt;-0.67,-2))))</f>
        <v>2</v>
      </c>
      <c r="AM387" s="2" t="str">
        <f t="shared" si="408"/>
        <v/>
      </c>
      <c r="AN387" s="2">
        <f t="shared" si="409"/>
        <v>0.79</v>
      </c>
      <c r="AP387" s="2">
        <f t="shared" si="410"/>
        <v>-1.4863269481702999</v>
      </c>
      <c r="AQ387" s="2">
        <f t="shared" si="411"/>
        <v>-1.5922269481702997</v>
      </c>
      <c r="AR387" s="2" t="s">
        <v>12</v>
      </c>
      <c r="AT387" s="2">
        <f t="shared" si="412"/>
        <v>0.17296106801486</v>
      </c>
      <c r="AU387" s="2">
        <f t="shared" si="413"/>
        <v>1.7229610680148602</v>
      </c>
      <c r="AV387" s="2" t="s">
        <v>12</v>
      </c>
      <c r="AX387" s="2">
        <f t="shared" si="414"/>
        <v>-0.86778864706458925</v>
      </c>
      <c r="AY387" s="2">
        <f t="shared" si="415"/>
        <v>-7.7788647064589211E-2</v>
      </c>
      <c r="AZ387" s="2">
        <v>-3.0785538963405998</v>
      </c>
      <c r="BA387" s="78">
        <f t="shared" ref="BA387:BA450" si="446" xml:space="preserve"> IF(AND(NOT(ISBLANK(BD:BD)), NOT(ISBLANK(AB:AB))), (BD:BD-AB:AB), "")</f>
        <v>-2.9726538963405997</v>
      </c>
      <c r="BB387" s="78">
        <f t="shared" ref="BB387:BB450" si="447">IF(BA:BA&gt;0.67,2,IF(AND(BA:BA&gt;0,BA:BA&lt;=0.67),1,IF(AND(BA:BA&gt;=-0.67,BA:BA&lt;=0),-1,IF(BA:BA&lt;-0.67,-2))))</f>
        <v>-2</v>
      </c>
      <c r="BC387" s="2" t="str">
        <f t="shared" si="416"/>
        <v/>
      </c>
      <c r="BD387" s="2">
        <f t="shared" si="417"/>
        <v>-3.0785538963405998</v>
      </c>
      <c r="BE387" s="67">
        <f t="shared" ref="BE387:BE450" si="448">IF(BD:BD&lt;-3,1,IF(AND(BD:BD&gt;=-3,BD:BD&lt;-2),2,IF(AND(BD:BD&gt;=-2,BD:BD&lt;=2),7,"")))</f>
        <v>1</v>
      </c>
      <c r="BF387" s="2">
        <v>92</v>
      </c>
      <c r="BG387" s="2">
        <v>1.89592213602972</v>
      </c>
      <c r="BH387" s="2" t="str">
        <f t="shared" si="418"/>
        <v/>
      </c>
      <c r="BI387" s="2">
        <f t="shared" si="419"/>
        <v>1.89592213602972</v>
      </c>
      <c r="BJ387" s="67">
        <f t="shared" si="420"/>
        <v>7</v>
      </c>
      <c r="BK387" s="2">
        <v>11000</v>
      </c>
      <c r="BL387" s="2">
        <v>-0.94557729412917846</v>
      </c>
      <c r="BM387" s="77">
        <f t="shared" ref="BM387:BM450" si="449" xml:space="preserve"> IF(AND(NOT(ISBLANK(BP:BP)), NOT(ISBLANK(AN:AN))), (BP:BP-AN:AN), "")</f>
        <v>-1.7355772941291785</v>
      </c>
      <c r="BN387" s="77">
        <f t="shared" ref="BN387:BN450" si="450">IF(BM:BM&gt;0.67,2,IF(AND(BM:BM&gt;0,BM:BM&lt;=0.67),1,IF(AND(BM:BM&gt;=-0.67,BM:BM&lt;=0),-1,IF(BM:BM&lt;-0.67,-2))))</f>
        <v>-2</v>
      </c>
      <c r="BO387" s="2" t="str">
        <f t="shared" si="421"/>
        <v/>
      </c>
      <c r="BP387" s="2">
        <f t="shared" si="422"/>
        <v>-0.94557729412917846</v>
      </c>
      <c r="BQ387" s="67">
        <f t="shared" ref="BQ387:BQ450" si="451">IF(BP:BP&lt;-3,3,IF(AND(BP:BP&gt;=-3,BP:BP&lt;-2),4,IF(AND(BP:BP&gt;=-2,BP:BP&lt;=2),7,"")))</f>
        <v>7</v>
      </c>
      <c r="BS387" s="75" t="str">
        <f t="shared" ref="BS387:BS450" si="452">IF(G387&gt;=36, IF(AND(NOT(ISBLANK(BV:BV)), NOT(ISBLANK(BD:BD))), (BV:BV-BD:BD), ""), "UF")</f>
        <v>UF</v>
      </c>
      <c r="BT387" s="75" t="str">
        <f t="shared" ref="BT387:BT450" si="453">IF(G387&lt;36,"UF",IF(BS:BS&gt;0.67,2,IF(AND(BS:BS&gt;0,BS:BS&lt;=0.67),1,IF(AND(BS:BS&gt;=-0.67,BS:BS&lt;=0),-1,IF(BS:BS&lt;-0.67,-2)))))</f>
        <v>UF</v>
      </c>
      <c r="BU387" s="5" t="str">
        <f>IF(G394&gt;=36, IF(AND(NOT(ISBLANK(CM:CM)), NOT(ISBLANK(BD:BD))), (CM:CM-BD:BD)/2, ""), "UF")</f>
        <v>UF</v>
      </c>
      <c r="BV387" s="5" t="str">
        <f t="shared" si="423"/>
        <v>UF</v>
      </c>
      <c r="BW387" s="69" t="str">
        <f t="shared" si="424"/>
        <v/>
      </c>
      <c r="BX387" s="2" t="s">
        <v>12</v>
      </c>
      <c r="BZ387" s="74" t="str">
        <f t="shared" ref="BZ387:BZ450" si="454">IF(G387&gt;=36, IF(AND(NOT(ISBLANK(CC:CC)), NOT(ISBLANK(BP:BP))), (CC:CC-BP:BP), ""), "UF")</f>
        <v>UF</v>
      </c>
      <c r="CA387" s="74" t="str">
        <f t="shared" ref="CA387:CA450" si="455">IF(G387&lt;36,"UF",IF(BZ:BZ&gt;0.67,2,IF(AND(BZ:BZ&gt;0,BZ:BZ&lt;=0.67),1,IF(AND(BZ:BZ&gt;=-0.67,BZ:BZ&lt;=0),-1,IF(BZ:BZ&lt;-0.67,-2)))))</f>
        <v>UF</v>
      </c>
      <c r="CB387" s="5" t="str">
        <f t="shared" si="425"/>
        <v>UF</v>
      </c>
      <c r="CC387" s="5" t="str">
        <f t="shared" si="426"/>
        <v>UF</v>
      </c>
      <c r="CD387" s="2" t="e">
        <f t="shared" si="427"/>
        <v>#VALUE!</v>
      </c>
      <c r="CE387" s="69" t="str">
        <f t="shared" si="428"/>
        <v/>
      </c>
      <c r="CF387" s="5" t="s">
        <v>12</v>
      </c>
      <c r="CH387" s="72" t="str">
        <f t="shared" ref="CH387:CH450" si="456">IF(G387&gt;=36, IF(AND(NOT(ISBLANK(CK:CK)), NOT(ISBLANK(BP:BP))), (CK:CK-BP:BP), ""), "UF")</f>
        <v>UF</v>
      </c>
      <c r="CI387" s="72" t="str">
        <f t="shared" ref="CI387:CI450" si="457">IF(G387&lt;36,"UF",IF(CH:CH&gt;0.67,2,IF(AND(CH:CH&gt;0,CH:CH&lt;=0.67),1,IF(AND(CH:CH&gt;=-0.67,CH:CH&lt;=0),-1,IF(CH:CH&lt;-0.67,-2)))))</f>
        <v>UF</v>
      </c>
      <c r="CJ387" s="5" t="str">
        <f t="shared" si="429"/>
        <v>UF</v>
      </c>
      <c r="CK387" s="5" t="str">
        <f t="shared" si="430"/>
        <v>UF</v>
      </c>
      <c r="CL387" s="69" t="str">
        <f t="shared" si="431"/>
        <v/>
      </c>
      <c r="CN387" s="70" t="str">
        <f t="shared" si="432"/>
        <v/>
      </c>
      <c r="CO387" s="5" t="str">
        <f t="shared" si="433"/>
        <v>UF</v>
      </c>
      <c r="CP387" s="5" t="str">
        <f>IF(G387&lt;48,"UF", IF(NOT(ISBLANK(CM:CM)), CM:CM, IF(BW:BW=1, BV:BV+Sheet2!B487, IF(Sheet1!BW:BW=2, Sheet1!BV:BV+Sheet2!B488, IF(Sheet1!BW:BW=7, Sheet1!BV:BV+Sheet2!B489,"")))))</f>
        <v>UF</v>
      </c>
      <c r="CQ387" s="69" t="str">
        <f t="shared" ref="CQ387:CQ450" si="458">IF(CP:CP&lt;-3,1,IF(AND(CP:CP&gt;=-3,CP:CP&lt;-2),2,IF(AND(CP:CP&gt;=-2,CP:CP&lt;=2),7,"")))</f>
        <v/>
      </c>
      <c r="CR387" s="5" t="s">
        <v>12</v>
      </c>
      <c r="CT387" s="5" t="str">
        <f t="shared" si="434"/>
        <v/>
      </c>
      <c r="CU387" s="80" t="str">
        <f t="shared" si="435"/>
        <v>UF</v>
      </c>
      <c r="CV387" s="80" t="str">
        <f t="shared" si="436"/>
        <v>UF</v>
      </c>
      <c r="CW387" s="20" t="str">
        <f>IF(G387&lt;48,"UF", IF(NOT(ISBLANK(CS387)), CS387, IF(CE387=5, CC387+Sheet2!B476, IF(CE387=6, CC387+Sheet2!B477, IF(CE387=7, CC387+Sheet2!B478,"")))))</f>
        <v>UF</v>
      </c>
      <c r="CX387" s="68" t="str">
        <f t="shared" ref="CX387:CX450" si="459">IF(CW:CW&lt;-3,5,IF(AND(CW:CW&gt;=-3,CW:CW&lt;-2),6,IF(AND(CW:CW&gt;=-2,CW:CW&lt;=2),7,"")))</f>
        <v/>
      </c>
      <c r="CY387" s="5" t="s">
        <v>12</v>
      </c>
      <c r="DA387" s="5" t="str">
        <f t="shared" si="437"/>
        <v>UF</v>
      </c>
      <c r="DB387" s="73" t="str">
        <f t="shared" si="438"/>
        <v>UF</v>
      </c>
      <c r="DC387" s="73" t="str">
        <f t="shared" si="439"/>
        <v>UF</v>
      </c>
      <c r="DD387" s="5" t="str">
        <f>IF(G387&lt;48,"UF", IF(NOT(ISBLANK(CZ:CZ)), CZ:CZ, IF(CL:CL=3, CK:CK+Sheet2!B481, IF(CL:CL=4, CK:CK+Sheet2!B482, IF(CL:CL=7, CK:CK+Sheet2!B483,"")))))</f>
        <v>UF</v>
      </c>
      <c r="DE387" s="69" t="str">
        <f t="shared" si="397"/>
        <v/>
      </c>
      <c r="DF387" s="2">
        <v>3</v>
      </c>
      <c r="DG387" s="2">
        <v>30</v>
      </c>
      <c r="DH387" s="2">
        <v>2</v>
      </c>
      <c r="DI387" s="2">
        <v>2</v>
      </c>
      <c r="DJ387" s="2">
        <v>2</v>
      </c>
      <c r="DK387" s="2">
        <v>113</v>
      </c>
      <c r="DL387" s="2">
        <v>64</v>
      </c>
      <c r="DM387" s="2">
        <v>113</v>
      </c>
      <c r="DN387" s="2">
        <v>62</v>
      </c>
      <c r="DO387" s="2">
        <v>111</v>
      </c>
      <c r="DP387" s="2">
        <v>63</v>
      </c>
      <c r="DQ387" s="2">
        <v>2</v>
      </c>
      <c r="DR387" s="2">
        <v>40</v>
      </c>
      <c r="DS387" s="2">
        <v>1</v>
      </c>
      <c r="DT387" s="2">
        <v>97</v>
      </c>
      <c r="DU387" s="2">
        <v>81</v>
      </c>
      <c r="DV387" s="2">
        <v>2</v>
      </c>
      <c r="DW387" s="2">
        <v>2</v>
      </c>
      <c r="DX387" s="2">
        <v>2</v>
      </c>
      <c r="DY387" s="2">
        <v>1</v>
      </c>
      <c r="DZ387" s="2">
        <v>34</v>
      </c>
      <c r="EA387" s="2">
        <v>35.200000000000003</v>
      </c>
      <c r="EB387" s="2">
        <v>45.5</v>
      </c>
      <c r="EC387" s="2">
        <v>1</v>
      </c>
      <c r="ED387" s="2">
        <v>1</v>
      </c>
    </row>
    <row r="388" spans="2:134" x14ac:dyDescent="0.25">
      <c r="C388" s="2" t="s">
        <v>368</v>
      </c>
      <c r="D388" s="2">
        <v>2501056711</v>
      </c>
      <c r="E388" s="5" t="s">
        <v>541</v>
      </c>
      <c r="F388" s="2">
        <v>1</v>
      </c>
      <c r="G388" s="2">
        <v>28</v>
      </c>
      <c r="H388" s="2">
        <v>-1.140049087283403</v>
      </c>
      <c r="I388" s="2">
        <v>54</v>
      </c>
      <c r="J388" s="2">
        <v>2.604984249137289</v>
      </c>
      <c r="K388" s="5">
        <v>3500</v>
      </c>
      <c r="L388" s="2">
        <v>0.57031252552855893</v>
      </c>
      <c r="M388" s="2">
        <v>-0.80979999999999996</v>
      </c>
      <c r="N388" s="2">
        <f t="shared" si="399"/>
        <v>0.36047454364170151</v>
      </c>
      <c r="O388" s="2">
        <f t="shared" si="400"/>
        <v>-0.80979999999999996</v>
      </c>
      <c r="P388" s="2">
        <v>61</v>
      </c>
      <c r="Q388" s="2">
        <v>-2.1</v>
      </c>
      <c r="R388" s="5">
        <f t="shared" si="401"/>
        <v>-3.5374921245686446</v>
      </c>
      <c r="S388" s="5">
        <f t="shared" si="402"/>
        <v>-2.1</v>
      </c>
      <c r="T388" s="1">
        <v>5850</v>
      </c>
      <c r="U388" s="2">
        <v>-1.83</v>
      </c>
      <c r="V388" s="2">
        <f t="shared" si="403"/>
        <v>-1.8601562627642794</v>
      </c>
      <c r="W388" s="2">
        <f t="shared" si="404"/>
        <v>-1.83</v>
      </c>
      <c r="X388" s="2">
        <v>-0.41909999999999997</v>
      </c>
      <c r="Y388" s="76">
        <f t="shared" si="440"/>
        <v>0.72094908728340301</v>
      </c>
      <c r="Z388" s="76">
        <f t="shared" si="441"/>
        <v>2</v>
      </c>
      <c r="AA388" s="2">
        <f t="shared" si="405"/>
        <v>0.50755000000000006</v>
      </c>
      <c r="AB388" s="2">
        <f t="shared" si="406"/>
        <v>-0.41909999999999997</v>
      </c>
      <c r="AC388" s="2">
        <v>62.5</v>
      </c>
      <c r="AD388" s="2">
        <v>-4.47</v>
      </c>
      <c r="AE388" s="79">
        <f t="shared" si="442"/>
        <v>-7.0749842491372892</v>
      </c>
      <c r="AF388" s="79">
        <f t="shared" si="443"/>
        <v>-2</v>
      </c>
      <c r="AG388" s="2">
        <f t="shared" si="395"/>
        <v>-1.4850000000000001</v>
      </c>
      <c r="AH388" s="2">
        <f t="shared" si="407"/>
        <v>-4.47</v>
      </c>
      <c r="AI388" s="2">
        <v>6160</v>
      </c>
      <c r="AJ388" s="2">
        <v>-3.15</v>
      </c>
      <c r="AK388" s="76">
        <f t="shared" si="444"/>
        <v>-3.7203125255285587</v>
      </c>
      <c r="AL388" s="76">
        <f t="shared" si="445"/>
        <v>-2</v>
      </c>
      <c r="AM388" s="2">
        <f t="shared" si="408"/>
        <v>-1.1299999999999999</v>
      </c>
      <c r="AN388" s="2">
        <f t="shared" si="409"/>
        <v>-3.15</v>
      </c>
      <c r="AO388" s="2">
        <v>-1.0849</v>
      </c>
      <c r="AP388" s="2">
        <f t="shared" si="410"/>
        <v>-1.6259154707210537</v>
      </c>
      <c r="AQ388" s="2">
        <f t="shared" si="411"/>
        <v>-1.0849</v>
      </c>
      <c r="AR388" s="2">
        <v>66</v>
      </c>
      <c r="AS388" s="2">
        <v>-5.07</v>
      </c>
      <c r="AT388" s="2">
        <f t="shared" si="412"/>
        <v>1.4628717440457533</v>
      </c>
      <c r="AU388" s="2">
        <f t="shared" si="413"/>
        <v>-5.07</v>
      </c>
      <c r="AV388" s="2">
        <v>6250</v>
      </c>
      <c r="AW388" s="2">
        <v>-4.09</v>
      </c>
      <c r="AX388" s="2">
        <f t="shared" si="414"/>
        <v>-0.69566317700335456</v>
      </c>
      <c r="AY388" s="2">
        <f t="shared" si="415"/>
        <v>-4.09</v>
      </c>
      <c r="AZ388" s="2">
        <v>-3.6709309414421072</v>
      </c>
      <c r="BA388" s="78">
        <f t="shared" si="446"/>
        <v>-3.2518309414421074</v>
      </c>
      <c r="BB388" s="78">
        <f t="shared" si="447"/>
        <v>-2</v>
      </c>
      <c r="BC388" s="2" t="str">
        <f t="shared" si="416"/>
        <v/>
      </c>
      <c r="BD388" s="2">
        <f t="shared" si="417"/>
        <v>-3.6709309414421072</v>
      </c>
      <c r="BE388" s="67">
        <f t="shared" si="448"/>
        <v>1</v>
      </c>
      <c r="BF388" s="2">
        <v>80</v>
      </c>
      <c r="BG388" s="2">
        <v>-1.544256511908493</v>
      </c>
      <c r="BH388" s="2" t="str">
        <f t="shared" si="418"/>
        <v/>
      </c>
      <c r="BI388" s="2">
        <f t="shared" si="419"/>
        <v>-1.544256511908493</v>
      </c>
      <c r="BJ388" s="67">
        <f t="shared" si="420"/>
        <v>7</v>
      </c>
      <c r="BK388" s="2">
        <v>8000</v>
      </c>
      <c r="BL388" s="2">
        <v>-4.541326354006709</v>
      </c>
      <c r="BM388" s="77">
        <f t="shared" si="449"/>
        <v>-1.3913263540067091</v>
      </c>
      <c r="BN388" s="77">
        <f t="shared" si="450"/>
        <v>-2</v>
      </c>
      <c r="BO388" s="2" t="str">
        <f t="shared" si="421"/>
        <v/>
      </c>
      <c r="BP388" s="2">
        <f t="shared" si="422"/>
        <v>-4.541326354006709</v>
      </c>
      <c r="BQ388" s="67">
        <f t="shared" si="451"/>
        <v>3</v>
      </c>
      <c r="BS388" s="75" t="str">
        <f t="shared" si="452"/>
        <v>UF</v>
      </c>
      <c r="BT388" s="75" t="str">
        <f t="shared" si="453"/>
        <v>UF</v>
      </c>
      <c r="BU388" s="5" t="e">
        <f>IF(#REF!&gt;=36, IF(AND(NOT(ISBLANK(CM:CM)), NOT(ISBLANK(BD:BD))), (CM:CM-BD:BD)/2, ""), "UF")</f>
        <v>#REF!</v>
      </c>
      <c r="BV388" s="5" t="str">
        <f t="shared" si="423"/>
        <v>UF</v>
      </c>
      <c r="BW388" s="69" t="str">
        <f t="shared" si="424"/>
        <v/>
      </c>
      <c r="BX388" s="2" t="s">
        <v>12</v>
      </c>
      <c r="BZ388" s="74" t="str">
        <f t="shared" si="454"/>
        <v>UF</v>
      </c>
      <c r="CA388" s="74" t="str">
        <f t="shared" si="455"/>
        <v>UF</v>
      </c>
      <c r="CB388" s="5" t="str">
        <f t="shared" si="425"/>
        <v>UF</v>
      </c>
      <c r="CC388" s="5" t="str">
        <f t="shared" si="426"/>
        <v>UF</v>
      </c>
      <c r="CD388" s="2" t="e">
        <f t="shared" si="427"/>
        <v>#VALUE!</v>
      </c>
      <c r="CE388" s="69" t="str">
        <f t="shared" si="428"/>
        <v/>
      </c>
      <c r="CF388" s="5" t="s">
        <v>12</v>
      </c>
      <c r="CH388" s="72" t="str">
        <f t="shared" si="456"/>
        <v>UF</v>
      </c>
      <c r="CI388" s="72" t="str">
        <f t="shared" si="457"/>
        <v>UF</v>
      </c>
      <c r="CJ388" s="5" t="str">
        <f t="shared" si="429"/>
        <v>UF</v>
      </c>
      <c r="CK388" s="5" t="str">
        <f t="shared" si="430"/>
        <v>UF</v>
      </c>
      <c r="CL388" s="69" t="str">
        <f t="shared" si="431"/>
        <v/>
      </c>
      <c r="CN388" s="70" t="str">
        <f t="shared" si="432"/>
        <v/>
      </c>
      <c r="CO388" s="5" t="str">
        <f t="shared" si="433"/>
        <v>UF</v>
      </c>
      <c r="CP388" s="5" t="str">
        <f>IF(G388&lt;48,"UF", IF(NOT(ISBLANK(CM:CM)), CM:CM, IF(BW:BW=1, BV:BV+Sheet2!B118, IF(Sheet1!BW:BW=2, Sheet1!BV:BV+Sheet2!B119, IF(Sheet1!BW:BW=7, Sheet1!BV:BV+Sheet2!B120,"")))))</f>
        <v>UF</v>
      </c>
      <c r="CQ388" s="69" t="str">
        <f t="shared" si="458"/>
        <v/>
      </c>
      <c r="CR388" s="5" t="s">
        <v>12</v>
      </c>
      <c r="CT388" s="5" t="str">
        <f t="shared" si="434"/>
        <v/>
      </c>
      <c r="CU388" s="80" t="str">
        <f t="shared" si="435"/>
        <v>UF</v>
      </c>
      <c r="CV388" s="80" t="str">
        <f t="shared" si="436"/>
        <v>UF</v>
      </c>
      <c r="CW388" s="20" t="str">
        <f>IF(G388&lt;48,"UF", IF(NOT(ISBLANK(CS388)), CS388, IF(CE388=5, CC388+Sheet2!B107, IF(CE388=6, CC388+Sheet2!B108, IF(CE388=7, CC388+Sheet2!B109,"")))))</f>
        <v>UF</v>
      </c>
      <c r="CX388" s="68" t="str">
        <f t="shared" si="459"/>
        <v/>
      </c>
      <c r="CY388" s="5" t="s">
        <v>12</v>
      </c>
      <c r="DA388" s="5" t="str">
        <f t="shared" si="437"/>
        <v>UF</v>
      </c>
      <c r="DB388" s="73" t="str">
        <f t="shared" si="438"/>
        <v>UF</v>
      </c>
      <c r="DC388" s="73" t="str">
        <f t="shared" si="439"/>
        <v>UF</v>
      </c>
      <c r="DD388" s="5" t="str">
        <f>IF(G388&lt;48,"UF", IF(NOT(ISBLANK(CZ:CZ)), CZ:CZ, IF(CL:CL=3, CK:CK+Sheet2!B112, IF(CL:CL=4, CK:CK+Sheet2!B113, IF(CL:CL=7, CK:CK+Sheet2!B114,"")))))</f>
        <v>UF</v>
      </c>
      <c r="DE388" s="69" t="str">
        <f t="shared" si="397"/>
        <v/>
      </c>
      <c r="DF388" s="2">
        <v>3</v>
      </c>
      <c r="DG388" s="2">
        <v>38</v>
      </c>
      <c r="DH388" s="2">
        <v>1</v>
      </c>
      <c r="DI388" s="2">
        <v>2</v>
      </c>
      <c r="DJ388" s="2">
        <v>2</v>
      </c>
      <c r="DK388" s="2">
        <v>110</v>
      </c>
      <c r="DL388" s="2">
        <v>60</v>
      </c>
      <c r="DM388" s="2">
        <v>100</v>
      </c>
      <c r="DN388" s="2">
        <v>60</v>
      </c>
      <c r="DO388" s="2">
        <v>110</v>
      </c>
      <c r="DP388" s="2">
        <v>65</v>
      </c>
      <c r="DQ388" s="2">
        <v>2</v>
      </c>
      <c r="DR388" s="2">
        <v>39</v>
      </c>
      <c r="DS388" s="2">
        <v>2</v>
      </c>
      <c r="DT388" s="2">
        <v>90</v>
      </c>
      <c r="DU388" s="2">
        <v>81</v>
      </c>
      <c r="DV388" s="2">
        <v>2</v>
      </c>
      <c r="DW388" s="2">
        <v>2</v>
      </c>
      <c r="DX388" s="2">
        <v>4</v>
      </c>
      <c r="DY388" s="2">
        <v>2</v>
      </c>
      <c r="DZ388" s="2">
        <v>36</v>
      </c>
      <c r="EA388" s="2">
        <v>36</v>
      </c>
      <c r="EB388" s="2">
        <v>44.5</v>
      </c>
      <c r="EC388" s="2">
        <v>1</v>
      </c>
      <c r="ED388" s="2">
        <v>1</v>
      </c>
    </row>
    <row r="389" spans="2:134" x14ac:dyDescent="0.25">
      <c r="C389" s="8" t="s">
        <v>246</v>
      </c>
      <c r="D389" s="4">
        <v>2501057007</v>
      </c>
      <c r="E389" s="5">
        <v>7</v>
      </c>
      <c r="F389" s="2">
        <v>2</v>
      </c>
      <c r="G389" s="2">
        <v>24</v>
      </c>
      <c r="H389" s="2">
        <v>-0.76110318068534233</v>
      </c>
      <c r="I389" s="2">
        <v>51</v>
      </c>
      <c r="J389" s="2">
        <v>0.58940135287155082</v>
      </c>
      <c r="K389" s="2">
        <v>3245</v>
      </c>
      <c r="L389" s="2">
        <v>-0.2095967425436257</v>
      </c>
      <c r="M389" s="2">
        <v>-1.1287</v>
      </c>
      <c r="N389" s="2">
        <f t="shared" si="399"/>
        <v>0.21435159034267118</v>
      </c>
      <c r="O389" s="2">
        <f t="shared" si="400"/>
        <v>-1.1287</v>
      </c>
      <c r="P389" s="2">
        <v>67</v>
      </c>
      <c r="Q389" s="2">
        <v>-0.3</v>
      </c>
      <c r="R389" s="5">
        <f t="shared" si="401"/>
        <v>-2.9700676435775397E-2</v>
      </c>
      <c r="S389" s="5">
        <f t="shared" si="402"/>
        <v>-0.3</v>
      </c>
      <c r="T389" s="2">
        <v>7100</v>
      </c>
      <c r="U389" s="2">
        <v>-1.01</v>
      </c>
      <c r="V389" s="2">
        <f t="shared" si="403"/>
        <v>0.12979837127181285</v>
      </c>
      <c r="W389" s="2">
        <f t="shared" si="404"/>
        <v>-1.01</v>
      </c>
      <c r="X389" s="2">
        <v>-0.33239999999999997</v>
      </c>
      <c r="Y389" s="76">
        <f t="shared" si="440"/>
        <v>0.42870318068534236</v>
      </c>
      <c r="Z389" s="76">
        <f t="shared" si="441"/>
        <v>1</v>
      </c>
      <c r="AA389" s="2">
        <f t="shared" si="405"/>
        <v>0.52195000000000003</v>
      </c>
      <c r="AB389" s="2">
        <f t="shared" si="406"/>
        <v>-0.33239999999999997</v>
      </c>
      <c r="AC389" s="2">
        <v>77</v>
      </c>
      <c r="AD389" s="2">
        <v>0.53</v>
      </c>
      <c r="AE389" s="79">
        <f t="shared" si="442"/>
        <v>-5.9401352871550794E-2</v>
      </c>
      <c r="AF389" s="79">
        <f t="shared" si="443"/>
        <v>-1</v>
      </c>
      <c r="AG389" s="2">
        <f t="shared" si="395"/>
        <v>0.28500000000000003</v>
      </c>
      <c r="AH389" s="2">
        <f t="shared" si="407"/>
        <v>0.53</v>
      </c>
      <c r="AI389" s="2">
        <v>9700</v>
      </c>
      <c r="AJ389" s="2">
        <v>0.05</v>
      </c>
      <c r="AK389" s="76">
        <f t="shared" si="444"/>
        <v>0.25959674254362569</v>
      </c>
      <c r="AL389" s="76">
        <f t="shared" si="445"/>
        <v>1</v>
      </c>
      <c r="AM389" s="2">
        <f t="shared" si="408"/>
        <v>0.84499999999999997</v>
      </c>
      <c r="AN389" s="2">
        <f t="shared" si="409"/>
        <v>0.05</v>
      </c>
      <c r="AO389" s="2">
        <v>0.74390000000000001</v>
      </c>
      <c r="AP389" s="2">
        <f t="shared" si="410"/>
        <v>-0.11267367877075149</v>
      </c>
      <c r="AQ389" s="2">
        <f t="shared" si="411"/>
        <v>0.74390000000000001</v>
      </c>
      <c r="AR389" s="2">
        <v>83</v>
      </c>
      <c r="AS389" s="2">
        <v>0.27</v>
      </c>
      <c r="AT389" s="2">
        <f t="shared" si="412"/>
        <v>-0.24527953900144023</v>
      </c>
      <c r="AU389" s="2">
        <f t="shared" si="413"/>
        <v>0.27</v>
      </c>
      <c r="AV389" s="2">
        <v>11800</v>
      </c>
      <c r="AW389" s="2">
        <v>0.68</v>
      </c>
      <c r="AX389" s="2">
        <f t="shared" si="414"/>
        <v>-0.30397891830913842</v>
      </c>
      <c r="AY389" s="2">
        <f t="shared" si="415"/>
        <v>0.68</v>
      </c>
      <c r="AZ389" s="2">
        <v>-0.55774735754150295</v>
      </c>
      <c r="BA389" s="78">
        <f t="shared" si="446"/>
        <v>-0.22534735754150298</v>
      </c>
      <c r="BB389" s="78">
        <f t="shared" si="447"/>
        <v>-1</v>
      </c>
      <c r="BC389" s="2" t="str">
        <f t="shared" si="416"/>
        <v/>
      </c>
      <c r="BD389" s="2">
        <f t="shared" si="417"/>
        <v>-0.55774735754150295</v>
      </c>
      <c r="BE389" s="67">
        <f t="shared" si="448"/>
        <v>7</v>
      </c>
      <c r="BF389" s="2">
        <v>87</v>
      </c>
      <c r="BG389" s="2">
        <v>3.9440921997119571E-2</v>
      </c>
      <c r="BH389" s="2" t="str">
        <f t="shared" si="418"/>
        <v/>
      </c>
      <c r="BI389" s="2">
        <f t="shared" si="419"/>
        <v>3.9440921997119571E-2</v>
      </c>
      <c r="BJ389" s="67">
        <f t="shared" si="420"/>
        <v>7</v>
      </c>
      <c r="BK389" s="2">
        <v>12000</v>
      </c>
      <c r="BL389" s="2">
        <v>-0.5579578366182768</v>
      </c>
      <c r="BM389" s="77">
        <f t="shared" si="449"/>
        <v>-0.60795783661827685</v>
      </c>
      <c r="BN389" s="77">
        <f t="shared" si="450"/>
        <v>-1</v>
      </c>
      <c r="BO389" s="2" t="str">
        <f t="shared" si="421"/>
        <v/>
      </c>
      <c r="BP389" s="2">
        <f t="shared" si="422"/>
        <v>-0.5579578366182768</v>
      </c>
      <c r="BQ389" s="67">
        <f t="shared" si="451"/>
        <v>7</v>
      </c>
      <c r="BS389" s="75" t="str">
        <f t="shared" si="452"/>
        <v>UF</v>
      </c>
      <c r="BT389" s="75" t="str">
        <f t="shared" si="453"/>
        <v>UF</v>
      </c>
      <c r="BU389" s="5" t="e">
        <f>IF(#REF!&gt;=36, IF(AND(NOT(ISBLANK(CM:CM)), NOT(ISBLANK(BD:BD))), (CM:CM-BD:BD)/2, ""), "UF")</f>
        <v>#REF!</v>
      </c>
      <c r="BV389" s="5" t="str">
        <f t="shared" si="423"/>
        <v>UF</v>
      </c>
      <c r="BW389" s="69" t="str">
        <f t="shared" si="424"/>
        <v/>
      </c>
      <c r="BX389" s="2" t="s">
        <v>12</v>
      </c>
      <c r="BZ389" s="74" t="str">
        <f t="shared" si="454"/>
        <v>UF</v>
      </c>
      <c r="CA389" s="74" t="str">
        <f t="shared" si="455"/>
        <v>UF</v>
      </c>
      <c r="CB389" s="5" t="str">
        <f t="shared" si="425"/>
        <v>UF</v>
      </c>
      <c r="CC389" s="5" t="str">
        <f t="shared" si="426"/>
        <v>UF</v>
      </c>
      <c r="CD389" s="2" t="e">
        <f t="shared" si="427"/>
        <v>#VALUE!</v>
      </c>
      <c r="CE389" s="69" t="str">
        <f t="shared" si="428"/>
        <v/>
      </c>
      <c r="CF389" s="5" t="s">
        <v>12</v>
      </c>
      <c r="CH389" s="72" t="str">
        <f t="shared" si="456"/>
        <v>UF</v>
      </c>
      <c r="CI389" s="72" t="str">
        <f t="shared" si="457"/>
        <v>UF</v>
      </c>
      <c r="CJ389" s="5" t="str">
        <f t="shared" si="429"/>
        <v>UF</v>
      </c>
      <c r="CK389" s="5" t="str">
        <f t="shared" si="430"/>
        <v>UF</v>
      </c>
      <c r="CL389" s="69" t="str">
        <f t="shared" si="431"/>
        <v/>
      </c>
      <c r="CN389" s="70" t="str">
        <f t="shared" si="432"/>
        <v/>
      </c>
      <c r="CO389" s="5" t="str">
        <f t="shared" si="433"/>
        <v>UF</v>
      </c>
      <c r="CP389" s="5" t="str">
        <f>IF(G389&lt;48,"UF", IF(NOT(ISBLANK(CM:CM)), CM:CM, IF(BW:BW=1, BV:BV+Sheet2!B438, IF(Sheet1!BW:BW=2, Sheet1!BV:BV+Sheet2!B439, IF(Sheet1!BW:BW=7, Sheet1!BV:BV+Sheet2!B440,"")))))</f>
        <v>UF</v>
      </c>
      <c r="CQ389" s="69" t="str">
        <f t="shared" si="458"/>
        <v/>
      </c>
      <c r="CR389" s="5" t="s">
        <v>12</v>
      </c>
      <c r="CT389" s="5" t="str">
        <f t="shared" si="434"/>
        <v/>
      </c>
      <c r="CU389" s="80" t="str">
        <f t="shared" si="435"/>
        <v>UF</v>
      </c>
      <c r="CV389" s="80" t="str">
        <f t="shared" si="436"/>
        <v>UF</v>
      </c>
      <c r="CW389" s="20" t="str">
        <f>IF(G389&lt;48,"UF", IF(NOT(ISBLANK(CS389)), CS389, IF(CE389=5, CC389+Sheet2!B427, IF(CE389=6, CC389+Sheet2!B428, IF(CE389=7, CC389+Sheet2!B429,"")))))</f>
        <v>UF</v>
      </c>
      <c r="CX389" s="68" t="str">
        <f t="shared" si="459"/>
        <v/>
      </c>
      <c r="CY389" s="5" t="s">
        <v>12</v>
      </c>
      <c r="DA389" s="5" t="str">
        <f t="shared" si="437"/>
        <v>UF</v>
      </c>
      <c r="DB389" s="73" t="str">
        <f t="shared" si="438"/>
        <v>UF</v>
      </c>
      <c r="DC389" s="73" t="str">
        <f t="shared" si="439"/>
        <v>UF</v>
      </c>
      <c r="DD389" s="5" t="str">
        <f>IF(G389&lt;48,"UF", IF(NOT(ISBLANK(CZ:CZ)), CZ:CZ, IF(CL:CL=3, CK:CK+Sheet2!B432, IF(CL:CL=4, CK:CK+Sheet2!B433, IF(CL:CL=7, CK:CK+Sheet2!B434,"")))))</f>
        <v>UF</v>
      </c>
      <c r="DE389" s="69" t="str">
        <f t="shared" si="397"/>
        <v/>
      </c>
      <c r="DF389" s="2">
        <v>1</v>
      </c>
      <c r="DG389" s="2">
        <v>24</v>
      </c>
      <c r="DH389" s="2">
        <v>1</v>
      </c>
      <c r="DI389" s="2">
        <v>2</v>
      </c>
      <c r="DJ389" s="2">
        <v>2</v>
      </c>
      <c r="DK389" s="2">
        <v>120</v>
      </c>
      <c r="DL389" s="2">
        <v>70</v>
      </c>
      <c r="DM389" s="2">
        <v>110</v>
      </c>
      <c r="DN389" s="2">
        <v>70</v>
      </c>
      <c r="DO389" s="2">
        <v>100</v>
      </c>
      <c r="DP389" s="2">
        <v>70</v>
      </c>
      <c r="DQ389" s="2">
        <v>2</v>
      </c>
      <c r="DR389" s="2">
        <v>38</v>
      </c>
      <c r="DS389" s="2">
        <v>2</v>
      </c>
      <c r="DT389" s="2">
        <v>90</v>
      </c>
      <c r="DU389" s="2">
        <v>87</v>
      </c>
      <c r="DV389" s="2">
        <v>2</v>
      </c>
      <c r="DW389" s="2">
        <v>2</v>
      </c>
      <c r="DX389" s="2">
        <v>2</v>
      </c>
      <c r="DY389" s="2">
        <v>2</v>
      </c>
      <c r="DZ389" s="2">
        <v>36</v>
      </c>
      <c r="EA389" s="2">
        <v>35</v>
      </c>
      <c r="EB389" s="2">
        <v>47.5</v>
      </c>
      <c r="EC389" s="2">
        <v>1</v>
      </c>
      <c r="ED389" s="2">
        <v>1</v>
      </c>
    </row>
    <row r="390" spans="2:134" x14ac:dyDescent="0.25">
      <c r="C390" s="8" t="s">
        <v>246</v>
      </c>
      <c r="D390" s="8">
        <v>2501057104</v>
      </c>
      <c r="E390" s="5">
        <v>7</v>
      </c>
      <c r="F390" s="2">
        <v>2</v>
      </c>
      <c r="G390" s="2">
        <v>24</v>
      </c>
      <c r="H390" s="2">
        <v>-0.60033646662641393</v>
      </c>
      <c r="I390" s="2">
        <v>46</v>
      </c>
      <c r="J390" s="2">
        <v>-2.051761523148302</v>
      </c>
      <c r="K390" s="2">
        <v>2680</v>
      </c>
      <c r="L390" s="2">
        <v>-1.4634166609009831</v>
      </c>
      <c r="M390" s="2">
        <v>-0.95599999999999996</v>
      </c>
      <c r="N390" s="2">
        <f t="shared" si="399"/>
        <v>-0.472331766686793</v>
      </c>
      <c r="O390" s="2">
        <f t="shared" si="400"/>
        <v>-0.95599999999999996</v>
      </c>
      <c r="P390" s="2">
        <v>67</v>
      </c>
      <c r="Q390" s="2">
        <v>-0.3</v>
      </c>
      <c r="R390" s="5">
        <f t="shared" si="401"/>
        <v>1.0808807615741509</v>
      </c>
      <c r="S390" s="5">
        <f t="shared" si="402"/>
        <v>-0.3</v>
      </c>
      <c r="T390" s="2">
        <v>7200</v>
      </c>
      <c r="U390" s="2">
        <v>-0.89</v>
      </c>
      <c r="V390" s="2">
        <f t="shared" si="403"/>
        <v>0.20670833045049153</v>
      </c>
      <c r="W390" s="2">
        <f t="shared" si="404"/>
        <v>-0.89</v>
      </c>
      <c r="X390" s="2">
        <v>-1.5449999999999999</v>
      </c>
      <c r="Y390" s="76">
        <f t="shared" si="440"/>
        <v>-0.944663533373586</v>
      </c>
      <c r="Z390" s="76">
        <f t="shared" si="441"/>
        <v>-2</v>
      </c>
      <c r="AA390" s="2">
        <f t="shared" si="405"/>
        <v>-0.33025000000000004</v>
      </c>
      <c r="AB390" s="2">
        <f t="shared" si="406"/>
        <v>-1.5449999999999999</v>
      </c>
      <c r="AC390" s="2">
        <v>76</v>
      </c>
      <c r="AD390" s="2">
        <v>0.11</v>
      </c>
      <c r="AE390" s="79">
        <f t="shared" si="442"/>
        <v>2.1617615231483018</v>
      </c>
      <c r="AF390" s="79">
        <f t="shared" si="443"/>
        <v>2</v>
      </c>
      <c r="AG390" s="2">
        <f t="shared" si="395"/>
        <v>0.19500000000000001</v>
      </c>
      <c r="AH390" s="2">
        <f t="shared" si="407"/>
        <v>0.11</v>
      </c>
      <c r="AI390" s="2">
        <v>8600</v>
      </c>
      <c r="AJ390" s="2">
        <v>-1.05</v>
      </c>
      <c r="AK390" s="76">
        <f t="shared" si="444"/>
        <v>0.41341666090098306</v>
      </c>
      <c r="AL390" s="76">
        <f t="shared" si="445"/>
        <v>1</v>
      </c>
      <c r="AM390" s="2">
        <f t="shared" si="408"/>
        <v>0.13</v>
      </c>
      <c r="AN390" s="2">
        <f t="shared" si="409"/>
        <v>-1.05</v>
      </c>
      <c r="AO390" s="2">
        <v>-0.96050000000000002</v>
      </c>
      <c r="AP390" s="2">
        <f t="shared" si="410"/>
        <v>0.44039468088282041</v>
      </c>
      <c r="AQ390" s="2">
        <f t="shared" si="411"/>
        <v>-0.96050000000000002</v>
      </c>
      <c r="AR390" s="2">
        <v>82.5</v>
      </c>
      <c r="AS390" s="2">
        <v>0.09</v>
      </c>
      <c r="AT390" s="2">
        <f t="shared" si="412"/>
        <v>-0.24901515152068004</v>
      </c>
      <c r="AU390" s="2">
        <f t="shared" si="413"/>
        <v>0.09</v>
      </c>
      <c r="AV390" s="2">
        <v>10200</v>
      </c>
      <c r="AW390" s="2">
        <v>-0.63</v>
      </c>
      <c r="AX390" s="2">
        <f t="shared" si="414"/>
        <v>4.5796618216918328E-2</v>
      </c>
      <c r="AY390" s="2">
        <f t="shared" si="415"/>
        <v>-0.63</v>
      </c>
      <c r="AZ390" s="2">
        <v>-0.66421063823435911</v>
      </c>
      <c r="BA390" s="78">
        <f t="shared" si="446"/>
        <v>0.88078936176564082</v>
      </c>
      <c r="BB390" s="78">
        <f t="shared" si="447"/>
        <v>2</v>
      </c>
      <c r="BC390" s="2" t="str">
        <f t="shared" si="416"/>
        <v/>
      </c>
      <c r="BD390" s="2">
        <f t="shared" si="417"/>
        <v>-0.66421063823435911</v>
      </c>
      <c r="BE390" s="67">
        <f t="shared" si="448"/>
        <v>7</v>
      </c>
      <c r="BF390" s="2">
        <v>85.5</v>
      </c>
      <c r="BG390" s="2">
        <v>-0.3880303030413601</v>
      </c>
      <c r="BH390" s="2" t="str">
        <f t="shared" si="418"/>
        <v/>
      </c>
      <c r="BI390" s="2">
        <f t="shared" si="419"/>
        <v>-0.3880303030413601</v>
      </c>
      <c r="BJ390" s="67">
        <f t="shared" si="420"/>
        <v>7</v>
      </c>
      <c r="BK390" s="2">
        <v>11500</v>
      </c>
      <c r="BL390" s="2">
        <v>-0.95840676356616339</v>
      </c>
      <c r="BM390" s="77">
        <f t="shared" si="449"/>
        <v>9.1593236433836656E-2</v>
      </c>
      <c r="BN390" s="77">
        <f t="shared" si="450"/>
        <v>1</v>
      </c>
      <c r="BO390" s="2" t="str">
        <f t="shared" si="421"/>
        <v/>
      </c>
      <c r="BP390" s="2">
        <f t="shared" si="422"/>
        <v>-0.95840676356616339</v>
      </c>
      <c r="BQ390" s="67">
        <f t="shared" si="451"/>
        <v>7</v>
      </c>
      <c r="BS390" s="75" t="str">
        <f t="shared" si="452"/>
        <v>UF</v>
      </c>
      <c r="BT390" s="75" t="str">
        <f t="shared" si="453"/>
        <v>UF</v>
      </c>
      <c r="BU390" s="5" t="str">
        <f>IF(G396&gt;=36, IF(AND(NOT(ISBLANK(CM:CM)), NOT(ISBLANK(BD:BD))), (CM:CM-BD:BD)/2, ""), "UF")</f>
        <v>UF</v>
      </c>
      <c r="BV390" s="5" t="str">
        <f t="shared" si="423"/>
        <v>UF</v>
      </c>
      <c r="BW390" s="69" t="str">
        <f t="shared" si="424"/>
        <v/>
      </c>
      <c r="BX390" s="2" t="s">
        <v>12</v>
      </c>
      <c r="BZ390" s="74" t="str">
        <f t="shared" si="454"/>
        <v>UF</v>
      </c>
      <c r="CA390" s="74" t="str">
        <f t="shared" si="455"/>
        <v>UF</v>
      </c>
      <c r="CB390" s="5" t="str">
        <f t="shared" si="425"/>
        <v>UF</v>
      </c>
      <c r="CC390" s="5" t="str">
        <f t="shared" si="426"/>
        <v>UF</v>
      </c>
      <c r="CD390" s="2" t="e">
        <f t="shared" si="427"/>
        <v>#VALUE!</v>
      </c>
      <c r="CE390" s="69" t="str">
        <f t="shared" si="428"/>
        <v/>
      </c>
      <c r="CF390" s="5" t="s">
        <v>12</v>
      </c>
      <c r="CH390" s="72" t="str">
        <f t="shared" si="456"/>
        <v>UF</v>
      </c>
      <c r="CI390" s="72" t="str">
        <f t="shared" si="457"/>
        <v>UF</v>
      </c>
      <c r="CJ390" s="5" t="str">
        <f t="shared" si="429"/>
        <v>UF</v>
      </c>
      <c r="CK390" s="5" t="str">
        <f t="shared" si="430"/>
        <v>UF</v>
      </c>
      <c r="CL390" s="69" t="str">
        <f t="shared" si="431"/>
        <v/>
      </c>
      <c r="CN390" s="70" t="str">
        <f t="shared" si="432"/>
        <v/>
      </c>
      <c r="CO390" s="5" t="str">
        <f t="shared" si="433"/>
        <v>UF</v>
      </c>
      <c r="CP390" s="5" t="str">
        <f>IF(G390&lt;48,"UF", IF(NOT(ISBLANK(CM:CM)), CM:CM, IF(BW:BW=1, BV:BV+Sheet2!B461, IF(Sheet1!BW:BW=2, Sheet1!BV:BV+Sheet2!B462, IF(Sheet1!BW:BW=7, Sheet1!BV:BV+Sheet2!B463,"")))))</f>
        <v>UF</v>
      </c>
      <c r="CQ390" s="69" t="str">
        <f t="shared" si="458"/>
        <v/>
      </c>
      <c r="CR390" s="5" t="s">
        <v>12</v>
      </c>
      <c r="CT390" s="5" t="str">
        <f t="shared" si="434"/>
        <v/>
      </c>
      <c r="CU390" s="80" t="str">
        <f t="shared" si="435"/>
        <v>UF</v>
      </c>
      <c r="CV390" s="80" t="str">
        <f t="shared" si="436"/>
        <v>UF</v>
      </c>
      <c r="CW390" s="20" t="str">
        <f>IF(G390&lt;48,"UF", IF(NOT(ISBLANK(CS390)), CS390, IF(CE390=5, CC390+Sheet2!B450, IF(CE390=6, CC390+Sheet2!B451, IF(CE390=7, CC390+Sheet2!B452,"")))))</f>
        <v>UF</v>
      </c>
      <c r="CX390" s="68" t="str">
        <f t="shared" si="459"/>
        <v/>
      </c>
      <c r="CY390" s="5" t="s">
        <v>12</v>
      </c>
      <c r="DA390" s="5" t="str">
        <f t="shared" si="437"/>
        <v>UF</v>
      </c>
      <c r="DB390" s="73" t="str">
        <f t="shared" si="438"/>
        <v>UF</v>
      </c>
      <c r="DC390" s="73" t="str">
        <f t="shared" si="439"/>
        <v>UF</v>
      </c>
      <c r="DD390" s="5" t="str">
        <f>IF(G390&lt;48,"UF", IF(NOT(ISBLANK(CZ:CZ)), CZ:CZ, IF(CL:CL=3, CK:CK+Sheet2!B455, IF(CL:CL=4, CK:CK+Sheet2!B456, IF(CL:CL=7, CK:CK+Sheet2!B457,"")))))</f>
        <v>UF</v>
      </c>
      <c r="DE390" s="69" t="str">
        <f t="shared" si="397"/>
        <v/>
      </c>
      <c r="DF390" s="2">
        <v>3</v>
      </c>
      <c r="DG390" s="2">
        <v>34</v>
      </c>
      <c r="DH390" s="2">
        <v>1</v>
      </c>
      <c r="DI390" s="2">
        <v>2</v>
      </c>
      <c r="DJ390" s="2">
        <v>3</v>
      </c>
      <c r="DK390" s="2" t="s">
        <v>12</v>
      </c>
      <c r="DL390" s="2" t="s">
        <v>12</v>
      </c>
      <c r="DM390" s="2" t="s">
        <v>12</v>
      </c>
      <c r="DN390" s="2" t="s">
        <v>12</v>
      </c>
      <c r="DO390" s="2" t="s">
        <v>12</v>
      </c>
      <c r="DP390" s="2" t="s">
        <v>12</v>
      </c>
      <c r="DQ390" s="2">
        <v>2</v>
      </c>
      <c r="DR390" s="2">
        <v>36</v>
      </c>
      <c r="DS390" s="2">
        <v>3</v>
      </c>
      <c r="DT390" s="2" t="s">
        <v>12</v>
      </c>
      <c r="DU390" s="2" t="s">
        <v>12</v>
      </c>
      <c r="DV390" s="2">
        <v>2</v>
      </c>
      <c r="DW390" s="2">
        <v>2</v>
      </c>
      <c r="DX390" s="2">
        <v>4</v>
      </c>
      <c r="DY390" s="2">
        <v>3</v>
      </c>
      <c r="DZ390" s="2">
        <v>33</v>
      </c>
      <c r="EA390" s="2" t="s">
        <v>12</v>
      </c>
      <c r="EB390" s="2">
        <v>45.5</v>
      </c>
      <c r="EC390" s="2" t="s">
        <v>12</v>
      </c>
      <c r="ED390" s="2">
        <v>1</v>
      </c>
    </row>
    <row r="391" spans="2:134" x14ac:dyDescent="0.25">
      <c r="C391" s="8" t="s">
        <v>261</v>
      </c>
      <c r="D391" s="8">
        <v>2501057112</v>
      </c>
      <c r="E391" s="5">
        <v>7</v>
      </c>
      <c r="F391" s="2">
        <v>1</v>
      </c>
      <c r="G391" s="2">
        <v>24</v>
      </c>
      <c r="H391" s="2">
        <v>-2.218608728038475</v>
      </c>
      <c r="I391" s="2">
        <v>54</v>
      </c>
      <c r="J391" s="2">
        <v>2.604984249137289</v>
      </c>
      <c r="K391" s="2">
        <v>3170</v>
      </c>
      <c r="L391" s="2">
        <v>-0.13661471091968461</v>
      </c>
      <c r="M391" s="2">
        <v>-1.726</v>
      </c>
      <c r="N391" s="2">
        <f t="shared" si="399"/>
        <v>0.56530436401923745</v>
      </c>
      <c r="O391" s="2">
        <f t="shared" si="400"/>
        <v>-1.726</v>
      </c>
      <c r="P391" s="2">
        <v>69.5</v>
      </c>
      <c r="Q391" s="2">
        <v>1.65</v>
      </c>
      <c r="R391" s="5">
        <f t="shared" si="401"/>
        <v>-0.91749212456864448</v>
      </c>
      <c r="S391" s="5">
        <f t="shared" si="402"/>
        <v>1.65</v>
      </c>
      <c r="T391" s="2">
        <v>7000</v>
      </c>
      <c r="U391" s="2">
        <v>-0.35</v>
      </c>
      <c r="V391" s="2">
        <f t="shared" si="403"/>
        <v>-9.16926445401577E-2</v>
      </c>
      <c r="W391" s="2">
        <f t="shared" si="404"/>
        <v>-0.35</v>
      </c>
      <c r="X391" s="2">
        <v>-1.0880000000000001</v>
      </c>
      <c r="Y391" s="76">
        <f t="shared" si="440"/>
        <v>1.1306087280384749</v>
      </c>
      <c r="Z391" s="76">
        <f t="shared" si="441"/>
        <v>2</v>
      </c>
      <c r="AA391" s="2">
        <f t="shared" si="405"/>
        <v>-1.44225</v>
      </c>
      <c r="AB391" s="2">
        <f t="shared" si="406"/>
        <v>-1.0880000000000001</v>
      </c>
      <c r="AC391" s="2">
        <v>76</v>
      </c>
      <c r="AD391" s="2">
        <v>0.77</v>
      </c>
      <c r="AE391" s="79">
        <f t="shared" si="442"/>
        <v>-1.834984249137289</v>
      </c>
      <c r="AF391" s="79">
        <f t="shared" si="443"/>
        <v>-2</v>
      </c>
      <c r="AG391" s="2">
        <f t="shared" si="395"/>
        <v>-0.26</v>
      </c>
      <c r="AH391" s="2">
        <f t="shared" si="407"/>
        <v>0.77</v>
      </c>
      <c r="AI391" s="2">
        <v>8600</v>
      </c>
      <c r="AJ391" s="2">
        <v>-0.32</v>
      </c>
      <c r="AK391" s="76">
        <f t="shared" si="444"/>
        <v>-0.1833852890803154</v>
      </c>
      <c r="AL391" s="76">
        <f t="shared" si="445"/>
        <v>-1</v>
      </c>
      <c r="AM391" s="2">
        <f t="shared" si="408"/>
        <v>7.9999999999999988E-2</v>
      </c>
      <c r="AN391" s="2">
        <f t="shared" si="409"/>
        <v>-0.32</v>
      </c>
      <c r="AO391" s="2">
        <v>-1.2344999999999999</v>
      </c>
      <c r="AP391" s="2" t="str">
        <f t="shared" si="410"/>
        <v/>
      </c>
      <c r="AQ391" s="2">
        <f t="shared" si="411"/>
        <v>-1.2344999999999999</v>
      </c>
      <c r="AR391" s="2">
        <v>84</v>
      </c>
      <c r="AS391" s="2">
        <v>1.1299999999999999</v>
      </c>
      <c r="AT391" s="2" t="str">
        <f t="shared" si="412"/>
        <v/>
      </c>
      <c r="AU391" s="2">
        <f t="shared" si="413"/>
        <v>1.1299999999999999</v>
      </c>
      <c r="AV391" s="2">
        <v>10000</v>
      </c>
      <c r="AW391" s="2">
        <v>-0.19</v>
      </c>
      <c r="AX391" s="2" t="str">
        <f t="shared" si="414"/>
        <v/>
      </c>
      <c r="AY391" s="2">
        <f t="shared" si="415"/>
        <v>-0.19</v>
      </c>
      <c r="BA391" s="78" t="e">
        <f t="shared" si="446"/>
        <v>#VALUE!</v>
      </c>
      <c r="BB391" s="78" t="e">
        <f t="shared" si="447"/>
        <v>#VALUE!</v>
      </c>
      <c r="BC391" s="2" t="str">
        <f t="shared" si="416"/>
        <v/>
      </c>
      <c r="BD391" s="2" t="e">
        <f t="shared" si="417"/>
        <v>#VALUE!</v>
      </c>
      <c r="BE391" s="67" t="e">
        <f t="shared" si="448"/>
        <v>#VALUE!</v>
      </c>
      <c r="BF391" s="2" t="s">
        <v>12</v>
      </c>
      <c r="BH391" s="2" t="str">
        <f t="shared" si="418"/>
        <v/>
      </c>
      <c r="BI391" s="2" t="e">
        <f t="shared" si="419"/>
        <v>#VALUE!</v>
      </c>
      <c r="BJ391" s="67" t="e">
        <f t="shared" si="420"/>
        <v>#VALUE!</v>
      </c>
      <c r="BK391" s="2" t="s">
        <v>12</v>
      </c>
      <c r="BM391" s="77" t="e">
        <f t="shared" si="449"/>
        <v>#VALUE!</v>
      </c>
      <c r="BN391" s="77" t="e">
        <f t="shared" si="450"/>
        <v>#VALUE!</v>
      </c>
      <c r="BO391" s="2" t="str">
        <f t="shared" si="421"/>
        <v/>
      </c>
      <c r="BP391" s="2" t="e">
        <f t="shared" si="422"/>
        <v>#VALUE!</v>
      </c>
      <c r="BQ391" s="67" t="e">
        <f t="shared" si="451"/>
        <v>#VALUE!</v>
      </c>
      <c r="BS391" s="75" t="str">
        <f t="shared" si="452"/>
        <v>UF</v>
      </c>
      <c r="BT391" s="75" t="str">
        <f t="shared" si="453"/>
        <v>UF</v>
      </c>
      <c r="BU391" s="5" t="e">
        <f>IF(#REF!&gt;=36, IF(AND(NOT(ISBLANK(CM:CM)), NOT(ISBLANK(BD:BD))), (CM:CM-BD:BD)/2, ""), "UF")</f>
        <v>#REF!</v>
      </c>
      <c r="BV391" s="5" t="str">
        <f t="shared" si="423"/>
        <v>UF</v>
      </c>
      <c r="BW391" s="69" t="str">
        <f t="shared" si="424"/>
        <v/>
      </c>
      <c r="BX391" s="2" t="s">
        <v>12</v>
      </c>
      <c r="BZ391" s="74" t="str">
        <f t="shared" si="454"/>
        <v>UF</v>
      </c>
      <c r="CA391" s="74" t="str">
        <f t="shared" si="455"/>
        <v>UF</v>
      </c>
      <c r="CB391" s="5" t="str">
        <f t="shared" si="425"/>
        <v>UF</v>
      </c>
      <c r="CC391" s="5" t="str">
        <f t="shared" si="426"/>
        <v>UF</v>
      </c>
      <c r="CD391" s="2" t="e">
        <f t="shared" si="427"/>
        <v>#VALUE!</v>
      </c>
      <c r="CE391" s="69" t="str">
        <f t="shared" si="428"/>
        <v/>
      </c>
      <c r="CF391" s="5" t="s">
        <v>12</v>
      </c>
      <c r="CH391" s="72" t="str">
        <f t="shared" si="456"/>
        <v>UF</v>
      </c>
      <c r="CI391" s="72" t="str">
        <f t="shared" si="457"/>
        <v>UF</v>
      </c>
      <c r="CJ391" s="5" t="str">
        <f t="shared" si="429"/>
        <v>UF</v>
      </c>
      <c r="CK391" s="5" t="str">
        <f t="shared" si="430"/>
        <v>UF</v>
      </c>
      <c r="CL391" s="69" t="str">
        <f t="shared" si="431"/>
        <v/>
      </c>
      <c r="CN391" s="70" t="str">
        <f t="shared" si="432"/>
        <v/>
      </c>
      <c r="CO391" s="5" t="str">
        <f t="shared" si="433"/>
        <v>UF</v>
      </c>
      <c r="CP391" s="5" t="str">
        <f>IF(G391&lt;48,"UF", IF(NOT(ISBLANK(CM:CM)), CM:CM, IF(BW:BW=1, BV:BV+Sheet2!B458, IF(Sheet1!BW:BW=2, Sheet1!BV:BV+Sheet2!B459, IF(Sheet1!BW:BW=7, Sheet1!BV:BV+Sheet2!B460,"")))))</f>
        <v>UF</v>
      </c>
      <c r="CQ391" s="69" t="str">
        <f t="shared" si="458"/>
        <v/>
      </c>
      <c r="CR391" s="5" t="s">
        <v>12</v>
      </c>
      <c r="CT391" s="5" t="str">
        <f t="shared" si="434"/>
        <v/>
      </c>
      <c r="CU391" s="80" t="str">
        <f t="shared" si="435"/>
        <v>UF</v>
      </c>
      <c r="CV391" s="80" t="str">
        <f t="shared" si="436"/>
        <v>UF</v>
      </c>
      <c r="CW391" s="20" t="str">
        <f>IF(G391&lt;48,"UF", IF(NOT(ISBLANK(CS391)), CS391, IF(CE391=5, CC391+Sheet2!B447, IF(CE391=6, CC391+Sheet2!B448, IF(CE391=7, CC391+Sheet2!B449,"")))))</f>
        <v>UF</v>
      </c>
      <c r="CX391" s="68" t="str">
        <f t="shared" si="459"/>
        <v/>
      </c>
      <c r="CY391" s="5" t="s">
        <v>12</v>
      </c>
      <c r="DA391" s="5" t="str">
        <f t="shared" si="437"/>
        <v>UF</v>
      </c>
      <c r="DB391" s="73" t="str">
        <f t="shared" si="438"/>
        <v>UF</v>
      </c>
      <c r="DC391" s="73" t="str">
        <f t="shared" si="439"/>
        <v>UF</v>
      </c>
      <c r="DD391" s="5" t="str">
        <f>IF(G391&lt;48,"UF", IF(NOT(ISBLANK(CZ:CZ)), CZ:CZ, IF(CL:CL=3, CK:CK+Sheet2!B452, IF(CL:CL=4, CK:CK+Sheet2!B453, IF(CL:CL=7, CK:CK+Sheet2!B454,"")))))</f>
        <v>UF</v>
      </c>
      <c r="DE391" s="69" t="str">
        <f t="shared" si="397"/>
        <v/>
      </c>
      <c r="DF391" s="2">
        <v>2</v>
      </c>
      <c r="DG391" s="2">
        <v>34</v>
      </c>
      <c r="DH391" s="2">
        <v>2</v>
      </c>
      <c r="DI391" s="2">
        <v>1</v>
      </c>
      <c r="DJ391" s="2">
        <v>2</v>
      </c>
      <c r="DK391" s="2">
        <v>100</v>
      </c>
      <c r="DL391" s="2">
        <v>60</v>
      </c>
      <c r="DM391" s="2">
        <v>100</v>
      </c>
      <c r="DN391" s="2">
        <v>70</v>
      </c>
      <c r="DO391" s="2">
        <v>110</v>
      </c>
      <c r="DP391" s="2">
        <v>70</v>
      </c>
      <c r="DQ391" s="2">
        <v>2</v>
      </c>
      <c r="DR391" s="2">
        <v>40</v>
      </c>
      <c r="DS391" s="2">
        <v>1</v>
      </c>
      <c r="DT391" s="2">
        <v>93</v>
      </c>
      <c r="DU391" s="2">
        <v>92</v>
      </c>
      <c r="DV391" s="2">
        <v>2</v>
      </c>
      <c r="DW391" s="2">
        <v>2</v>
      </c>
      <c r="DX391" s="2">
        <v>2</v>
      </c>
      <c r="DY391" s="2">
        <v>2</v>
      </c>
      <c r="DZ391" s="2">
        <v>33.5</v>
      </c>
      <c r="EA391" s="2">
        <v>35</v>
      </c>
      <c r="EB391" s="2">
        <v>43.8</v>
      </c>
      <c r="EC391" s="2">
        <v>1</v>
      </c>
      <c r="ED391" s="2">
        <v>1</v>
      </c>
    </row>
    <row r="392" spans="2:134" x14ac:dyDescent="0.25">
      <c r="B392" s="2"/>
      <c r="C392" s="2" t="s">
        <v>409</v>
      </c>
      <c r="D392" s="2">
        <v>2501057309</v>
      </c>
      <c r="E392" s="5" t="s">
        <v>528</v>
      </c>
      <c r="F392" s="2">
        <v>1</v>
      </c>
      <c r="G392" s="2">
        <v>28</v>
      </c>
      <c r="H392">
        <v>-1.142531010896926</v>
      </c>
      <c r="I392" s="2">
        <v>50</v>
      </c>
      <c r="J392">
        <v>0.45756143734440202</v>
      </c>
      <c r="K392" s="5">
        <v>3000</v>
      </c>
      <c r="L392" s="2">
        <v>-0.51868017376649433</v>
      </c>
      <c r="M392" s="2">
        <v>-1.6148748303670231</v>
      </c>
      <c r="N392" s="2">
        <f t="shared" si="399"/>
        <v>-0.36657666117861798</v>
      </c>
      <c r="O392" s="2">
        <f t="shared" si="400"/>
        <v>-1.6148748303670231</v>
      </c>
      <c r="P392" s="2">
        <v>64</v>
      </c>
      <c r="Q392" s="2">
        <v>-1.083257084809599</v>
      </c>
      <c r="R392" s="5">
        <f t="shared" si="401"/>
        <v>-0.72903120982326053</v>
      </c>
      <c r="S392" s="5">
        <f t="shared" si="402"/>
        <v>-1.083257084809599</v>
      </c>
      <c r="T392" s="1">
        <v>6000</v>
      </c>
      <c r="U392" s="2">
        <v>-1.810871063569981</v>
      </c>
      <c r="V392" s="2">
        <f t="shared" si="403"/>
        <v>-0.69768808258050585</v>
      </c>
      <c r="W392" s="2">
        <f t="shared" si="404"/>
        <v>-1.810871063569981</v>
      </c>
      <c r="X392" s="2">
        <v>-1.875684333254162</v>
      </c>
      <c r="Y392" s="76">
        <f t="shared" si="440"/>
        <v>-0.73315332235723596</v>
      </c>
      <c r="Z392" s="76">
        <f t="shared" si="441"/>
        <v>-2</v>
      </c>
      <c r="AA392" s="2">
        <f t="shared" si="405"/>
        <v>-0.53329640199378758</v>
      </c>
      <c r="AB392" s="2">
        <f t="shared" si="406"/>
        <v>-1.875684333254162</v>
      </c>
      <c r="AC392" s="2">
        <v>72</v>
      </c>
      <c r="AD392" s="2">
        <v>-1.0005009823021189</v>
      </c>
      <c r="AE392" s="79">
        <f t="shared" si="442"/>
        <v>-1.4580624196465211</v>
      </c>
      <c r="AF392" s="79">
        <f t="shared" si="443"/>
        <v>-2</v>
      </c>
      <c r="AG392" s="2">
        <f t="shared" si="395"/>
        <v>0.16950104361385421</v>
      </c>
      <c r="AH392" s="2">
        <f t="shared" si="407"/>
        <v>-1.0005009823021189</v>
      </c>
      <c r="AI392" s="2">
        <v>7200</v>
      </c>
      <c r="AJ392" s="2">
        <v>-1.914056338927506</v>
      </c>
      <c r="AK392" s="76">
        <f t="shared" si="444"/>
        <v>-1.3953761651610117</v>
      </c>
      <c r="AL392" s="76">
        <f t="shared" si="445"/>
        <v>-2</v>
      </c>
      <c r="AM392" s="2">
        <f t="shared" si="408"/>
        <v>-6.1048220519438035E-2</v>
      </c>
      <c r="AN392" s="2">
        <f t="shared" si="409"/>
        <v>-1.914056338927506</v>
      </c>
      <c r="AO392" s="2">
        <v>-2.1498498887971742</v>
      </c>
      <c r="AP392" s="2">
        <f t="shared" si="410"/>
        <v>0.39307893617031098</v>
      </c>
      <c r="AQ392" s="2">
        <f t="shared" si="411"/>
        <v>-2.1498498887971742</v>
      </c>
      <c r="AR392" s="2">
        <v>79</v>
      </c>
      <c r="AS392" s="2">
        <v>-0.74425499758189062</v>
      </c>
      <c r="AT392" s="2">
        <f t="shared" si="412"/>
        <v>-0.27187776480318704</v>
      </c>
      <c r="AU392" s="2">
        <f t="shared" si="413"/>
        <v>-0.74425499758189062</v>
      </c>
      <c r="AV392" s="2">
        <v>8200</v>
      </c>
      <c r="AW392" s="2">
        <v>-1.932967504608857</v>
      </c>
      <c r="AX392" s="2">
        <f t="shared" si="414"/>
        <v>-0.23197871524342539</v>
      </c>
      <c r="AY392" s="2">
        <f t="shared" si="415"/>
        <v>-1.932967504608857</v>
      </c>
      <c r="AZ392" s="2">
        <v>-1.08952646091354</v>
      </c>
      <c r="BA392" s="78">
        <f t="shared" si="446"/>
        <v>0.78615787234062195</v>
      </c>
      <c r="BB392" s="78">
        <f t="shared" si="447"/>
        <v>2</v>
      </c>
      <c r="BC392" s="2" t="str">
        <f t="shared" si="416"/>
        <v/>
      </c>
      <c r="BD392" s="2">
        <f t="shared" si="417"/>
        <v>-1.08952646091354</v>
      </c>
      <c r="BE392" s="67">
        <f t="shared" si="448"/>
        <v>7</v>
      </c>
      <c r="BF392" s="2">
        <v>80</v>
      </c>
      <c r="BG392" s="2">
        <v>-1.544256511908493</v>
      </c>
      <c r="BH392" s="2" t="str">
        <f t="shared" si="418"/>
        <v/>
      </c>
      <c r="BI392" s="2">
        <f t="shared" si="419"/>
        <v>-1.544256511908493</v>
      </c>
      <c r="BJ392" s="67">
        <f t="shared" si="420"/>
        <v>7</v>
      </c>
      <c r="BK392" s="2">
        <v>9600</v>
      </c>
      <c r="BL392" s="2">
        <v>-2.3780137694143568</v>
      </c>
      <c r="BM392" s="77">
        <f t="shared" si="449"/>
        <v>-0.46395743048685079</v>
      </c>
      <c r="BN392" s="77">
        <f t="shared" si="450"/>
        <v>-1</v>
      </c>
      <c r="BO392" s="2" t="str">
        <f t="shared" si="421"/>
        <v/>
      </c>
      <c r="BP392" s="2">
        <f t="shared" si="422"/>
        <v>-2.3780137694143568</v>
      </c>
      <c r="BQ392" s="67">
        <f t="shared" si="451"/>
        <v>4</v>
      </c>
      <c r="BR392" s="2"/>
      <c r="BS392" s="75" t="str">
        <f t="shared" si="452"/>
        <v>UF</v>
      </c>
      <c r="BT392" s="75" t="str">
        <f t="shared" si="453"/>
        <v>UF</v>
      </c>
      <c r="BU392" s="5" t="str">
        <f>IF(G397&gt;=36, IF(AND(NOT(ISBLANK(CM:CM)), NOT(ISBLANK(BD:BD))), (CM:CM-BD:BD)/2, ""), "UF")</f>
        <v>UF</v>
      </c>
      <c r="BV392" s="5" t="str">
        <f t="shared" si="423"/>
        <v>UF</v>
      </c>
      <c r="BW392" s="69" t="str">
        <f t="shared" si="424"/>
        <v/>
      </c>
      <c r="BX392" s="2" t="s">
        <v>12</v>
      </c>
      <c r="BY392" s="2"/>
      <c r="BZ392" s="74" t="str">
        <f t="shared" si="454"/>
        <v>UF</v>
      </c>
      <c r="CA392" s="74" t="str">
        <f t="shared" si="455"/>
        <v>UF</v>
      </c>
      <c r="CB392" s="5" t="str">
        <f t="shared" si="425"/>
        <v>UF</v>
      </c>
      <c r="CC392" s="5" t="str">
        <f t="shared" si="426"/>
        <v>UF</v>
      </c>
      <c r="CD392" s="2" t="e">
        <f t="shared" si="427"/>
        <v>#VALUE!</v>
      </c>
      <c r="CE392" s="69" t="str">
        <f t="shared" si="428"/>
        <v/>
      </c>
      <c r="CF392" s="5" t="s">
        <v>12</v>
      </c>
      <c r="CG392" s="2"/>
      <c r="CH392" s="72" t="str">
        <f t="shared" si="456"/>
        <v>UF</v>
      </c>
      <c r="CI392" s="72" t="str">
        <f t="shared" si="457"/>
        <v>UF</v>
      </c>
      <c r="CJ392" s="5" t="str">
        <f t="shared" si="429"/>
        <v>UF</v>
      </c>
      <c r="CK392" s="5" t="str">
        <f t="shared" si="430"/>
        <v>UF</v>
      </c>
      <c r="CL392" s="69" t="str">
        <f t="shared" si="431"/>
        <v/>
      </c>
      <c r="CM392" s="2"/>
      <c r="CN392" s="70" t="str">
        <f t="shared" si="432"/>
        <v/>
      </c>
      <c r="CO392" s="5" t="str">
        <f t="shared" si="433"/>
        <v>UF</v>
      </c>
      <c r="CP392" s="5" t="str">
        <f>IF(G392&lt;48,"UF", IF(NOT(ISBLANK(CM:CM)), CM:CM, IF(BW:BW=1, BV:BV+Sheet2!B619, IF(Sheet1!BW:BW=2, Sheet1!BV:BV+Sheet2!B620, IF(Sheet1!BW:BW=7, Sheet1!BV:BV+Sheet2!B621,"")))))</f>
        <v>UF</v>
      </c>
      <c r="CQ392" s="69" t="str">
        <f t="shared" si="458"/>
        <v/>
      </c>
      <c r="CR392" s="5" t="s">
        <v>12</v>
      </c>
      <c r="CS392" s="2"/>
      <c r="CT392" s="5" t="str">
        <f t="shared" si="434"/>
        <v/>
      </c>
      <c r="CU392" s="80" t="str">
        <f t="shared" si="435"/>
        <v>UF</v>
      </c>
      <c r="CV392" s="80" t="str">
        <f t="shared" si="436"/>
        <v>UF</v>
      </c>
      <c r="CW392" s="20" t="str">
        <f>IF(G392&lt;48,"UF", IF(NOT(ISBLANK(CS392)), CS392, IF(CE392=5, CC392+Sheet2!B608, IF(CE392=6, CC392+Sheet2!B609, IF(CE392=7, CC392+Sheet2!B610,"")))))</f>
        <v>UF</v>
      </c>
      <c r="CX392" s="68" t="str">
        <f t="shared" si="459"/>
        <v/>
      </c>
      <c r="CY392" s="5" t="s">
        <v>12</v>
      </c>
      <c r="DA392" s="5" t="str">
        <f t="shared" si="437"/>
        <v>UF</v>
      </c>
      <c r="DB392" s="73" t="str">
        <f t="shared" si="438"/>
        <v>UF</v>
      </c>
      <c r="DC392" s="73" t="str">
        <f t="shared" si="439"/>
        <v>UF</v>
      </c>
      <c r="DD392" s="5" t="str">
        <f>IF(G392&lt;48,"UF", IF(NOT(ISBLANK(CZ:CZ)), CZ:CZ, IF(CL:CL=3, CK:CK+Sheet2!B613, IF(CL:CL=4, CK:CK+Sheet2!B614, IF(CL:CL=7, CK:CK+Sheet2!B615,"")))))</f>
        <v>UF</v>
      </c>
      <c r="DE392" s="69" t="str">
        <f t="shared" si="397"/>
        <v/>
      </c>
      <c r="DF392" s="2">
        <v>4</v>
      </c>
      <c r="DG392" s="2">
        <v>41</v>
      </c>
      <c r="DH392" s="2">
        <v>2</v>
      </c>
      <c r="DI392" s="2">
        <v>2</v>
      </c>
      <c r="DJ392" s="2">
        <v>2</v>
      </c>
      <c r="DK392" s="2">
        <v>100</v>
      </c>
      <c r="DL392" s="2">
        <v>60</v>
      </c>
      <c r="DM392" s="2">
        <v>100</v>
      </c>
      <c r="DN392" s="2">
        <v>60</v>
      </c>
      <c r="DO392" s="2">
        <v>110</v>
      </c>
      <c r="DP392" s="2">
        <v>60</v>
      </c>
      <c r="DQ392" s="2">
        <v>2</v>
      </c>
      <c r="DR392" s="2">
        <v>39</v>
      </c>
      <c r="DS392" s="2">
        <v>2</v>
      </c>
      <c r="DT392" s="2">
        <v>85</v>
      </c>
      <c r="DU392" s="2">
        <v>81</v>
      </c>
      <c r="DV392" s="2">
        <v>2</v>
      </c>
      <c r="DW392" s="2">
        <v>2</v>
      </c>
      <c r="DX392" s="2">
        <v>2</v>
      </c>
      <c r="DY392" s="2">
        <v>2</v>
      </c>
      <c r="DZ392" s="2">
        <v>34</v>
      </c>
      <c r="EA392" s="2" t="s">
        <v>12</v>
      </c>
      <c r="EB392" s="2">
        <v>46</v>
      </c>
      <c r="EC392" s="2" t="s">
        <v>12</v>
      </c>
      <c r="ED392" s="2">
        <v>1</v>
      </c>
    </row>
    <row r="393" spans="2:134" x14ac:dyDescent="0.25">
      <c r="C393" s="8" t="s">
        <v>307</v>
      </c>
      <c r="D393" s="8">
        <v>2501057465</v>
      </c>
      <c r="E393" s="5">
        <v>7</v>
      </c>
      <c r="F393" s="2">
        <v>1</v>
      </c>
      <c r="G393" s="2">
        <v>25</v>
      </c>
      <c r="H393" s="2">
        <v>-2.7507315283857561</v>
      </c>
      <c r="I393" s="2">
        <v>52</v>
      </c>
      <c r="J393" s="2">
        <v>1.531272843240846</v>
      </c>
      <c r="K393" s="2">
        <v>2800</v>
      </c>
      <c r="L393" s="2">
        <v>-0.98574519678023331</v>
      </c>
      <c r="M393" s="2">
        <v>-0.9758</v>
      </c>
      <c r="N393" s="2">
        <f t="shared" si="399"/>
        <v>0.94461576419287807</v>
      </c>
      <c r="O393" s="2">
        <f t="shared" si="400"/>
        <v>-0.9758</v>
      </c>
      <c r="P393" s="2">
        <v>67</v>
      </c>
      <c r="Q393" s="2">
        <v>0.55000000000000004</v>
      </c>
      <c r="R393" s="5">
        <f t="shared" si="401"/>
        <v>-0.18563642162042304</v>
      </c>
      <c r="S393" s="5">
        <f t="shared" si="402"/>
        <v>0.55000000000000004</v>
      </c>
      <c r="T393" s="2">
        <v>7590</v>
      </c>
      <c r="U393" s="2">
        <v>-0.4</v>
      </c>
      <c r="V393" s="2">
        <f t="shared" si="403"/>
        <v>0.51787259839011668</v>
      </c>
      <c r="W393" s="2">
        <f t="shared" si="404"/>
        <v>-0.4</v>
      </c>
      <c r="X393" s="2">
        <v>-0.86150000000000004</v>
      </c>
      <c r="Y393" s="76">
        <f t="shared" si="440"/>
        <v>1.8892315283857561</v>
      </c>
      <c r="Z393" s="76">
        <f t="shared" si="441"/>
        <v>2</v>
      </c>
      <c r="AA393" s="2" t="str">
        <f t="shared" si="405"/>
        <v/>
      </c>
      <c r="AB393" s="2">
        <f t="shared" si="406"/>
        <v>-0.86150000000000004</v>
      </c>
      <c r="AC393" s="2">
        <v>77</v>
      </c>
      <c r="AD393" s="2">
        <v>1.1599999999999999</v>
      </c>
      <c r="AE393" s="79">
        <f t="shared" si="442"/>
        <v>-0.37127284324084608</v>
      </c>
      <c r="AF393" s="79">
        <f t="shared" si="443"/>
        <v>-1</v>
      </c>
      <c r="AG393" s="2" t="str">
        <f t="shared" si="395"/>
        <v/>
      </c>
      <c r="AH393" s="2">
        <f t="shared" si="407"/>
        <v>1.1599999999999999</v>
      </c>
      <c r="AI393" s="2">
        <v>9000</v>
      </c>
      <c r="AJ393" s="2">
        <v>0.05</v>
      </c>
      <c r="AK393" s="76">
        <f t="shared" si="444"/>
        <v>1.0357451967802334</v>
      </c>
      <c r="AL393" s="76">
        <f t="shared" si="445"/>
        <v>2</v>
      </c>
      <c r="AM393" s="2" t="str">
        <f t="shared" si="408"/>
        <v/>
      </c>
      <c r="AN393" s="2">
        <f t="shared" si="409"/>
        <v>0.05</v>
      </c>
      <c r="AP393" s="2" t="str">
        <f t="shared" si="410"/>
        <v/>
      </c>
      <c r="AQ393" s="2" t="e">
        <f t="shared" si="411"/>
        <v>#VALUE!</v>
      </c>
      <c r="AR393" s="2" t="s">
        <v>12</v>
      </c>
      <c r="AT393" s="2" t="str">
        <f t="shared" si="412"/>
        <v/>
      </c>
      <c r="AU393" s="2" t="e">
        <f t="shared" si="413"/>
        <v>#VALUE!</v>
      </c>
      <c r="AV393" s="2" t="s">
        <v>12</v>
      </c>
      <c r="AX393" s="2" t="str">
        <f t="shared" si="414"/>
        <v/>
      </c>
      <c r="AY393" s="2" t="e">
        <f t="shared" si="415"/>
        <v>#VALUE!</v>
      </c>
      <c r="BA393" s="78" t="e">
        <f t="shared" si="446"/>
        <v>#VALUE!</v>
      </c>
      <c r="BB393" s="78" t="e">
        <f t="shared" si="447"/>
        <v>#VALUE!</v>
      </c>
      <c r="BC393" s="2" t="str">
        <f t="shared" si="416"/>
        <v/>
      </c>
      <c r="BD393" s="2" t="e">
        <f t="shared" si="417"/>
        <v>#VALUE!</v>
      </c>
      <c r="BE393" s="67" t="e">
        <f t="shared" si="448"/>
        <v>#VALUE!</v>
      </c>
      <c r="BF393" s="2" t="s">
        <v>12</v>
      </c>
      <c r="BH393" s="2" t="str">
        <f t="shared" si="418"/>
        <v/>
      </c>
      <c r="BI393" s="2" t="e">
        <f t="shared" si="419"/>
        <v>#VALUE!</v>
      </c>
      <c r="BJ393" s="67" t="e">
        <f t="shared" si="420"/>
        <v>#VALUE!</v>
      </c>
      <c r="BK393" s="2" t="s">
        <v>12</v>
      </c>
      <c r="BM393" s="77" t="e">
        <f t="shared" si="449"/>
        <v>#VALUE!</v>
      </c>
      <c r="BN393" s="77" t="e">
        <f t="shared" si="450"/>
        <v>#VALUE!</v>
      </c>
      <c r="BO393" s="2" t="str">
        <f t="shared" si="421"/>
        <v/>
      </c>
      <c r="BP393" s="2" t="e">
        <f t="shared" si="422"/>
        <v>#VALUE!</v>
      </c>
      <c r="BQ393" s="67" t="e">
        <f t="shared" si="451"/>
        <v>#VALUE!</v>
      </c>
      <c r="BS393" s="75" t="str">
        <f t="shared" si="452"/>
        <v>UF</v>
      </c>
      <c r="BT393" s="75" t="str">
        <f t="shared" si="453"/>
        <v>UF</v>
      </c>
      <c r="BU393" s="5" t="str">
        <f>IF(G399&gt;=36, IF(AND(NOT(ISBLANK(CM:CM)), NOT(ISBLANK(BD:BD))), (CM:CM-BD:BD)/2, ""), "UF")</f>
        <v>UF</v>
      </c>
      <c r="BV393" s="5" t="str">
        <f t="shared" si="423"/>
        <v>UF</v>
      </c>
      <c r="BW393" s="69" t="str">
        <f t="shared" si="424"/>
        <v/>
      </c>
      <c r="BX393" s="2" t="s">
        <v>12</v>
      </c>
      <c r="BZ393" s="74" t="str">
        <f t="shared" si="454"/>
        <v>UF</v>
      </c>
      <c r="CA393" s="74" t="str">
        <f t="shared" si="455"/>
        <v>UF</v>
      </c>
      <c r="CB393" s="5" t="str">
        <f t="shared" si="425"/>
        <v>UF</v>
      </c>
      <c r="CC393" s="5" t="str">
        <f t="shared" si="426"/>
        <v>UF</v>
      </c>
      <c r="CD393" s="2" t="e">
        <f t="shared" si="427"/>
        <v>#VALUE!</v>
      </c>
      <c r="CE393" s="69" t="str">
        <f t="shared" si="428"/>
        <v/>
      </c>
      <c r="CF393" s="5" t="s">
        <v>12</v>
      </c>
      <c r="CH393" s="72" t="str">
        <f t="shared" si="456"/>
        <v>UF</v>
      </c>
      <c r="CI393" s="72" t="str">
        <f t="shared" si="457"/>
        <v>UF</v>
      </c>
      <c r="CJ393" s="5" t="str">
        <f t="shared" si="429"/>
        <v>UF</v>
      </c>
      <c r="CK393" s="5" t="str">
        <f t="shared" si="430"/>
        <v>UF</v>
      </c>
      <c r="CL393" s="69" t="str">
        <f t="shared" si="431"/>
        <v/>
      </c>
      <c r="CN393" s="70" t="str">
        <f t="shared" si="432"/>
        <v/>
      </c>
      <c r="CO393" s="5" t="str">
        <f t="shared" si="433"/>
        <v>UF</v>
      </c>
      <c r="CP393" s="5" t="str">
        <f>IF(G393&lt;48,"UF", IF(NOT(ISBLANK(CM:CM)), CM:CM, IF(BW:BW=1, BV:BV+Sheet2!B522, IF(Sheet1!BW:BW=2, Sheet1!BV:BV+Sheet2!B523, IF(Sheet1!BW:BW=7, Sheet1!BV:BV+Sheet2!B524,"")))))</f>
        <v>UF</v>
      </c>
      <c r="CQ393" s="69" t="str">
        <f t="shared" si="458"/>
        <v/>
      </c>
      <c r="CR393" s="5" t="s">
        <v>12</v>
      </c>
      <c r="CT393" s="5" t="str">
        <f t="shared" si="434"/>
        <v/>
      </c>
      <c r="CU393" s="80" t="str">
        <f t="shared" si="435"/>
        <v>UF</v>
      </c>
      <c r="CV393" s="80" t="str">
        <f t="shared" si="436"/>
        <v>UF</v>
      </c>
      <c r="CW393" s="20" t="str">
        <f>IF(G393&lt;48,"UF", IF(NOT(ISBLANK(CS393)), CS393, IF(CE393=5, CC393+Sheet2!B511, IF(CE393=6, CC393+Sheet2!B512, IF(CE393=7, CC393+Sheet2!B513,"")))))</f>
        <v>UF</v>
      </c>
      <c r="CX393" s="68" t="str">
        <f t="shared" si="459"/>
        <v/>
      </c>
      <c r="CY393" s="5" t="s">
        <v>12</v>
      </c>
      <c r="DA393" s="5" t="str">
        <f t="shared" si="437"/>
        <v>UF</v>
      </c>
      <c r="DB393" s="73" t="str">
        <f t="shared" si="438"/>
        <v>UF</v>
      </c>
      <c r="DC393" s="73" t="str">
        <f t="shared" si="439"/>
        <v>UF</v>
      </c>
      <c r="DD393" s="5" t="str">
        <f>IF(G393&lt;48,"UF", IF(NOT(ISBLANK(CZ:CZ)), CZ:CZ, IF(CL:CL=3, CK:CK+Sheet2!B516, IF(CL:CL=4, CK:CK+Sheet2!B517, IF(CL:CL=7, CK:CK+Sheet2!B518,"")))))</f>
        <v>UF</v>
      </c>
      <c r="DE393" s="69" t="str">
        <f t="shared" si="397"/>
        <v/>
      </c>
      <c r="DF393" s="2">
        <v>3</v>
      </c>
      <c r="DG393" s="2">
        <v>35</v>
      </c>
      <c r="DH393" s="2">
        <v>1</v>
      </c>
      <c r="DI393" s="2">
        <v>2</v>
      </c>
      <c r="DJ393" s="2">
        <v>2</v>
      </c>
      <c r="DK393" s="2">
        <v>110</v>
      </c>
      <c r="DL393" s="2">
        <v>70</v>
      </c>
      <c r="DM393" s="2">
        <v>116</v>
      </c>
      <c r="DN393" s="2">
        <v>75</v>
      </c>
      <c r="DO393" s="2">
        <v>110</v>
      </c>
      <c r="DP393" s="2">
        <v>70</v>
      </c>
      <c r="DQ393" s="2">
        <v>2</v>
      </c>
      <c r="DR393" s="2">
        <v>38</v>
      </c>
      <c r="DS393" s="2">
        <v>1</v>
      </c>
      <c r="DT393" s="2">
        <v>85</v>
      </c>
      <c r="DU393" s="2">
        <v>98</v>
      </c>
      <c r="DV393" s="2">
        <v>2</v>
      </c>
      <c r="DW393" s="2">
        <v>2</v>
      </c>
      <c r="DX393" s="2">
        <v>2</v>
      </c>
      <c r="DY393" s="2">
        <v>1</v>
      </c>
      <c r="DZ393" s="2">
        <v>34.5</v>
      </c>
      <c r="EA393" s="2">
        <v>36.5</v>
      </c>
      <c r="EB393" s="2">
        <v>45</v>
      </c>
      <c r="EC393" s="2">
        <v>1</v>
      </c>
      <c r="ED393" s="2">
        <v>1</v>
      </c>
    </row>
    <row r="394" spans="2:134" x14ac:dyDescent="0.25">
      <c r="C394" s="5">
        <v>14011221</v>
      </c>
      <c r="D394" s="2">
        <v>2501057570</v>
      </c>
      <c r="E394" s="5" t="s">
        <v>527</v>
      </c>
      <c r="F394" s="2">
        <v>2</v>
      </c>
      <c r="G394" s="2">
        <v>24</v>
      </c>
      <c r="H394" s="2">
        <v>-2.7037561720132581</v>
      </c>
      <c r="I394" s="2">
        <v>49</v>
      </c>
      <c r="J394" s="2">
        <v>-0.46706379753639199</v>
      </c>
      <c r="K394" s="5">
        <v>2510</v>
      </c>
      <c r="L394" s="2">
        <v>-1.8740670029672271</v>
      </c>
      <c r="M394" s="2">
        <v>-0.2923</v>
      </c>
      <c r="N394" s="2">
        <f t="shared" si="399"/>
        <v>0.84522808600662902</v>
      </c>
      <c r="O394" s="2">
        <f t="shared" si="400"/>
        <v>-0.2923</v>
      </c>
      <c r="P394" s="2">
        <v>61</v>
      </c>
      <c r="Q394" s="2">
        <v>-3.1</v>
      </c>
      <c r="R394" s="5">
        <f t="shared" si="401"/>
        <v>-0.97646810123180394</v>
      </c>
      <c r="S394" s="5">
        <f t="shared" si="402"/>
        <v>-3.1</v>
      </c>
      <c r="T394" s="1">
        <v>6300</v>
      </c>
      <c r="U394" s="2">
        <v>-2.08</v>
      </c>
      <c r="V394" s="2">
        <f t="shared" si="403"/>
        <v>-0.14796649851638644</v>
      </c>
      <c r="W394" s="2">
        <f t="shared" si="404"/>
        <v>-2.08</v>
      </c>
      <c r="X394" s="2">
        <v>-1.0133000000000001</v>
      </c>
      <c r="Y394" s="76">
        <f t="shared" si="440"/>
        <v>1.690456172013258</v>
      </c>
      <c r="Z394" s="76">
        <f t="shared" si="441"/>
        <v>2</v>
      </c>
      <c r="AA394" s="2">
        <f t="shared" si="405"/>
        <v>1.18605</v>
      </c>
      <c r="AB394" s="2">
        <f t="shared" si="406"/>
        <v>-1.0133000000000001</v>
      </c>
      <c r="AC394" s="2">
        <v>70</v>
      </c>
      <c r="AD394" s="2">
        <v>-2.42</v>
      </c>
      <c r="AE394" s="79">
        <f t="shared" si="442"/>
        <v>-1.9529362024636079</v>
      </c>
      <c r="AF394" s="79">
        <f t="shared" si="443"/>
        <v>-2</v>
      </c>
      <c r="AG394" s="2">
        <f t="shared" si="395"/>
        <v>0.20500000000000007</v>
      </c>
      <c r="AH394" s="2">
        <f t="shared" si="407"/>
        <v>-2.42</v>
      </c>
      <c r="AI394" s="2">
        <v>7600</v>
      </c>
      <c r="AJ394" s="2">
        <v>-2.17</v>
      </c>
      <c r="AK394" s="76">
        <f t="shared" si="444"/>
        <v>-0.29593299703277287</v>
      </c>
      <c r="AL394" s="76">
        <f t="shared" si="445"/>
        <v>-1</v>
      </c>
      <c r="AM394" s="2">
        <f t="shared" si="408"/>
        <v>-5.0000000000000044E-2</v>
      </c>
      <c r="AN394" s="2">
        <f t="shared" si="409"/>
        <v>-2.17</v>
      </c>
      <c r="AO394" s="2">
        <v>-0.72789999999999999</v>
      </c>
      <c r="AP394" s="2">
        <f t="shared" si="410"/>
        <v>-0.2260218626275835</v>
      </c>
      <c r="AQ394" s="2">
        <f t="shared" si="411"/>
        <v>-0.72789999999999999</v>
      </c>
      <c r="AR394" s="2">
        <v>75</v>
      </c>
      <c r="AS394" s="2">
        <v>-2.69</v>
      </c>
      <c r="AT394" s="2">
        <f t="shared" si="412"/>
        <v>0.11859611719930152</v>
      </c>
      <c r="AU394" s="2">
        <f t="shared" si="413"/>
        <v>-2.69</v>
      </c>
      <c r="AV394" s="2">
        <v>8580</v>
      </c>
      <c r="AW394" s="2">
        <v>-2.1800000000000002</v>
      </c>
      <c r="AX394" s="2">
        <f t="shared" si="414"/>
        <v>-0.39994053526756757</v>
      </c>
      <c r="AY394" s="2">
        <f t="shared" si="415"/>
        <v>-2.1800000000000002</v>
      </c>
      <c r="AZ394" s="2">
        <v>-1.4653437252551671</v>
      </c>
      <c r="BA394" s="78">
        <f t="shared" si="446"/>
        <v>-0.45204372525516701</v>
      </c>
      <c r="BB394" s="78">
        <f t="shared" si="447"/>
        <v>-1</v>
      </c>
      <c r="BC394" s="2" t="str">
        <f t="shared" si="416"/>
        <v/>
      </c>
      <c r="BD394" s="2">
        <f t="shared" si="417"/>
        <v>-1.4653437252551671</v>
      </c>
      <c r="BE394" s="67">
        <f t="shared" si="448"/>
        <v>7</v>
      </c>
      <c r="BF394" s="2">
        <v>79.2</v>
      </c>
      <c r="BG394" s="2">
        <v>-2.1828077656013969</v>
      </c>
      <c r="BH394" s="2" t="str">
        <f t="shared" si="418"/>
        <v/>
      </c>
      <c r="BI394" s="2">
        <f t="shared" si="419"/>
        <v>-2.1828077656013969</v>
      </c>
      <c r="BJ394" s="67">
        <f t="shared" si="420"/>
        <v>6</v>
      </c>
      <c r="BK394" s="2">
        <v>9340</v>
      </c>
      <c r="BL394" s="2">
        <v>-2.9698810705351351</v>
      </c>
      <c r="BM394" s="77">
        <f t="shared" si="449"/>
        <v>-0.79988107053513513</v>
      </c>
      <c r="BN394" s="77">
        <f t="shared" si="450"/>
        <v>-2</v>
      </c>
      <c r="BO394" s="2" t="str">
        <f t="shared" si="421"/>
        <v/>
      </c>
      <c r="BP394" s="2">
        <f t="shared" si="422"/>
        <v>-2.9698810705351351</v>
      </c>
      <c r="BQ394" s="67">
        <f t="shared" si="451"/>
        <v>4</v>
      </c>
      <c r="BS394" s="75" t="str">
        <f t="shared" si="452"/>
        <v>UF</v>
      </c>
      <c r="BT394" s="75" t="str">
        <f t="shared" si="453"/>
        <v>UF</v>
      </c>
      <c r="BU394" s="5" t="str">
        <f>IF(G400&gt;=36, IF(AND(NOT(ISBLANK(CM:CM)), NOT(ISBLANK(BD:BD))), (CM:CM-BD:BD)/2, ""), "UF")</f>
        <v>UF</v>
      </c>
      <c r="BV394" s="5" t="str">
        <f t="shared" si="423"/>
        <v>UF</v>
      </c>
      <c r="BW394" s="69" t="str">
        <f t="shared" si="424"/>
        <v/>
      </c>
      <c r="BX394" s="2" t="s">
        <v>12</v>
      </c>
      <c r="BZ394" s="74" t="str">
        <f t="shared" si="454"/>
        <v>UF</v>
      </c>
      <c r="CA394" s="74" t="str">
        <f t="shared" si="455"/>
        <v>UF</v>
      </c>
      <c r="CB394" s="5" t="str">
        <f t="shared" si="425"/>
        <v>UF</v>
      </c>
      <c r="CC394" s="5" t="str">
        <f t="shared" si="426"/>
        <v>UF</v>
      </c>
      <c r="CD394" s="2" t="e">
        <f t="shared" si="427"/>
        <v>#VALUE!</v>
      </c>
      <c r="CE394" s="69" t="str">
        <f t="shared" si="428"/>
        <v/>
      </c>
      <c r="CF394" s="5" t="s">
        <v>12</v>
      </c>
      <c r="CH394" s="72" t="str">
        <f t="shared" si="456"/>
        <v>UF</v>
      </c>
      <c r="CI394" s="72" t="str">
        <f t="shared" si="457"/>
        <v>UF</v>
      </c>
      <c r="CJ394" s="5" t="str">
        <f t="shared" si="429"/>
        <v>UF</v>
      </c>
      <c r="CK394" s="5" t="str">
        <f t="shared" si="430"/>
        <v>UF</v>
      </c>
      <c r="CL394" s="69" t="str">
        <f t="shared" si="431"/>
        <v/>
      </c>
      <c r="CN394" s="70" t="str">
        <f t="shared" si="432"/>
        <v/>
      </c>
      <c r="CO394" s="5" t="str">
        <f t="shared" si="433"/>
        <v>UF</v>
      </c>
      <c r="CP394" s="5" t="str">
        <f>IF(G394&lt;48,"UF", IF(NOT(ISBLANK(CM:CM)), CM:CM, IF(BW:BW=1, BV:BV+Sheet2!B145, IF(Sheet1!BW:BW=2, Sheet1!BV:BV+Sheet2!B146, IF(Sheet1!BW:BW=7, Sheet1!BV:BV+Sheet2!B147,"")))))</f>
        <v>UF</v>
      </c>
      <c r="CQ394" s="69" t="str">
        <f t="shared" si="458"/>
        <v/>
      </c>
      <c r="CR394" s="5" t="s">
        <v>12</v>
      </c>
      <c r="CT394" s="5" t="str">
        <f t="shared" si="434"/>
        <v/>
      </c>
      <c r="CU394" s="80" t="str">
        <f t="shared" si="435"/>
        <v>UF</v>
      </c>
      <c r="CV394" s="80" t="str">
        <f t="shared" si="436"/>
        <v>UF</v>
      </c>
      <c r="CW394" s="20" t="str">
        <f>IF(G394&lt;48,"UF", IF(NOT(ISBLANK(CS394)), CS394, IF(CE394=5, CC394+Sheet2!B134, IF(CE394=6, CC394+Sheet2!B135, IF(CE394=7, CC394+Sheet2!B136,"")))))</f>
        <v>UF</v>
      </c>
      <c r="CX394" s="68" t="str">
        <f t="shared" si="459"/>
        <v/>
      </c>
      <c r="CY394" s="5" t="s">
        <v>12</v>
      </c>
      <c r="DA394" s="5" t="str">
        <f t="shared" si="437"/>
        <v>UF</v>
      </c>
      <c r="DB394" s="73" t="str">
        <f t="shared" si="438"/>
        <v>UF</v>
      </c>
      <c r="DC394" s="73" t="str">
        <f t="shared" si="439"/>
        <v>UF</v>
      </c>
      <c r="DD394" s="5" t="str">
        <f>IF(G394&lt;48,"UF", IF(NOT(ISBLANK(CZ:CZ)), CZ:CZ, IF(CL:CL=3, CK:CK+Sheet2!B139, IF(CL:CL=4, CK:CK+Sheet2!B140, IF(CL:CL=7, CK:CK+Sheet2!B141,"")))))</f>
        <v>UF</v>
      </c>
      <c r="DE394" s="69" t="str">
        <f t="shared" si="397"/>
        <v/>
      </c>
      <c r="DF394" s="2">
        <v>1</v>
      </c>
      <c r="DG394" s="2">
        <v>25</v>
      </c>
      <c r="DH394" s="2">
        <v>1</v>
      </c>
      <c r="DI394" s="2">
        <v>2</v>
      </c>
      <c r="DJ394" s="2">
        <v>2</v>
      </c>
      <c r="DK394" s="2">
        <v>100</v>
      </c>
      <c r="DL394" s="2">
        <v>60</v>
      </c>
      <c r="DM394" s="2">
        <v>100</v>
      </c>
      <c r="DN394" s="2">
        <v>60</v>
      </c>
      <c r="DO394" s="2">
        <v>117</v>
      </c>
      <c r="DP394" s="2">
        <v>67</v>
      </c>
      <c r="DQ394" s="2">
        <v>2</v>
      </c>
      <c r="DR394" s="2">
        <v>39</v>
      </c>
      <c r="DS394" s="2">
        <v>2</v>
      </c>
      <c r="DT394" s="2">
        <v>78</v>
      </c>
      <c r="DU394" s="2">
        <v>79</v>
      </c>
      <c r="DV394" s="2">
        <v>2</v>
      </c>
      <c r="DW394" s="2">
        <v>2</v>
      </c>
      <c r="DX394" s="2">
        <v>2</v>
      </c>
      <c r="DY394" s="2">
        <v>2</v>
      </c>
      <c r="DZ394" s="2">
        <v>34</v>
      </c>
      <c r="EA394" s="2">
        <v>35.799999999999997</v>
      </c>
      <c r="EB394" s="2">
        <v>45</v>
      </c>
      <c r="EC394" s="2">
        <v>1</v>
      </c>
      <c r="ED394" s="2">
        <v>1</v>
      </c>
    </row>
    <row r="395" spans="2:134" x14ac:dyDescent="0.25">
      <c r="C395" s="9" t="s">
        <v>123</v>
      </c>
      <c r="D395" s="57">
        <v>2501057791</v>
      </c>
      <c r="E395" s="2" t="s">
        <v>531</v>
      </c>
      <c r="F395" s="2">
        <v>1</v>
      </c>
      <c r="G395" s="2">
        <v>24</v>
      </c>
      <c r="H395" s="2">
        <v>-4.1587033569472496</v>
      </c>
      <c r="I395" s="2">
        <v>50</v>
      </c>
      <c r="J395" s="2">
        <v>0.45756143734440202</v>
      </c>
      <c r="K395" s="5">
        <v>2250</v>
      </c>
      <c r="L395" s="2">
        <v>-2.3876513308056881</v>
      </c>
      <c r="M395" s="2">
        <v>-1.1308</v>
      </c>
      <c r="N395" s="2">
        <f t="shared" si="399"/>
        <v>1.8955016784736247</v>
      </c>
      <c r="O395" s="2">
        <f t="shared" si="400"/>
        <v>-1.1308</v>
      </c>
      <c r="P395" s="2">
        <v>60</v>
      </c>
      <c r="Q395" s="2">
        <v>-2.54</v>
      </c>
      <c r="R395" s="5">
        <f t="shared" si="401"/>
        <v>-1.783780718672201</v>
      </c>
      <c r="S395" s="5">
        <f t="shared" si="402"/>
        <v>-2.54</v>
      </c>
      <c r="T395" s="1">
        <v>5500</v>
      </c>
      <c r="U395" s="2">
        <v>-2.35</v>
      </c>
      <c r="V395" s="2">
        <f t="shared" si="403"/>
        <v>0.10882566540284411</v>
      </c>
      <c r="W395" s="2">
        <f t="shared" si="404"/>
        <v>-2.35</v>
      </c>
      <c r="X395" s="2">
        <v>-0.36770000000000003</v>
      </c>
      <c r="Y395" s="76">
        <f t="shared" si="440"/>
        <v>3.7910033569472494</v>
      </c>
      <c r="Z395" s="76">
        <f t="shared" si="441"/>
        <v>2</v>
      </c>
      <c r="AA395" s="2">
        <f t="shared" si="405"/>
        <v>0.92369999999999997</v>
      </c>
      <c r="AB395" s="2">
        <f t="shared" si="406"/>
        <v>-0.36770000000000003</v>
      </c>
      <c r="AC395" s="2">
        <v>66</v>
      </c>
      <c r="AD395" s="2">
        <v>-3.11</v>
      </c>
      <c r="AE395" s="79">
        <f t="shared" si="442"/>
        <v>-3.567561437344402</v>
      </c>
      <c r="AF395" s="79">
        <f t="shared" si="443"/>
        <v>-2</v>
      </c>
      <c r="AG395" s="2">
        <f t="shared" si="395"/>
        <v>-6.0000000000000053E-2</v>
      </c>
      <c r="AH395" s="2">
        <f t="shared" si="407"/>
        <v>-3.11</v>
      </c>
      <c r="AI395" s="2">
        <v>6900</v>
      </c>
      <c r="AJ395" s="2">
        <v>-2.17</v>
      </c>
      <c r="AK395" s="76">
        <f t="shared" si="444"/>
        <v>0.21765133080568821</v>
      </c>
      <c r="AL395" s="76">
        <f t="shared" si="445"/>
        <v>1</v>
      </c>
      <c r="AM395" s="2">
        <f t="shared" si="408"/>
        <v>8.4999999999999964E-2</v>
      </c>
      <c r="AN395" s="2">
        <f t="shared" si="409"/>
        <v>-2.17</v>
      </c>
      <c r="AO395" s="2">
        <v>-0.69259999999999999</v>
      </c>
      <c r="AP395" s="2">
        <f t="shared" si="410"/>
        <v>-1.4576505237016624</v>
      </c>
      <c r="AQ395" s="2">
        <f t="shared" si="411"/>
        <v>-0.69259999999999999</v>
      </c>
      <c r="AR395" s="2">
        <v>73</v>
      </c>
      <c r="AS395" s="2">
        <v>-2.66</v>
      </c>
      <c r="AT395" s="2">
        <f t="shared" si="412"/>
        <v>0.49742450517515091</v>
      </c>
      <c r="AU395" s="2">
        <f t="shared" si="413"/>
        <v>-2.66</v>
      </c>
      <c r="AV395" s="2">
        <v>7900</v>
      </c>
      <c r="AW395" s="2">
        <v>-2.1800000000000002</v>
      </c>
      <c r="AX395" s="2">
        <f t="shared" si="414"/>
        <v>-1.3479410689206466</v>
      </c>
      <c r="AY395" s="2">
        <f t="shared" si="415"/>
        <v>-2.1800000000000002</v>
      </c>
      <c r="AZ395" s="2">
        <v>-3.2830010474033249</v>
      </c>
      <c r="BA395" s="78">
        <f t="shared" si="446"/>
        <v>-2.9153010474033247</v>
      </c>
      <c r="BB395" s="78">
        <f t="shared" si="447"/>
        <v>-2</v>
      </c>
      <c r="BC395" s="2" t="str">
        <f t="shared" si="416"/>
        <v/>
      </c>
      <c r="BD395" s="2">
        <f t="shared" si="417"/>
        <v>-3.2830010474033249</v>
      </c>
      <c r="BE395" s="67">
        <f t="shared" si="448"/>
        <v>1</v>
      </c>
      <c r="BF395" s="2">
        <v>78</v>
      </c>
      <c r="BG395" s="2">
        <v>-2.1151509896496981</v>
      </c>
      <c r="BH395" s="2" t="str">
        <f t="shared" si="418"/>
        <v/>
      </c>
      <c r="BI395" s="2">
        <f t="shared" si="419"/>
        <v>-2.1151509896496981</v>
      </c>
      <c r="BJ395" s="67">
        <f t="shared" si="420"/>
        <v>6</v>
      </c>
      <c r="BK395" s="2">
        <v>7800</v>
      </c>
      <c r="BL395" s="2">
        <v>-4.8658821378412931</v>
      </c>
      <c r="BM395" s="77">
        <f t="shared" si="449"/>
        <v>-2.6958821378412932</v>
      </c>
      <c r="BN395" s="77">
        <f t="shared" si="450"/>
        <v>-2</v>
      </c>
      <c r="BO395" s="2" t="str">
        <f t="shared" si="421"/>
        <v/>
      </c>
      <c r="BP395" s="2">
        <f t="shared" si="422"/>
        <v>-4.8658821378412931</v>
      </c>
      <c r="BQ395" s="67">
        <f t="shared" si="451"/>
        <v>3</v>
      </c>
      <c r="BS395" s="75" t="str">
        <f t="shared" si="452"/>
        <v>UF</v>
      </c>
      <c r="BT395" s="75" t="str">
        <f t="shared" si="453"/>
        <v>UF</v>
      </c>
      <c r="BU395" s="5" t="str">
        <f>IF(G402&gt;=36, IF(AND(NOT(ISBLANK(CM:CM)), NOT(ISBLANK(BD:BD))), (CM:CM-BD:BD)/2, ""), "UF")</f>
        <v>UF</v>
      </c>
      <c r="BV395" s="5" t="str">
        <f t="shared" si="423"/>
        <v>UF</v>
      </c>
      <c r="BW395" s="69" t="str">
        <f t="shared" si="424"/>
        <v/>
      </c>
      <c r="BX395" s="2" t="s">
        <v>12</v>
      </c>
      <c r="BZ395" s="74" t="str">
        <f t="shared" si="454"/>
        <v>UF</v>
      </c>
      <c r="CA395" s="74" t="str">
        <f t="shared" si="455"/>
        <v>UF</v>
      </c>
      <c r="CB395" s="5" t="str">
        <f t="shared" si="425"/>
        <v>UF</v>
      </c>
      <c r="CC395" s="5" t="str">
        <f t="shared" si="426"/>
        <v>UF</v>
      </c>
      <c r="CD395" s="2" t="e">
        <f t="shared" si="427"/>
        <v>#VALUE!</v>
      </c>
      <c r="CE395" s="69" t="str">
        <f t="shared" si="428"/>
        <v/>
      </c>
      <c r="CF395" s="5" t="s">
        <v>12</v>
      </c>
      <c r="CH395" s="72" t="str">
        <f t="shared" si="456"/>
        <v>UF</v>
      </c>
      <c r="CI395" s="72" t="str">
        <f t="shared" si="457"/>
        <v>UF</v>
      </c>
      <c r="CJ395" s="5" t="str">
        <f t="shared" si="429"/>
        <v>UF</v>
      </c>
      <c r="CK395" s="5" t="str">
        <f t="shared" si="430"/>
        <v>UF</v>
      </c>
      <c r="CL395" s="69" t="str">
        <f t="shared" si="431"/>
        <v/>
      </c>
      <c r="CN395" s="70" t="str">
        <f t="shared" si="432"/>
        <v/>
      </c>
      <c r="CO395" s="5" t="str">
        <f t="shared" si="433"/>
        <v>UF</v>
      </c>
      <c r="CP395" s="5" t="str">
        <f>IF(G395&lt;48,"UF", IF(NOT(ISBLANK(CM:CM)), CM:CM, IF(BW:BW=1, BV:BV+Sheet2!B167, IF(Sheet1!BW:BW=2, Sheet1!BV:BV+Sheet2!B168, IF(Sheet1!BW:BW=7, Sheet1!BV:BV+Sheet2!B169,"")))))</f>
        <v>UF</v>
      </c>
      <c r="CQ395" s="69" t="str">
        <f t="shared" si="458"/>
        <v/>
      </c>
      <c r="CR395" s="5" t="s">
        <v>12</v>
      </c>
      <c r="CT395" s="5" t="str">
        <f t="shared" si="434"/>
        <v/>
      </c>
      <c r="CU395" s="80" t="str">
        <f t="shared" si="435"/>
        <v>UF</v>
      </c>
      <c r="CV395" s="80" t="str">
        <f t="shared" si="436"/>
        <v>UF</v>
      </c>
      <c r="CW395" s="20" t="str">
        <f>IF(G395&lt;48,"UF", IF(NOT(ISBLANK(CS395)), CS395, IF(CE395=5, CC395+Sheet2!B156, IF(CE395=6, CC395+Sheet2!B157, IF(CE395=7, CC395+Sheet2!B158,"")))))</f>
        <v>UF</v>
      </c>
      <c r="CX395" s="68" t="str">
        <f t="shared" si="459"/>
        <v/>
      </c>
      <c r="CY395" s="5" t="s">
        <v>12</v>
      </c>
      <c r="DA395" s="5" t="str">
        <f t="shared" si="437"/>
        <v>UF</v>
      </c>
      <c r="DB395" s="73" t="str">
        <f t="shared" si="438"/>
        <v>UF</v>
      </c>
      <c r="DC395" s="73" t="str">
        <f t="shared" si="439"/>
        <v>UF</v>
      </c>
      <c r="DD395" s="5" t="str">
        <f>IF(G395&lt;48,"UF", IF(NOT(ISBLANK(CZ:CZ)), CZ:CZ, IF(CL:CL=3, CK:CK+Sheet2!B161, IF(CL:CL=4, CK:CK+Sheet2!B162, IF(CL:CL=7, CK:CK+Sheet2!B163,"")))))</f>
        <v>UF</v>
      </c>
      <c r="DE395" s="69" t="str">
        <f t="shared" si="397"/>
        <v/>
      </c>
      <c r="DF395" s="2">
        <v>3</v>
      </c>
      <c r="DG395" s="2">
        <v>36</v>
      </c>
      <c r="DH395" s="2">
        <v>2</v>
      </c>
      <c r="DI395" s="2">
        <v>2</v>
      </c>
      <c r="DJ395" s="2">
        <v>2</v>
      </c>
      <c r="DK395" s="2">
        <v>100</v>
      </c>
      <c r="DL395" s="2">
        <v>60</v>
      </c>
      <c r="DM395" s="2">
        <v>100</v>
      </c>
      <c r="DN395" s="2">
        <v>50</v>
      </c>
      <c r="DO395" s="2">
        <v>90</v>
      </c>
      <c r="DP395" s="2">
        <v>52</v>
      </c>
      <c r="DQ395" s="2">
        <v>1</v>
      </c>
      <c r="DR395" s="2">
        <v>39</v>
      </c>
      <c r="DS395" s="2">
        <v>2</v>
      </c>
      <c r="DT395" s="2">
        <v>78</v>
      </c>
      <c r="DU395" s="2">
        <v>78</v>
      </c>
      <c r="DV395" s="2">
        <v>2</v>
      </c>
      <c r="DW395" s="2">
        <v>2</v>
      </c>
      <c r="DX395" s="2">
        <v>2</v>
      </c>
      <c r="DY395" s="2">
        <v>2</v>
      </c>
      <c r="DZ395" s="2">
        <v>33</v>
      </c>
      <c r="EA395" s="2">
        <v>33.5</v>
      </c>
      <c r="EB395" s="2">
        <v>42.5</v>
      </c>
      <c r="EC395" s="2">
        <v>1</v>
      </c>
      <c r="ED395" s="2">
        <v>1</v>
      </c>
    </row>
    <row r="396" spans="2:134" x14ac:dyDescent="0.25">
      <c r="C396" s="8" t="s">
        <v>112</v>
      </c>
      <c r="D396" s="2">
        <v>2501057856</v>
      </c>
      <c r="E396" s="5" t="s">
        <v>527</v>
      </c>
      <c r="F396" s="2">
        <v>2</v>
      </c>
      <c r="G396" s="2">
        <v>24</v>
      </c>
      <c r="H396" s="2">
        <v>-3.067644081584219</v>
      </c>
      <c r="I396" s="2">
        <v>50</v>
      </c>
      <c r="J396" s="2">
        <v>6.1168777667580831E-2</v>
      </c>
      <c r="K396" s="5">
        <v>2530</v>
      </c>
      <c r="L396" s="2">
        <v>-1.824832855378792</v>
      </c>
      <c r="M396" s="2">
        <v>-2.0840999999999998</v>
      </c>
      <c r="N396" s="2">
        <f t="shared" si="399"/>
        <v>0.29717204079210946</v>
      </c>
      <c r="O396" s="2">
        <f t="shared" si="400"/>
        <v>-2.0840999999999998</v>
      </c>
      <c r="P396" s="2">
        <v>64</v>
      </c>
      <c r="Q396" s="2">
        <v>-1.7</v>
      </c>
      <c r="R396" s="5">
        <f t="shared" si="401"/>
        <v>-0.6055843888337904</v>
      </c>
      <c r="S396" s="5">
        <f t="shared" si="402"/>
        <v>-1.7</v>
      </c>
      <c r="T396" s="1">
        <v>6000</v>
      </c>
      <c r="U396" s="2">
        <v>-2.5099999999999998</v>
      </c>
      <c r="V396" s="2">
        <f t="shared" si="403"/>
        <v>-0.29258357231060406</v>
      </c>
      <c r="W396" s="2">
        <f t="shared" si="404"/>
        <v>-2.5099999999999998</v>
      </c>
      <c r="X396" s="2">
        <v>-2.4733000000000001</v>
      </c>
      <c r="Y396" s="76">
        <f t="shared" si="440"/>
        <v>0.59434408158421892</v>
      </c>
      <c r="Z396" s="76">
        <f t="shared" si="441"/>
        <v>1</v>
      </c>
      <c r="AA396" s="2">
        <f t="shared" si="405"/>
        <v>-2.3100000000000009E-2</v>
      </c>
      <c r="AB396" s="2">
        <f t="shared" si="406"/>
        <v>-2.4733000000000001</v>
      </c>
      <c r="AC396" s="2">
        <v>73</v>
      </c>
      <c r="AD396" s="2">
        <v>-1.1499999999999999</v>
      </c>
      <c r="AE396" s="79">
        <f t="shared" si="442"/>
        <v>-1.2111687776675808</v>
      </c>
      <c r="AF396" s="79">
        <f t="shared" si="443"/>
        <v>-2</v>
      </c>
      <c r="AG396" s="2">
        <f t="shared" si="395"/>
        <v>5.9999999999999942E-2</v>
      </c>
      <c r="AH396" s="2">
        <f t="shared" si="407"/>
        <v>-1.1499999999999999</v>
      </c>
      <c r="AI396" s="2">
        <v>7400</v>
      </c>
      <c r="AJ396" s="2">
        <v>-2.41</v>
      </c>
      <c r="AK396" s="76">
        <f t="shared" si="444"/>
        <v>-0.58516714462120811</v>
      </c>
      <c r="AL396" s="76">
        <f t="shared" si="445"/>
        <v>-1</v>
      </c>
      <c r="AM396" s="2">
        <f t="shared" si="408"/>
        <v>0.17499999999999982</v>
      </c>
      <c r="AN396" s="2">
        <f t="shared" si="409"/>
        <v>-2.41</v>
      </c>
      <c r="AO396" s="2">
        <v>-1.7462</v>
      </c>
      <c r="AP396" s="2">
        <f t="shared" si="410"/>
        <v>0.60482237398434258</v>
      </c>
      <c r="AQ396" s="2">
        <f t="shared" si="411"/>
        <v>-1.7462</v>
      </c>
      <c r="AR396" s="2">
        <v>78</v>
      </c>
      <c r="AS396" s="2">
        <v>-1.58</v>
      </c>
      <c r="AT396" s="2">
        <f t="shared" si="412"/>
        <v>-0.26005788627786208</v>
      </c>
      <c r="AU396" s="2">
        <f t="shared" si="413"/>
        <v>-1.58</v>
      </c>
      <c r="AV396" s="2">
        <v>8600</v>
      </c>
      <c r="AW396" s="2">
        <v>-2.16</v>
      </c>
      <c r="AX396" s="2">
        <f t="shared" si="414"/>
        <v>6.135112449876079E-3</v>
      </c>
      <c r="AY396" s="2">
        <f t="shared" si="415"/>
        <v>-2.16</v>
      </c>
      <c r="AZ396" s="2">
        <v>-1.2636552520313149</v>
      </c>
      <c r="BA396" s="78">
        <f t="shared" si="446"/>
        <v>1.2096447479686852</v>
      </c>
      <c r="BB396" s="78">
        <f t="shared" si="447"/>
        <v>2</v>
      </c>
      <c r="BC396" s="2" t="str">
        <f t="shared" si="416"/>
        <v/>
      </c>
      <c r="BD396" s="2">
        <f t="shared" si="417"/>
        <v>-1.2636552520313149</v>
      </c>
      <c r="BE396" s="67">
        <f t="shared" si="448"/>
        <v>7</v>
      </c>
      <c r="BF396" s="2">
        <v>81</v>
      </c>
      <c r="BG396" s="2">
        <v>-1.6701157725557241</v>
      </c>
      <c r="BH396" s="2" t="str">
        <f t="shared" si="418"/>
        <v/>
      </c>
      <c r="BI396" s="2">
        <f t="shared" si="419"/>
        <v>-1.6701157725557241</v>
      </c>
      <c r="BJ396" s="67">
        <f t="shared" si="420"/>
        <v>7</v>
      </c>
      <c r="BK396" s="2">
        <v>9900</v>
      </c>
      <c r="BL396" s="2">
        <v>-2.397729775100248</v>
      </c>
      <c r="BM396" s="77">
        <f t="shared" si="449"/>
        <v>1.2270224899752158E-2</v>
      </c>
      <c r="BN396" s="77">
        <f t="shared" si="450"/>
        <v>1</v>
      </c>
      <c r="BO396" s="2" t="str">
        <f t="shared" si="421"/>
        <v/>
      </c>
      <c r="BP396" s="2">
        <f t="shared" si="422"/>
        <v>-2.397729775100248</v>
      </c>
      <c r="BQ396" s="67">
        <f t="shared" si="451"/>
        <v>4</v>
      </c>
      <c r="BS396" s="75" t="str">
        <f t="shared" si="452"/>
        <v>UF</v>
      </c>
      <c r="BT396" s="75" t="str">
        <f t="shared" si="453"/>
        <v>UF</v>
      </c>
      <c r="BU396" s="5" t="str">
        <f>IF(G404&gt;=36, IF(AND(NOT(ISBLANK(CM:CM)), NOT(ISBLANK(BD:BD))), (CM:CM-BD:BD)/2, ""), "UF")</f>
        <v>UF</v>
      </c>
      <c r="BV396" s="5" t="str">
        <f t="shared" si="423"/>
        <v>UF</v>
      </c>
      <c r="BW396" s="69" t="str">
        <f t="shared" si="424"/>
        <v/>
      </c>
      <c r="BX396" s="2" t="s">
        <v>12</v>
      </c>
      <c r="BZ396" s="74" t="str">
        <f t="shared" si="454"/>
        <v>UF</v>
      </c>
      <c r="CA396" s="74" t="str">
        <f t="shared" si="455"/>
        <v>UF</v>
      </c>
      <c r="CB396" s="5" t="str">
        <f t="shared" si="425"/>
        <v>UF</v>
      </c>
      <c r="CC396" s="5" t="str">
        <f t="shared" si="426"/>
        <v>UF</v>
      </c>
      <c r="CD396" s="2" t="e">
        <f t="shared" si="427"/>
        <v>#VALUE!</v>
      </c>
      <c r="CE396" s="69" t="str">
        <f t="shared" si="428"/>
        <v/>
      </c>
      <c r="CF396" s="5" t="s">
        <v>12</v>
      </c>
      <c r="CH396" s="72" t="str">
        <f t="shared" si="456"/>
        <v>UF</v>
      </c>
      <c r="CI396" s="72" t="str">
        <f t="shared" si="457"/>
        <v>UF</v>
      </c>
      <c r="CJ396" s="5" t="str">
        <f t="shared" si="429"/>
        <v>UF</v>
      </c>
      <c r="CK396" s="5" t="str">
        <f t="shared" si="430"/>
        <v>UF</v>
      </c>
      <c r="CL396" s="69" t="str">
        <f t="shared" si="431"/>
        <v/>
      </c>
      <c r="CN396" s="70" t="str">
        <f t="shared" si="432"/>
        <v/>
      </c>
      <c r="CO396" s="5" t="str">
        <f t="shared" si="433"/>
        <v>UF</v>
      </c>
      <c r="CP396" s="5" t="str">
        <f>IF(G396&lt;48,"UF", IF(NOT(ISBLANK(CM:CM)), CM:CM, IF(BW:BW=1, BV:BV+Sheet2!B139, IF(Sheet1!BW:BW=2, Sheet1!BV:BV+Sheet2!B140, IF(Sheet1!BW:BW=7, Sheet1!BV:BV+Sheet2!B141,"")))))</f>
        <v>UF</v>
      </c>
      <c r="CQ396" s="69" t="str">
        <f t="shared" si="458"/>
        <v/>
      </c>
      <c r="CR396" s="5" t="s">
        <v>12</v>
      </c>
      <c r="CT396" s="5" t="str">
        <f t="shared" si="434"/>
        <v/>
      </c>
      <c r="CU396" s="80" t="str">
        <f t="shared" si="435"/>
        <v>UF</v>
      </c>
      <c r="CV396" s="80" t="str">
        <f t="shared" si="436"/>
        <v>UF</v>
      </c>
      <c r="CW396" s="20" t="str">
        <f>IF(G396&lt;48,"UF", IF(NOT(ISBLANK(CS396)), CS396, IF(CE396=5, CC396+Sheet2!B128, IF(CE396=6, CC396+Sheet2!B129, IF(CE396=7, CC396+Sheet2!B130,"")))))</f>
        <v>UF</v>
      </c>
      <c r="CX396" s="68" t="str">
        <f t="shared" si="459"/>
        <v/>
      </c>
      <c r="CY396" s="5" t="s">
        <v>12</v>
      </c>
      <c r="DA396" s="5" t="str">
        <f t="shared" si="437"/>
        <v>UF</v>
      </c>
      <c r="DB396" s="73" t="str">
        <f t="shared" si="438"/>
        <v>UF</v>
      </c>
      <c r="DC396" s="73" t="str">
        <f t="shared" si="439"/>
        <v>UF</v>
      </c>
      <c r="DD396" s="5" t="str">
        <f>IF(G396&lt;48,"UF", IF(NOT(ISBLANK(CZ:CZ)), CZ:CZ, IF(CL:CL=3, CK:CK+Sheet2!B133, IF(CL:CL=4, CK:CK+Sheet2!B134, IF(CL:CL=7, CK:CK+Sheet2!B135,"")))))</f>
        <v>UF</v>
      </c>
      <c r="DE396" s="69" t="str">
        <f t="shared" si="397"/>
        <v/>
      </c>
      <c r="DF396" s="2">
        <v>2</v>
      </c>
      <c r="DG396" s="2">
        <v>38</v>
      </c>
      <c r="DH396" s="2">
        <v>2</v>
      </c>
      <c r="DI396" s="2">
        <v>2</v>
      </c>
      <c r="DJ396" s="2">
        <v>2</v>
      </c>
      <c r="DK396" s="2">
        <v>106</v>
      </c>
      <c r="DL396" s="2">
        <v>65</v>
      </c>
      <c r="DM396" s="2">
        <v>116</v>
      </c>
      <c r="DN396" s="2">
        <v>66</v>
      </c>
      <c r="DO396" s="2">
        <v>106</v>
      </c>
      <c r="DP396" s="2">
        <v>61</v>
      </c>
      <c r="DQ396" s="2">
        <v>1</v>
      </c>
      <c r="DR396" s="2">
        <v>38</v>
      </c>
      <c r="DS396" s="2">
        <v>2</v>
      </c>
      <c r="DT396" s="2">
        <v>75</v>
      </c>
      <c r="DU396" s="2">
        <v>67</v>
      </c>
      <c r="DV396" s="2">
        <v>2</v>
      </c>
      <c r="DW396" s="2">
        <v>2</v>
      </c>
      <c r="DX396" s="2">
        <v>2</v>
      </c>
      <c r="DY396" s="2">
        <v>2</v>
      </c>
      <c r="DZ396" s="2">
        <v>34</v>
      </c>
      <c r="EA396" s="2">
        <v>36.5</v>
      </c>
      <c r="EB396" s="2">
        <v>46</v>
      </c>
      <c r="EC396" s="2">
        <v>1</v>
      </c>
      <c r="ED396" s="2">
        <v>1</v>
      </c>
    </row>
    <row r="397" spans="2:134" x14ac:dyDescent="0.25">
      <c r="C397" s="8" t="s">
        <v>123</v>
      </c>
      <c r="D397" s="8">
        <v>2501057872</v>
      </c>
      <c r="E397" s="5">
        <v>7</v>
      </c>
      <c r="F397" s="2">
        <v>2</v>
      </c>
      <c r="G397" s="2">
        <v>24</v>
      </c>
      <c r="H397" s="2">
        <v>1.221675157636527</v>
      </c>
      <c r="I397" s="2">
        <v>50</v>
      </c>
      <c r="J397" s="2">
        <v>6.1168777667580831E-2</v>
      </c>
      <c r="K397" s="2">
        <v>3775</v>
      </c>
      <c r="L397" s="2">
        <v>0.84292105030365716</v>
      </c>
      <c r="M397" s="2">
        <v>2.6254</v>
      </c>
      <c r="N397" s="2">
        <f t="shared" si="399"/>
        <v>0.30981242118173646</v>
      </c>
      <c r="O397" s="2">
        <f t="shared" si="400"/>
        <v>2.6254</v>
      </c>
      <c r="P397" s="2">
        <v>68</v>
      </c>
      <c r="Q397" s="2">
        <v>0.17</v>
      </c>
      <c r="R397" s="5">
        <f t="shared" si="401"/>
        <v>0.44441561116620953</v>
      </c>
      <c r="S397" s="5">
        <f t="shared" si="402"/>
        <v>0.17</v>
      </c>
      <c r="T397" s="2">
        <v>10000</v>
      </c>
      <c r="U397" s="2">
        <v>2.14</v>
      </c>
      <c r="V397" s="2">
        <f t="shared" si="403"/>
        <v>0.54853947484817134</v>
      </c>
      <c r="W397" s="2">
        <f t="shared" si="404"/>
        <v>2.14</v>
      </c>
      <c r="X397" s="2">
        <v>1.8412999999999999</v>
      </c>
      <c r="Y397" s="76">
        <f t="shared" si="440"/>
        <v>0.61962484236347293</v>
      </c>
      <c r="Z397" s="76">
        <f t="shared" si="441"/>
        <v>1</v>
      </c>
      <c r="AA397" s="2">
        <f t="shared" si="405"/>
        <v>0.20810000000000001</v>
      </c>
      <c r="AB397" s="2">
        <f t="shared" si="406"/>
        <v>1.8412999999999999</v>
      </c>
      <c r="AC397" s="2">
        <v>78</v>
      </c>
      <c r="AD397" s="2">
        <v>0.95</v>
      </c>
      <c r="AE397" s="79">
        <f t="shared" si="442"/>
        <v>0.88883122233241907</v>
      </c>
      <c r="AF397" s="79">
        <f t="shared" si="443"/>
        <v>2</v>
      </c>
      <c r="AG397" s="2">
        <f t="shared" si="395"/>
        <v>0.79500000000000004</v>
      </c>
      <c r="AH397" s="2">
        <f t="shared" si="407"/>
        <v>0.95</v>
      </c>
      <c r="AI397" s="2">
        <v>11900</v>
      </c>
      <c r="AJ397" s="2">
        <v>1.94</v>
      </c>
      <c r="AK397" s="76">
        <f t="shared" si="444"/>
        <v>1.0970789496963427</v>
      </c>
      <c r="AL397" s="76">
        <f t="shared" si="445"/>
        <v>2</v>
      </c>
      <c r="AM397" s="2">
        <f t="shared" si="408"/>
        <v>-0.3650000000000001</v>
      </c>
      <c r="AN397" s="2">
        <f t="shared" si="409"/>
        <v>1.94</v>
      </c>
      <c r="AO397" s="2">
        <v>0.58620000000000005</v>
      </c>
      <c r="AP397" s="2" t="str">
        <f t="shared" si="410"/>
        <v/>
      </c>
      <c r="AQ397" s="2">
        <f t="shared" si="411"/>
        <v>0.58620000000000005</v>
      </c>
      <c r="AR397" s="2">
        <v>87</v>
      </c>
      <c r="AS397" s="2">
        <v>1.76</v>
      </c>
      <c r="AT397" s="2" t="str">
        <f t="shared" si="412"/>
        <v/>
      </c>
      <c r="AU397" s="2">
        <f t="shared" si="413"/>
        <v>1.76</v>
      </c>
      <c r="AV397" s="2">
        <v>12800</v>
      </c>
      <c r="AW397" s="2">
        <v>1.41</v>
      </c>
      <c r="AX397" s="2" t="str">
        <f t="shared" si="414"/>
        <v/>
      </c>
      <c r="AY397" s="2">
        <f t="shared" si="415"/>
        <v>1.41</v>
      </c>
      <c r="BA397" s="78" t="e">
        <f t="shared" si="446"/>
        <v>#VALUE!</v>
      </c>
      <c r="BB397" s="78" t="e">
        <f t="shared" si="447"/>
        <v>#VALUE!</v>
      </c>
      <c r="BC397" s="2" t="str">
        <f t="shared" si="416"/>
        <v/>
      </c>
      <c r="BD397" s="2" t="e">
        <f t="shared" si="417"/>
        <v>#VALUE!</v>
      </c>
      <c r="BE397" s="67" t="e">
        <f t="shared" si="448"/>
        <v>#VALUE!</v>
      </c>
      <c r="BF397" s="2" t="s">
        <v>12</v>
      </c>
      <c r="BH397" s="2" t="str">
        <f t="shared" si="418"/>
        <v/>
      </c>
      <c r="BI397" s="2" t="e">
        <f t="shared" si="419"/>
        <v>#VALUE!</v>
      </c>
      <c r="BJ397" s="67" t="e">
        <f t="shared" si="420"/>
        <v>#VALUE!</v>
      </c>
      <c r="BK397" s="2" t="s">
        <v>12</v>
      </c>
      <c r="BM397" s="77" t="e">
        <f t="shared" si="449"/>
        <v>#VALUE!</v>
      </c>
      <c r="BN397" s="77" t="e">
        <f t="shared" si="450"/>
        <v>#VALUE!</v>
      </c>
      <c r="BO397" s="2" t="str">
        <f t="shared" si="421"/>
        <v/>
      </c>
      <c r="BP397" s="2" t="e">
        <f t="shared" si="422"/>
        <v>#VALUE!</v>
      </c>
      <c r="BQ397" s="67" t="e">
        <f t="shared" si="451"/>
        <v>#VALUE!</v>
      </c>
      <c r="BS397" s="75" t="str">
        <f t="shared" si="452"/>
        <v>UF</v>
      </c>
      <c r="BT397" s="75" t="str">
        <f t="shared" si="453"/>
        <v>UF</v>
      </c>
      <c r="BU397" s="5" t="str">
        <f t="shared" ref="BU397:BU402" si="460">IF(G406&gt;=36, IF(AND(NOT(ISBLANK(CM:CM)), NOT(ISBLANK(BD:BD))), (CM:CM-BD:BD)/2, ""), "UF")</f>
        <v>UF</v>
      </c>
      <c r="BV397" s="5" t="str">
        <f t="shared" si="423"/>
        <v>UF</v>
      </c>
      <c r="BW397" s="69" t="str">
        <f t="shared" si="424"/>
        <v/>
      </c>
      <c r="BX397" s="2" t="s">
        <v>12</v>
      </c>
      <c r="BZ397" s="74" t="str">
        <f t="shared" si="454"/>
        <v>UF</v>
      </c>
      <c r="CA397" s="74" t="str">
        <f t="shared" si="455"/>
        <v>UF</v>
      </c>
      <c r="CB397" s="5" t="str">
        <f t="shared" si="425"/>
        <v>UF</v>
      </c>
      <c r="CC397" s="5" t="str">
        <f t="shared" si="426"/>
        <v>UF</v>
      </c>
      <c r="CD397" s="2" t="e">
        <f t="shared" si="427"/>
        <v>#VALUE!</v>
      </c>
      <c r="CE397" s="69" t="str">
        <f t="shared" si="428"/>
        <v/>
      </c>
      <c r="CF397" s="5" t="s">
        <v>12</v>
      </c>
      <c r="CH397" s="72" t="str">
        <f t="shared" si="456"/>
        <v>UF</v>
      </c>
      <c r="CI397" s="72" t="str">
        <f t="shared" si="457"/>
        <v>UF</v>
      </c>
      <c r="CJ397" s="5" t="str">
        <f t="shared" si="429"/>
        <v>UF</v>
      </c>
      <c r="CK397" s="5" t="str">
        <f t="shared" si="430"/>
        <v>UF</v>
      </c>
      <c r="CL397" s="69" t="str">
        <f t="shared" si="431"/>
        <v/>
      </c>
      <c r="CN397" s="70" t="str">
        <f t="shared" si="432"/>
        <v/>
      </c>
      <c r="CO397" s="5" t="str">
        <f t="shared" si="433"/>
        <v>UF</v>
      </c>
      <c r="CP397" s="5" t="str">
        <f>IF(G397&lt;48,"UF", IF(NOT(ISBLANK(CM:CM)), CM:CM, IF(BW:BW=1, BV:BV+Sheet2!B509, IF(Sheet1!BW:BW=2, Sheet1!BV:BV+Sheet2!B510, IF(Sheet1!BW:BW=7, Sheet1!BV:BV+Sheet2!B511,"")))))</f>
        <v>UF</v>
      </c>
      <c r="CQ397" s="69" t="str">
        <f t="shared" si="458"/>
        <v/>
      </c>
      <c r="CR397" s="5" t="s">
        <v>12</v>
      </c>
      <c r="CT397" s="5" t="str">
        <f t="shared" si="434"/>
        <v/>
      </c>
      <c r="CU397" s="80" t="str">
        <f t="shared" si="435"/>
        <v>UF</v>
      </c>
      <c r="CV397" s="80" t="str">
        <f t="shared" si="436"/>
        <v>UF</v>
      </c>
      <c r="CW397" s="20" t="str">
        <f>IF(G397&lt;48,"UF", IF(NOT(ISBLANK(CS397)), CS397, IF(CE397=5, CC397+Sheet2!B498, IF(CE397=6, CC397+Sheet2!B499, IF(CE397=7, CC397+Sheet2!B500,"")))))</f>
        <v>UF</v>
      </c>
      <c r="CX397" s="68" t="str">
        <f t="shared" si="459"/>
        <v/>
      </c>
      <c r="CY397" s="5" t="s">
        <v>12</v>
      </c>
      <c r="DA397" s="5" t="str">
        <f t="shared" si="437"/>
        <v>UF</v>
      </c>
      <c r="DB397" s="73" t="str">
        <f t="shared" si="438"/>
        <v>UF</v>
      </c>
      <c r="DC397" s="73" t="str">
        <f t="shared" si="439"/>
        <v>UF</v>
      </c>
      <c r="DD397" s="5" t="str">
        <f>IF(G397&lt;48,"UF", IF(NOT(ISBLANK(CZ:CZ)), CZ:CZ, IF(CL:CL=3, CK:CK+Sheet2!B503, IF(CL:CL=4, CK:CK+Sheet2!B504, IF(CL:CL=7, CK:CK+Sheet2!B505,"")))))</f>
        <v>UF</v>
      </c>
      <c r="DE397" s="69" t="str">
        <f t="shared" si="397"/>
        <v/>
      </c>
      <c r="DF397" s="2">
        <v>3</v>
      </c>
      <c r="DG397" s="2">
        <v>42</v>
      </c>
      <c r="DH397" s="2">
        <v>2</v>
      </c>
      <c r="DI397" s="2">
        <v>2</v>
      </c>
      <c r="DJ397" s="2">
        <v>3</v>
      </c>
      <c r="DK397" s="2" t="s">
        <v>12</v>
      </c>
      <c r="DL397" s="2" t="s">
        <v>12</v>
      </c>
      <c r="DM397" s="2" t="s">
        <v>12</v>
      </c>
      <c r="DN397" s="2" t="s">
        <v>12</v>
      </c>
      <c r="DO397" s="2" t="s">
        <v>12</v>
      </c>
      <c r="DP397" s="2" t="s">
        <v>12</v>
      </c>
      <c r="DQ397" s="2">
        <v>2</v>
      </c>
      <c r="DR397" s="2">
        <v>38</v>
      </c>
      <c r="DS397" s="2">
        <v>3</v>
      </c>
      <c r="DT397" s="2" t="s">
        <v>12</v>
      </c>
      <c r="DU397" s="2" t="s">
        <v>12</v>
      </c>
      <c r="DV397" s="2">
        <v>2</v>
      </c>
      <c r="DW397" s="2">
        <v>2</v>
      </c>
      <c r="DX397" s="2">
        <v>4</v>
      </c>
      <c r="DY397" s="2">
        <v>2</v>
      </c>
      <c r="DZ397" s="2">
        <v>35</v>
      </c>
      <c r="EA397" s="2">
        <v>35</v>
      </c>
      <c r="EB397" s="2">
        <v>47</v>
      </c>
      <c r="EC397" s="2">
        <v>1</v>
      </c>
      <c r="ED397" s="2">
        <v>1</v>
      </c>
    </row>
    <row r="398" spans="2:134" x14ac:dyDescent="0.25">
      <c r="C398" s="5" t="s">
        <v>119</v>
      </c>
      <c r="D398" s="2">
        <v>2501057961</v>
      </c>
      <c r="E398" s="2">
        <v>4</v>
      </c>
      <c r="F398" s="2">
        <v>2</v>
      </c>
      <c r="G398" s="2">
        <v>24</v>
      </c>
      <c r="H398" s="2">
        <v>-1.183663028883718</v>
      </c>
      <c r="I398" s="2">
        <v>51</v>
      </c>
      <c r="J398" s="2">
        <v>0.58940135287155082</v>
      </c>
      <c r="K398" s="5">
        <v>3120</v>
      </c>
      <c r="L398" s="2">
        <v>-0.47393154530059262</v>
      </c>
      <c r="M398" s="2">
        <v>-2.3309000000000002</v>
      </c>
      <c r="N398" s="2">
        <f t="shared" si="399"/>
        <v>-7.2168485558141038E-2</v>
      </c>
      <c r="O398" s="2">
        <f t="shared" si="400"/>
        <v>-2.3309000000000002</v>
      </c>
      <c r="P398" s="2">
        <v>59</v>
      </c>
      <c r="Q398" s="2">
        <v>-4.04</v>
      </c>
      <c r="R398" s="5">
        <f t="shared" si="401"/>
        <v>-1.9247006764357752</v>
      </c>
      <c r="S398" s="5">
        <f t="shared" si="402"/>
        <v>-4.04</v>
      </c>
      <c r="T398" s="1">
        <v>5000</v>
      </c>
      <c r="U398" s="2">
        <v>-3.99</v>
      </c>
      <c r="V398" s="2">
        <f t="shared" si="403"/>
        <v>-1.2130342273497037</v>
      </c>
      <c r="W398" s="2">
        <f t="shared" si="404"/>
        <v>-3.99</v>
      </c>
      <c r="X398" s="2">
        <v>-1.3280000000000001</v>
      </c>
      <c r="Y398" s="76">
        <f t="shared" si="440"/>
        <v>-0.14433697111628208</v>
      </c>
      <c r="Z398" s="76">
        <f t="shared" si="441"/>
        <v>-1</v>
      </c>
      <c r="AA398" s="2">
        <f t="shared" si="405"/>
        <v>1.17265</v>
      </c>
      <c r="AB398" s="2">
        <f t="shared" si="406"/>
        <v>-1.3280000000000001</v>
      </c>
      <c r="AC398" s="2">
        <v>68</v>
      </c>
      <c r="AD398" s="2">
        <v>-3.26</v>
      </c>
      <c r="AE398" s="79">
        <f t="shared" si="442"/>
        <v>-3.8494013528715505</v>
      </c>
      <c r="AF398" s="79">
        <f t="shared" si="443"/>
        <v>-2</v>
      </c>
      <c r="AG398" s="2">
        <f t="shared" si="395"/>
        <v>0.65500000000000003</v>
      </c>
      <c r="AH398" s="2">
        <f t="shared" si="407"/>
        <v>-3.26</v>
      </c>
      <c r="AI398" s="2">
        <v>7000</v>
      </c>
      <c r="AJ398" s="2">
        <v>-2.9</v>
      </c>
      <c r="AK398" s="76">
        <f t="shared" si="444"/>
        <v>-2.4260684546994074</v>
      </c>
      <c r="AL398" s="76">
        <f t="shared" si="445"/>
        <v>-2</v>
      </c>
      <c r="AM398" s="2">
        <f t="shared" si="408"/>
        <v>0.57000000000000006</v>
      </c>
      <c r="AN398" s="2">
        <f t="shared" si="409"/>
        <v>-2.9</v>
      </c>
      <c r="AO398" s="2">
        <v>-1.6947000000000001</v>
      </c>
      <c r="AP398" s="2" t="str">
        <f t="shared" si="410"/>
        <v/>
      </c>
      <c r="AQ398" s="2">
        <f t="shared" si="411"/>
        <v>-1.6947000000000001</v>
      </c>
      <c r="AR398" s="2">
        <v>74.900000000000006</v>
      </c>
      <c r="AS398" s="2">
        <v>-2.73</v>
      </c>
      <c r="AT398" s="2" t="str">
        <f t="shared" si="412"/>
        <v/>
      </c>
      <c r="AU398" s="2">
        <f t="shared" si="413"/>
        <v>-2.73</v>
      </c>
      <c r="AV398" s="2">
        <v>7960</v>
      </c>
      <c r="AW398" s="2">
        <v>-2.85</v>
      </c>
      <c r="AX398" s="2" t="str">
        <f t="shared" si="414"/>
        <v/>
      </c>
      <c r="AY398" s="2">
        <f t="shared" si="415"/>
        <v>-2.85</v>
      </c>
      <c r="BA398" s="78" t="e">
        <f t="shared" si="446"/>
        <v>#VALUE!</v>
      </c>
      <c r="BB398" s="78" t="e">
        <f t="shared" si="447"/>
        <v>#VALUE!</v>
      </c>
      <c r="BC398" s="2" t="str">
        <f t="shared" si="416"/>
        <v/>
      </c>
      <c r="BD398" s="2" t="e">
        <f t="shared" si="417"/>
        <v>#VALUE!</v>
      </c>
      <c r="BE398" s="67" t="e">
        <f t="shared" si="448"/>
        <v>#VALUE!</v>
      </c>
      <c r="BF398" s="2" t="s">
        <v>12</v>
      </c>
      <c r="BH398" s="2" t="str">
        <f t="shared" si="418"/>
        <v/>
      </c>
      <c r="BI398" s="2" t="e">
        <f t="shared" si="419"/>
        <v>#VALUE!</v>
      </c>
      <c r="BJ398" s="67" t="e">
        <f t="shared" si="420"/>
        <v>#VALUE!</v>
      </c>
      <c r="BK398" s="2" t="s">
        <v>12</v>
      </c>
      <c r="BM398" s="77" t="e">
        <f t="shared" si="449"/>
        <v>#VALUE!</v>
      </c>
      <c r="BN398" s="77" t="e">
        <f t="shared" si="450"/>
        <v>#VALUE!</v>
      </c>
      <c r="BO398" s="2" t="str">
        <f t="shared" si="421"/>
        <v/>
      </c>
      <c r="BP398" s="2" t="e">
        <f t="shared" si="422"/>
        <v>#VALUE!</v>
      </c>
      <c r="BQ398" s="67" t="e">
        <f t="shared" si="451"/>
        <v>#VALUE!</v>
      </c>
      <c r="BS398" s="75" t="str">
        <f t="shared" si="452"/>
        <v>UF</v>
      </c>
      <c r="BT398" s="75" t="str">
        <f t="shared" si="453"/>
        <v>UF</v>
      </c>
      <c r="BU398" s="5" t="str">
        <f t="shared" si="460"/>
        <v>UF</v>
      </c>
      <c r="BV398" s="5" t="str">
        <f t="shared" si="423"/>
        <v>UF</v>
      </c>
      <c r="BW398" s="69" t="str">
        <f t="shared" si="424"/>
        <v/>
      </c>
      <c r="BX398" s="2" t="s">
        <v>12</v>
      </c>
      <c r="BZ398" s="74" t="str">
        <f t="shared" si="454"/>
        <v>UF</v>
      </c>
      <c r="CA398" s="74" t="str">
        <f t="shared" si="455"/>
        <v>UF</v>
      </c>
      <c r="CB398" s="5" t="str">
        <f t="shared" si="425"/>
        <v>UF</v>
      </c>
      <c r="CC398" s="5" t="str">
        <f t="shared" si="426"/>
        <v>UF</v>
      </c>
      <c r="CD398" s="2" t="e">
        <f t="shared" si="427"/>
        <v>#VALUE!</v>
      </c>
      <c r="CE398" s="69" t="str">
        <f t="shared" si="428"/>
        <v/>
      </c>
      <c r="CF398" s="5" t="s">
        <v>12</v>
      </c>
      <c r="CH398" s="72" t="str">
        <f t="shared" si="456"/>
        <v>UF</v>
      </c>
      <c r="CI398" s="72" t="str">
        <f t="shared" si="457"/>
        <v>UF</v>
      </c>
      <c r="CJ398" s="5" t="str">
        <f t="shared" si="429"/>
        <v>UF</v>
      </c>
      <c r="CK398" s="5" t="str">
        <f t="shared" si="430"/>
        <v>UF</v>
      </c>
      <c r="CL398" s="69" t="str">
        <f t="shared" si="431"/>
        <v/>
      </c>
      <c r="CN398" s="70" t="str">
        <f t="shared" si="432"/>
        <v/>
      </c>
      <c r="CO398" s="5" t="str">
        <f t="shared" si="433"/>
        <v>UF</v>
      </c>
      <c r="CP398" s="5" t="str">
        <f>IF(G398&lt;48,"UF", IF(NOT(ISBLANK(CM:CM)), CM:CM, IF(BW:BW=1, BV:BV+Sheet2!B162, IF(Sheet1!BW:BW=2, Sheet1!BV:BV+Sheet2!B163, IF(Sheet1!BW:BW=7, Sheet1!BV:BV+Sheet2!B164,"")))))</f>
        <v>UF</v>
      </c>
      <c r="CQ398" s="69" t="str">
        <f t="shared" si="458"/>
        <v/>
      </c>
      <c r="CR398" s="5" t="s">
        <v>12</v>
      </c>
      <c r="CT398" s="5" t="str">
        <f t="shared" si="434"/>
        <v/>
      </c>
      <c r="CU398" s="80" t="str">
        <f t="shared" si="435"/>
        <v>UF</v>
      </c>
      <c r="CV398" s="80" t="str">
        <f t="shared" si="436"/>
        <v>UF</v>
      </c>
      <c r="CW398" s="20" t="str">
        <f>IF(G398&lt;48,"UF", IF(NOT(ISBLANK(CS398)), CS398, IF(CE398=5, CC398+Sheet2!B151, IF(CE398=6, CC398+Sheet2!B152, IF(CE398=7, CC398+Sheet2!B153,"")))))</f>
        <v>UF</v>
      </c>
      <c r="CX398" s="68" t="str">
        <f t="shared" si="459"/>
        <v/>
      </c>
      <c r="CY398" s="5" t="s">
        <v>12</v>
      </c>
      <c r="DA398" s="5" t="str">
        <f t="shared" si="437"/>
        <v>UF</v>
      </c>
      <c r="DB398" s="73" t="str">
        <f t="shared" si="438"/>
        <v>UF</v>
      </c>
      <c r="DC398" s="73" t="str">
        <f t="shared" si="439"/>
        <v>UF</v>
      </c>
      <c r="DD398" s="5" t="str">
        <f>IF(G398&lt;48,"UF", IF(NOT(ISBLANK(CZ:CZ)), CZ:CZ, IF(CL:CL=3, CK:CK+Sheet2!B156, IF(CL:CL=4, CK:CK+Sheet2!B157, IF(CL:CL=7, CK:CK+Sheet2!B158,"")))))</f>
        <v>UF</v>
      </c>
      <c r="DE398" s="69" t="str">
        <f t="shared" si="397"/>
        <v/>
      </c>
      <c r="DF398" s="2">
        <v>3</v>
      </c>
      <c r="DG398" s="2">
        <v>37</v>
      </c>
      <c r="DH398" s="2">
        <v>1</v>
      </c>
      <c r="DI398" s="2">
        <v>2</v>
      </c>
      <c r="DJ398" s="2">
        <v>2</v>
      </c>
      <c r="DK398" s="2">
        <v>100</v>
      </c>
      <c r="DL398" s="2">
        <v>60</v>
      </c>
      <c r="DM398" s="2" t="s">
        <v>12</v>
      </c>
      <c r="DN398" s="2" t="s">
        <v>12</v>
      </c>
      <c r="DO398" s="2">
        <v>90</v>
      </c>
      <c r="DP398" s="2">
        <v>60</v>
      </c>
      <c r="DQ398" s="2">
        <v>2</v>
      </c>
      <c r="DR398" s="2">
        <v>38</v>
      </c>
      <c r="DS398" s="2">
        <v>1</v>
      </c>
      <c r="DT398" s="2">
        <v>96</v>
      </c>
      <c r="DU398" s="2">
        <v>89.5</v>
      </c>
      <c r="DV398" s="2">
        <v>2</v>
      </c>
      <c r="DW398" s="2">
        <v>2</v>
      </c>
      <c r="DX398" s="2">
        <v>2</v>
      </c>
      <c r="DY398" s="2">
        <v>2</v>
      </c>
      <c r="DZ398" s="2">
        <v>34.5</v>
      </c>
      <c r="EA398" s="2">
        <v>34.5</v>
      </c>
      <c r="EB398" s="2">
        <v>42.7</v>
      </c>
      <c r="EC398" s="2">
        <v>1</v>
      </c>
      <c r="ED398" s="2">
        <v>1</v>
      </c>
    </row>
    <row r="399" spans="2:134" x14ac:dyDescent="0.25">
      <c r="C399" s="8" t="s">
        <v>301</v>
      </c>
      <c r="D399" s="8">
        <v>2501058011</v>
      </c>
      <c r="E399" s="5">
        <v>7</v>
      </c>
      <c r="F399" s="2">
        <v>2</v>
      </c>
      <c r="G399" s="2">
        <v>24</v>
      </c>
      <c r="H399" s="2">
        <v>-1.3618282380830249</v>
      </c>
      <c r="I399" s="2">
        <v>50</v>
      </c>
      <c r="J399" s="2">
        <v>6.1168777667580831E-2</v>
      </c>
      <c r="K399" s="2">
        <v>2950</v>
      </c>
      <c r="L399" s="2">
        <v>-0.84473811093517004</v>
      </c>
      <c r="M399" s="2">
        <v>-1.7566999999999999</v>
      </c>
      <c r="N399" s="2">
        <f t="shared" si="399"/>
        <v>5.1641190415124827E-3</v>
      </c>
      <c r="O399" s="2">
        <f t="shared" si="400"/>
        <v>-1.7566999999999999</v>
      </c>
      <c r="P399" s="2">
        <v>67</v>
      </c>
      <c r="Q399" s="2">
        <v>-0.3</v>
      </c>
      <c r="R399" s="5">
        <f t="shared" si="401"/>
        <v>-0.18558438883379041</v>
      </c>
      <c r="S399" s="5">
        <f t="shared" si="402"/>
        <v>-0.3</v>
      </c>
      <c r="T399" s="2">
        <v>6750</v>
      </c>
      <c r="U399" s="2">
        <v>-1.47</v>
      </c>
      <c r="V399" s="2">
        <f t="shared" si="403"/>
        <v>-0.15263094453241494</v>
      </c>
      <c r="W399" s="2">
        <f t="shared" si="404"/>
        <v>-1.47</v>
      </c>
      <c r="X399" s="2">
        <v>-1.3514999999999999</v>
      </c>
      <c r="Y399" s="76">
        <f t="shared" si="440"/>
        <v>1.0328238083024965E-2</v>
      </c>
      <c r="Z399" s="76">
        <f t="shared" si="441"/>
        <v>1</v>
      </c>
      <c r="AA399" s="2">
        <f t="shared" si="405"/>
        <v>-0.9666499999999999</v>
      </c>
      <c r="AB399" s="2">
        <f t="shared" si="406"/>
        <v>-1.3514999999999999</v>
      </c>
      <c r="AC399" s="2">
        <v>75</v>
      </c>
      <c r="AD399" s="2">
        <v>-0.31</v>
      </c>
      <c r="AE399" s="79">
        <f t="shared" si="442"/>
        <v>-0.37116877766758083</v>
      </c>
      <c r="AF399" s="79">
        <f t="shared" si="443"/>
        <v>-1</v>
      </c>
      <c r="AG399" s="2">
        <f t="shared" si="395"/>
        <v>0.28500000000000003</v>
      </c>
      <c r="AH399" s="2">
        <f t="shared" si="407"/>
        <v>-0.31</v>
      </c>
      <c r="AI399" s="2">
        <v>8500</v>
      </c>
      <c r="AJ399" s="2">
        <v>-1.1499999999999999</v>
      </c>
      <c r="AK399" s="76">
        <f t="shared" si="444"/>
        <v>-0.30526188906482987</v>
      </c>
      <c r="AL399" s="76">
        <f t="shared" si="445"/>
        <v>-1</v>
      </c>
      <c r="AM399" s="2">
        <f t="shared" si="408"/>
        <v>5.4999999999999938E-2</v>
      </c>
      <c r="AN399" s="2">
        <f t="shared" si="409"/>
        <v>-1.1499999999999999</v>
      </c>
      <c r="AO399" s="2">
        <v>-2.2332999999999998</v>
      </c>
      <c r="AP399" s="2" t="str">
        <f t="shared" si="410"/>
        <v/>
      </c>
      <c r="AQ399" s="2">
        <f t="shared" si="411"/>
        <v>-2.2332999999999998</v>
      </c>
      <c r="AR399" s="2">
        <v>83</v>
      </c>
      <c r="AS399" s="2">
        <v>0.27</v>
      </c>
      <c r="AT399" s="2" t="str">
        <f t="shared" si="412"/>
        <v/>
      </c>
      <c r="AU399" s="2">
        <f t="shared" si="413"/>
        <v>0.27</v>
      </c>
      <c r="AV399" s="2">
        <v>9400</v>
      </c>
      <c r="AW399" s="2">
        <v>-1.36</v>
      </c>
      <c r="AX399" s="2" t="str">
        <f t="shared" si="414"/>
        <v/>
      </c>
      <c r="AY399" s="2">
        <f t="shared" si="415"/>
        <v>-1.36</v>
      </c>
      <c r="BA399" s="78" t="e">
        <f t="shared" si="446"/>
        <v>#VALUE!</v>
      </c>
      <c r="BB399" s="78" t="e">
        <f t="shared" si="447"/>
        <v>#VALUE!</v>
      </c>
      <c r="BC399" s="2" t="str">
        <f t="shared" si="416"/>
        <v/>
      </c>
      <c r="BD399" s="2" t="e">
        <f t="shared" si="417"/>
        <v>#VALUE!</v>
      </c>
      <c r="BE399" s="67" t="e">
        <f t="shared" si="448"/>
        <v>#VALUE!</v>
      </c>
      <c r="BF399" s="2" t="s">
        <v>12</v>
      </c>
      <c r="BH399" s="2" t="str">
        <f t="shared" si="418"/>
        <v/>
      </c>
      <c r="BI399" s="2" t="e">
        <f t="shared" si="419"/>
        <v>#VALUE!</v>
      </c>
      <c r="BJ399" s="67" t="e">
        <f t="shared" si="420"/>
        <v>#VALUE!</v>
      </c>
      <c r="BK399" s="2" t="s">
        <v>12</v>
      </c>
      <c r="BM399" s="77" t="e">
        <f t="shared" si="449"/>
        <v>#VALUE!</v>
      </c>
      <c r="BN399" s="77" t="e">
        <f t="shared" si="450"/>
        <v>#VALUE!</v>
      </c>
      <c r="BO399" s="2" t="str">
        <f t="shared" si="421"/>
        <v/>
      </c>
      <c r="BP399" s="2" t="e">
        <f t="shared" si="422"/>
        <v>#VALUE!</v>
      </c>
      <c r="BQ399" s="67" t="e">
        <f t="shared" si="451"/>
        <v>#VALUE!</v>
      </c>
      <c r="BS399" s="75" t="str">
        <f t="shared" si="452"/>
        <v>UF</v>
      </c>
      <c r="BT399" s="75" t="str">
        <f t="shared" si="453"/>
        <v>UF</v>
      </c>
      <c r="BU399" s="5" t="str">
        <f t="shared" si="460"/>
        <v>UF</v>
      </c>
      <c r="BV399" s="5" t="str">
        <f t="shared" si="423"/>
        <v>UF</v>
      </c>
      <c r="BW399" s="69" t="str">
        <f t="shared" si="424"/>
        <v/>
      </c>
      <c r="BX399" s="2" t="s">
        <v>12</v>
      </c>
      <c r="BZ399" s="74" t="str">
        <f t="shared" si="454"/>
        <v>UF</v>
      </c>
      <c r="CA399" s="74" t="str">
        <f t="shared" si="455"/>
        <v>UF</v>
      </c>
      <c r="CB399" s="5" t="str">
        <f t="shared" si="425"/>
        <v>UF</v>
      </c>
      <c r="CC399" s="5" t="str">
        <f t="shared" si="426"/>
        <v>UF</v>
      </c>
      <c r="CD399" s="2" t="e">
        <f t="shared" si="427"/>
        <v>#VALUE!</v>
      </c>
      <c r="CE399" s="69" t="str">
        <f t="shared" si="428"/>
        <v/>
      </c>
      <c r="CF399" s="5" t="s">
        <v>12</v>
      </c>
      <c r="CH399" s="72" t="str">
        <f t="shared" si="456"/>
        <v>UF</v>
      </c>
      <c r="CI399" s="72" t="str">
        <f t="shared" si="457"/>
        <v>UF</v>
      </c>
      <c r="CJ399" s="5" t="str">
        <f t="shared" si="429"/>
        <v>UF</v>
      </c>
      <c r="CK399" s="5" t="str">
        <f t="shared" si="430"/>
        <v>UF</v>
      </c>
      <c r="CL399" s="69" t="str">
        <f t="shared" si="431"/>
        <v/>
      </c>
      <c r="CN399" s="70" t="str">
        <f t="shared" si="432"/>
        <v/>
      </c>
      <c r="CO399" s="5" t="str">
        <f t="shared" si="433"/>
        <v>UF</v>
      </c>
      <c r="CP399" s="5" t="str">
        <f>IF(G399&lt;48,"UF", IF(NOT(ISBLANK(CM:CM)), CM:CM, IF(BW:BW=1, BV:BV+Sheet2!B514, IF(Sheet1!BW:BW=2, Sheet1!BV:BV+Sheet2!B515, IF(Sheet1!BW:BW=7, Sheet1!BV:BV+Sheet2!B516,"")))))</f>
        <v>UF</v>
      </c>
      <c r="CQ399" s="69" t="str">
        <f t="shared" si="458"/>
        <v/>
      </c>
      <c r="CR399" s="5" t="s">
        <v>12</v>
      </c>
      <c r="CT399" s="5" t="str">
        <f t="shared" si="434"/>
        <v/>
      </c>
      <c r="CU399" s="80" t="str">
        <f t="shared" si="435"/>
        <v>UF</v>
      </c>
      <c r="CV399" s="80" t="str">
        <f t="shared" si="436"/>
        <v>UF</v>
      </c>
      <c r="CW399" s="20" t="str">
        <f>IF(G399&lt;48,"UF", IF(NOT(ISBLANK(CS399)), CS399, IF(CE399=5, CC399+Sheet2!B503, IF(CE399=6, CC399+Sheet2!B504, IF(CE399=7, CC399+Sheet2!B505,"")))))</f>
        <v>UF</v>
      </c>
      <c r="CX399" s="68" t="str">
        <f t="shared" si="459"/>
        <v/>
      </c>
      <c r="CY399" s="5" t="s">
        <v>12</v>
      </c>
      <c r="DA399" s="5" t="str">
        <f t="shared" si="437"/>
        <v>UF</v>
      </c>
      <c r="DB399" s="73" t="str">
        <f t="shared" si="438"/>
        <v>UF</v>
      </c>
      <c r="DC399" s="73" t="str">
        <f t="shared" si="439"/>
        <v>UF</v>
      </c>
      <c r="DD399" s="5" t="str">
        <f>IF(G399&lt;48,"UF", IF(NOT(ISBLANK(CZ:CZ)), CZ:CZ, IF(CL:CL=3, CK:CK+Sheet2!B508, IF(CL:CL=4, CK:CK+Sheet2!B509, IF(CL:CL=7, CK:CK+Sheet2!B510,"")))))</f>
        <v>UF</v>
      </c>
      <c r="DE399" s="69" t="str">
        <f t="shared" si="397"/>
        <v/>
      </c>
      <c r="DF399" s="2">
        <v>1</v>
      </c>
      <c r="DG399" s="2">
        <v>22</v>
      </c>
      <c r="DH399" s="2">
        <v>2</v>
      </c>
      <c r="DI399" s="2">
        <v>2</v>
      </c>
      <c r="DJ399" s="2">
        <v>2</v>
      </c>
      <c r="DK399" s="2">
        <v>108</v>
      </c>
      <c r="DL399" s="2">
        <v>58</v>
      </c>
      <c r="DM399" s="2">
        <v>100</v>
      </c>
      <c r="DN399" s="2">
        <v>60</v>
      </c>
      <c r="DO399" s="2">
        <v>100</v>
      </c>
      <c r="DP399" s="2">
        <v>60</v>
      </c>
      <c r="DQ399" s="2">
        <v>2</v>
      </c>
      <c r="DR399" s="2">
        <v>37</v>
      </c>
      <c r="DS399" s="2">
        <v>1</v>
      </c>
      <c r="DT399" s="2">
        <v>99</v>
      </c>
      <c r="DU399" s="2" t="s">
        <v>12</v>
      </c>
      <c r="DV399" s="2">
        <v>2</v>
      </c>
      <c r="DW399" s="2">
        <v>2</v>
      </c>
      <c r="DX399" s="2">
        <v>2</v>
      </c>
      <c r="DY399" s="2">
        <v>2</v>
      </c>
      <c r="DZ399" s="2">
        <v>35</v>
      </c>
      <c r="EA399" s="2">
        <v>35</v>
      </c>
      <c r="EB399" s="2">
        <v>44.5</v>
      </c>
      <c r="EC399" s="2">
        <v>1</v>
      </c>
      <c r="ED399" s="2">
        <v>1</v>
      </c>
    </row>
    <row r="400" spans="2:134" x14ac:dyDescent="0.25">
      <c r="C400" s="8" t="s">
        <v>297</v>
      </c>
      <c r="D400" s="8">
        <v>2501058097</v>
      </c>
      <c r="E400" s="5">
        <v>7</v>
      </c>
      <c r="F400" s="2">
        <v>2</v>
      </c>
      <c r="G400" s="2">
        <v>24</v>
      </c>
      <c r="H400" s="2">
        <v>-0.8438974777919892</v>
      </c>
      <c r="I400" s="2">
        <v>51</v>
      </c>
      <c r="J400" s="2">
        <v>0.58940135287155082</v>
      </c>
      <c r="K400" s="2">
        <v>3220</v>
      </c>
      <c r="L400" s="2">
        <v>-0.2619261838852463</v>
      </c>
      <c r="N400" s="2">
        <f t="shared" si="399"/>
        <v>0.12374873889599458</v>
      </c>
      <c r="O400" s="2">
        <f t="shared" si="400"/>
        <v>-0.72014873889599462</v>
      </c>
      <c r="P400" s="2" t="s">
        <v>12</v>
      </c>
      <c r="R400" s="5">
        <f t="shared" si="401"/>
        <v>0.39029932356422464</v>
      </c>
      <c r="S400" s="5">
        <f t="shared" si="402"/>
        <v>0.97970067643577541</v>
      </c>
      <c r="T400" s="2" t="s">
        <v>12</v>
      </c>
      <c r="V400" s="2">
        <f t="shared" si="403"/>
        <v>0.29596309194262316</v>
      </c>
      <c r="W400" s="2">
        <f t="shared" si="404"/>
        <v>3.4036908057376858E-2</v>
      </c>
      <c r="X400" s="2">
        <v>-0.59640000000000004</v>
      </c>
      <c r="Y400" s="76">
        <f t="shared" si="440"/>
        <v>0.24749747779198916</v>
      </c>
      <c r="Z400" s="76">
        <f t="shared" si="441"/>
        <v>1</v>
      </c>
      <c r="AA400" s="2">
        <f t="shared" si="405"/>
        <v>-1.1477503382178877</v>
      </c>
      <c r="AB400" s="2">
        <f t="shared" si="406"/>
        <v>-0.59640000000000004</v>
      </c>
      <c r="AC400" s="2">
        <v>79</v>
      </c>
      <c r="AD400" s="2">
        <v>1.37</v>
      </c>
      <c r="AE400" s="79">
        <f t="shared" si="442"/>
        <v>0.78059864712844929</v>
      </c>
      <c r="AF400" s="79">
        <f t="shared" si="443"/>
        <v>2</v>
      </c>
      <c r="AG400" s="2">
        <f t="shared" si="395"/>
        <v>0.57514966178211224</v>
      </c>
      <c r="AH400" s="2">
        <f t="shared" si="407"/>
        <v>1.37</v>
      </c>
      <c r="AI400" s="2">
        <v>10000</v>
      </c>
      <c r="AJ400" s="2">
        <v>0.33</v>
      </c>
      <c r="AK400" s="76">
        <f t="shared" si="444"/>
        <v>0.59192618388524632</v>
      </c>
      <c r="AL400" s="76">
        <f t="shared" si="445"/>
        <v>1</v>
      </c>
      <c r="AM400" s="2">
        <f t="shared" si="408"/>
        <v>0.12798154597131156</v>
      </c>
      <c r="AN400" s="2">
        <f t="shared" si="409"/>
        <v>0.33</v>
      </c>
      <c r="AO400" s="2">
        <v>-1.3158000000000001</v>
      </c>
      <c r="AP400" s="2">
        <f t="shared" si="410"/>
        <v>-0.64917552989485694</v>
      </c>
      <c r="AQ400" s="2">
        <f t="shared" si="411"/>
        <v>-1.3158000000000001</v>
      </c>
      <c r="AR400" s="2">
        <v>88</v>
      </c>
      <c r="AS400" s="2">
        <v>2.13</v>
      </c>
      <c r="AT400" s="2">
        <f t="shared" si="412"/>
        <v>-9.5189237901356027E-2</v>
      </c>
      <c r="AU400" s="2">
        <f t="shared" si="413"/>
        <v>2.13</v>
      </c>
      <c r="AV400" s="2">
        <v>11300</v>
      </c>
      <c r="AW400" s="2">
        <v>0.28999999999999998</v>
      </c>
      <c r="AX400" s="2">
        <f t="shared" si="414"/>
        <v>-0.44397891830913838</v>
      </c>
      <c r="AY400" s="2">
        <f t="shared" si="415"/>
        <v>0.28999999999999998</v>
      </c>
      <c r="AZ400" s="2">
        <v>-1.8947510597897139</v>
      </c>
      <c r="BA400" s="78">
        <f t="shared" si="446"/>
        <v>-1.2983510597897139</v>
      </c>
      <c r="BB400" s="78">
        <f t="shared" si="447"/>
        <v>-2</v>
      </c>
      <c r="BC400" s="2" t="str">
        <f t="shared" si="416"/>
        <v/>
      </c>
      <c r="BD400" s="2">
        <f t="shared" si="417"/>
        <v>-1.8947510597897139</v>
      </c>
      <c r="BE400" s="67">
        <f t="shared" si="448"/>
        <v>7</v>
      </c>
      <c r="BF400" s="2">
        <v>91</v>
      </c>
      <c r="BG400" s="2">
        <v>1.1796215241972881</v>
      </c>
      <c r="BH400" s="2" t="str">
        <f t="shared" si="418"/>
        <v/>
      </c>
      <c r="BI400" s="2">
        <f t="shared" si="419"/>
        <v>1.1796215241972881</v>
      </c>
      <c r="BJ400" s="67">
        <f t="shared" si="420"/>
        <v>7</v>
      </c>
      <c r="BK400" s="2">
        <v>12000</v>
      </c>
      <c r="BL400" s="2">
        <v>-0.5579578366182768</v>
      </c>
      <c r="BM400" s="77">
        <f t="shared" si="449"/>
        <v>-0.88795783661827676</v>
      </c>
      <c r="BN400" s="77">
        <f t="shared" si="450"/>
        <v>-2</v>
      </c>
      <c r="BO400" s="2" t="str">
        <f t="shared" si="421"/>
        <v/>
      </c>
      <c r="BP400" s="2">
        <f t="shared" si="422"/>
        <v>-0.5579578366182768</v>
      </c>
      <c r="BQ400" s="67">
        <f t="shared" si="451"/>
        <v>7</v>
      </c>
      <c r="BS400" s="75" t="str">
        <f t="shared" si="452"/>
        <v>UF</v>
      </c>
      <c r="BT400" s="75" t="str">
        <f t="shared" si="453"/>
        <v>UF</v>
      </c>
      <c r="BU400" s="5" t="str">
        <f t="shared" si="460"/>
        <v>UF</v>
      </c>
      <c r="BV400" s="5" t="str">
        <f t="shared" si="423"/>
        <v>UF</v>
      </c>
      <c r="BW400" s="69" t="str">
        <f t="shared" si="424"/>
        <v/>
      </c>
      <c r="BX400" s="2" t="s">
        <v>12</v>
      </c>
      <c r="BZ400" s="74" t="str">
        <f t="shared" si="454"/>
        <v>UF</v>
      </c>
      <c r="CA400" s="74" t="str">
        <f t="shared" si="455"/>
        <v>UF</v>
      </c>
      <c r="CB400" s="5" t="str">
        <f t="shared" si="425"/>
        <v>UF</v>
      </c>
      <c r="CC400" s="5" t="str">
        <f t="shared" si="426"/>
        <v>UF</v>
      </c>
      <c r="CD400" s="2" t="e">
        <f t="shared" si="427"/>
        <v>#VALUE!</v>
      </c>
      <c r="CE400" s="69" t="str">
        <f t="shared" si="428"/>
        <v/>
      </c>
      <c r="CF400" s="5" t="s">
        <v>12</v>
      </c>
      <c r="CH400" s="72" t="str">
        <f t="shared" si="456"/>
        <v>UF</v>
      </c>
      <c r="CI400" s="72" t="str">
        <f t="shared" si="457"/>
        <v>UF</v>
      </c>
      <c r="CJ400" s="5" t="str">
        <f t="shared" si="429"/>
        <v>UF</v>
      </c>
      <c r="CK400" s="5" t="str">
        <f t="shared" si="430"/>
        <v>UF</v>
      </c>
      <c r="CL400" s="69" t="str">
        <f t="shared" si="431"/>
        <v/>
      </c>
      <c r="CN400" s="70" t="str">
        <f t="shared" si="432"/>
        <v/>
      </c>
      <c r="CO400" s="5" t="str">
        <f t="shared" si="433"/>
        <v>UF</v>
      </c>
      <c r="CP400" s="5" t="str">
        <f>IF(G400&lt;48,"UF", IF(NOT(ISBLANK(CM:CM)), CM:CM, IF(BW:BW=1, BV:BV+Sheet2!B507, IF(Sheet1!BW:BW=2, Sheet1!BV:BV+Sheet2!B508, IF(Sheet1!BW:BW=7, Sheet1!BV:BV+Sheet2!B509,"")))))</f>
        <v>UF</v>
      </c>
      <c r="CQ400" s="69" t="str">
        <f t="shared" si="458"/>
        <v/>
      </c>
      <c r="CR400" s="5" t="s">
        <v>12</v>
      </c>
      <c r="CT400" s="5" t="str">
        <f t="shared" si="434"/>
        <v/>
      </c>
      <c r="CU400" s="80" t="str">
        <f t="shared" si="435"/>
        <v>UF</v>
      </c>
      <c r="CV400" s="80" t="str">
        <f t="shared" si="436"/>
        <v>UF</v>
      </c>
      <c r="CW400" s="20" t="str">
        <f>IF(G400&lt;48,"UF", IF(NOT(ISBLANK(CS400)), CS400, IF(CE400=5, CC400+Sheet2!B496, IF(CE400=6, CC400+Sheet2!B497, IF(CE400=7, CC400+Sheet2!B498,"")))))</f>
        <v>UF</v>
      </c>
      <c r="CX400" s="68" t="str">
        <f t="shared" si="459"/>
        <v/>
      </c>
      <c r="CY400" s="5" t="s">
        <v>12</v>
      </c>
      <c r="DA400" s="5" t="str">
        <f t="shared" si="437"/>
        <v>UF</v>
      </c>
      <c r="DB400" s="73" t="str">
        <f t="shared" si="438"/>
        <v>UF</v>
      </c>
      <c r="DC400" s="73" t="str">
        <f t="shared" si="439"/>
        <v>UF</v>
      </c>
      <c r="DD400" s="5" t="str">
        <f>IF(G400&lt;48,"UF", IF(NOT(ISBLANK(CZ:CZ)), CZ:CZ, IF(CL:CL=3, CK:CK+Sheet2!B501, IF(CL:CL=4, CK:CK+Sheet2!B502, IF(CL:CL=7, CK:CK+Sheet2!B503,"")))))</f>
        <v>UF</v>
      </c>
      <c r="DE400" s="69" t="str">
        <f t="shared" si="397"/>
        <v/>
      </c>
      <c r="DF400" s="2">
        <v>3</v>
      </c>
      <c r="DG400" s="2">
        <v>36</v>
      </c>
      <c r="DH400" s="2">
        <v>2</v>
      </c>
      <c r="DI400" s="2">
        <v>2</v>
      </c>
      <c r="DJ400" s="2">
        <v>2</v>
      </c>
      <c r="DK400" s="2">
        <v>110</v>
      </c>
      <c r="DL400" s="2">
        <v>70</v>
      </c>
      <c r="DM400" s="2">
        <v>110</v>
      </c>
      <c r="DN400" s="2">
        <v>60</v>
      </c>
      <c r="DO400" s="2">
        <v>110</v>
      </c>
      <c r="DP400" s="2">
        <v>60</v>
      </c>
      <c r="DQ400" s="2">
        <v>2</v>
      </c>
      <c r="DR400" s="2">
        <v>37</v>
      </c>
      <c r="DS400" s="2">
        <v>1</v>
      </c>
      <c r="DT400" s="2">
        <v>92</v>
      </c>
      <c r="DU400" s="2">
        <v>86</v>
      </c>
      <c r="DV400" s="2">
        <v>2</v>
      </c>
      <c r="DW400" s="2">
        <v>2</v>
      </c>
      <c r="DX400" s="2">
        <v>2</v>
      </c>
      <c r="DY400" s="2">
        <v>2</v>
      </c>
      <c r="DZ400" s="2">
        <v>34</v>
      </c>
      <c r="EA400" s="2">
        <v>34</v>
      </c>
      <c r="EB400" s="2">
        <v>44.2</v>
      </c>
      <c r="EC400" s="2">
        <v>1</v>
      </c>
      <c r="ED400" s="2">
        <v>1</v>
      </c>
    </row>
    <row r="401" spans="2:134" x14ac:dyDescent="0.25">
      <c r="C401" s="8" t="s">
        <v>296</v>
      </c>
      <c r="D401" s="8">
        <v>2501058135</v>
      </c>
      <c r="E401" s="5">
        <v>7</v>
      </c>
      <c r="F401" s="2">
        <v>1</v>
      </c>
      <c r="G401" s="2">
        <v>24</v>
      </c>
      <c r="H401" s="2">
        <v>-1.251684658714765</v>
      </c>
      <c r="I401" s="2">
        <v>50</v>
      </c>
      <c r="J401" s="2">
        <v>0.45756143734440202</v>
      </c>
      <c r="K401" s="2">
        <v>2970</v>
      </c>
      <c r="L401" s="2">
        <v>-0.58748464898442199</v>
      </c>
      <c r="M401" s="2">
        <v>-1.5628</v>
      </c>
      <c r="N401" s="2">
        <f t="shared" si="399"/>
        <v>0.71674232935738247</v>
      </c>
      <c r="O401" s="2">
        <f t="shared" si="400"/>
        <v>-1.5628</v>
      </c>
      <c r="P401" s="2">
        <v>69</v>
      </c>
      <c r="Q401" s="2">
        <v>1.43</v>
      </c>
      <c r="R401" s="5">
        <f t="shared" si="401"/>
        <v>-3.3780718672201004E-2</v>
      </c>
      <c r="S401" s="5">
        <f t="shared" si="402"/>
        <v>1.43</v>
      </c>
      <c r="T401" s="2">
        <v>7000</v>
      </c>
      <c r="U401" s="2">
        <v>-0.35</v>
      </c>
      <c r="V401" s="2">
        <f t="shared" si="403"/>
        <v>0.47374232449221099</v>
      </c>
      <c r="W401" s="2">
        <f t="shared" si="404"/>
        <v>-0.35</v>
      </c>
      <c r="X401" s="2">
        <v>0.18179999999999999</v>
      </c>
      <c r="Y401" s="76">
        <f t="shared" si="440"/>
        <v>1.4334846587147649</v>
      </c>
      <c r="Z401" s="76">
        <f t="shared" si="441"/>
        <v>2</v>
      </c>
      <c r="AA401" s="2">
        <f t="shared" si="405"/>
        <v>-0.40204999999999996</v>
      </c>
      <c r="AB401" s="2">
        <f t="shared" si="406"/>
        <v>0.18179999999999999</v>
      </c>
      <c r="AC401" s="2">
        <v>75</v>
      </c>
      <c r="AD401" s="2">
        <v>0.39</v>
      </c>
      <c r="AE401" s="79">
        <f t="shared" si="442"/>
        <v>-6.7561437344402009E-2</v>
      </c>
      <c r="AF401" s="79">
        <f t="shared" si="443"/>
        <v>-1</v>
      </c>
      <c r="AG401" s="2">
        <f t="shared" si="395"/>
        <v>-0.66499999999999992</v>
      </c>
      <c r="AH401" s="2">
        <f t="shared" si="407"/>
        <v>0.39</v>
      </c>
      <c r="AI401" s="2">
        <v>9350</v>
      </c>
      <c r="AJ401" s="2">
        <v>0.36</v>
      </c>
      <c r="AK401" s="76">
        <f t="shared" si="444"/>
        <v>0.94748464898442197</v>
      </c>
      <c r="AL401" s="76">
        <f t="shared" si="445"/>
        <v>2</v>
      </c>
      <c r="AM401" s="2">
        <f t="shared" si="408"/>
        <v>0.43</v>
      </c>
      <c r="AN401" s="2">
        <f t="shared" si="409"/>
        <v>0.36</v>
      </c>
      <c r="AO401" s="2">
        <v>0.62590000000000001</v>
      </c>
      <c r="AP401" s="2" t="str">
        <f t="shared" si="410"/>
        <v/>
      </c>
      <c r="AQ401" s="2">
        <f t="shared" si="411"/>
        <v>0.62590000000000001</v>
      </c>
      <c r="AR401" s="2">
        <v>81</v>
      </c>
      <c r="AS401" s="2">
        <v>0.1</v>
      </c>
      <c r="AT401" s="2" t="str">
        <f t="shared" si="412"/>
        <v/>
      </c>
      <c r="AU401" s="2">
        <f t="shared" si="413"/>
        <v>0.1</v>
      </c>
      <c r="AV401" s="2">
        <v>10900</v>
      </c>
      <c r="AW401" s="2">
        <v>0.51</v>
      </c>
      <c r="AX401" s="2" t="str">
        <f t="shared" si="414"/>
        <v/>
      </c>
      <c r="AY401" s="2">
        <f t="shared" si="415"/>
        <v>0.51</v>
      </c>
      <c r="BA401" s="78" t="e">
        <f t="shared" si="446"/>
        <v>#VALUE!</v>
      </c>
      <c r="BB401" s="78" t="e">
        <f t="shared" si="447"/>
        <v>#VALUE!</v>
      </c>
      <c r="BC401" s="2" t="str">
        <f t="shared" si="416"/>
        <v/>
      </c>
      <c r="BD401" s="2" t="e">
        <f t="shared" si="417"/>
        <v>#VALUE!</v>
      </c>
      <c r="BE401" s="67" t="e">
        <f t="shared" si="448"/>
        <v>#VALUE!</v>
      </c>
      <c r="BF401" s="2" t="s">
        <v>12</v>
      </c>
      <c r="BH401" s="2" t="str">
        <f t="shared" si="418"/>
        <v/>
      </c>
      <c r="BI401" s="2" t="e">
        <f t="shared" si="419"/>
        <v>#VALUE!</v>
      </c>
      <c r="BJ401" s="67" t="e">
        <f t="shared" si="420"/>
        <v>#VALUE!</v>
      </c>
      <c r="BK401" s="2" t="s">
        <v>12</v>
      </c>
      <c r="BM401" s="77" t="e">
        <f t="shared" si="449"/>
        <v>#VALUE!</v>
      </c>
      <c r="BN401" s="77" t="e">
        <f t="shared" si="450"/>
        <v>#VALUE!</v>
      </c>
      <c r="BO401" s="2" t="str">
        <f t="shared" si="421"/>
        <v/>
      </c>
      <c r="BP401" s="2" t="e">
        <f t="shared" si="422"/>
        <v>#VALUE!</v>
      </c>
      <c r="BQ401" s="67" t="e">
        <f t="shared" si="451"/>
        <v>#VALUE!</v>
      </c>
      <c r="BS401" s="75" t="str">
        <f t="shared" si="452"/>
        <v>UF</v>
      </c>
      <c r="BT401" s="75" t="str">
        <f t="shared" si="453"/>
        <v>UF</v>
      </c>
      <c r="BU401" s="5" t="str">
        <f t="shared" si="460"/>
        <v>UF</v>
      </c>
      <c r="BV401" s="5" t="str">
        <f t="shared" si="423"/>
        <v>UF</v>
      </c>
      <c r="BW401" s="69" t="str">
        <f t="shared" si="424"/>
        <v/>
      </c>
      <c r="BX401" s="2" t="s">
        <v>12</v>
      </c>
      <c r="BZ401" s="74" t="str">
        <f t="shared" si="454"/>
        <v>UF</v>
      </c>
      <c r="CA401" s="74" t="str">
        <f t="shared" si="455"/>
        <v>UF</v>
      </c>
      <c r="CB401" s="5" t="str">
        <f t="shared" si="425"/>
        <v>UF</v>
      </c>
      <c r="CC401" s="5" t="str">
        <f t="shared" si="426"/>
        <v>UF</v>
      </c>
      <c r="CD401" s="2" t="e">
        <f t="shared" si="427"/>
        <v>#VALUE!</v>
      </c>
      <c r="CE401" s="69" t="str">
        <f t="shared" si="428"/>
        <v/>
      </c>
      <c r="CF401" s="5" t="s">
        <v>12</v>
      </c>
      <c r="CH401" s="72" t="str">
        <f t="shared" si="456"/>
        <v>UF</v>
      </c>
      <c r="CI401" s="72" t="str">
        <f t="shared" si="457"/>
        <v>UF</v>
      </c>
      <c r="CJ401" s="5" t="str">
        <f t="shared" si="429"/>
        <v>UF</v>
      </c>
      <c r="CK401" s="5" t="str">
        <f t="shared" si="430"/>
        <v>UF</v>
      </c>
      <c r="CL401" s="69" t="str">
        <f t="shared" si="431"/>
        <v/>
      </c>
      <c r="CN401" s="70" t="str">
        <f t="shared" si="432"/>
        <v/>
      </c>
      <c r="CO401" s="5" t="str">
        <f t="shared" si="433"/>
        <v>UF</v>
      </c>
      <c r="CP401" s="5" t="str">
        <f>IF(G401&lt;48,"UF", IF(NOT(ISBLANK(CM:CM)), CM:CM, IF(BW:BW=1, BV:BV+Sheet2!B506, IF(Sheet1!BW:BW=2, Sheet1!BV:BV+Sheet2!B507, IF(Sheet1!BW:BW=7, Sheet1!BV:BV+Sheet2!B508,"")))))</f>
        <v>UF</v>
      </c>
      <c r="CQ401" s="69" t="str">
        <f t="shared" si="458"/>
        <v/>
      </c>
      <c r="CR401" s="5" t="s">
        <v>12</v>
      </c>
      <c r="CT401" s="5" t="str">
        <f t="shared" si="434"/>
        <v/>
      </c>
      <c r="CU401" s="80" t="str">
        <f t="shared" si="435"/>
        <v>UF</v>
      </c>
      <c r="CV401" s="80" t="str">
        <f t="shared" si="436"/>
        <v>UF</v>
      </c>
      <c r="CW401" s="20" t="str">
        <f>IF(G401&lt;48,"UF", IF(NOT(ISBLANK(CS401)), CS401, IF(CE401=5, CC401+Sheet2!B495, IF(CE401=6, CC401+Sheet2!B496, IF(CE401=7, CC401+Sheet2!B497,"")))))</f>
        <v>UF</v>
      </c>
      <c r="CX401" s="68" t="str">
        <f t="shared" si="459"/>
        <v/>
      </c>
      <c r="CY401" s="5" t="s">
        <v>12</v>
      </c>
      <c r="DA401" s="5" t="str">
        <f t="shared" si="437"/>
        <v>UF</v>
      </c>
      <c r="DB401" s="73" t="str">
        <f t="shared" si="438"/>
        <v>UF</v>
      </c>
      <c r="DC401" s="73" t="str">
        <f t="shared" si="439"/>
        <v>UF</v>
      </c>
      <c r="DD401" s="5" t="str">
        <f>IF(G401&lt;48,"UF", IF(NOT(ISBLANK(CZ:CZ)), CZ:CZ, IF(CL:CL=3, CK:CK+Sheet2!B500, IF(CL:CL=4, CK:CK+Sheet2!B501, IF(CL:CL=7, CK:CK+Sheet2!B502,"")))))</f>
        <v>UF</v>
      </c>
      <c r="DE401" s="69" t="str">
        <f t="shared" si="397"/>
        <v/>
      </c>
      <c r="DF401" s="2">
        <v>3</v>
      </c>
      <c r="DG401" s="2">
        <v>37</v>
      </c>
      <c r="DH401" s="2">
        <v>2</v>
      </c>
      <c r="DI401" s="2">
        <v>2</v>
      </c>
      <c r="DJ401" s="2">
        <v>2</v>
      </c>
      <c r="DK401" s="2">
        <v>100</v>
      </c>
      <c r="DL401" s="2">
        <v>60</v>
      </c>
      <c r="DM401" s="2">
        <v>100</v>
      </c>
      <c r="DN401" s="2">
        <v>60</v>
      </c>
      <c r="DO401" s="2">
        <v>100</v>
      </c>
      <c r="DP401" s="2">
        <v>70</v>
      </c>
      <c r="DQ401" s="2">
        <v>2</v>
      </c>
      <c r="DR401" s="2">
        <v>38</v>
      </c>
      <c r="DS401" s="2">
        <v>1</v>
      </c>
      <c r="DT401" s="2">
        <v>98</v>
      </c>
      <c r="DU401" s="2" t="s">
        <v>12</v>
      </c>
      <c r="DV401" s="2">
        <v>2</v>
      </c>
      <c r="DW401" s="2">
        <v>2</v>
      </c>
      <c r="DX401" s="2">
        <v>2</v>
      </c>
      <c r="DY401" s="2">
        <v>2</v>
      </c>
      <c r="DZ401" s="2">
        <v>35</v>
      </c>
      <c r="EA401" s="2">
        <v>34.5</v>
      </c>
      <c r="EB401" s="2">
        <v>44.5</v>
      </c>
      <c r="EC401" s="2">
        <v>4</v>
      </c>
      <c r="ED401" s="2">
        <v>1</v>
      </c>
    </row>
    <row r="402" spans="2:134" x14ac:dyDescent="0.25">
      <c r="C402" s="8" t="s">
        <v>297</v>
      </c>
      <c r="D402" s="8">
        <v>2501058143</v>
      </c>
      <c r="E402" s="5">
        <v>7</v>
      </c>
      <c r="F402" s="2">
        <v>1</v>
      </c>
      <c r="G402" s="2">
        <v>24</v>
      </c>
      <c r="H402" s="2">
        <v>-4.461719755952543E-2</v>
      </c>
      <c r="I402" s="2">
        <v>48</v>
      </c>
      <c r="J402" s="2">
        <v>-0.61614996855203885</v>
      </c>
      <c r="K402" s="2">
        <v>3060</v>
      </c>
      <c r="L402" s="2">
        <v>-0.38233842194813111</v>
      </c>
      <c r="M402" s="2">
        <v>-1.2338</v>
      </c>
      <c r="N402" s="2">
        <f t="shared" si="399"/>
        <v>-0.59064140122023723</v>
      </c>
      <c r="O402" s="2">
        <f t="shared" si="400"/>
        <v>-1.2338</v>
      </c>
      <c r="P402" s="2">
        <v>68</v>
      </c>
      <c r="Q402" s="2">
        <v>0.99</v>
      </c>
      <c r="R402" s="5">
        <f t="shared" si="401"/>
        <v>0.69307498427601943</v>
      </c>
      <c r="S402" s="5">
        <f t="shared" si="402"/>
        <v>0.99</v>
      </c>
      <c r="T402" s="2">
        <v>7000</v>
      </c>
      <c r="U402" s="2">
        <v>-0.35</v>
      </c>
      <c r="V402" s="2">
        <f t="shared" si="403"/>
        <v>-1.8830789025934436E-2</v>
      </c>
      <c r="W402" s="2">
        <f t="shared" si="404"/>
        <v>-0.35</v>
      </c>
      <c r="X402" s="2">
        <v>-1.2259</v>
      </c>
      <c r="Y402" s="76">
        <f t="shared" si="440"/>
        <v>-1.1812828024404745</v>
      </c>
      <c r="Z402" s="76">
        <f t="shared" si="441"/>
        <v>-2</v>
      </c>
      <c r="AA402" s="2">
        <f t="shared" si="405"/>
        <v>-0.88214999999999999</v>
      </c>
      <c r="AB402" s="2">
        <f t="shared" si="406"/>
        <v>-1.2259</v>
      </c>
      <c r="AC402" s="2">
        <v>76</v>
      </c>
      <c r="AD402" s="2">
        <v>0.77</v>
      </c>
      <c r="AE402" s="79">
        <f t="shared" si="442"/>
        <v>1.3861499685520389</v>
      </c>
      <c r="AF402" s="79">
        <f t="shared" si="443"/>
        <v>2</v>
      </c>
      <c r="AG402" s="2">
        <f t="shared" si="395"/>
        <v>-0.27500000000000002</v>
      </c>
      <c r="AH402" s="2">
        <f t="shared" si="407"/>
        <v>0.77</v>
      </c>
      <c r="AI402" s="2">
        <v>8500</v>
      </c>
      <c r="AJ402" s="2">
        <v>-0.42</v>
      </c>
      <c r="AK402" s="76">
        <f t="shared" si="444"/>
        <v>-3.7661578051868871E-2</v>
      </c>
      <c r="AL402" s="76">
        <f t="shared" si="445"/>
        <v>-1</v>
      </c>
      <c r="AM402" s="2">
        <f t="shared" si="408"/>
        <v>3.999999999999998E-2</v>
      </c>
      <c r="AN402" s="2">
        <f t="shared" si="409"/>
        <v>-0.42</v>
      </c>
      <c r="AO402" s="2">
        <v>-0.77429999999999999</v>
      </c>
      <c r="AP402" s="2">
        <f t="shared" si="410"/>
        <v>6.4893429780930045E-3</v>
      </c>
      <c r="AQ402" s="2">
        <f t="shared" si="411"/>
        <v>-0.77429999999999999</v>
      </c>
      <c r="AR402" s="2">
        <v>82</v>
      </c>
      <c r="AS402" s="2">
        <v>0.44</v>
      </c>
      <c r="AT402" s="2">
        <f t="shared" si="412"/>
        <v>-0.65671962069761847</v>
      </c>
      <c r="AU402" s="2">
        <f t="shared" si="413"/>
        <v>0.44</v>
      </c>
      <c r="AV402" s="2">
        <v>9900</v>
      </c>
      <c r="AW402" s="2">
        <v>-0.27</v>
      </c>
      <c r="AX402" s="2">
        <f t="shared" si="414"/>
        <v>-0.56958705853580804</v>
      </c>
      <c r="AY402" s="2">
        <f t="shared" si="415"/>
        <v>-0.27</v>
      </c>
      <c r="AZ402" s="2">
        <v>-1.212921314043814</v>
      </c>
      <c r="BA402" s="78">
        <f t="shared" si="446"/>
        <v>1.2978685956186009E-2</v>
      </c>
      <c r="BB402" s="78">
        <f t="shared" si="447"/>
        <v>1</v>
      </c>
      <c r="BC402" s="2" t="str">
        <f t="shared" si="416"/>
        <v/>
      </c>
      <c r="BD402" s="2">
        <f t="shared" si="417"/>
        <v>-1.212921314043814</v>
      </c>
      <c r="BE402" s="67">
        <f t="shared" si="448"/>
        <v>7</v>
      </c>
      <c r="BF402" s="2">
        <v>83.5</v>
      </c>
      <c r="BG402" s="2">
        <v>-0.54343924139523681</v>
      </c>
      <c r="BH402" s="2" t="str">
        <f t="shared" si="418"/>
        <v/>
      </c>
      <c r="BI402" s="2">
        <f t="shared" si="419"/>
        <v>-0.54343924139523681</v>
      </c>
      <c r="BJ402" s="67">
        <f t="shared" si="420"/>
        <v>7</v>
      </c>
      <c r="BK402" s="2">
        <v>11400</v>
      </c>
      <c r="BL402" s="2">
        <v>-1.559174117071616</v>
      </c>
      <c r="BM402" s="77">
        <f t="shared" si="449"/>
        <v>-1.1391741170716161</v>
      </c>
      <c r="BN402" s="77">
        <f t="shared" si="450"/>
        <v>-2</v>
      </c>
      <c r="BO402" s="2" t="str">
        <f t="shared" si="421"/>
        <v/>
      </c>
      <c r="BP402" s="2">
        <f t="shared" si="422"/>
        <v>-1.559174117071616</v>
      </c>
      <c r="BQ402" s="67">
        <f t="shared" si="451"/>
        <v>7</v>
      </c>
      <c r="BS402" s="75" t="str">
        <f t="shared" si="452"/>
        <v>UF</v>
      </c>
      <c r="BT402" s="75" t="str">
        <f t="shared" si="453"/>
        <v>UF</v>
      </c>
      <c r="BU402" s="5" t="str">
        <f t="shared" si="460"/>
        <v>UF</v>
      </c>
      <c r="BV402" s="5" t="str">
        <f t="shared" si="423"/>
        <v>UF</v>
      </c>
      <c r="BW402" s="69" t="str">
        <f t="shared" si="424"/>
        <v/>
      </c>
      <c r="BX402" s="2" t="s">
        <v>12</v>
      </c>
      <c r="BZ402" s="74" t="str">
        <f t="shared" si="454"/>
        <v>UF</v>
      </c>
      <c r="CA402" s="74" t="str">
        <f t="shared" si="455"/>
        <v>UF</v>
      </c>
      <c r="CB402" s="5" t="str">
        <f t="shared" si="425"/>
        <v>UF</v>
      </c>
      <c r="CC402" s="5" t="str">
        <f t="shared" si="426"/>
        <v>UF</v>
      </c>
      <c r="CD402" s="2" t="e">
        <f t="shared" si="427"/>
        <v>#VALUE!</v>
      </c>
      <c r="CE402" s="69" t="str">
        <f t="shared" si="428"/>
        <v/>
      </c>
      <c r="CF402" s="5" t="s">
        <v>12</v>
      </c>
      <c r="CH402" s="72" t="str">
        <f t="shared" si="456"/>
        <v>UF</v>
      </c>
      <c r="CI402" s="72" t="str">
        <f t="shared" si="457"/>
        <v>UF</v>
      </c>
      <c r="CJ402" s="5" t="str">
        <f t="shared" si="429"/>
        <v>UF</v>
      </c>
      <c r="CK402" s="5" t="str">
        <f t="shared" si="430"/>
        <v>UF</v>
      </c>
      <c r="CL402" s="69" t="str">
        <f t="shared" si="431"/>
        <v/>
      </c>
      <c r="CN402" s="70" t="str">
        <f t="shared" si="432"/>
        <v/>
      </c>
      <c r="CO402" s="5" t="str">
        <f t="shared" si="433"/>
        <v>UF</v>
      </c>
      <c r="CP402" s="5" t="str">
        <f>IF(G402&lt;48,"UF", IF(NOT(ISBLANK(CM:CM)), CM:CM, IF(BW:BW=1, BV:BV+Sheet2!B508, IF(Sheet1!BW:BW=2, Sheet1!BV:BV+Sheet2!B509, IF(Sheet1!BW:BW=7, Sheet1!BV:BV+Sheet2!B510,"")))))</f>
        <v>UF</v>
      </c>
      <c r="CQ402" s="69" t="str">
        <f t="shared" si="458"/>
        <v/>
      </c>
      <c r="CR402" s="5" t="s">
        <v>12</v>
      </c>
      <c r="CT402" s="5" t="str">
        <f t="shared" si="434"/>
        <v/>
      </c>
      <c r="CU402" s="80" t="str">
        <f t="shared" si="435"/>
        <v>UF</v>
      </c>
      <c r="CV402" s="80" t="str">
        <f t="shared" si="436"/>
        <v>UF</v>
      </c>
      <c r="CW402" s="20" t="str">
        <f>IF(G402&lt;48,"UF", IF(NOT(ISBLANK(CS402)), CS402, IF(CE402=5, CC402+Sheet2!B497, IF(CE402=6, CC402+Sheet2!B498, IF(CE402=7, CC402+Sheet2!B499,"")))))</f>
        <v>UF</v>
      </c>
      <c r="CX402" s="68" t="str">
        <f t="shared" si="459"/>
        <v/>
      </c>
      <c r="CY402" s="5" t="s">
        <v>12</v>
      </c>
      <c r="DA402" s="5" t="str">
        <f t="shared" si="437"/>
        <v>UF</v>
      </c>
      <c r="DB402" s="73" t="str">
        <f t="shared" si="438"/>
        <v>UF</v>
      </c>
      <c r="DC402" s="73" t="str">
        <f t="shared" si="439"/>
        <v>UF</v>
      </c>
      <c r="DD402" s="5" t="str">
        <f>IF(G402&lt;48,"UF", IF(NOT(ISBLANK(CZ:CZ)), CZ:CZ, IF(CL:CL=3, CK:CK+Sheet2!B502, IF(CL:CL=4, CK:CK+Sheet2!B503, IF(CL:CL=7, CK:CK+Sheet2!B504,"")))))</f>
        <v>UF</v>
      </c>
      <c r="DE402" s="69" t="str">
        <f t="shared" si="397"/>
        <v/>
      </c>
      <c r="DF402" s="2">
        <v>1</v>
      </c>
      <c r="DG402" s="2">
        <v>28</v>
      </c>
      <c r="DH402" s="2">
        <v>2</v>
      </c>
      <c r="DI402" s="2">
        <v>2</v>
      </c>
      <c r="DJ402" s="2">
        <v>2</v>
      </c>
      <c r="DK402" s="2">
        <v>110</v>
      </c>
      <c r="DL402" s="2">
        <v>68</v>
      </c>
      <c r="DM402" s="2">
        <v>109</v>
      </c>
      <c r="DN402" s="2">
        <v>63</v>
      </c>
      <c r="DO402" s="2">
        <v>110</v>
      </c>
      <c r="DP402" s="2">
        <v>60</v>
      </c>
      <c r="DQ402" s="2">
        <v>2</v>
      </c>
      <c r="DR402" s="2">
        <v>39</v>
      </c>
      <c r="DS402" s="2">
        <v>2</v>
      </c>
      <c r="DT402" s="2">
        <v>86</v>
      </c>
      <c r="DU402" s="2">
        <v>86</v>
      </c>
      <c r="DV402" s="2">
        <v>2</v>
      </c>
      <c r="DW402" s="2">
        <v>2</v>
      </c>
      <c r="DX402" s="2">
        <v>2</v>
      </c>
      <c r="DY402" s="2">
        <v>1</v>
      </c>
      <c r="DZ402" s="2">
        <v>34</v>
      </c>
      <c r="EA402" s="2">
        <v>35.200000000000003</v>
      </c>
      <c r="EB402" s="2">
        <v>45.5</v>
      </c>
      <c r="EC402" s="2">
        <v>1</v>
      </c>
      <c r="ED402" s="2">
        <v>1</v>
      </c>
    </row>
    <row r="403" spans="2:134" x14ac:dyDescent="0.25">
      <c r="C403" s="8" t="s">
        <v>321</v>
      </c>
      <c r="D403" s="8">
        <v>2501058763</v>
      </c>
      <c r="E403" s="5">
        <v>7</v>
      </c>
      <c r="F403" s="2">
        <v>2</v>
      </c>
      <c r="G403" s="2">
        <v>24</v>
      </c>
      <c r="H403" s="2">
        <v>-0.48800718488977213</v>
      </c>
      <c r="I403" s="2">
        <v>50</v>
      </c>
      <c r="J403" s="2">
        <v>6.1168777667580831E-2</v>
      </c>
      <c r="K403" s="2">
        <v>3200</v>
      </c>
      <c r="L403" s="2">
        <v>-0.30398057951686752</v>
      </c>
      <c r="M403" s="2">
        <v>-4.5100000000000001E-2</v>
      </c>
      <c r="N403" s="2">
        <f t="shared" si="399"/>
        <v>0.17615359244488607</v>
      </c>
      <c r="O403" s="2">
        <f t="shared" si="400"/>
        <v>-4.5100000000000001E-2</v>
      </c>
      <c r="P403" s="2">
        <v>65</v>
      </c>
      <c r="Q403" s="2">
        <v>-1.23</v>
      </c>
      <c r="R403" s="5">
        <f t="shared" si="401"/>
        <v>-0.39558438883379043</v>
      </c>
      <c r="S403" s="5">
        <f t="shared" si="402"/>
        <v>-1.23</v>
      </c>
      <c r="T403" s="2">
        <v>7300</v>
      </c>
      <c r="U403" s="2">
        <v>-0.76</v>
      </c>
      <c r="V403" s="2">
        <f t="shared" si="403"/>
        <v>-0.11300971024156625</v>
      </c>
      <c r="W403" s="2">
        <f t="shared" si="404"/>
        <v>-0.76</v>
      </c>
      <c r="X403" s="2">
        <v>-0.13569999999999999</v>
      </c>
      <c r="Y403" s="76">
        <f t="shared" si="440"/>
        <v>0.35230718488977214</v>
      </c>
      <c r="Z403" s="76">
        <f t="shared" si="441"/>
        <v>1</v>
      </c>
      <c r="AA403" s="2">
        <f t="shared" si="405"/>
        <v>0.37504999999999999</v>
      </c>
      <c r="AB403" s="2">
        <f t="shared" si="406"/>
        <v>-0.13569999999999999</v>
      </c>
      <c r="AC403" s="2">
        <v>74</v>
      </c>
      <c r="AD403" s="2">
        <v>-0.73</v>
      </c>
      <c r="AE403" s="79">
        <f t="shared" si="442"/>
        <v>-0.79116877766758087</v>
      </c>
      <c r="AF403" s="79">
        <f t="shared" si="443"/>
        <v>-2</v>
      </c>
      <c r="AG403" s="2">
        <f t="shared" si="395"/>
        <v>0.38</v>
      </c>
      <c r="AH403" s="2">
        <f t="shared" si="407"/>
        <v>-0.73</v>
      </c>
      <c r="AI403" s="2">
        <v>9100</v>
      </c>
      <c r="AJ403" s="2">
        <v>-0.53</v>
      </c>
      <c r="AK403" s="76">
        <f t="shared" si="444"/>
        <v>-0.2260194204831325</v>
      </c>
      <c r="AL403" s="76">
        <f t="shared" si="445"/>
        <v>-1</v>
      </c>
      <c r="AM403" s="2">
        <f t="shared" si="408"/>
        <v>6.5000000000000002E-2</v>
      </c>
      <c r="AN403" s="2">
        <f t="shared" si="409"/>
        <v>-0.53</v>
      </c>
      <c r="AO403" s="2">
        <v>-0.47989999999999999</v>
      </c>
      <c r="AP403" s="2" t="str">
        <f t="shared" si="410"/>
        <v/>
      </c>
      <c r="AQ403" s="2">
        <f t="shared" si="411"/>
        <v>-0.47989999999999999</v>
      </c>
      <c r="AR403" s="2">
        <v>81</v>
      </c>
      <c r="AS403" s="2">
        <v>-0.47</v>
      </c>
      <c r="AT403" s="2" t="str">
        <f t="shared" si="412"/>
        <v/>
      </c>
      <c r="AU403" s="2">
        <f t="shared" si="413"/>
        <v>-0.47</v>
      </c>
      <c r="AV403" s="2">
        <v>10200</v>
      </c>
      <c r="AW403" s="2">
        <v>-0.63</v>
      </c>
      <c r="AX403" s="2" t="str">
        <f t="shared" si="414"/>
        <v/>
      </c>
      <c r="AY403" s="2">
        <f t="shared" si="415"/>
        <v>-0.63</v>
      </c>
      <c r="BA403" s="78" t="e">
        <f t="shared" si="446"/>
        <v>#VALUE!</v>
      </c>
      <c r="BB403" s="78" t="e">
        <f t="shared" si="447"/>
        <v>#VALUE!</v>
      </c>
      <c r="BC403" s="2" t="str">
        <f t="shared" si="416"/>
        <v/>
      </c>
      <c r="BD403" s="2" t="e">
        <f t="shared" si="417"/>
        <v>#VALUE!</v>
      </c>
      <c r="BE403" s="67" t="e">
        <f t="shared" si="448"/>
        <v>#VALUE!</v>
      </c>
      <c r="BF403" s="2" t="s">
        <v>12</v>
      </c>
      <c r="BH403" s="2" t="str">
        <f t="shared" si="418"/>
        <v/>
      </c>
      <c r="BI403" s="2" t="e">
        <f t="shared" si="419"/>
        <v>#VALUE!</v>
      </c>
      <c r="BJ403" s="67" t="e">
        <f t="shared" si="420"/>
        <v>#VALUE!</v>
      </c>
      <c r="BK403" s="2" t="s">
        <v>12</v>
      </c>
      <c r="BM403" s="77" t="e">
        <f t="shared" si="449"/>
        <v>#VALUE!</v>
      </c>
      <c r="BN403" s="77" t="e">
        <f t="shared" si="450"/>
        <v>#VALUE!</v>
      </c>
      <c r="BO403" s="2" t="str">
        <f t="shared" si="421"/>
        <v/>
      </c>
      <c r="BP403" s="2" t="e">
        <f t="shared" si="422"/>
        <v>#VALUE!</v>
      </c>
      <c r="BQ403" s="67" t="e">
        <f t="shared" si="451"/>
        <v>#VALUE!</v>
      </c>
      <c r="BS403" s="75" t="str">
        <f t="shared" si="452"/>
        <v>UF</v>
      </c>
      <c r="BT403" s="75" t="str">
        <f t="shared" si="453"/>
        <v>UF</v>
      </c>
      <c r="BU403" s="5" t="e">
        <f>IF(#REF!&gt;=36, IF(AND(NOT(ISBLANK(CM:CM)), NOT(ISBLANK(BD:BD))), (CM:CM-BD:BD)/2, ""), "UF")</f>
        <v>#REF!</v>
      </c>
      <c r="BV403" s="5" t="str">
        <f t="shared" si="423"/>
        <v>UF</v>
      </c>
      <c r="BW403" s="69" t="str">
        <f t="shared" si="424"/>
        <v/>
      </c>
      <c r="BX403" s="2" t="s">
        <v>12</v>
      </c>
      <c r="BZ403" s="74" t="str">
        <f t="shared" si="454"/>
        <v>UF</v>
      </c>
      <c r="CA403" s="74" t="str">
        <f t="shared" si="455"/>
        <v>UF</v>
      </c>
      <c r="CB403" s="5" t="str">
        <f t="shared" si="425"/>
        <v>UF</v>
      </c>
      <c r="CC403" s="5" t="str">
        <f t="shared" si="426"/>
        <v>UF</v>
      </c>
      <c r="CD403" s="2" t="e">
        <f t="shared" si="427"/>
        <v>#VALUE!</v>
      </c>
      <c r="CE403" s="69" t="str">
        <f t="shared" si="428"/>
        <v/>
      </c>
      <c r="CF403" s="5" t="s">
        <v>12</v>
      </c>
      <c r="CH403" s="72" t="str">
        <f t="shared" si="456"/>
        <v>UF</v>
      </c>
      <c r="CI403" s="72" t="str">
        <f t="shared" si="457"/>
        <v>UF</v>
      </c>
      <c r="CJ403" s="5" t="str">
        <f t="shared" si="429"/>
        <v>UF</v>
      </c>
      <c r="CK403" s="5" t="str">
        <f t="shared" si="430"/>
        <v>UF</v>
      </c>
      <c r="CL403" s="69" t="str">
        <f t="shared" si="431"/>
        <v/>
      </c>
      <c r="CN403" s="70" t="str">
        <f t="shared" si="432"/>
        <v/>
      </c>
      <c r="CO403" s="5" t="str">
        <f t="shared" si="433"/>
        <v>UF</v>
      </c>
      <c r="CP403" s="5" t="str">
        <f>IF(G403&lt;48,"UF", IF(NOT(ISBLANK(CM:CM)), CM:CM, IF(BW:BW=1, BV:BV+Sheet2!B544, IF(Sheet1!BW:BW=2, Sheet1!BV:BV+Sheet2!B545, IF(Sheet1!BW:BW=7, Sheet1!BV:BV+Sheet2!B546,"")))))</f>
        <v>UF</v>
      </c>
      <c r="CQ403" s="69" t="str">
        <f t="shared" si="458"/>
        <v/>
      </c>
      <c r="CR403" s="5" t="s">
        <v>12</v>
      </c>
      <c r="CT403" s="5" t="str">
        <f t="shared" si="434"/>
        <v/>
      </c>
      <c r="CU403" s="80" t="str">
        <f t="shared" si="435"/>
        <v>UF</v>
      </c>
      <c r="CV403" s="80" t="str">
        <f t="shared" si="436"/>
        <v>UF</v>
      </c>
      <c r="CW403" s="20" t="str">
        <f>IF(G403&lt;48,"UF", IF(NOT(ISBLANK(CS403)), CS403, IF(CE403=5, CC403+Sheet2!B533, IF(CE403=6, CC403+Sheet2!B534, IF(CE403=7, CC403+Sheet2!B535,"")))))</f>
        <v>UF</v>
      </c>
      <c r="CX403" s="68" t="str">
        <f t="shared" si="459"/>
        <v/>
      </c>
      <c r="CY403" s="5" t="s">
        <v>12</v>
      </c>
      <c r="DA403" s="5" t="str">
        <f t="shared" si="437"/>
        <v>UF</v>
      </c>
      <c r="DB403" s="73" t="str">
        <f t="shared" si="438"/>
        <v>UF</v>
      </c>
      <c r="DC403" s="73" t="str">
        <f t="shared" si="439"/>
        <v>UF</v>
      </c>
      <c r="DD403" s="5" t="str">
        <f>IF(G403&lt;48,"UF", IF(NOT(ISBLANK(CZ:CZ)), CZ:CZ, IF(CL:CL=3, CK:CK+Sheet2!B538, IF(CL:CL=4, CK:CK+Sheet2!B539, IF(CL:CL=7, CK:CK+Sheet2!B540,"")))))</f>
        <v>UF</v>
      </c>
      <c r="DE403" s="69" t="str">
        <f t="shared" si="397"/>
        <v/>
      </c>
      <c r="DF403" s="2">
        <v>2</v>
      </c>
      <c r="DG403" s="2">
        <v>30</v>
      </c>
      <c r="DH403" s="2">
        <v>2</v>
      </c>
      <c r="DI403" s="2">
        <v>2</v>
      </c>
      <c r="DJ403" s="2">
        <v>2</v>
      </c>
      <c r="DK403" s="2">
        <v>106</v>
      </c>
      <c r="DL403" s="2">
        <v>61</v>
      </c>
      <c r="DM403" s="2">
        <v>100</v>
      </c>
      <c r="DN403" s="2">
        <v>60</v>
      </c>
      <c r="DO403" s="2" t="s">
        <v>12</v>
      </c>
      <c r="DP403" s="2" t="s">
        <v>12</v>
      </c>
      <c r="DQ403" s="2">
        <v>2</v>
      </c>
      <c r="DR403" s="2">
        <v>38</v>
      </c>
      <c r="DS403" s="2">
        <v>2</v>
      </c>
      <c r="DT403" s="2" t="s">
        <v>12</v>
      </c>
      <c r="DU403" s="2">
        <v>90</v>
      </c>
      <c r="DV403" s="2">
        <v>4</v>
      </c>
      <c r="DW403" s="2">
        <v>4</v>
      </c>
      <c r="DX403" s="2">
        <v>2</v>
      </c>
      <c r="DY403" s="2">
        <v>2</v>
      </c>
      <c r="DZ403" s="2">
        <v>35</v>
      </c>
      <c r="EA403" s="2">
        <v>37</v>
      </c>
      <c r="EB403" s="2">
        <v>47</v>
      </c>
      <c r="EC403" s="2">
        <v>1</v>
      </c>
      <c r="ED403" s="2">
        <v>1</v>
      </c>
    </row>
    <row r="404" spans="2:134" x14ac:dyDescent="0.25">
      <c r="C404" s="8" t="s">
        <v>294</v>
      </c>
      <c r="D404" s="8">
        <v>2501058844</v>
      </c>
      <c r="E404" s="5">
        <v>7</v>
      </c>
      <c r="F404" s="2">
        <v>1</v>
      </c>
      <c r="G404" s="2">
        <v>24</v>
      </c>
      <c r="H404" s="2">
        <v>-2.7236817069035868</v>
      </c>
      <c r="I404" s="2">
        <v>51</v>
      </c>
      <c r="J404" s="2">
        <v>0.99441714029262385</v>
      </c>
      <c r="K404" s="2">
        <v>2700</v>
      </c>
      <c r="L404" s="2">
        <v>-1.2270493270806959</v>
      </c>
      <c r="M404" s="2">
        <v>-0.78749999999999998</v>
      </c>
      <c r="N404" s="2">
        <f t="shared" si="399"/>
        <v>1.4208908534517934</v>
      </c>
      <c r="O404" s="2">
        <f t="shared" si="400"/>
        <v>-0.78749999999999998</v>
      </c>
      <c r="P404" s="2">
        <v>69</v>
      </c>
      <c r="Q404" s="2">
        <v>1.43</v>
      </c>
      <c r="R404" s="5">
        <f t="shared" si="401"/>
        <v>8.2791429853688037E-2</v>
      </c>
      <c r="S404" s="5">
        <f t="shared" si="402"/>
        <v>1.43</v>
      </c>
      <c r="T404" s="2">
        <v>7500</v>
      </c>
      <c r="U404" s="2">
        <v>0.22</v>
      </c>
      <c r="V404" s="2">
        <f t="shared" si="403"/>
        <v>0.98352466354034795</v>
      </c>
      <c r="W404" s="2">
        <f t="shared" si="404"/>
        <v>0.22</v>
      </c>
      <c r="X404" s="2">
        <v>0.1181</v>
      </c>
      <c r="Y404" s="76">
        <f t="shared" si="440"/>
        <v>2.8417817069035869</v>
      </c>
      <c r="Z404" s="76">
        <f t="shared" si="441"/>
        <v>2</v>
      </c>
      <c r="AA404" s="2">
        <f t="shared" si="405"/>
        <v>-0.90369999999999995</v>
      </c>
      <c r="AB404" s="2">
        <f t="shared" si="406"/>
        <v>0.1181</v>
      </c>
      <c r="AC404" s="2">
        <v>77</v>
      </c>
      <c r="AD404" s="2">
        <v>1.1599999999999999</v>
      </c>
      <c r="AE404" s="79">
        <f t="shared" si="442"/>
        <v>0.16558285970737607</v>
      </c>
      <c r="AF404" s="79">
        <f t="shared" si="443"/>
        <v>1</v>
      </c>
      <c r="AG404" s="2">
        <f t="shared" si="395"/>
        <v>2.5000000000000022E-2</v>
      </c>
      <c r="AH404" s="2">
        <f t="shared" si="407"/>
        <v>1.1599999999999999</v>
      </c>
      <c r="AI404" s="2">
        <v>9800</v>
      </c>
      <c r="AJ404" s="2">
        <v>0.74</v>
      </c>
      <c r="AK404" s="76">
        <f t="shared" si="444"/>
        <v>1.9670493270806959</v>
      </c>
      <c r="AL404" s="76">
        <f t="shared" si="445"/>
        <v>2</v>
      </c>
      <c r="AM404" s="2">
        <f t="shared" si="408"/>
        <v>0.18</v>
      </c>
      <c r="AN404" s="2">
        <f t="shared" si="409"/>
        <v>0.74</v>
      </c>
      <c r="AO404" s="2">
        <v>-0.37740000000000001</v>
      </c>
      <c r="AP404" s="2" t="str">
        <f t="shared" si="410"/>
        <v/>
      </c>
      <c r="AQ404" s="2">
        <f t="shared" si="411"/>
        <v>-0.37740000000000001</v>
      </c>
      <c r="AR404" s="2">
        <v>85</v>
      </c>
      <c r="AS404" s="2">
        <v>1.48</v>
      </c>
      <c r="AT404" s="2" t="str">
        <f t="shared" si="412"/>
        <v/>
      </c>
      <c r="AU404" s="2">
        <f t="shared" si="413"/>
        <v>1.48</v>
      </c>
      <c r="AV404" s="2">
        <v>11000</v>
      </c>
      <c r="AW404" s="2">
        <v>0.57999999999999996</v>
      </c>
      <c r="AX404" s="2" t="str">
        <f t="shared" si="414"/>
        <v/>
      </c>
      <c r="AY404" s="2">
        <f t="shared" si="415"/>
        <v>0.57999999999999996</v>
      </c>
      <c r="BA404" s="78" t="e">
        <f t="shared" si="446"/>
        <v>#VALUE!</v>
      </c>
      <c r="BB404" s="78" t="e">
        <f t="shared" si="447"/>
        <v>#VALUE!</v>
      </c>
      <c r="BC404" s="2" t="str">
        <f t="shared" si="416"/>
        <v/>
      </c>
      <c r="BD404" s="2" t="e">
        <f t="shared" si="417"/>
        <v>#VALUE!</v>
      </c>
      <c r="BE404" s="67" t="e">
        <f t="shared" si="448"/>
        <v>#VALUE!</v>
      </c>
      <c r="BF404" s="2" t="s">
        <v>12</v>
      </c>
      <c r="BH404" s="2" t="str">
        <f t="shared" si="418"/>
        <v/>
      </c>
      <c r="BI404" s="2" t="e">
        <f t="shared" si="419"/>
        <v>#VALUE!</v>
      </c>
      <c r="BJ404" s="67" t="e">
        <f t="shared" si="420"/>
        <v>#VALUE!</v>
      </c>
      <c r="BK404" s="2" t="s">
        <v>12</v>
      </c>
      <c r="BM404" s="77" t="e">
        <f t="shared" si="449"/>
        <v>#VALUE!</v>
      </c>
      <c r="BN404" s="77" t="e">
        <f t="shared" si="450"/>
        <v>#VALUE!</v>
      </c>
      <c r="BO404" s="2" t="str">
        <f t="shared" si="421"/>
        <v/>
      </c>
      <c r="BP404" s="2" t="e">
        <f t="shared" si="422"/>
        <v>#VALUE!</v>
      </c>
      <c r="BQ404" s="67" t="e">
        <f t="shared" si="451"/>
        <v>#VALUE!</v>
      </c>
      <c r="BS404" s="75" t="str">
        <f t="shared" si="452"/>
        <v>UF</v>
      </c>
      <c r="BT404" s="75" t="str">
        <f t="shared" si="453"/>
        <v>UF</v>
      </c>
      <c r="BU404" s="5" t="str">
        <f>IF(G412&gt;=36, IF(AND(NOT(ISBLANK(CM:CM)), NOT(ISBLANK(BD:BD))), (CM:CM-BD:BD)/2, ""), "UF")</f>
        <v>UF</v>
      </c>
      <c r="BV404" s="5" t="str">
        <f t="shared" si="423"/>
        <v>UF</v>
      </c>
      <c r="BW404" s="69" t="str">
        <f t="shared" si="424"/>
        <v/>
      </c>
      <c r="BX404" s="2" t="s">
        <v>12</v>
      </c>
      <c r="BZ404" s="74" t="str">
        <f t="shared" si="454"/>
        <v>UF</v>
      </c>
      <c r="CA404" s="74" t="str">
        <f t="shared" si="455"/>
        <v>UF</v>
      </c>
      <c r="CB404" s="5" t="str">
        <f t="shared" si="425"/>
        <v>UF</v>
      </c>
      <c r="CC404" s="5" t="str">
        <f t="shared" si="426"/>
        <v>UF</v>
      </c>
      <c r="CD404" s="2" t="e">
        <f t="shared" si="427"/>
        <v>#VALUE!</v>
      </c>
      <c r="CE404" s="69" t="str">
        <f t="shared" si="428"/>
        <v/>
      </c>
      <c r="CF404" s="5" t="s">
        <v>12</v>
      </c>
      <c r="CH404" s="72" t="str">
        <f t="shared" si="456"/>
        <v>UF</v>
      </c>
      <c r="CI404" s="72" t="str">
        <f t="shared" si="457"/>
        <v>UF</v>
      </c>
      <c r="CJ404" s="5" t="str">
        <f t="shared" si="429"/>
        <v>UF</v>
      </c>
      <c r="CK404" s="5" t="str">
        <f t="shared" si="430"/>
        <v>UF</v>
      </c>
      <c r="CL404" s="69" t="str">
        <f t="shared" si="431"/>
        <v/>
      </c>
      <c r="CN404" s="70" t="str">
        <f t="shared" si="432"/>
        <v/>
      </c>
      <c r="CO404" s="5" t="str">
        <f t="shared" si="433"/>
        <v>UF</v>
      </c>
      <c r="CP404" s="5" t="str">
        <f>IF(G404&lt;48,"UF", IF(NOT(ISBLANK(CM:CM)), CM:CM, IF(BW:BW=1, BV:BV+Sheet2!B505, IF(Sheet1!BW:BW=2, Sheet1!BV:BV+Sheet2!B506, IF(Sheet1!BW:BW=7, Sheet1!BV:BV+Sheet2!B507,"")))))</f>
        <v>UF</v>
      </c>
      <c r="CQ404" s="69" t="str">
        <f t="shared" si="458"/>
        <v/>
      </c>
      <c r="CR404" s="5" t="s">
        <v>12</v>
      </c>
      <c r="CT404" s="5" t="str">
        <f t="shared" si="434"/>
        <v/>
      </c>
      <c r="CU404" s="80" t="str">
        <f t="shared" si="435"/>
        <v>UF</v>
      </c>
      <c r="CV404" s="80" t="str">
        <f t="shared" si="436"/>
        <v>UF</v>
      </c>
      <c r="CW404" s="20" t="str">
        <f>IF(G404&lt;48,"UF", IF(NOT(ISBLANK(CS404)), CS404, IF(CE404=5, CC404+Sheet2!B494, IF(CE404=6, CC404+Sheet2!B495, IF(CE404=7, CC404+Sheet2!B496,"")))))</f>
        <v>UF</v>
      </c>
      <c r="CX404" s="68" t="str">
        <f t="shared" si="459"/>
        <v/>
      </c>
      <c r="CY404" s="5" t="s">
        <v>12</v>
      </c>
      <c r="DA404" s="5" t="str">
        <f t="shared" si="437"/>
        <v>UF</v>
      </c>
      <c r="DB404" s="73" t="str">
        <f t="shared" si="438"/>
        <v>UF</v>
      </c>
      <c r="DC404" s="73" t="str">
        <f t="shared" si="439"/>
        <v>UF</v>
      </c>
      <c r="DD404" s="5" t="str">
        <f>IF(G404&lt;48,"UF", IF(NOT(ISBLANK(CZ:CZ)), CZ:CZ, IF(CL:CL=3, CK:CK+Sheet2!B499, IF(CL:CL=4, CK:CK+Sheet2!B500, IF(CL:CL=7, CK:CK+Sheet2!B501,"")))))</f>
        <v>UF</v>
      </c>
      <c r="DE404" s="69" t="str">
        <f t="shared" si="397"/>
        <v/>
      </c>
      <c r="DF404" s="2">
        <v>3</v>
      </c>
      <c r="DG404" s="2">
        <v>33</v>
      </c>
      <c r="DH404" s="2">
        <v>1</v>
      </c>
      <c r="DI404" s="2">
        <v>2</v>
      </c>
      <c r="DJ404" s="2">
        <v>2</v>
      </c>
      <c r="DK404" s="2">
        <v>110</v>
      </c>
      <c r="DL404" s="2">
        <v>60</v>
      </c>
      <c r="DM404" s="2">
        <v>118</v>
      </c>
      <c r="DN404" s="2">
        <v>61</v>
      </c>
      <c r="DO404" s="2">
        <v>110</v>
      </c>
      <c r="DP404" s="2">
        <v>60</v>
      </c>
      <c r="DQ404" s="2">
        <v>2</v>
      </c>
      <c r="DR404" s="2">
        <v>38</v>
      </c>
      <c r="DS404" s="2">
        <v>2</v>
      </c>
      <c r="DT404" s="2">
        <v>79</v>
      </c>
      <c r="DU404" s="2">
        <v>79</v>
      </c>
      <c r="DV404" s="2">
        <v>2</v>
      </c>
      <c r="DW404" s="2">
        <v>2</v>
      </c>
      <c r="DX404" s="2">
        <v>2</v>
      </c>
      <c r="DY404" s="2">
        <v>2</v>
      </c>
      <c r="DZ404" s="2">
        <v>35</v>
      </c>
      <c r="EA404" s="2">
        <v>34.299999999999997</v>
      </c>
      <c r="EB404" s="2">
        <v>44.8</v>
      </c>
      <c r="EC404" s="2">
        <v>1</v>
      </c>
      <c r="ED404" s="2">
        <v>1</v>
      </c>
    </row>
    <row r="405" spans="2:134" x14ac:dyDescent="0.25">
      <c r="C405" s="5" t="s">
        <v>37</v>
      </c>
      <c r="D405" s="2">
        <v>2501058879</v>
      </c>
      <c r="E405" s="5">
        <v>2</v>
      </c>
      <c r="F405" s="2">
        <v>1</v>
      </c>
      <c r="G405" s="2">
        <v>24</v>
      </c>
      <c r="H405" s="2">
        <v>-0.83446683697024371</v>
      </c>
      <c r="I405" s="2">
        <v>45</v>
      </c>
      <c r="J405" s="2">
        <v>-2.2267170773967009</v>
      </c>
      <c r="K405" s="5">
        <v>2500</v>
      </c>
      <c r="L405" s="2">
        <v>-1.7268064884432719</v>
      </c>
      <c r="M405" s="2">
        <v>-1.2708999999999999</v>
      </c>
      <c r="N405" s="2">
        <f t="shared" si="399"/>
        <v>-0.28661658151487812</v>
      </c>
      <c r="O405" s="2">
        <f t="shared" si="400"/>
        <v>-1.2708999999999999</v>
      </c>
      <c r="P405" s="2">
        <v>62</v>
      </c>
      <c r="Q405" s="2">
        <v>-1.65</v>
      </c>
      <c r="R405" s="5">
        <f t="shared" si="401"/>
        <v>0.23835853869835044</v>
      </c>
      <c r="S405" s="5">
        <f t="shared" si="402"/>
        <v>-1.65</v>
      </c>
      <c r="T405" s="1">
        <v>5800</v>
      </c>
      <c r="U405" s="2">
        <v>-1.9</v>
      </c>
      <c r="V405" s="2">
        <f t="shared" si="403"/>
        <v>-0.16159675577836397</v>
      </c>
      <c r="W405" s="2">
        <f t="shared" si="404"/>
        <v>-1.9</v>
      </c>
      <c r="X405" s="2">
        <v>-1.4077</v>
      </c>
      <c r="Y405" s="76">
        <f t="shared" si="440"/>
        <v>-0.57323316302975624</v>
      </c>
      <c r="Z405" s="76">
        <f t="shared" si="441"/>
        <v>-1</v>
      </c>
      <c r="AA405" s="2">
        <f t="shared" si="405"/>
        <v>0.6802999999999999</v>
      </c>
      <c r="AB405" s="2">
        <f t="shared" si="406"/>
        <v>-1.4077</v>
      </c>
      <c r="AC405" s="2">
        <v>69.5</v>
      </c>
      <c r="AD405" s="2">
        <v>-1.75</v>
      </c>
      <c r="AE405" s="79">
        <f t="shared" si="442"/>
        <v>0.47671707739670088</v>
      </c>
      <c r="AF405" s="79">
        <f t="shared" si="443"/>
        <v>1</v>
      </c>
      <c r="AG405" s="2">
        <f t="shared" si="395"/>
        <v>-0.33000000000000007</v>
      </c>
      <c r="AH405" s="2">
        <f t="shared" si="407"/>
        <v>-1.75</v>
      </c>
      <c r="AI405" s="2">
        <v>7000</v>
      </c>
      <c r="AJ405" s="2">
        <v>-2.0499999999999998</v>
      </c>
      <c r="AK405" s="76">
        <f t="shared" si="444"/>
        <v>-0.32319351155672793</v>
      </c>
      <c r="AL405" s="76">
        <f t="shared" si="445"/>
        <v>-1</v>
      </c>
      <c r="AM405" s="2">
        <f t="shared" si="408"/>
        <v>0.125</v>
      </c>
      <c r="AN405" s="2">
        <f t="shared" si="409"/>
        <v>-2.0499999999999998</v>
      </c>
      <c r="AO405" s="2">
        <v>-0.28939999999999999</v>
      </c>
      <c r="AP405" s="2" t="str">
        <f t="shared" si="410"/>
        <v/>
      </c>
      <c r="AQ405" s="2">
        <f t="shared" si="411"/>
        <v>-0.28939999999999999</v>
      </c>
      <c r="AR405" s="2">
        <v>74</v>
      </c>
      <c r="AS405" s="2">
        <v>-2.31</v>
      </c>
      <c r="AT405" s="2" t="str">
        <f t="shared" si="412"/>
        <v/>
      </c>
      <c r="AU405" s="2">
        <f t="shared" si="413"/>
        <v>-2.31</v>
      </c>
      <c r="AV405" s="2">
        <v>8400</v>
      </c>
      <c r="AW405" s="2">
        <v>-1.65</v>
      </c>
      <c r="AX405" s="2" t="str">
        <f t="shared" si="414"/>
        <v/>
      </c>
      <c r="AY405" s="2">
        <f t="shared" si="415"/>
        <v>-1.65</v>
      </c>
      <c r="BA405" s="78" t="e">
        <f t="shared" si="446"/>
        <v>#VALUE!</v>
      </c>
      <c r="BB405" s="78" t="e">
        <f t="shared" si="447"/>
        <v>#VALUE!</v>
      </c>
      <c r="BC405" s="2" t="str">
        <f t="shared" si="416"/>
        <v/>
      </c>
      <c r="BD405" s="2" t="e">
        <f t="shared" si="417"/>
        <v>#VALUE!</v>
      </c>
      <c r="BE405" s="67" t="e">
        <f t="shared" si="448"/>
        <v>#VALUE!</v>
      </c>
      <c r="BF405" s="2" t="s">
        <v>12</v>
      </c>
      <c r="BH405" s="2" t="str">
        <f t="shared" si="418"/>
        <v/>
      </c>
      <c r="BI405" s="2" t="e">
        <f t="shared" si="419"/>
        <v>#VALUE!</v>
      </c>
      <c r="BJ405" s="67" t="e">
        <f t="shared" si="420"/>
        <v>#VALUE!</v>
      </c>
      <c r="BK405" s="2" t="s">
        <v>12</v>
      </c>
      <c r="BM405" s="77" t="e">
        <f t="shared" si="449"/>
        <v>#VALUE!</v>
      </c>
      <c r="BN405" s="77" t="e">
        <f t="shared" si="450"/>
        <v>#VALUE!</v>
      </c>
      <c r="BO405" s="2" t="str">
        <f t="shared" si="421"/>
        <v/>
      </c>
      <c r="BP405" s="2" t="e">
        <f t="shared" si="422"/>
        <v>#VALUE!</v>
      </c>
      <c r="BQ405" s="67" t="e">
        <f t="shared" si="451"/>
        <v>#VALUE!</v>
      </c>
      <c r="BS405" s="75" t="str">
        <f t="shared" si="452"/>
        <v>UF</v>
      </c>
      <c r="BT405" s="75" t="str">
        <f t="shared" si="453"/>
        <v>UF</v>
      </c>
      <c r="BU405" s="5" t="e">
        <f>IF(#REF!&gt;=36, IF(AND(NOT(ISBLANK(CM:CM)), NOT(ISBLANK(BD:BD))), (CM:CM-BD:BD)/2, ""), "UF")</f>
        <v>#REF!</v>
      </c>
      <c r="BV405" s="5" t="str">
        <f t="shared" si="423"/>
        <v>UF</v>
      </c>
      <c r="BW405" s="69" t="str">
        <f t="shared" si="424"/>
        <v/>
      </c>
      <c r="BX405" s="2" t="s">
        <v>12</v>
      </c>
      <c r="BZ405" s="74" t="str">
        <f t="shared" si="454"/>
        <v>UF</v>
      </c>
      <c r="CA405" s="74" t="str">
        <f t="shared" si="455"/>
        <v>UF</v>
      </c>
      <c r="CB405" s="5" t="str">
        <f t="shared" si="425"/>
        <v>UF</v>
      </c>
      <c r="CC405" s="5" t="str">
        <f t="shared" si="426"/>
        <v>UF</v>
      </c>
      <c r="CD405" s="2" t="e">
        <f t="shared" si="427"/>
        <v>#VALUE!</v>
      </c>
      <c r="CE405" s="69" t="str">
        <f t="shared" si="428"/>
        <v/>
      </c>
      <c r="CF405" s="5" t="s">
        <v>12</v>
      </c>
      <c r="CH405" s="72" t="str">
        <f t="shared" si="456"/>
        <v>UF</v>
      </c>
      <c r="CI405" s="72" t="str">
        <f t="shared" si="457"/>
        <v>UF</v>
      </c>
      <c r="CJ405" s="5" t="str">
        <f t="shared" si="429"/>
        <v>UF</v>
      </c>
      <c r="CK405" s="5" t="str">
        <f t="shared" si="430"/>
        <v>UF</v>
      </c>
      <c r="CL405" s="69" t="str">
        <f t="shared" si="431"/>
        <v/>
      </c>
      <c r="CN405" s="70" t="str">
        <f t="shared" si="432"/>
        <v/>
      </c>
      <c r="CO405" s="5" t="str">
        <f t="shared" si="433"/>
        <v>UF</v>
      </c>
      <c r="CP405" s="5" t="str">
        <f>IF(G405&lt;48,"UF", IF(NOT(ISBLANK(CM:CM)), CM:CM, IF(BW:BW=1, BV:BV+Sheet2!B58, IF(Sheet1!BW:BW=2, Sheet1!BV:BV+Sheet2!B59, IF(Sheet1!BW:BW=7, Sheet1!BV:BV+Sheet2!B60,"")))))</f>
        <v>UF</v>
      </c>
      <c r="CQ405" s="69" t="str">
        <f t="shared" si="458"/>
        <v/>
      </c>
      <c r="CR405" s="5" t="s">
        <v>12</v>
      </c>
      <c r="CT405" s="5" t="str">
        <f t="shared" si="434"/>
        <v/>
      </c>
      <c r="CU405" s="80" t="str">
        <f t="shared" si="435"/>
        <v>UF</v>
      </c>
      <c r="CV405" s="80" t="str">
        <f t="shared" si="436"/>
        <v>UF</v>
      </c>
      <c r="CW405" s="20" t="str">
        <f>IF(G405&lt;48,"UF", IF(NOT(ISBLANK(CS405)), CS405, IF(CE405=5, CC405+Sheet2!B47, IF(CE405=6, CC405+Sheet2!B48, IF(CE405=7, CC405+Sheet2!B49,"")))))</f>
        <v>UF</v>
      </c>
      <c r="CX405" s="68" t="str">
        <f t="shared" si="459"/>
        <v/>
      </c>
      <c r="CY405" s="5" t="s">
        <v>12</v>
      </c>
      <c r="DA405" s="5" t="str">
        <f t="shared" si="437"/>
        <v>UF</v>
      </c>
      <c r="DB405" s="73" t="str">
        <f t="shared" si="438"/>
        <v>UF</v>
      </c>
      <c r="DC405" s="73" t="str">
        <f t="shared" si="439"/>
        <v>UF</v>
      </c>
      <c r="DD405" s="5" t="str">
        <f>IF(G405&lt;48,"UF", IF(NOT(ISBLANK(CZ:CZ)), CZ:CZ, IF(CL:CL=3, CK:CK+Sheet2!B52, IF(CL:CL=4, CK:CK+Sheet2!B53, IF(CL:CL=7, CK:CK+Sheet2!B54,"")))))</f>
        <v>UF</v>
      </c>
      <c r="DE405" s="69" t="str">
        <f t="shared" si="397"/>
        <v/>
      </c>
      <c r="DF405" s="2">
        <v>3</v>
      </c>
      <c r="DG405" s="2">
        <v>29</v>
      </c>
      <c r="DH405" s="2">
        <v>1</v>
      </c>
      <c r="DI405" s="2">
        <v>2</v>
      </c>
      <c r="DJ405" s="2">
        <v>2</v>
      </c>
      <c r="DK405" s="2">
        <v>90</v>
      </c>
      <c r="DL405" s="2">
        <v>60</v>
      </c>
      <c r="DM405" s="2">
        <v>100</v>
      </c>
      <c r="DN405" s="2">
        <v>60</v>
      </c>
      <c r="DO405" s="2" t="s">
        <v>12</v>
      </c>
      <c r="DP405" s="2" t="s">
        <v>12</v>
      </c>
      <c r="DQ405" s="2">
        <v>2</v>
      </c>
      <c r="DR405" s="2">
        <v>36</v>
      </c>
      <c r="DS405" s="2">
        <v>2</v>
      </c>
      <c r="DT405" s="2">
        <v>80</v>
      </c>
      <c r="DU405" s="2">
        <v>70</v>
      </c>
      <c r="DV405" s="2">
        <v>2</v>
      </c>
      <c r="DW405" s="2">
        <v>2</v>
      </c>
      <c r="DX405" s="2">
        <v>2</v>
      </c>
      <c r="DY405" s="2">
        <v>2</v>
      </c>
      <c r="DZ405" s="2">
        <v>30</v>
      </c>
      <c r="EA405" s="2">
        <v>34</v>
      </c>
      <c r="EB405" s="2">
        <v>43.5</v>
      </c>
      <c r="EC405" s="2">
        <v>1</v>
      </c>
      <c r="ED405" s="2">
        <v>1</v>
      </c>
    </row>
    <row r="406" spans="2:134" x14ac:dyDescent="0.25">
      <c r="C406" s="8" t="s">
        <v>310</v>
      </c>
      <c r="D406" s="8">
        <v>2501058895</v>
      </c>
      <c r="E406" s="5">
        <v>7</v>
      </c>
      <c r="F406" s="2">
        <v>1</v>
      </c>
      <c r="G406" s="2">
        <v>24</v>
      </c>
      <c r="H406" s="2">
        <v>-2.412475145871142</v>
      </c>
      <c r="I406" s="2">
        <v>53</v>
      </c>
      <c r="J406" s="2">
        <v>2.0681285461890671</v>
      </c>
      <c r="K406" s="2">
        <v>3000</v>
      </c>
      <c r="L406" s="2">
        <v>-0.51868017376649433</v>
      </c>
      <c r="M406" s="2">
        <v>0.75929999999999997</v>
      </c>
      <c r="N406" s="2">
        <f t="shared" si="399"/>
        <v>1.5714875729355711</v>
      </c>
      <c r="O406" s="2">
        <f t="shared" si="400"/>
        <v>0.75929999999999997</v>
      </c>
      <c r="P406" s="2">
        <v>63</v>
      </c>
      <c r="Q406" s="2">
        <v>-1.21</v>
      </c>
      <c r="R406" s="5">
        <f t="shared" si="401"/>
        <v>-1.6190642730945335</v>
      </c>
      <c r="S406" s="5">
        <f t="shared" si="402"/>
        <v>-1.21</v>
      </c>
      <c r="T406" s="2">
        <v>7190</v>
      </c>
      <c r="U406" s="2">
        <v>-0.13</v>
      </c>
      <c r="V406" s="2">
        <f t="shared" si="403"/>
        <v>0.19434008688324717</v>
      </c>
      <c r="W406" s="2">
        <f t="shared" si="404"/>
        <v>-0.13</v>
      </c>
      <c r="X406" s="2">
        <v>0.73050000000000004</v>
      </c>
      <c r="Y406" s="76">
        <f t="shared" si="440"/>
        <v>3.1429751458711421</v>
      </c>
      <c r="Z406" s="76">
        <f t="shared" si="441"/>
        <v>2</v>
      </c>
      <c r="AA406" s="2">
        <f t="shared" si="405"/>
        <v>0.56389999999999996</v>
      </c>
      <c r="AB406" s="2">
        <f t="shared" si="406"/>
        <v>0.73050000000000004</v>
      </c>
      <c r="AC406" s="2">
        <v>71</v>
      </c>
      <c r="AD406" s="2">
        <v>-1.17</v>
      </c>
      <c r="AE406" s="79">
        <f t="shared" si="442"/>
        <v>-3.238128546189067</v>
      </c>
      <c r="AF406" s="79">
        <f t="shared" si="443"/>
        <v>-2</v>
      </c>
      <c r="AG406" s="2">
        <f t="shared" si="395"/>
        <v>0.13999999999999996</v>
      </c>
      <c r="AH406" s="2">
        <f t="shared" si="407"/>
        <v>-1.17</v>
      </c>
      <c r="AI406" s="2">
        <v>8800</v>
      </c>
      <c r="AJ406" s="2">
        <v>-0.13</v>
      </c>
      <c r="AK406" s="76">
        <f t="shared" si="444"/>
        <v>0.38868017376649433</v>
      </c>
      <c r="AL406" s="76">
        <f t="shared" si="445"/>
        <v>1</v>
      </c>
      <c r="AM406" s="2">
        <f t="shared" si="408"/>
        <v>-0.24</v>
      </c>
      <c r="AN406" s="2">
        <f t="shared" si="409"/>
        <v>-0.13</v>
      </c>
      <c r="AO406" s="2">
        <v>-8.2199999999999995E-2</v>
      </c>
      <c r="AP406" s="2">
        <f t="shared" si="410"/>
        <v>-0.96539163982502507</v>
      </c>
      <c r="AQ406" s="2">
        <f t="shared" si="411"/>
        <v>-8.2199999999999995E-2</v>
      </c>
      <c r="AR406" s="2">
        <v>78</v>
      </c>
      <c r="AS406" s="2">
        <v>-0.93</v>
      </c>
      <c r="AT406" s="2">
        <f t="shared" si="412"/>
        <v>9.8685147493879521E-2</v>
      </c>
      <c r="AU406" s="2">
        <f t="shared" si="413"/>
        <v>-0.93</v>
      </c>
      <c r="AV406" s="2">
        <v>9500</v>
      </c>
      <c r="AW406" s="2">
        <v>-0.61</v>
      </c>
      <c r="AX406" s="2">
        <f t="shared" si="414"/>
        <v>-0.90148431136150409</v>
      </c>
      <c r="AY406" s="2">
        <f t="shared" si="415"/>
        <v>-0.61</v>
      </c>
      <c r="AZ406" s="2">
        <v>-1.20028327965005</v>
      </c>
      <c r="BA406" s="78">
        <f t="shared" si="446"/>
        <v>-1.9307832796500501</v>
      </c>
      <c r="BB406" s="78">
        <f t="shared" si="447"/>
        <v>-2</v>
      </c>
      <c r="BC406" s="2" t="str">
        <f t="shared" si="416"/>
        <v/>
      </c>
      <c r="BD406" s="2">
        <f t="shared" si="417"/>
        <v>-1.20028327965005</v>
      </c>
      <c r="BE406" s="67">
        <f t="shared" si="448"/>
        <v>7</v>
      </c>
      <c r="BF406" s="2">
        <v>82</v>
      </c>
      <c r="BG406" s="2">
        <v>-0.97262970501224089</v>
      </c>
      <c r="BH406" s="2" t="str">
        <f t="shared" si="418"/>
        <v/>
      </c>
      <c r="BI406" s="2">
        <f t="shared" si="419"/>
        <v>-0.97262970501224089</v>
      </c>
      <c r="BJ406" s="67">
        <f t="shared" si="420"/>
        <v>7</v>
      </c>
      <c r="BK406" s="2">
        <v>10000</v>
      </c>
      <c r="BL406" s="2">
        <v>-1.9329686227230081</v>
      </c>
      <c r="BM406" s="77">
        <f t="shared" si="449"/>
        <v>-1.8029686227230082</v>
      </c>
      <c r="BN406" s="77">
        <f t="shared" si="450"/>
        <v>-2</v>
      </c>
      <c r="BO406" s="2" t="str">
        <f t="shared" si="421"/>
        <v/>
      </c>
      <c r="BP406" s="2">
        <f t="shared" si="422"/>
        <v>-1.9329686227230081</v>
      </c>
      <c r="BQ406" s="67">
        <f t="shared" si="451"/>
        <v>7</v>
      </c>
      <c r="BS406" s="75" t="str">
        <f t="shared" si="452"/>
        <v>UF</v>
      </c>
      <c r="BT406" s="75" t="str">
        <f t="shared" si="453"/>
        <v>UF</v>
      </c>
      <c r="BU406" s="5" t="str">
        <f>IF(G413&gt;=36, IF(AND(NOT(ISBLANK(CM:CM)), NOT(ISBLANK(BD:BD))), (CM:CM-BD:BD)/2, ""), "UF")</f>
        <v/>
      </c>
      <c r="BV406" s="5" t="str">
        <f t="shared" si="423"/>
        <v>UF</v>
      </c>
      <c r="BW406" s="69" t="str">
        <f t="shared" si="424"/>
        <v/>
      </c>
      <c r="BX406" s="2" t="s">
        <v>12</v>
      </c>
      <c r="BZ406" s="74" t="str">
        <f t="shared" si="454"/>
        <v>UF</v>
      </c>
      <c r="CA406" s="74" t="str">
        <f t="shared" si="455"/>
        <v>UF</v>
      </c>
      <c r="CB406" s="5" t="str">
        <f t="shared" si="425"/>
        <v>UF</v>
      </c>
      <c r="CC406" s="5" t="str">
        <f t="shared" si="426"/>
        <v>UF</v>
      </c>
      <c r="CD406" s="2" t="e">
        <f t="shared" si="427"/>
        <v>#VALUE!</v>
      </c>
      <c r="CE406" s="69" t="str">
        <f t="shared" si="428"/>
        <v/>
      </c>
      <c r="CF406" s="5" t="s">
        <v>12</v>
      </c>
      <c r="CH406" s="72" t="str">
        <f t="shared" si="456"/>
        <v>UF</v>
      </c>
      <c r="CI406" s="72" t="str">
        <f t="shared" si="457"/>
        <v>UF</v>
      </c>
      <c r="CJ406" s="5" t="str">
        <f t="shared" si="429"/>
        <v>UF</v>
      </c>
      <c r="CK406" s="5" t="str">
        <f t="shared" si="430"/>
        <v>UF</v>
      </c>
      <c r="CL406" s="69" t="str">
        <f t="shared" si="431"/>
        <v/>
      </c>
      <c r="CN406" s="70" t="str">
        <f t="shared" si="432"/>
        <v/>
      </c>
      <c r="CO406" s="5" t="str">
        <f t="shared" si="433"/>
        <v>UF</v>
      </c>
      <c r="CP406" s="5" t="str">
        <f>IF(G406&lt;48,"UF", IF(NOT(ISBLANK(CM:CM)), CM:CM, IF(BW:BW=1, BV:BV+Sheet2!B526, IF(Sheet1!BW:BW=2, Sheet1!BV:BV+Sheet2!B527, IF(Sheet1!BW:BW=7, Sheet1!BV:BV+Sheet2!B528,"")))))</f>
        <v>UF</v>
      </c>
      <c r="CQ406" s="69" t="str">
        <f t="shared" si="458"/>
        <v/>
      </c>
      <c r="CR406" s="5" t="s">
        <v>12</v>
      </c>
      <c r="CT406" s="5" t="str">
        <f t="shared" si="434"/>
        <v/>
      </c>
      <c r="CU406" s="80" t="str">
        <f t="shared" si="435"/>
        <v>UF</v>
      </c>
      <c r="CV406" s="80" t="str">
        <f t="shared" si="436"/>
        <v>UF</v>
      </c>
      <c r="CW406" s="20" t="str">
        <f>IF(G406&lt;48,"UF", IF(NOT(ISBLANK(CS406)), CS406, IF(CE406=5, CC406+Sheet2!B515, IF(CE406=6, CC406+Sheet2!B516, IF(CE406=7, CC406+Sheet2!B517,"")))))</f>
        <v>UF</v>
      </c>
      <c r="CX406" s="68" t="str">
        <f t="shared" si="459"/>
        <v/>
      </c>
      <c r="CY406" s="5" t="s">
        <v>12</v>
      </c>
      <c r="DA406" s="5" t="str">
        <f t="shared" si="437"/>
        <v>UF</v>
      </c>
      <c r="DB406" s="73" t="str">
        <f t="shared" si="438"/>
        <v>UF</v>
      </c>
      <c r="DC406" s="73" t="str">
        <f t="shared" si="439"/>
        <v>UF</v>
      </c>
      <c r="DD406" s="5" t="str">
        <f>IF(G406&lt;48,"UF", IF(NOT(ISBLANK(CZ:CZ)), CZ:CZ, IF(CL:CL=3, CK:CK+Sheet2!B520, IF(CL:CL=4, CK:CK+Sheet2!B521, IF(CL:CL=7, CK:CK+Sheet2!B522,"")))))</f>
        <v>UF</v>
      </c>
      <c r="DE406" s="69" t="str">
        <f t="shared" si="397"/>
        <v/>
      </c>
      <c r="DF406" s="2">
        <v>1</v>
      </c>
      <c r="DG406" s="2">
        <v>33</v>
      </c>
      <c r="DH406" s="2">
        <v>1</v>
      </c>
      <c r="DI406" s="2">
        <v>2</v>
      </c>
      <c r="DJ406" s="2">
        <v>2</v>
      </c>
      <c r="DK406" s="2">
        <v>100</v>
      </c>
      <c r="DL406" s="2">
        <v>60</v>
      </c>
      <c r="DM406" s="2">
        <v>100</v>
      </c>
      <c r="DN406" s="2">
        <v>60</v>
      </c>
      <c r="DO406" s="2">
        <v>110</v>
      </c>
      <c r="DP406" s="2">
        <v>70</v>
      </c>
      <c r="DQ406" s="2">
        <v>2</v>
      </c>
      <c r="DR406" s="2">
        <v>40</v>
      </c>
      <c r="DS406" s="2">
        <v>1</v>
      </c>
      <c r="DT406" s="2">
        <v>80</v>
      </c>
      <c r="DU406" s="2">
        <v>95</v>
      </c>
      <c r="DV406" s="2">
        <v>2</v>
      </c>
      <c r="DW406" s="2">
        <v>2</v>
      </c>
      <c r="DX406" s="2">
        <v>2</v>
      </c>
      <c r="DY406" s="2">
        <v>2</v>
      </c>
      <c r="DZ406" s="2">
        <v>35</v>
      </c>
      <c r="EA406" s="2">
        <v>36</v>
      </c>
      <c r="EB406" s="2">
        <v>45</v>
      </c>
      <c r="EC406" s="2">
        <v>1</v>
      </c>
      <c r="ED406" s="2">
        <v>1</v>
      </c>
    </row>
    <row r="407" spans="2:134" x14ac:dyDescent="0.25">
      <c r="C407" s="8" t="s">
        <v>294</v>
      </c>
      <c r="D407" s="8">
        <v>2501058917</v>
      </c>
      <c r="E407" s="5">
        <v>7</v>
      </c>
      <c r="F407" s="2">
        <v>2</v>
      </c>
      <c r="G407" s="2">
        <v>24</v>
      </c>
      <c r="H407" s="2">
        <v>-2.7488364224387491</v>
      </c>
      <c r="I407" s="2">
        <v>49</v>
      </c>
      <c r="J407" s="2">
        <v>-0.46706379753639199</v>
      </c>
      <c r="K407" s="2">
        <v>2500</v>
      </c>
      <c r="L407" s="2">
        <v>-1.8987799312803511</v>
      </c>
      <c r="M407" s="2">
        <v>-2.2210000000000001</v>
      </c>
      <c r="N407" s="2">
        <f t="shared" si="399"/>
        <v>1.2745182112193745</v>
      </c>
      <c r="O407" s="2">
        <f t="shared" si="400"/>
        <v>-2.2210000000000001</v>
      </c>
      <c r="P407" s="2">
        <v>68</v>
      </c>
      <c r="Q407" s="2">
        <v>0.17</v>
      </c>
      <c r="R407" s="5">
        <f t="shared" si="401"/>
        <v>7.8531898768195996E-2</v>
      </c>
      <c r="S407" s="5">
        <f t="shared" si="402"/>
        <v>0.17</v>
      </c>
      <c r="T407" s="2">
        <v>6700</v>
      </c>
      <c r="U407" s="2">
        <v>-1.53</v>
      </c>
      <c r="V407" s="2">
        <f t="shared" si="403"/>
        <v>0.78438996564017549</v>
      </c>
      <c r="W407" s="2">
        <f t="shared" si="404"/>
        <v>-1.53</v>
      </c>
      <c r="X407" s="2">
        <v>-0.19980000000000001</v>
      </c>
      <c r="Y407" s="76">
        <f t="shared" si="440"/>
        <v>2.549036422438749</v>
      </c>
      <c r="Z407" s="76">
        <f t="shared" si="441"/>
        <v>2</v>
      </c>
      <c r="AA407" s="2">
        <f t="shared" si="405"/>
        <v>8.4999999999998965E-4</v>
      </c>
      <c r="AB407" s="2">
        <f t="shared" si="406"/>
        <v>-0.19980000000000001</v>
      </c>
      <c r="AC407" s="2">
        <v>75</v>
      </c>
      <c r="AD407" s="2">
        <v>-0.31</v>
      </c>
      <c r="AE407" s="79">
        <f t="shared" si="442"/>
        <v>0.15706379753639199</v>
      </c>
      <c r="AF407" s="79">
        <f t="shared" si="443"/>
        <v>1</v>
      </c>
      <c r="AG407" s="2">
        <f t="shared" si="395"/>
        <v>-0.13500000000000001</v>
      </c>
      <c r="AH407" s="2">
        <f t="shared" si="407"/>
        <v>-0.31</v>
      </c>
      <c r="AI407" s="2">
        <v>9300</v>
      </c>
      <c r="AJ407" s="2">
        <v>-0.33</v>
      </c>
      <c r="AK407" s="76">
        <f t="shared" si="444"/>
        <v>1.568779931280351</v>
      </c>
      <c r="AL407" s="76">
        <f t="shared" si="445"/>
        <v>2</v>
      </c>
      <c r="AM407" s="2">
        <f t="shared" si="408"/>
        <v>0.79</v>
      </c>
      <c r="AN407" s="2">
        <f t="shared" si="409"/>
        <v>-0.33</v>
      </c>
      <c r="AO407" s="2">
        <v>0.17169999999999999</v>
      </c>
      <c r="AP407" s="2" t="str">
        <f t="shared" si="410"/>
        <v/>
      </c>
      <c r="AQ407" s="2">
        <f t="shared" si="411"/>
        <v>0.17169999999999999</v>
      </c>
      <c r="AR407" s="2">
        <v>82</v>
      </c>
      <c r="AS407" s="2">
        <v>-0.1</v>
      </c>
      <c r="AT407" s="2" t="str">
        <f t="shared" si="412"/>
        <v/>
      </c>
      <c r="AU407" s="2">
        <f t="shared" si="413"/>
        <v>-0.1</v>
      </c>
      <c r="AV407" s="2">
        <v>11000</v>
      </c>
      <c r="AW407" s="2">
        <v>0.05</v>
      </c>
      <c r="AX407" s="2" t="str">
        <f t="shared" si="414"/>
        <v/>
      </c>
      <c r="AY407" s="2">
        <f t="shared" si="415"/>
        <v>0.05</v>
      </c>
      <c r="BA407" s="78" t="e">
        <f t="shared" si="446"/>
        <v>#VALUE!</v>
      </c>
      <c r="BB407" s="78" t="e">
        <f t="shared" si="447"/>
        <v>#VALUE!</v>
      </c>
      <c r="BC407" s="2" t="str">
        <f t="shared" si="416"/>
        <v/>
      </c>
      <c r="BD407" s="2" t="e">
        <f t="shared" si="417"/>
        <v>#VALUE!</v>
      </c>
      <c r="BE407" s="67" t="e">
        <f t="shared" si="448"/>
        <v>#VALUE!</v>
      </c>
      <c r="BF407" s="2" t="s">
        <v>12</v>
      </c>
      <c r="BH407" s="2" t="str">
        <f t="shared" si="418"/>
        <v/>
      </c>
      <c r="BI407" s="2" t="e">
        <f t="shared" si="419"/>
        <v>#VALUE!</v>
      </c>
      <c r="BJ407" s="67" t="e">
        <f t="shared" si="420"/>
        <v>#VALUE!</v>
      </c>
      <c r="BK407" s="2" t="s">
        <v>12</v>
      </c>
      <c r="BM407" s="77" t="e">
        <f t="shared" si="449"/>
        <v>#VALUE!</v>
      </c>
      <c r="BN407" s="77" t="e">
        <f t="shared" si="450"/>
        <v>#VALUE!</v>
      </c>
      <c r="BO407" s="2" t="str">
        <f t="shared" si="421"/>
        <v/>
      </c>
      <c r="BP407" s="2" t="e">
        <f t="shared" si="422"/>
        <v>#VALUE!</v>
      </c>
      <c r="BQ407" s="67" t="e">
        <f t="shared" si="451"/>
        <v>#VALUE!</v>
      </c>
      <c r="BS407" s="75" t="str">
        <f t="shared" si="452"/>
        <v>UF</v>
      </c>
      <c r="BT407" s="75" t="str">
        <f t="shared" si="453"/>
        <v>UF</v>
      </c>
      <c r="BU407" s="5" t="str">
        <f>IF(G414&gt;=36, IF(AND(NOT(ISBLANK(CM:CM)), NOT(ISBLANK(BD:BD))), (CM:CM-BD:BD)/2, ""), "UF")</f>
        <v>UF</v>
      </c>
      <c r="BV407" s="5" t="str">
        <f t="shared" si="423"/>
        <v>UF</v>
      </c>
      <c r="BW407" s="69" t="str">
        <f t="shared" si="424"/>
        <v/>
      </c>
      <c r="BX407" s="2" t="s">
        <v>12</v>
      </c>
      <c r="BZ407" s="74" t="str">
        <f t="shared" si="454"/>
        <v>UF</v>
      </c>
      <c r="CA407" s="74" t="str">
        <f t="shared" si="455"/>
        <v>UF</v>
      </c>
      <c r="CB407" s="5" t="str">
        <f t="shared" si="425"/>
        <v>UF</v>
      </c>
      <c r="CC407" s="5" t="str">
        <f t="shared" si="426"/>
        <v>UF</v>
      </c>
      <c r="CD407" s="2" t="e">
        <f t="shared" si="427"/>
        <v>#VALUE!</v>
      </c>
      <c r="CE407" s="69" t="str">
        <f t="shared" si="428"/>
        <v/>
      </c>
      <c r="CF407" s="5" t="s">
        <v>12</v>
      </c>
      <c r="CH407" s="72" t="str">
        <f t="shared" si="456"/>
        <v>UF</v>
      </c>
      <c r="CI407" s="72" t="str">
        <f t="shared" si="457"/>
        <v>UF</v>
      </c>
      <c r="CJ407" s="5" t="str">
        <f t="shared" si="429"/>
        <v>UF</v>
      </c>
      <c r="CK407" s="5" t="str">
        <f t="shared" si="430"/>
        <v>UF</v>
      </c>
      <c r="CL407" s="69" t="str">
        <f t="shared" si="431"/>
        <v/>
      </c>
      <c r="CN407" s="70" t="str">
        <f t="shared" si="432"/>
        <v/>
      </c>
      <c r="CO407" s="5" t="str">
        <f t="shared" si="433"/>
        <v>UF</v>
      </c>
      <c r="CP407" s="5" t="str">
        <f>IF(G407&lt;48,"UF", IF(NOT(ISBLANK(CM:CM)), CM:CM, IF(BW:BW=1, BV:BV+Sheet2!B501, IF(Sheet1!BW:BW=2, Sheet1!BV:BV+Sheet2!B502, IF(Sheet1!BW:BW=7, Sheet1!BV:BV+Sheet2!B503,"")))))</f>
        <v>UF</v>
      </c>
      <c r="CQ407" s="69" t="str">
        <f t="shared" si="458"/>
        <v/>
      </c>
      <c r="CR407" s="5" t="s">
        <v>12</v>
      </c>
      <c r="CT407" s="5" t="str">
        <f t="shared" si="434"/>
        <v/>
      </c>
      <c r="CU407" s="80" t="str">
        <f t="shared" si="435"/>
        <v>UF</v>
      </c>
      <c r="CV407" s="80" t="str">
        <f t="shared" si="436"/>
        <v>UF</v>
      </c>
      <c r="CW407" s="20" t="str">
        <f>IF(G407&lt;48,"UF", IF(NOT(ISBLANK(CS407)), CS407, IF(CE407=5, CC407+Sheet2!B490, IF(CE407=6, CC407+Sheet2!B491, IF(CE407=7, CC407+Sheet2!B492,"")))))</f>
        <v>UF</v>
      </c>
      <c r="CX407" s="68" t="str">
        <f t="shared" si="459"/>
        <v/>
      </c>
      <c r="CY407" s="5" t="s">
        <v>12</v>
      </c>
      <c r="DA407" s="5" t="str">
        <f t="shared" si="437"/>
        <v>UF</v>
      </c>
      <c r="DB407" s="73" t="str">
        <f t="shared" si="438"/>
        <v>UF</v>
      </c>
      <c r="DC407" s="73" t="str">
        <f t="shared" si="439"/>
        <v>UF</v>
      </c>
      <c r="DD407" s="5" t="str">
        <f>IF(G407&lt;48,"UF", IF(NOT(ISBLANK(CZ:CZ)), CZ:CZ, IF(CL:CL=3, CK:CK+Sheet2!B495, IF(CL:CL=4, CK:CK+Sheet2!B496, IF(CL:CL=7, CK:CK+Sheet2!B497,"")))))</f>
        <v>UF</v>
      </c>
      <c r="DE407" s="69" t="str">
        <f t="shared" si="397"/>
        <v/>
      </c>
      <c r="DF407" s="2">
        <v>3</v>
      </c>
      <c r="DG407" s="2">
        <v>40</v>
      </c>
      <c r="DH407" s="2">
        <v>2</v>
      </c>
      <c r="DI407" s="2">
        <v>2</v>
      </c>
      <c r="DJ407" s="2">
        <v>2</v>
      </c>
      <c r="DK407" s="2">
        <v>110</v>
      </c>
      <c r="DL407" s="2">
        <v>70</v>
      </c>
      <c r="DM407" s="2">
        <v>107</v>
      </c>
      <c r="DN407" s="2">
        <v>69</v>
      </c>
      <c r="DO407" s="2">
        <v>110</v>
      </c>
      <c r="DP407" s="2">
        <v>70</v>
      </c>
      <c r="DQ407" s="2">
        <v>2</v>
      </c>
      <c r="DR407" s="2">
        <v>37</v>
      </c>
      <c r="DS407" s="2">
        <v>2</v>
      </c>
      <c r="DT407" s="2">
        <v>91</v>
      </c>
      <c r="DU407" s="2">
        <v>68</v>
      </c>
      <c r="DV407" s="2">
        <v>2</v>
      </c>
      <c r="DW407" s="2">
        <v>2</v>
      </c>
      <c r="DX407" s="2">
        <v>4</v>
      </c>
      <c r="DY407" s="2">
        <v>1</v>
      </c>
      <c r="DZ407" s="2">
        <v>33</v>
      </c>
      <c r="EA407" s="2">
        <v>36</v>
      </c>
      <c r="EB407" s="2">
        <v>46</v>
      </c>
      <c r="EC407" s="2">
        <v>1</v>
      </c>
      <c r="ED407" s="2">
        <v>1</v>
      </c>
    </row>
    <row r="408" spans="2:134" x14ac:dyDescent="0.25">
      <c r="C408" s="5" t="s">
        <v>120</v>
      </c>
      <c r="D408" s="4">
        <v>2501059001</v>
      </c>
      <c r="E408" s="2">
        <v>4</v>
      </c>
      <c r="F408" s="2">
        <v>2</v>
      </c>
      <c r="G408" s="2">
        <v>23</v>
      </c>
      <c r="H408" s="2">
        <v>9.7677812396344361</v>
      </c>
      <c r="I408" s="2">
        <v>34</v>
      </c>
      <c r="J408" s="2">
        <v>-8.3905524255959385</v>
      </c>
      <c r="K408" s="5">
        <v>3480</v>
      </c>
      <c r="L408" s="2">
        <v>0.26993260059024082</v>
      </c>
      <c r="N408" s="2">
        <f t="shared" si="399"/>
        <v>-5.5876906198172183</v>
      </c>
      <c r="O408" s="2">
        <f t="shared" si="400"/>
        <v>4.1800906198172179</v>
      </c>
      <c r="P408" s="2" t="s">
        <v>12</v>
      </c>
      <c r="R408" s="5">
        <f t="shared" si="401"/>
        <v>3.4102762127979691</v>
      </c>
      <c r="S408" s="5">
        <f t="shared" si="402"/>
        <v>-4.9802762127979694</v>
      </c>
      <c r="T408" s="1" t="s">
        <v>12</v>
      </c>
      <c r="V408" s="2">
        <f t="shared" si="403"/>
        <v>-1.0999663002951203</v>
      </c>
      <c r="W408" s="2">
        <f t="shared" si="404"/>
        <v>-0.8300336997048795</v>
      </c>
      <c r="X408" s="2">
        <v>-1.4076</v>
      </c>
      <c r="Y408" s="76">
        <f t="shared" si="440"/>
        <v>-11.175381239634437</v>
      </c>
      <c r="Z408" s="76">
        <f t="shared" si="441"/>
        <v>-2</v>
      </c>
      <c r="AA408" s="2">
        <f t="shared" si="405"/>
        <v>1.5216381063989846</v>
      </c>
      <c r="AB408" s="2">
        <f t="shared" si="406"/>
        <v>-1.4076</v>
      </c>
      <c r="AC408" s="2">
        <v>72</v>
      </c>
      <c r="AD408" s="2">
        <v>-1.57</v>
      </c>
      <c r="AE408" s="79">
        <f t="shared" si="442"/>
        <v>6.8205524255959382</v>
      </c>
      <c r="AF408" s="79">
        <f t="shared" si="443"/>
        <v>2</v>
      </c>
      <c r="AG408" s="2">
        <f t="shared" si="395"/>
        <v>1.8851381063989847</v>
      </c>
      <c r="AH408" s="2">
        <f t="shared" si="407"/>
        <v>-1.57</v>
      </c>
      <c r="AI408" s="2">
        <v>7800</v>
      </c>
      <c r="AJ408" s="2">
        <v>-1.93</v>
      </c>
      <c r="AK408" s="76">
        <f t="shared" si="444"/>
        <v>-2.1999326005902407</v>
      </c>
      <c r="AL408" s="76">
        <f t="shared" si="445"/>
        <v>-2</v>
      </c>
      <c r="AM408" s="2">
        <f t="shared" si="408"/>
        <v>-0.6099831501475601</v>
      </c>
      <c r="AN408" s="2">
        <f t="shared" si="409"/>
        <v>-1.93</v>
      </c>
      <c r="AO408" s="2">
        <v>-1.9370000000000001</v>
      </c>
      <c r="AP408" s="2" t="str">
        <f t="shared" si="410"/>
        <v/>
      </c>
      <c r="AQ408" s="2">
        <f t="shared" si="411"/>
        <v>-1.9370000000000001</v>
      </c>
      <c r="AR408" s="2">
        <v>79</v>
      </c>
      <c r="AS408" s="2">
        <v>-1.21</v>
      </c>
      <c r="AT408" s="2" t="str">
        <f t="shared" si="412"/>
        <v/>
      </c>
      <c r="AU408" s="2">
        <f t="shared" si="413"/>
        <v>-1.21</v>
      </c>
      <c r="AV408" s="2">
        <v>8700</v>
      </c>
      <c r="AW408" s="2">
        <v>-2.0499999999999998</v>
      </c>
      <c r="AX408" s="2" t="str">
        <f t="shared" si="414"/>
        <v/>
      </c>
      <c r="AY408" s="2">
        <f t="shared" si="415"/>
        <v>-2.0499999999999998</v>
      </c>
      <c r="BA408" s="78" t="e">
        <f t="shared" si="446"/>
        <v>#VALUE!</v>
      </c>
      <c r="BB408" s="78" t="e">
        <f t="shared" si="447"/>
        <v>#VALUE!</v>
      </c>
      <c r="BC408" s="2" t="str">
        <f t="shared" si="416"/>
        <v/>
      </c>
      <c r="BD408" s="2" t="e">
        <f t="shared" si="417"/>
        <v>#VALUE!</v>
      </c>
      <c r="BE408" s="67" t="e">
        <f t="shared" si="448"/>
        <v>#VALUE!</v>
      </c>
      <c r="BF408" s="2" t="s">
        <v>12</v>
      </c>
      <c r="BH408" s="2" t="str">
        <f t="shared" si="418"/>
        <v/>
      </c>
      <c r="BI408" s="2" t="e">
        <f t="shared" si="419"/>
        <v>#VALUE!</v>
      </c>
      <c r="BJ408" s="67" t="e">
        <f t="shared" si="420"/>
        <v>#VALUE!</v>
      </c>
      <c r="BK408" s="2" t="s">
        <v>12</v>
      </c>
      <c r="BM408" s="77" t="e">
        <f t="shared" si="449"/>
        <v>#VALUE!</v>
      </c>
      <c r="BN408" s="77" t="e">
        <f t="shared" si="450"/>
        <v>#VALUE!</v>
      </c>
      <c r="BO408" s="2" t="str">
        <f t="shared" si="421"/>
        <v/>
      </c>
      <c r="BP408" s="2" t="e">
        <f t="shared" si="422"/>
        <v>#VALUE!</v>
      </c>
      <c r="BQ408" s="67" t="e">
        <f t="shared" si="451"/>
        <v>#VALUE!</v>
      </c>
      <c r="BS408" s="75" t="str">
        <f t="shared" si="452"/>
        <v>UF</v>
      </c>
      <c r="BT408" s="75" t="str">
        <f t="shared" si="453"/>
        <v>UF</v>
      </c>
      <c r="BU408" s="5" t="str">
        <f>IF(G415&gt;=36, IF(AND(NOT(ISBLANK(CM:CM)), NOT(ISBLANK(BD:BD))), (CM:CM-BD:BD)/2, ""), "UF")</f>
        <v/>
      </c>
      <c r="BV408" s="5" t="str">
        <f t="shared" si="423"/>
        <v>UF</v>
      </c>
      <c r="BW408" s="69" t="str">
        <f t="shared" si="424"/>
        <v/>
      </c>
      <c r="BX408" s="2" t="s">
        <v>12</v>
      </c>
      <c r="BZ408" s="74" t="str">
        <f t="shared" si="454"/>
        <v>UF</v>
      </c>
      <c r="CA408" s="74" t="str">
        <f t="shared" si="455"/>
        <v>UF</v>
      </c>
      <c r="CB408" s="5" t="str">
        <f t="shared" si="425"/>
        <v>UF</v>
      </c>
      <c r="CC408" s="5" t="str">
        <f t="shared" si="426"/>
        <v>UF</v>
      </c>
      <c r="CD408" s="2" t="e">
        <f t="shared" si="427"/>
        <v>#VALUE!</v>
      </c>
      <c r="CE408" s="69" t="str">
        <f t="shared" si="428"/>
        <v/>
      </c>
      <c r="CF408" s="5" t="s">
        <v>12</v>
      </c>
      <c r="CH408" s="72" t="str">
        <f t="shared" si="456"/>
        <v>UF</v>
      </c>
      <c r="CI408" s="72" t="str">
        <f t="shared" si="457"/>
        <v>UF</v>
      </c>
      <c r="CJ408" s="5" t="str">
        <f t="shared" si="429"/>
        <v>UF</v>
      </c>
      <c r="CK408" s="5" t="str">
        <f t="shared" si="430"/>
        <v>UF</v>
      </c>
      <c r="CL408" s="69" t="str">
        <f t="shared" si="431"/>
        <v/>
      </c>
      <c r="CN408" s="70" t="str">
        <f t="shared" si="432"/>
        <v/>
      </c>
      <c r="CO408" s="5" t="str">
        <f t="shared" si="433"/>
        <v>UF</v>
      </c>
      <c r="CP408" s="5" t="str">
        <f>IF(G408&lt;48,"UF", IF(NOT(ISBLANK(CM:CM)), CM:CM, IF(BW:BW=1, BV:BV+Sheet2!B163, IF(Sheet1!BW:BW=2, Sheet1!BV:BV+Sheet2!B164, IF(Sheet1!BW:BW=7, Sheet1!BV:BV+Sheet2!B165,"")))))</f>
        <v>UF</v>
      </c>
      <c r="CQ408" s="69" t="str">
        <f t="shared" si="458"/>
        <v/>
      </c>
      <c r="CR408" s="5" t="s">
        <v>12</v>
      </c>
      <c r="CT408" s="5" t="str">
        <f t="shared" si="434"/>
        <v/>
      </c>
      <c r="CU408" s="80" t="str">
        <f t="shared" si="435"/>
        <v>UF</v>
      </c>
      <c r="CV408" s="80" t="str">
        <f t="shared" si="436"/>
        <v>UF</v>
      </c>
      <c r="CW408" s="20" t="str">
        <f>IF(G408&lt;48,"UF", IF(NOT(ISBLANK(CS408)), CS408, IF(CE408=5, CC408+Sheet2!B152, IF(CE408=6, CC408+Sheet2!B153, IF(CE408=7, CC408+Sheet2!B154,"")))))</f>
        <v>UF</v>
      </c>
      <c r="CX408" s="68" t="str">
        <f t="shared" si="459"/>
        <v/>
      </c>
      <c r="CY408" s="5" t="s">
        <v>12</v>
      </c>
      <c r="DA408" s="5" t="str">
        <f t="shared" si="437"/>
        <v>UF</v>
      </c>
      <c r="DB408" s="73" t="str">
        <f t="shared" si="438"/>
        <v>UF</v>
      </c>
      <c r="DC408" s="73" t="str">
        <f t="shared" si="439"/>
        <v>UF</v>
      </c>
      <c r="DD408" s="5" t="str">
        <f>IF(G408&lt;48,"UF", IF(NOT(ISBLANK(CZ:CZ)), CZ:CZ, IF(CL:CL=3, CK:CK+Sheet2!B157, IF(CL:CL=4, CK:CK+Sheet2!B158, IF(CL:CL=7, CK:CK+Sheet2!B159,"")))))</f>
        <v>UF</v>
      </c>
      <c r="DE408" s="69" t="str">
        <f t="shared" si="397"/>
        <v/>
      </c>
      <c r="DF408" s="2">
        <v>2</v>
      </c>
      <c r="DG408" s="2">
        <v>35</v>
      </c>
      <c r="DH408" s="2">
        <v>2</v>
      </c>
      <c r="DI408" s="2">
        <v>2</v>
      </c>
      <c r="DJ408" s="2">
        <v>3</v>
      </c>
      <c r="DK408" s="2">
        <v>100</v>
      </c>
      <c r="DL408" s="2">
        <v>60</v>
      </c>
      <c r="DM408" s="2" t="s">
        <v>12</v>
      </c>
      <c r="DN408" s="2" t="s">
        <v>12</v>
      </c>
      <c r="DO408" s="2" t="s">
        <v>12</v>
      </c>
      <c r="DP408" s="2" t="s">
        <v>12</v>
      </c>
      <c r="DQ408" s="2">
        <v>2</v>
      </c>
      <c r="DR408" s="2">
        <v>39</v>
      </c>
      <c r="DS408" s="2">
        <v>2</v>
      </c>
      <c r="DT408" s="2">
        <v>77</v>
      </c>
      <c r="DU408" s="2">
        <v>70</v>
      </c>
      <c r="DV408" s="2">
        <v>2</v>
      </c>
      <c r="DW408" s="2">
        <v>2</v>
      </c>
      <c r="DX408" s="2">
        <v>2</v>
      </c>
      <c r="DY408" s="2">
        <v>2</v>
      </c>
      <c r="DZ408" s="2">
        <v>54</v>
      </c>
      <c r="EA408" s="2" t="s">
        <v>12</v>
      </c>
      <c r="EB408" s="2">
        <v>45</v>
      </c>
      <c r="EC408" s="2" t="s">
        <v>12</v>
      </c>
      <c r="ED408" s="2">
        <v>1</v>
      </c>
    </row>
    <row r="409" spans="2:134" x14ac:dyDescent="0.25">
      <c r="C409" s="8" t="s">
        <v>283</v>
      </c>
      <c r="D409" s="8">
        <v>2501059107</v>
      </c>
      <c r="E409" s="5">
        <v>7</v>
      </c>
      <c r="F409" s="2">
        <v>1</v>
      </c>
      <c r="G409" s="2">
        <v>24</v>
      </c>
      <c r="H409" s="2">
        <v>-0.1108297380910267</v>
      </c>
      <c r="I409" s="2">
        <v>50</v>
      </c>
      <c r="J409" s="2">
        <v>0.45756143734440202</v>
      </c>
      <c r="K409" s="2">
        <v>3300</v>
      </c>
      <c r="L409" s="2">
        <v>0.14707338780410831</v>
      </c>
      <c r="M409" s="2">
        <v>-0.29759999999999998</v>
      </c>
      <c r="N409" s="2">
        <f t="shared" si="399"/>
        <v>-0.15953513095448665</v>
      </c>
      <c r="O409" s="2">
        <f t="shared" si="400"/>
        <v>-0.29759999999999998</v>
      </c>
      <c r="P409" s="2">
        <v>67.5</v>
      </c>
      <c r="Q409" s="2">
        <v>0.77</v>
      </c>
      <c r="R409" s="5">
        <f t="shared" si="401"/>
        <v>0.156219281327799</v>
      </c>
      <c r="S409" s="5">
        <f t="shared" si="402"/>
        <v>0.77</v>
      </c>
      <c r="T409" s="2">
        <v>7500</v>
      </c>
      <c r="U409" s="2">
        <v>0.22</v>
      </c>
      <c r="V409" s="2">
        <f t="shared" si="403"/>
        <v>-3.5366939020541471E-3</v>
      </c>
      <c r="W409" s="2">
        <f t="shared" si="404"/>
        <v>0.22</v>
      </c>
      <c r="X409" s="2">
        <v>-0.4299</v>
      </c>
      <c r="Y409" s="76">
        <f t="shared" si="440"/>
        <v>-0.31907026190897331</v>
      </c>
      <c r="Z409" s="76">
        <f t="shared" si="441"/>
        <v>-1</v>
      </c>
      <c r="AA409" s="2">
        <f t="shared" si="405"/>
        <v>-0.82355</v>
      </c>
      <c r="AB409" s="2">
        <f t="shared" si="406"/>
        <v>-0.4299</v>
      </c>
      <c r="AC409" s="2">
        <v>76</v>
      </c>
      <c r="AD409" s="2">
        <v>0.77</v>
      </c>
      <c r="AE409" s="79">
        <f t="shared" si="442"/>
        <v>0.312438562655598</v>
      </c>
      <c r="AF409" s="79">
        <f t="shared" si="443"/>
        <v>1</v>
      </c>
      <c r="AG409" s="2">
        <f t="shared" si="395"/>
        <v>0.17999999999999994</v>
      </c>
      <c r="AH409" s="2">
        <f t="shared" si="407"/>
        <v>0.77</v>
      </c>
      <c r="AI409" s="2">
        <v>9100</v>
      </c>
      <c r="AJ409" s="2">
        <v>0.14000000000000001</v>
      </c>
      <c r="AK409" s="76">
        <f t="shared" si="444"/>
        <v>-7.0733878041082943E-3</v>
      </c>
      <c r="AL409" s="76">
        <f t="shared" si="445"/>
        <v>-1</v>
      </c>
      <c r="AM409" s="2">
        <f t="shared" si="408"/>
        <v>-8.4999999999999992E-2</v>
      </c>
      <c r="AN409" s="2">
        <f t="shared" si="409"/>
        <v>0.14000000000000001</v>
      </c>
      <c r="AO409" s="2">
        <v>-0.87709999999999999</v>
      </c>
      <c r="AP409" s="2" t="str">
        <f t="shared" si="410"/>
        <v/>
      </c>
      <c r="AQ409" s="2">
        <f t="shared" si="411"/>
        <v>-0.87709999999999999</v>
      </c>
      <c r="AR409" s="2">
        <v>84</v>
      </c>
      <c r="AS409" s="2">
        <v>1.1299999999999999</v>
      </c>
      <c r="AT409" s="2" t="str">
        <f t="shared" si="412"/>
        <v/>
      </c>
      <c r="AU409" s="2">
        <f t="shared" si="413"/>
        <v>1.1299999999999999</v>
      </c>
      <c r="AV409" s="2">
        <v>10300</v>
      </c>
      <c r="AW409" s="2">
        <v>0.05</v>
      </c>
      <c r="AX409" s="2" t="str">
        <f t="shared" si="414"/>
        <v/>
      </c>
      <c r="AY409" s="2">
        <f t="shared" si="415"/>
        <v>0.05</v>
      </c>
      <c r="BA409" s="78" t="e">
        <f t="shared" si="446"/>
        <v>#VALUE!</v>
      </c>
      <c r="BB409" s="78" t="e">
        <f t="shared" si="447"/>
        <v>#VALUE!</v>
      </c>
      <c r="BC409" s="2" t="str">
        <f t="shared" si="416"/>
        <v/>
      </c>
      <c r="BD409" s="2" t="e">
        <f t="shared" si="417"/>
        <v>#VALUE!</v>
      </c>
      <c r="BE409" s="67" t="e">
        <f t="shared" si="448"/>
        <v>#VALUE!</v>
      </c>
      <c r="BF409" s="2" t="s">
        <v>12</v>
      </c>
      <c r="BH409" s="2" t="str">
        <f t="shared" si="418"/>
        <v/>
      </c>
      <c r="BI409" s="2" t="e">
        <f t="shared" si="419"/>
        <v>#VALUE!</v>
      </c>
      <c r="BJ409" s="67" t="e">
        <f t="shared" si="420"/>
        <v>#VALUE!</v>
      </c>
      <c r="BK409" s="2" t="s">
        <v>12</v>
      </c>
      <c r="BM409" s="77" t="e">
        <f t="shared" si="449"/>
        <v>#VALUE!</v>
      </c>
      <c r="BN409" s="77" t="e">
        <f t="shared" si="450"/>
        <v>#VALUE!</v>
      </c>
      <c r="BO409" s="2" t="str">
        <f t="shared" si="421"/>
        <v/>
      </c>
      <c r="BP409" s="2" t="e">
        <f t="shared" si="422"/>
        <v>#VALUE!</v>
      </c>
      <c r="BQ409" s="67" t="e">
        <f t="shared" si="451"/>
        <v>#VALUE!</v>
      </c>
      <c r="BS409" s="75" t="str">
        <f t="shared" si="452"/>
        <v>UF</v>
      </c>
      <c r="BT409" s="75" t="str">
        <f t="shared" si="453"/>
        <v>UF</v>
      </c>
      <c r="BU409" s="5" t="str">
        <f>IF(G416&gt;=36, IF(AND(NOT(ISBLANK(CM:CM)), NOT(ISBLANK(BD:BD))), (CM:CM-BD:BD)/2, ""), "UF")</f>
        <v/>
      </c>
      <c r="BV409" s="5" t="str">
        <f t="shared" si="423"/>
        <v>UF</v>
      </c>
      <c r="BW409" s="69" t="str">
        <f t="shared" si="424"/>
        <v/>
      </c>
      <c r="BX409" s="2" t="s">
        <v>12</v>
      </c>
      <c r="BZ409" s="74" t="str">
        <f t="shared" si="454"/>
        <v>UF</v>
      </c>
      <c r="CA409" s="74" t="str">
        <f t="shared" si="455"/>
        <v>UF</v>
      </c>
      <c r="CB409" s="5" t="str">
        <f t="shared" si="425"/>
        <v>UF</v>
      </c>
      <c r="CC409" s="5" t="str">
        <f t="shared" si="426"/>
        <v>UF</v>
      </c>
      <c r="CD409" s="2" t="e">
        <f t="shared" si="427"/>
        <v>#VALUE!</v>
      </c>
      <c r="CE409" s="69" t="str">
        <f t="shared" si="428"/>
        <v/>
      </c>
      <c r="CF409" s="5" t="s">
        <v>12</v>
      </c>
      <c r="CH409" s="72" t="str">
        <f t="shared" si="456"/>
        <v>UF</v>
      </c>
      <c r="CI409" s="72" t="str">
        <f t="shared" si="457"/>
        <v>UF</v>
      </c>
      <c r="CJ409" s="5" t="str">
        <f t="shared" si="429"/>
        <v>UF</v>
      </c>
      <c r="CK409" s="5" t="str">
        <f t="shared" si="430"/>
        <v>UF</v>
      </c>
      <c r="CL409" s="69" t="str">
        <f t="shared" si="431"/>
        <v/>
      </c>
      <c r="CN409" s="70" t="str">
        <f t="shared" si="432"/>
        <v/>
      </c>
      <c r="CO409" s="5" t="str">
        <f t="shared" si="433"/>
        <v>UF</v>
      </c>
      <c r="CP409" s="5" t="str">
        <f>IF(G409&lt;48,"UF", IF(NOT(ISBLANK(CM:CM)), CM:CM, IF(BW:BW=1, BV:BV+Sheet2!B488, IF(Sheet1!BW:BW=2, Sheet1!BV:BV+Sheet2!B489, IF(Sheet1!BW:BW=7, Sheet1!BV:BV+Sheet2!B490,"")))))</f>
        <v>UF</v>
      </c>
      <c r="CQ409" s="69" t="str">
        <f t="shared" si="458"/>
        <v/>
      </c>
      <c r="CR409" s="5" t="s">
        <v>12</v>
      </c>
      <c r="CT409" s="5" t="str">
        <f t="shared" si="434"/>
        <v/>
      </c>
      <c r="CU409" s="80" t="str">
        <f t="shared" si="435"/>
        <v>UF</v>
      </c>
      <c r="CV409" s="80" t="str">
        <f t="shared" si="436"/>
        <v>UF</v>
      </c>
      <c r="CW409" s="20" t="str">
        <f>IF(G409&lt;48,"UF", IF(NOT(ISBLANK(CS409)), CS409, IF(CE409=5, CC409+Sheet2!B477, IF(CE409=6, CC409+Sheet2!B478, IF(CE409=7, CC409+Sheet2!B479,"")))))</f>
        <v>UF</v>
      </c>
      <c r="CX409" s="68" t="str">
        <f t="shared" si="459"/>
        <v/>
      </c>
      <c r="CY409" s="5" t="s">
        <v>12</v>
      </c>
      <c r="DA409" s="5" t="str">
        <f t="shared" si="437"/>
        <v>UF</v>
      </c>
      <c r="DB409" s="73" t="str">
        <f t="shared" si="438"/>
        <v>UF</v>
      </c>
      <c r="DC409" s="73" t="str">
        <f t="shared" si="439"/>
        <v>UF</v>
      </c>
      <c r="DD409" s="5" t="str">
        <f>IF(G409&lt;48,"UF", IF(NOT(ISBLANK(CZ:CZ)), CZ:CZ, IF(CL:CL=3, CK:CK+Sheet2!B482, IF(CL:CL=4, CK:CK+Sheet2!B483, IF(CL:CL=7, CK:CK+Sheet2!B484,"")))))</f>
        <v>UF</v>
      </c>
      <c r="DE409" s="69" t="str">
        <f t="shared" si="397"/>
        <v/>
      </c>
      <c r="DF409" s="2">
        <v>2</v>
      </c>
      <c r="DG409" s="2">
        <v>34</v>
      </c>
      <c r="DH409" s="2">
        <v>2</v>
      </c>
      <c r="DI409" s="2">
        <v>2</v>
      </c>
      <c r="DJ409" s="2">
        <v>2</v>
      </c>
      <c r="DK409" s="2">
        <v>110</v>
      </c>
      <c r="DL409" s="2">
        <v>60</v>
      </c>
      <c r="DM409" s="2">
        <v>90</v>
      </c>
      <c r="DN409" s="2">
        <v>50</v>
      </c>
      <c r="DO409" s="2">
        <v>110</v>
      </c>
      <c r="DP409" s="2">
        <v>70</v>
      </c>
      <c r="DQ409" s="2">
        <v>2</v>
      </c>
      <c r="DR409" s="2">
        <v>40</v>
      </c>
      <c r="DS409" s="2">
        <v>2</v>
      </c>
      <c r="DT409" s="2">
        <v>71</v>
      </c>
      <c r="DU409" s="2">
        <v>81</v>
      </c>
      <c r="DV409" s="2">
        <v>3</v>
      </c>
      <c r="DW409" s="2">
        <v>2</v>
      </c>
      <c r="DX409" s="2">
        <v>4</v>
      </c>
      <c r="DY409" s="2">
        <v>2</v>
      </c>
      <c r="DZ409" s="2">
        <v>33</v>
      </c>
      <c r="EA409" s="2">
        <v>35.5</v>
      </c>
      <c r="EB409" s="2">
        <v>45.5</v>
      </c>
      <c r="EC409" s="2">
        <v>1</v>
      </c>
      <c r="ED409" s="2">
        <v>1</v>
      </c>
    </row>
    <row r="410" spans="2:134" x14ac:dyDescent="0.25">
      <c r="C410" s="2" t="s">
        <v>383</v>
      </c>
      <c r="D410" s="2">
        <v>2501059522</v>
      </c>
      <c r="E410" s="5">
        <v>4</v>
      </c>
      <c r="F410" s="2">
        <v>2</v>
      </c>
      <c r="G410" s="2">
        <v>26</v>
      </c>
      <c r="H410" s="2">
        <v>-1.894896534976491</v>
      </c>
      <c r="I410" s="2">
        <v>55</v>
      </c>
      <c r="J410" s="2">
        <v>2.7023316536874251</v>
      </c>
      <c r="K410" s="5">
        <v>3400</v>
      </c>
      <c r="L410" s="2">
        <v>0.1091247039083435</v>
      </c>
      <c r="M410" s="2">
        <v>-2.0720000000000001</v>
      </c>
      <c r="N410" s="2">
        <f t="shared" si="399"/>
        <v>-0.15425173251175439</v>
      </c>
      <c r="O410" s="2">
        <f t="shared" si="400"/>
        <v>-2.0720000000000001</v>
      </c>
      <c r="P410" s="2">
        <v>64.5</v>
      </c>
      <c r="Q410" s="2">
        <v>-1.47</v>
      </c>
      <c r="R410" s="5">
        <f t="shared" si="401"/>
        <v>-1.9261658268437125</v>
      </c>
      <c r="S410" s="5">
        <f t="shared" si="402"/>
        <v>-1.47</v>
      </c>
      <c r="T410" s="1">
        <v>6100</v>
      </c>
      <c r="U410" s="2">
        <v>-2.37</v>
      </c>
      <c r="V410" s="2">
        <f t="shared" si="403"/>
        <v>-1.1645623519541719</v>
      </c>
      <c r="W410" s="2">
        <f t="shared" si="404"/>
        <v>-2.37</v>
      </c>
      <c r="X410" s="2">
        <v>-2.2033999999999998</v>
      </c>
      <c r="Y410" s="76">
        <f t="shared" si="440"/>
        <v>-0.30850346502350878</v>
      </c>
      <c r="Z410" s="76">
        <f t="shared" si="441"/>
        <v>-1</v>
      </c>
      <c r="AA410" s="2">
        <f t="shared" si="405"/>
        <v>-9.8049999999999971E-2</v>
      </c>
      <c r="AB410" s="2">
        <f t="shared" si="406"/>
        <v>-2.2033999999999998</v>
      </c>
      <c r="AC410" s="2">
        <v>73</v>
      </c>
      <c r="AD410" s="2">
        <v>-1.1499999999999999</v>
      </c>
      <c r="AE410" s="79">
        <f t="shared" si="442"/>
        <v>-3.852331653687425</v>
      </c>
      <c r="AF410" s="79">
        <f t="shared" si="443"/>
        <v>-2</v>
      </c>
      <c r="AG410" s="2">
        <f t="shared" si="395"/>
        <v>0.315</v>
      </c>
      <c r="AH410" s="2">
        <f t="shared" si="407"/>
        <v>-1.1499999999999999</v>
      </c>
      <c r="AI410" s="2">
        <v>7550</v>
      </c>
      <c r="AJ410" s="2">
        <v>-2.2200000000000002</v>
      </c>
      <c r="AK410" s="76">
        <f t="shared" si="444"/>
        <v>-2.3291247039083438</v>
      </c>
      <c r="AL410" s="76">
        <f t="shared" si="445"/>
        <v>-2</v>
      </c>
      <c r="AM410" s="2">
        <f t="shared" si="408"/>
        <v>0.3600000000000001</v>
      </c>
      <c r="AN410" s="2">
        <f t="shared" si="409"/>
        <v>-2.2200000000000002</v>
      </c>
      <c r="AO410" s="2">
        <v>-1.6660999999999999</v>
      </c>
      <c r="AP410" s="2">
        <f t="shared" si="410"/>
        <v>-0.39096031015264621</v>
      </c>
      <c r="AQ410" s="2">
        <f t="shared" si="411"/>
        <v>-1.6660999999999999</v>
      </c>
      <c r="AR410" s="2">
        <v>80</v>
      </c>
      <c r="AS410" s="2">
        <v>-0.84</v>
      </c>
      <c r="AT410" s="2">
        <f t="shared" si="412"/>
        <v>0.16727626407577678</v>
      </c>
      <c r="AU410" s="2">
        <f t="shared" si="413"/>
        <v>-0.84</v>
      </c>
      <c r="AV410" s="2">
        <v>9100</v>
      </c>
      <c r="AW410" s="2">
        <v>-1.65</v>
      </c>
      <c r="AX410" s="2">
        <f t="shared" si="414"/>
        <v>-0.23959612537761199</v>
      </c>
      <c r="AY410" s="2">
        <f t="shared" si="415"/>
        <v>-1.65</v>
      </c>
      <c r="AZ410" s="2">
        <v>-2.9853206203052922</v>
      </c>
      <c r="BA410" s="78">
        <f t="shared" si="446"/>
        <v>-0.78192062030529241</v>
      </c>
      <c r="BB410" s="78">
        <f t="shared" si="447"/>
        <v>-2</v>
      </c>
      <c r="BC410" s="2" t="str">
        <f t="shared" si="416"/>
        <v/>
      </c>
      <c r="BD410" s="2">
        <f t="shared" si="417"/>
        <v>-2.9853206203052922</v>
      </c>
      <c r="BE410" s="67">
        <f t="shared" si="448"/>
        <v>2</v>
      </c>
      <c r="BF410" s="2">
        <v>84</v>
      </c>
      <c r="BG410" s="2">
        <v>-0.81544747184844635</v>
      </c>
      <c r="BH410" s="2" t="str">
        <f t="shared" si="418"/>
        <v/>
      </c>
      <c r="BI410" s="2">
        <f t="shared" si="419"/>
        <v>-0.81544747184844635</v>
      </c>
      <c r="BJ410" s="67">
        <f t="shared" si="420"/>
        <v>7</v>
      </c>
      <c r="BK410" s="2">
        <v>9600</v>
      </c>
      <c r="BL410" s="2">
        <v>-2.6991922507552242</v>
      </c>
      <c r="BM410" s="77">
        <f t="shared" si="449"/>
        <v>-0.47919225075522398</v>
      </c>
      <c r="BN410" s="77">
        <f t="shared" si="450"/>
        <v>-1</v>
      </c>
      <c r="BO410" s="2" t="str">
        <f t="shared" si="421"/>
        <v/>
      </c>
      <c r="BP410" s="2">
        <f t="shared" si="422"/>
        <v>-2.6991922507552242</v>
      </c>
      <c r="BQ410" s="67">
        <f t="shared" si="451"/>
        <v>4</v>
      </c>
      <c r="BS410" s="75" t="str">
        <f t="shared" si="452"/>
        <v>UF</v>
      </c>
      <c r="BT410" s="75" t="str">
        <f t="shared" si="453"/>
        <v>UF</v>
      </c>
      <c r="BU410" s="5" t="str">
        <f>IF(G417&gt;=36, IF(AND(NOT(ISBLANK(CM:CM)), NOT(ISBLANK(BD:BD))), (CM:CM-BD:BD)/2, ""), "UF")</f>
        <v/>
      </c>
      <c r="BV410" s="5" t="str">
        <f t="shared" si="423"/>
        <v>UF</v>
      </c>
      <c r="BW410" s="69" t="str">
        <f t="shared" si="424"/>
        <v/>
      </c>
      <c r="BX410" s="2" t="s">
        <v>12</v>
      </c>
      <c r="BZ410" s="74" t="str">
        <f t="shared" si="454"/>
        <v>UF</v>
      </c>
      <c r="CA410" s="74" t="str">
        <f t="shared" si="455"/>
        <v>UF</v>
      </c>
      <c r="CB410" s="5" t="str">
        <f t="shared" si="425"/>
        <v>UF</v>
      </c>
      <c r="CC410" s="5" t="str">
        <f t="shared" si="426"/>
        <v>UF</v>
      </c>
      <c r="CD410" s="2" t="e">
        <f t="shared" si="427"/>
        <v>#VALUE!</v>
      </c>
      <c r="CE410" s="69" t="str">
        <f t="shared" si="428"/>
        <v/>
      </c>
      <c r="CF410" s="5" t="s">
        <v>12</v>
      </c>
      <c r="CH410" s="72" t="str">
        <f t="shared" si="456"/>
        <v>UF</v>
      </c>
      <c r="CI410" s="72" t="str">
        <f t="shared" si="457"/>
        <v>UF</v>
      </c>
      <c r="CJ410" s="5" t="str">
        <f t="shared" si="429"/>
        <v>UF</v>
      </c>
      <c r="CK410" s="5" t="str">
        <f t="shared" si="430"/>
        <v>UF</v>
      </c>
      <c r="CL410" s="69" t="str">
        <f t="shared" si="431"/>
        <v/>
      </c>
      <c r="CN410" s="70" t="str">
        <f t="shared" si="432"/>
        <v/>
      </c>
      <c r="CO410" s="5" t="str">
        <f t="shared" si="433"/>
        <v>UF</v>
      </c>
      <c r="CP410" s="5" t="str">
        <f>IF(G410&lt;48,"UF", IF(NOT(ISBLANK(CM:CM)), CM:CM, IF(BW:BW=1, BV:BV+Sheet2!B187, IF(Sheet1!BW:BW=2, Sheet1!BV:BV+Sheet2!B188, IF(Sheet1!BW:BW=7, Sheet1!BV:BV+Sheet2!B189,"")))))</f>
        <v>UF</v>
      </c>
      <c r="CQ410" s="69" t="str">
        <f t="shared" si="458"/>
        <v/>
      </c>
      <c r="CR410" s="5" t="s">
        <v>12</v>
      </c>
      <c r="CT410" s="5" t="str">
        <f t="shared" si="434"/>
        <v/>
      </c>
      <c r="CU410" s="80" t="str">
        <f t="shared" si="435"/>
        <v>UF</v>
      </c>
      <c r="CV410" s="80" t="str">
        <f t="shared" si="436"/>
        <v>UF</v>
      </c>
      <c r="CW410" s="20" t="str">
        <f>IF(G410&lt;48,"UF", IF(NOT(ISBLANK(CS410)), CS410, IF(CE410=5, CC410+Sheet2!B176, IF(CE410=6, CC410+Sheet2!B177, IF(CE410=7, CC410+Sheet2!B178,"")))))</f>
        <v>UF</v>
      </c>
      <c r="CX410" s="68" t="str">
        <f t="shared" si="459"/>
        <v/>
      </c>
      <c r="CY410" s="5" t="s">
        <v>12</v>
      </c>
      <c r="DA410" s="5" t="str">
        <f t="shared" si="437"/>
        <v>UF</v>
      </c>
      <c r="DB410" s="73" t="str">
        <f t="shared" si="438"/>
        <v>UF</v>
      </c>
      <c r="DC410" s="73" t="str">
        <f t="shared" si="439"/>
        <v>UF</v>
      </c>
      <c r="DD410" s="5" t="str">
        <f>IF(G410&lt;48,"UF", IF(NOT(ISBLANK(CZ:CZ)), CZ:CZ, IF(CL:CL=3, CK:CK+Sheet2!B181, IF(CL:CL=4, CK:CK+Sheet2!B182, IF(CL:CL=7, CK:CK+Sheet2!B183,"")))))</f>
        <v>UF</v>
      </c>
      <c r="DE410" s="69" t="str">
        <f t="shared" si="397"/>
        <v/>
      </c>
      <c r="DF410" s="2">
        <v>1</v>
      </c>
      <c r="DG410" s="2">
        <v>36</v>
      </c>
      <c r="DH410" s="2">
        <v>1</v>
      </c>
      <c r="DI410" s="2">
        <v>2</v>
      </c>
      <c r="DJ410" s="2">
        <v>2</v>
      </c>
      <c r="DK410" s="2">
        <v>110</v>
      </c>
      <c r="DL410" s="2">
        <v>60</v>
      </c>
      <c r="DM410" s="2">
        <v>105</v>
      </c>
      <c r="DN410" s="2">
        <v>70</v>
      </c>
      <c r="DO410" s="2" t="s">
        <v>12</v>
      </c>
      <c r="DP410" s="2" t="s">
        <v>12</v>
      </c>
      <c r="DQ410" s="2">
        <v>2</v>
      </c>
      <c r="DR410" s="2">
        <v>41</v>
      </c>
      <c r="DS410" s="2">
        <v>2</v>
      </c>
      <c r="DT410" s="2">
        <v>89.5</v>
      </c>
      <c r="DU410" s="2">
        <v>74</v>
      </c>
      <c r="DV410" s="2">
        <v>2</v>
      </c>
      <c r="DW410" s="2">
        <v>2</v>
      </c>
      <c r="DX410" s="2">
        <v>2</v>
      </c>
      <c r="DY410" s="2">
        <v>2</v>
      </c>
      <c r="DZ410" s="2">
        <v>35</v>
      </c>
      <c r="EA410" s="2">
        <v>34.5</v>
      </c>
      <c r="EB410" s="2">
        <v>44</v>
      </c>
      <c r="EC410" s="2">
        <v>1</v>
      </c>
      <c r="ED410" s="2">
        <v>1</v>
      </c>
    </row>
    <row r="411" spans="2:134" x14ac:dyDescent="0.25">
      <c r="C411" s="8" t="s">
        <v>50</v>
      </c>
      <c r="D411" s="2">
        <v>2501060180</v>
      </c>
      <c r="E411" s="2" t="s">
        <v>528</v>
      </c>
      <c r="F411" s="2">
        <v>2</v>
      </c>
      <c r="G411" s="2">
        <v>22</v>
      </c>
      <c r="H411" s="2">
        <v>-1.687399685313973</v>
      </c>
      <c r="I411" s="2">
        <v>49</v>
      </c>
      <c r="J411" s="2">
        <v>-0.46706379753639199</v>
      </c>
      <c r="K411" s="5">
        <v>2750</v>
      </c>
      <c r="L411" s="2">
        <v>-1.2992579025473141</v>
      </c>
      <c r="M411" s="2">
        <v>-2.2443</v>
      </c>
      <c r="N411" s="2">
        <f t="shared" si="399"/>
        <v>-0.48780015734301341</v>
      </c>
      <c r="O411" s="2">
        <f t="shared" si="400"/>
        <v>-2.2443</v>
      </c>
      <c r="P411" s="2">
        <v>66</v>
      </c>
      <c r="Q411" s="2">
        <v>-0.77</v>
      </c>
      <c r="R411" s="5">
        <f t="shared" si="401"/>
        <v>-2.6468101231804014E-2</v>
      </c>
      <c r="S411" s="5">
        <f t="shared" si="402"/>
        <v>-0.77</v>
      </c>
      <c r="T411" s="1">
        <v>6300</v>
      </c>
      <c r="U411" s="2">
        <v>-2.08</v>
      </c>
      <c r="V411" s="2">
        <f t="shared" si="403"/>
        <v>-0.43537104872634291</v>
      </c>
      <c r="W411" s="2">
        <f t="shared" si="404"/>
        <v>-2.08</v>
      </c>
      <c r="X411" s="2">
        <v>-2.6629999999999998</v>
      </c>
      <c r="Y411" s="76">
        <f t="shared" si="440"/>
        <v>-0.97560031468602681</v>
      </c>
      <c r="Z411" s="76">
        <f t="shared" si="441"/>
        <v>-2</v>
      </c>
      <c r="AA411" s="2">
        <f t="shared" si="405"/>
        <v>-0.89189999999999992</v>
      </c>
      <c r="AB411" s="2">
        <f t="shared" si="406"/>
        <v>-2.6629999999999998</v>
      </c>
      <c r="AC411" s="2">
        <v>74.5</v>
      </c>
      <c r="AD411" s="2">
        <v>-0.52</v>
      </c>
      <c r="AE411" s="79">
        <f t="shared" si="442"/>
        <v>-5.2936202463608029E-2</v>
      </c>
      <c r="AF411" s="79">
        <f t="shared" si="443"/>
        <v>-1</v>
      </c>
      <c r="AG411" s="2">
        <f t="shared" si="395"/>
        <v>0.15000000000000002</v>
      </c>
      <c r="AH411" s="2">
        <f t="shared" si="407"/>
        <v>-0.52</v>
      </c>
      <c r="AI411" s="2">
        <v>7600</v>
      </c>
      <c r="AJ411" s="2">
        <v>-2.17</v>
      </c>
      <c r="AK411" s="76">
        <f t="shared" si="444"/>
        <v>-0.87074209745268583</v>
      </c>
      <c r="AL411" s="76">
        <f t="shared" si="445"/>
        <v>-2</v>
      </c>
      <c r="AM411" s="2">
        <f t="shared" si="408"/>
        <v>4.0000000000000036E-2</v>
      </c>
      <c r="AN411" s="2">
        <f t="shared" si="409"/>
        <v>-2.17</v>
      </c>
      <c r="AO411" s="2">
        <v>-2.5537999999999998</v>
      </c>
      <c r="AP411" s="2" t="str">
        <f t="shared" si="410"/>
        <v/>
      </c>
      <c r="AQ411" s="2">
        <f t="shared" si="411"/>
        <v>-2.5537999999999998</v>
      </c>
      <c r="AR411" s="2">
        <v>81</v>
      </c>
      <c r="AS411" s="2">
        <v>-0.47</v>
      </c>
      <c r="AT411" s="2" t="str">
        <f t="shared" si="412"/>
        <v/>
      </c>
      <c r="AU411" s="2">
        <f t="shared" si="413"/>
        <v>-0.47</v>
      </c>
      <c r="AV411" s="2">
        <v>8750</v>
      </c>
      <c r="AW411" s="2">
        <v>-2</v>
      </c>
      <c r="AX411" s="2" t="str">
        <f t="shared" si="414"/>
        <v/>
      </c>
      <c r="AY411" s="2">
        <f t="shared" si="415"/>
        <v>-2</v>
      </c>
      <c r="BA411" s="78" t="e">
        <f t="shared" si="446"/>
        <v>#VALUE!</v>
      </c>
      <c r="BB411" s="78" t="e">
        <f t="shared" si="447"/>
        <v>#VALUE!</v>
      </c>
      <c r="BC411" s="2" t="str">
        <f t="shared" si="416"/>
        <v/>
      </c>
      <c r="BD411" s="2" t="e">
        <f t="shared" si="417"/>
        <v>#VALUE!</v>
      </c>
      <c r="BE411" s="67" t="e">
        <f t="shared" si="448"/>
        <v>#VALUE!</v>
      </c>
      <c r="BF411" s="2" t="s">
        <v>12</v>
      </c>
      <c r="BH411" s="2" t="str">
        <f t="shared" si="418"/>
        <v/>
      </c>
      <c r="BI411" s="2" t="e">
        <f t="shared" si="419"/>
        <v>#VALUE!</v>
      </c>
      <c r="BJ411" s="67" t="e">
        <f t="shared" si="420"/>
        <v>#VALUE!</v>
      </c>
      <c r="BK411" s="2" t="s">
        <v>12</v>
      </c>
      <c r="BM411" s="77" t="e">
        <f t="shared" si="449"/>
        <v>#VALUE!</v>
      </c>
      <c r="BN411" s="77" t="e">
        <f t="shared" si="450"/>
        <v>#VALUE!</v>
      </c>
      <c r="BO411" s="2" t="str">
        <f t="shared" si="421"/>
        <v/>
      </c>
      <c r="BP411" s="2" t="e">
        <f t="shared" si="422"/>
        <v>#VALUE!</v>
      </c>
      <c r="BQ411" s="67" t="e">
        <f t="shared" si="451"/>
        <v>#VALUE!</v>
      </c>
      <c r="BS411" s="75" t="str">
        <f t="shared" si="452"/>
        <v>UF</v>
      </c>
      <c r="BT411" s="75" t="str">
        <f t="shared" si="453"/>
        <v>UF</v>
      </c>
      <c r="BU411" s="5" t="e">
        <f>IF(#REF!&gt;=36, IF(AND(NOT(ISBLANK(CM:CM)), NOT(ISBLANK(BD:BD))), (CM:CM-BD:BD)/2, ""), "UF")</f>
        <v>#REF!</v>
      </c>
      <c r="BV411" s="5" t="str">
        <f t="shared" si="423"/>
        <v>UF</v>
      </c>
      <c r="BW411" s="69" t="str">
        <f t="shared" si="424"/>
        <v/>
      </c>
      <c r="BX411" s="2" t="s">
        <v>12</v>
      </c>
      <c r="BZ411" s="74" t="str">
        <f t="shared" si="454"/>
        <v>UF</v>
      </c>
      <c r="CA411" s="74" t="str">
        <f t="shared" si="455"/>
        <v>UF</v>
      </c>
      <c r="CB411" s="5" t="str">
        <f t="shared" si="425"/>
        <v>UF</v>
      </c>
      <c r="CC411" s="5" t="str">
        <f t="shared" si="426"/>
        <v>UF</v>
      </c>
      <c r="CD411" s="2" t="e">
        <f t="shared" si="427"/>
        <v>#VALUE!</v>
      </c>
      <c r="CE411" s="69" t="str">
        <f t="shared" si="428"/>
        <v/>
      </c>
      <c r="CF411" s="5" t="s">
        <v>12</v>
      </c>
      <c r="CH411" s="72" t="str">
        <f t="shared" si="456"/>
        <v>UF</v>
      </c>
      <c r="CI411" s="72" t="str">
        <f t="shared" si="457"/>
        <v>UF</v>
      </c>
      <c r="CJ411" s="5" t="str">
        <f t="shared" si="429"/>
        <v>UF</v>
      </c>
      <c r="CK411" s="5" t="str">
        <f t="shared" si="430"/>
        <v>UF</v>
      </c>
      <c r="CL411" s="69" t="str">
        <f t="shared" si="431"/>
        <v/>
      </c>
      <c r="CN411" s="70" t="str">
        <f t="shared" si="432"/>
        <v/>
      </c>
      <c r="CO411" s="5" t="str">
        <f t="shared" si="433"/>
        <v>UF</v>
      </c>
      <c r="CP411" s="5" t="str">
        <f>IF(G411&lt;48,"UF", IF(NOT(ISBLANK(CM:CM)), CM:CM, IF(BW:BW=1, BV:BV+Sheet2!B73, IF(Sheet1!BW:BW=2, Sheet1!BV:BV+Sheet2!B74, IF(Sheet1!BW:BW=7, Sheet1!BV:BV+Sheet2!B75,"")))))</f>
        <v>UF</v>
      </c>
      <c r="CQ411" s="69" t="str">
        <f t="shared" si="458"/>
        <v/>
      </c>
      <c r="CR411" s="5" t="s">
        <v>12</v>
      </c>
      <c r="CT411" s="5" t="str">
        <f t="shared" si="434"/>
        <v/>
      </c>
      <c r="CU411" s="80" t="str">
        <f t="shared" si="435"/>
        <v>UF</v>
      </c>
      <c r="CV411" s="80" t="str">
        <f t="shared" si="436"/>
        <v>UF</v>
      </c>
      <c r="CW411" s="20" t="str">
        <f>IF(G411&lt;48,"UF", IF(NOT(ISBLANK(CS411)), CS411, IF(CE411=5, CC411+Sheet2!B62, IF(CE411=6, CC411+Sheet2!B63, IF(CE411=7, CC411+Sheet2!B64,"")))))</f>
        <v>UF</v>
      </c>
      <c r="CX411" s="68" t="str">
        <f t="shared" si="459"/>
        <v/>
      </c>
      <c r="CY411" s="5" t="s">
        <v>12</v>
      </c>
      <c r="DA411" s="5" t="str">
        <f t="shared" si="437"/>
        <v>UF</v>
      </c>
      <c r="DB411" s="73" t="str">
        <f t="shared" si="438"/>
        <v>UF</v>
      </c>
      <c r="DC411" s="73" t="str">
        <f t="shared" si="439"/>
        <v>UF</v>
      </c>
      <c r="DD411" s="5" t="str">
        <f>IF(G411&lt;48,"UF", IF(NOT(ISBLANK(CZ:CZ)), CZ:CZ, IF(CL:CL=3, CK:CK+Sheet2!B67, IF(CL:CL=4, CK:CK+Sheet2!B68, IF(CL:CL=7, CK:CK+Sheet2!B69,"")))))</f>
        <v>UF</v>
      </c>
      <c r="DE411" s="69" t="str">
        <f t="shared" si="397"/>
        <v/>
      </c>
      <c r="DF411" s="2">
        <v>1</v>
      </c>
      <c r="DG411" s="2">
        <v>22</v>
      </c>
      <c r="DH411" s="2">
        <v>2</v>
      </c>
      <c r="DI411" s="2">
        <v>1</v>
      </c>
      <c r="DJ411" s="2">
        <v>2</v>
      </c>
      <c r="DK411" s="2">
        <v>90</v>
      </c>
      <c r="DL411" s="2">
        <v>50</v>
      </c>
      <c r="DM411" s="2">
        <v>100</v>
      </c>
      <c r="DN411" s="2">
        <v>50</v>
      </c>
      <c r="DO411" s="2">
        <v>105</v>
      </c>
      <c r="DP411" s="2">
        <v>50</v>
      </c>
      <c r="DQ411" s="2">
        <v>2</v>
      </c>
      <c r="DR411" s="2">
        <v>39</v>
      </c>
      <c r="DS411" s="2">
        <v>2</v>
      </c>
      <c r="DT411" s="2">
        <v>83</v>
      </c>
      <c r="DU411" s="2">
        <v>80</v>
      </c>
      <c r="DV411" s="2">
        <v>2</v>
      </c>
      <c r="DW411" s="2">
        <v>2</v>
      </c>
      <c r="DX411" s="2">
        <v>2</v>
      </c>
      <c r="DY411" s="2">
        <v>2</v>
      </c>
      <c r="DZ411" s="2">
        <v>33</v>
      </c>
      <c r="EA411" s="2">
        <v>35</v>
      </c>
      <c r="EB411" s="2">
        <v>44.8</v>
      </c>
      <c r="EC411" s="2">
        <v>1</v>
      </c>
      <c r="ED411" s="2">
        <v>1</v>
      </c>
    </row>
    <row r="412" spans="2:134" x14ac:dyDescent="0.25">
      <c r="C412" s="8" t="s">
        <v>366</v>
      </c>
      <c r="D412" s="2">
        <v>2501060318</v>
      </c>
      <c r="E412" s="2" t="s">
        <v>527</v>
      </c>
      <c r="F412" s="2">
        <v>1</v>
      </c>
      <c r="G412" s="2">
        <v>22</v>
      </c>
      <c r="H412" s="2">
        <v>-1.67122579017648</v>
      </c>
      <c r="I412" s="2">
        <v>47</v>
      </c>
      <c r="J412" s="2">
        <v>-1.153005671500261</v>
      </c>
      <c r="K412" s="5">
        <v>2525</v>
      </c>
      <c r="L412" s="2">
        <v>-1.6630142598373341</v>
      </c>
      <c r="M412" s="2">
        <v>-0.25900000000000001</v>
      </c>
      <c r="N412" s="2">
        <f t="shared" si="399"/>
        <v>8.8812895088239974E-2</v>
      </c>
      <c r="O412" s="2">
        <f t="shared" si="400"/>
        <v>-0.25900000000000001</v>
      </c>
      <c r="P412" s="2">
        <v>59</v>
      </c>
      <c r="Q412" s="2">
        <v>-2.98</v>
      </c>
      <c r="R412" s="5">
        <f t="shared" si="401"/>
        <v>-0.39349716424986947</v>
      </c>
      <c r="S412" s="5">
        <f t="shared" si="402"/>
        <v>-2.98</v>
      </c>
      <c r="T412" s="1">
        <v>5750</v>
      </c>
      <c r="U412" s="2">
        <v>-1.98</v>
      </c>
      <c r="V412" s="2">
        <f t="shared" si="403"/>
        <v>-0.28849287008133306</v>
      </c>
      <c r="W412" s="2">
        <f t="shared" si="404"/>
        <v>-1.98</v>
      </c>
      <c r="X412" s="2">
        <v>-1.4936</v>
      </c>
      <c r="Y412" s="76">
        <f t="shared" si="440"/>
        <v>0.17762579017647995</v>
      </c>
      <c r="Z412" s="76">
        <f t="shared" si="441"/>
        <v>1</v>
      </c>
      <c r="AA412" s="2">
        <f t="shared" si="405"/>
        <v>1.07725</v>
      </c>
      <c r="AB412" s="2">
        <f t="shared" si="406"/>
        <v>-1.4936</v>
      </c>
      <c r="AC412" s="2">
        <v>69</v>
      </c>
      <c r="AD412" s="2">
        <v>-1.94</v>
      </c>
      <c r="AE412" s="79">
        <f t="shared" si="442"/>
        <v>-0.78699432849973894</v>
      </c>
      <c r="AF412" s="79">
        <f t="shared" si="443"/>
        <v>-2</v>
      </c>
      <c r="AG412" s="2">
        <f t="shared" si="395"/>
        <v>-1.0000000000000009E-2</v>
      </c>
      <c r="AH412" s="2">
        <f t="shared" si="407"/>
        <v>-1.94</v>
      </c>
      <c r="AI412" s="2">
        <v>6850</v>
      </c>
      <c r="AJ412" s="2">
        <v>-2.2400000000000002</v>
      </c>
      <c r="AK412" s="76">
        <f t="shared" si="444"/>
        <v>-0.57698574016266613</v>
      </c>
      <c r="AL412" s="76">
        <f t="shared" si="445"/>
        <v>-1</v>
      </c>
      <c r="AM412" s="2">
        <f t="shared" si="408"/>
        <v>-0.2649999999999999</v>
      </c>
      <c r="AN412" s="2">
        <f t="shared" si="409"/>
        <v>-2.2400000000000002</v>
      </c>
      <c r="AO412" s="2">
        <v>-0.82550000000000001</v>
      </c>
      <c r="AP412" s="2" t="str">
        <f t="shared" si="410"/>
        <v/>
      </c>
      <c r="AQ412" s="2">
        <f t="shared" si="411"/>
        <v>-0.82550000000000001</v>
      </c>
      <c r="AR412" s="2">
        <v>72</v>
      </c>
      <c r="AS412" s="2">
        <v>-3</v>
      </c>
      <c r="AT412" s="2" t="str">
        <f t="shared" si="412"/>
        <v/>
      </c>
      <c r="AU412" s="2">
        <f t="shared" si="413"/>
        <v>-3</v>
      </c>
      <c r="AV412" s="2">
        <v>7600</v>
      </c>
      <c r="AW412" s="2">
        <v>-2.5099999999999998</v>
      </c>
      <c r="AX412" s="2" t="str">
        <f t="shared" si="414"/>
        <v/>
      </c>
      <c r="AY412" s="2">
        <f t="shared" si="415"/>
        <v>-2.5099999999999998</v>
      </c>
      <c r="BA412" s="78" t="e">
        <f t="shared" si="446"/>
        <v>#VALUE!</v>
      </c>
      <c r="BB412" s="78" t="e">
        <f t="shared" si="447"/>
        <v>#VALUE!</v>
      </c>
      <c r="BC412" s="2" t="str">
        <f t="shared" si="416"/>
        <v/>
      </c>
      <c r="BD412" s="2" t="e">
        <f t="shared" si="417"/>
        <v>#VALUE!</v>
      </c>
      <c r="BE412" s="67" t="e">
        <f t="shared" si="448"/>
        <v>#VALUE!</v>
      </c>
      <c r="BF412" s="2" t="s">
        <v>12</v>
      </c>
      <c r="BH412" s="2" t="str">
        <f t="shared" si="418"/>
        <v/>
      </c>
      <c r="BI412" s="2" t="e">
        <f t="shared" si="419"/>
        <v>#VALUE!</v>
      </c>
      <c r="BJ412" s="67" t="e">
        <f t="shared" si="420"/>
        <v>#VALUE!</v>
      </c>
      <c r="BK412" s="2" t="s">
        <v>12</v>
      </c>
      <c r="BM412" s="77" t="e">
        <f t="shared" si="449"/>
        <v>#VALUE!</v>
      </c>
      <c r="BN412" s="77" t="e">
        <f t="shared" si="450"/>
        <v>#VALUE!</v>
      </c>
      <c r="BO412" s="2" t="str">
        <f t="shared" si="421"/>
        <v/>
      </c>
      <c r="BP412" s="2" t="e">
        <f t="shared" si="422"/>
        <v>#VALUE!</v>
      </c>
      <c r="BQ412" s="67" t="e">
        <f t="shared" si="451"/>
        <v>#VALUE!</v>
      </c>
      <c r="BS412" s="75" t="str">
        <f t="shared" si="452"/>
        <v>UF</v>
      </c>
      <c r="BT412" s="75" t="str">
        <f t="shared" si="453"/>
        <v>UF</v>
      </c>
      <c r="BU412" s="5" t="str">
        <f>IF(G418&gt;=36, IF(AND(NOT(ISBLANK(CM:CM)), NOT(ISBLANK(BD:BD))), (CM:CM-BD:BD)/2, ""), "UF")</f>
        <v/>
      </c>
      <c r="BV412" s="5" t="str">
        <f t="shared" si="423"/>
        <v>UF</v>
      </c>
      <c r="BW412" s="69" t="str">
        <f t="shared" si="424"/>
        <v/>
      </c>
      <c r="BX412" s="2" t="s">
        <v>12</v>
      </c>
      <c r="BZ412" s="74" t="str">
        <f t="shared" si="454"/>
        <v>UF</v>
      </c>
      <c r="CA412" s="74" t="str">
        <f t="shared" si="455"/>
        <v>UF</v>
      </c>
      <c r="CB412" s="5" t="str">
        <f t="shared" si="425"/>
        <v>UF</v>
      </c>
      <c r="CC412" s="5" t="str">
        <f t="shared" si="426"/>
        <v>UF</v>
      </c>
      <c r="CD412" s="2" t="e">
        <f t="shared" si="427"/>
        <v>#VALUE!</v>
      </c>
      <c r="CE412" s="69" t="str">
        <f t="shared" si="428"/>
        <v/>
      </c>
      <c r="CF412" s="5" t="s">
        <v>12</v>
      </c>
      <c r="CH412" s="72" t="str">
        <f t="shared" si="456"/>
        <v>UF</v>
      </c>
      <c r="CI412" s="72" t="str">
        <f t="shared" si="457"/>
        <v>UF</v>
      </c>
      <c r="CJ412" s="5" t="str">
        <f t="shared" si="429"/>
        <v>UF</v>
      </c>
      <c r="CK412" s="5" t="str">
        <f t="shared" si="430"/>
        <v>UF</v>
      </c>
      <c r="CL412" s="69" t="str">
        <f t="shared" si="431"/>
        <v/>
      </c>
      <c r="CN412" s="70" t="str">
        <f t="shared" si="432"/>
        <v/>
      </c>
      <c r="CO412" s="5" t="str">
        <f t="shared" si="433"/>
        <v>UF</v>
      </c>
      <c r="CP412" s="5" t="str">
        <f>IF(G412&lt;48,"UF", IF(NOT(ISBLANK(CM:CM)), CM:CM, IF(BW:BW=1, BV:BV+Sheet2!B232, IF(Sheet1!BW:BW=2, Sheet1!BV:BV+Sheet2!B233, IF(Sheet1!BW:BW=7, Sheet1!BV:BV+Sheet2!B234,"")))))</f>
        <v>UF</v>
      </c>
      <c r="CQ412" s="69" t="str">
        <f t="shared" si="458"/>
        <v/>
      </c>
      <c r="CR412" s="5" t="s">
        <v>12</v>
      </c>
      <c r="CT412" s="5" t="str">
        <f t="shared" si="434"/>
        <v/>
      </c>
      <c r="CU412" s="80" t="str">
        <f t="shared" si="435"/>
        <v>UF</v>
      </c>
      <c r="CV412" s="80" t="str">
        <f t="shared" si="436"/>
        <v>UF</v>
      </c>
      <c r="CW412" s="20" t="str">
        <f>IF(G412&lt;48,"UF", IF(NOT(ISBLANK(CS412)), CS412, IF(CE412=5, CC412+Sheet2!B221, IF(CE412=6, CC412+Sheet2!B222, IF(CE412=7, CC412+Sheet2!B223,"")))))</f>
        <v>UF</v>
      </c>
      <c r="CX412" s="68" t="str">
        <f t="shared" si="459"/>
        <v/>
      </c>
      <c r="CY412" s="5" t="s">
        <v>12</v>
      </c>
      <c r="DA412" s="5" t="str">
        <f t="shared" si="437"/>
        <v>UF</v>
      </c>
      <c r="DB412" s="73" t="str">
        <f t="shared" si="438"/>
        <v>UF</v>
      </c>
      <c r="DC412" s="73" t="str">
        <f t="shared" si="439"/>
        <v>UF</v>
      </c>
      <c r="DD412" s="5" t="str">
        <f>IF(G412&lt;48,"UF", IF(NOT(ISBLANK(CZ:CZ)), CZ:CZ, IF(CL:CL=3, CK:CK+Sheet2!B226, IF(CL:CL=4, CK:CK+Sheet2!B227, IF(CL:CL=7, CK:CK+Sheet2!B228,"")))))</f>
        <v>UF</v>
      </c>
      <c r="DE412" s="69" t="str">
        <f t="shared" si="397"/>
        <v/>
      </c>
      <c r="DF412" s="2">
        <v>2</v>
      </c>
      <c r="DG412" s="2">
        <v>25</v>
      </c>
      <c r="DH412" s="2">
        <v>2</v>
      </c>
      <c r="DI412" s="2">
        <v>2</v>
      </c>
      <c r="DJ412" s="2">
        <v>2</v>
      </c>
      <c r="DK412" s="2">
        <v>110</v>
      </c>
      <c r="DL412" s="2">
        <v>75</v>
      </c>
      <c r="DM412" s="2">
        <v>120</v>
      </c>
      <c r="DN412" s="2">
        <v>70</v>
      </c>
      <c r="DO412" s="2">
        <v>115</v>
      </c>
      <c r="DP412" s="2">
        <v>70</v>
      </c>
      <c r="DQ412" s="2">
        <v>1</v>
      </c>
      <c r="DR412" s="2">
        <v>36</v>
      </c>
      <c r="DS412" s="2">
        <v>2</v>
      </c>
      <c r="DT412" s="2">
        <v>72</v>
      </c>
      <c r="DU412" s="2">
        <v>55</v>
      </c>
      <c r="DV412" s="2">
        <v>2</v>
      </c>
      <c r="DW412" s="2">
        <v>2</v>
      </c>
      <c r="DX412" s="2">
        <v>2</v>
      </c>
      <c r="DY412" s="2">
        <v>2</v>
      </c>
      <c r="DZ412" s="2">
        <v>32</v>
      </c>
      <c r="EA412" s="2">
        <v>34.6</v>
      </c>
      <c r="EB412" s="2">
        <v>44</v>
      </c>
      <c r="EC412" s="2">
        <v>1</v>
      </c>
      <c r="ED412" s="2">
        <v>1</v>
      </c>
    </row>
    <row r="413" spans="2:134" x14ac:dyDescent="0.25">
      <c r="D413" s="2">
        <v>2501063015</v>
      </c>
      <c r="E413" s="5">
        <v>2</v>
      </c>
      <c r="F413" s="2">
        <v>2</v>
      </c>
      <c r="G413" s="2">
        <v>48</v>
      </c>
      <c r="H413" s="2">
        <v>-1.8194116399126981</v>
      </c>
      <c r="I413" s="2">
        <v>54</v>
      </c>
      <c r="J413" s="2">
        <v>2.1740990784834611</v>
      </c>
      <c r="K413" s="5">
        <v>3300</v>
      </c>
      <c r="L413" s="2">
        <v>-9.5389291214910729E-2</v>
      </c>
      <c r="M413" s="2">
        <v>-2.0350000000000001</v>
      </c>
      <c r="N413" s="2">
        <f t="shared" si="399"/>
        <v>-0.34439418004365097</v>
      </c>
      <c r="O413" s="2">
        <f t="shared" si="400"/>
        <v>-2.0350000000000001</v>
      </c>
      <c r="P413" s="2">
        <v>68</v>
      </c>
      <c r="Q413" s="2">
        <v>0.17</v>
      </c>
      <c r="R413" s="5">
        <f t="shared" si="401"/>
        <v>-1.0320495392417306</v>
      </c>
      <c r="S413" s="5">
        <f t="shared" si="402"/>
        <v>0.17</v>
      </c>
      <c r="T413" s="1">
        <v>6800</v>
      </c>
      <c r="U413" s="2">
        <v>-1.4</v>
      </c>
      <c r="V413" s="2">
        <f t="shared" si="403"/>
        <v>-0.80230535439254458</v>
      </c>
      <c r="W413" s="2">
        <f t="shared" si="404"/>
        <v>-1.4</v>
      </c>
      <c r="X413" s="2">
        <v>-2.5082</v>
      </c>
      <c r="Y413" s="76">
        <f t="shared" si="440"/>
        <v>-0.68878836008730193</v>
      </c>
      <c r="Z413" s="76">
        <f t="shared" si="441"/>
        <v>-2</v>
      </c>
      <c r="AA413" s="2">
        <f t="shared" si="405"/>
        <v>-1.24315</v>
      </c>
      <c r="AB413" s="2">
        <f t="shared" si="406"/>
        <v>-2.5082</v>
      </c>
      <c r="AC413" s="2">
        <v>76</v>
      </c>
      <c r="AD413" s="2">
        <v>0.11</v>
      </c>
      <c r="AE413" s="79">
        <f t="shared" si="442"/>
        <v>-2.0640990784834612</v>
      </c>
      <c r="AF413" s="79">
        <f t="shared" si="443"/>
        <v>-2</v>
      </c>
      <c r="AG413" s="2">
        <f t="shared" si="395"/>
        <v>0.42</v>
      </c>
      <c r="AH413" s="2">
        <f t="shared" si="407"/>
        <v>0.11</v>
      </c>
      <c r="AI413" s="2">
        <v>8000</v>
      </c>
      <c r="AJ413" s="2">
        <v>-1.7</v>
      </c>
      <c r="AK413" s="76">
        <f t="shared" si="444"/>
        <v>-1.6046107087850892</v>
      </c>
      <c r="AL413" s="76">
        <f t="shared" si="445"/>
        <v>-2</v>
      </c>
      <c r="AM413" s="2">
        <f t="shared" si="408"/>
        <v>0.20499999999999996</v>
      </c>
      <c r="AN413" s="2">
        <f t="shared" si="409"/>
        <v>-1.7</v>
      </c>
      <c r="AO413" s="2">
        <v>-2.3163</v>
      </c>
      <c r="AP413" s="2" t="str">
        <f t="shared" si="410"/>
        <v/>
      </c>
      <c r="AQ413" s="2">
        <f t="shared" si="411"/>
        <v>-2.3163</v>
      </c>
      <c r="AR413" s="2">
        <v>85</v>
      </c>
      <c r="AS413" s="2">
        <v>1.01</v>
      </c>
      <c r="AT413" s="2" t="str">
        <f t="shared" si="412"/>
        <v/>
      </c>
      <c r="AU413" s="2">
        <f t="shared" si="413"/>
        <v>1.01</v>
      </c>
      <c r="AV413" s="2">
        <v>9800</v>
      </c>
      <c r="AW413" s="2">
        <v>-0.99</v>
      </c>
      <c r="AX413" s="2" t="str">
        <f t="shared" si="414"/>
        <v/>
      </c>
      <c r="AY413" s="2">
        <f t="shared" si="415"/>
        <v>-0.99</v>
      </c>
      <c r="BA413" s="78" t="e">
        <f t="shared" si="446"/>
        <v>#VALUE!</v>
      </c>
      <c r="BB413" s="78" t="e">
        <f t="shared" si="447"/>
        <v>#VALUE!</v>
      </c>
      <c r="BC413" s="2" t="str">
        <f t="shared" si="416"/>
        <v/>
      </c>
      <c r="BD413" s="2" t="e">
        <f t="shared" si="417"/>
        <v>#VALUE!</v>
      </c>
      <c r="BE413" s="67" t="e">
        <f t="shared" si="448"/>
        <v>#VALUE!</v>
      </c>
      <c r="BF413" s="2" t="s">
        <v>12</v>
      </c>
      <c r="BH413" s="2" t="str">
        <f t="shared" si="418"/>
        <v/>
      </c>
      <c r="BI413" s="2" t="e">
        <f t="shared" si="419"/>
        <v>#VALUE!</v>
      </c>
      <c r="BJ413" s="67" t="e">
        <f t="shared" si="420"/>
        <v>#VALUE!</v>
      </c>
      <c r="BK413" s="2" t="s">
        <v>12</v>
      </c>
      <c r="BM413" s="77" t="e">
        <f t="shared" si="449"/>
        <v>#VALUE!</v>
      </c>
      <c r="BN413" s="77" t="e">
        <f t="shared" si="450"/>
        <v>#VALUE!</v>
      </c>
      <c r="BO413" s="2" t="str">
        <f t="shared" si="421"/>
        <v/>
      </c>
      <c r="BP413" s="2" t="e">
        <f t="shared" si="422"/>
        <v>#VALUE!</v>
      </c>
      <c r="BQ413" s="67" t="e">
        <f t="shared" si="451"/>
        <v>#VALUE!</v>
      </c>
      <c r="BS413" s="75" t="e">
        <f t="shared" si="452"/>
        <v>#VALUE!</v>
      </c>
      <c r="BT413" s="75" t="e">
        <f t="shared" si="453"/>
        <v>#VALUE!</v>
      </c>
      <c r="BU413" s="5" t="e">
        <f>IF(#REF!&gt;=36, IF(AND(NOT(ISBLANK(CM:CM)), NOT(ISBLANK(BD:BD))), (CM:CM-BD:BD)/2, ""), "UF")</f>
        <v>#REF!</v>
      </c>
      <c r="BV413" s="5" t="e">
        <f t="shared" si="423"/>
        <v>#VALUE!</v>
      </c>
      <c r="BW413" s="69" t="e">
        <f t="shared" si="424"/>
        <v>#VALUE!</v>
      </c>
      <c r="BX413" s="2" t="s">
        <v>12</v>
      </c>
      <c r="BZ413" s="74" t="e">
        <f t="shared" si="454"/>
        <v>#VALUE!</v>
      </c>
      <c r="CA413" s="74" t="e">
        <f t="shared" si="455"/>
        <v>#VALUE!</v>
      </c>
      <c r="CB413" s="5" t="str">
        <f t="shared" si="425"/>
        <v/>
      </c>
      <c r="CC413" s="5" t="e">
        <f t="shared" si="426"/>
        <v>#VALUE!</v>
      </c>
      <c r="CD413" s="2" t="e">
        <f t="shared" si="427"/>
        <v>#VALUE!</v>
      </c>
      <c r="CE413" s="69" t="e">
        <f t="shared" si="428"/>
        <v>#VALUE!</v>
      </c>
      <c r="CF413" s="5" t="s">
        <v>12</v>
      </c>
      <c r="CH413" s="72" t="e">
        <f t="shared" si="456"/>
        <v>#VALUE!</v>
      </c>
      <c r="CI413" s="72" t="e">
        <f t="shared" si="457"/>
        <v>#VALUE!</v>
      </c>
      <c r="CJ413" s="5" t="str">
        <f t="shared" si="429"/>
        <v/>
      </c>
      <c r="CK413" s="5" t="e">
        <f t="shared" si="430"/>
        <v>#VALUE!</v>
      </c>
      <c r="CL413" s="69" t="e">
        <f t="shared" si="431"/>
        <v>#VALUE!</v>
      </c>
      <c r="CN413" s="70" t="str">
        <f t="shared" si="432"/>
        <v/>
      </c>
      <c r="CO413" s="5" t="e">
        <f t="shared" si="433"/>
        <v>#VALUE!</v>
      </c>
      <c r="CP413" s="5" t="e">
        <f>IF(G413&lt;48,"UF", IF(NOT(ISBLANK(CM:CM)), CM:CM, IF(BW:BW=1, BV:BV+Sheet2!B104, IF(Sheet1!BW:BW=2, Sheet1!BV:BV+Sheet2!B105, IF(Sheet1!BW:BW=7, Sheet1!BV:BV+Sheet2!B106,"")))))</f>
        <v>#VALUE!</v>
      </c>
      <c r="CQ413" s="69" t="e">
        <f t="shared" si="458"/>
        <v>#VALUE!</v>
      </c>
      <c r="CR413" s="5" t="s">
        <v>12</v>
      </c>
      <c r="CT413" s="5" t="str">
        <f t="shared" si="434"/>
        <v/>
      </c>
      <c r="CU413" s="80" t="e">
        <f t="shared" si="435"/>
        <v>#VALUE!</v>
      </c>
      <c r="CV413" s="80" t="e">
        <f t="shared" si="436"/>
        <v>#VALUE!</v>
      </c>
      <c r="CW413" s="20" t="e">
        <f>IF(G413&lt;48,"UF", IF(NOT(ISBLANK(CS413)), CS413, IF(CE413=5, CC413+Sheet2!B93, IF(CE413=6, CC413+Sheet2!B94, IF(CE413=7, CC413+Sheet2!B95,"")))))</f>
        <v>#VALUE!</v>
      </c>
      <c r="CX413" s="68" t="e">
        <f t="shared" si="459"/>
        <v>#VALUE!</v>
      </c>
      <c r="CY413" s="5" t="s">
        <v>12</v>
      </c>
      <c r="DA413" s="5" t="str">
        <f t="shared" si="437"/>
        <v/>
      </c>
      <c r="DB413" s="73" t="e">
        <f t="shared" si="438"/>
        <v>#VALUE!</v>
      </c>
      <c r="DC413" s="73" t="e">
        <f t="shared" si="439"/>
        <v>#VALUE!</v>
      </c>
      <c r="DD413" s="5" t="e">
        <f>IF(G413&lt;48,"UF", IF(NOT(ISBLANK(CZ:CZ)), CZ:CZ, IF(CL:CL=3, CK:CK+Sheet2!B98, IF(CL:CL=4, CK:CK+Sheet2!B99, IF(CL:CL=7, CK:CK+Sheet2!B100,"")))))</f>
        <v>#VALUE!</v>
      </c>
      <c r="DE413" s="69" t="e">
        <f t="shared" si="397"/>
        <v>#VALUE!</v>
      </c>
      <c r="DF413" s="2">
        <v>2</v>
      </c>
      <c r="DG413" s="2">
        <v>24</v>
      </c>
      <c r="DH413" s="2">
        <v>2</v>
      </c>
      <c r="DI413" s="2">
        <v>2</v>
      </c>
      <c r="DJ413" s="2">
        <v>2</v>
      </c>
      <c r="DK413" s="2">
        <v>103</v>
      </c>
      <c r="DL413" s="2">
        <v>58</v>
      </c>
      <c r="DM413" s="2">
        <v>100</v>
      </c>
      <c r="DN413" s="2">
        <v>50</v>
      </c>
      <c r="DO413" s="2" t="s">
        <v>12</v>
      </c>
      <c r="DP413" s="2" t="s">
        <v>12</v>
      </c>
      <c r="DQ413" s="2">
        <v>2</v>
      </c>
      <c r="DR413" s="2">
        <v>38</v>
      </c>
      <c r="DS413" s="2">
        <v>1</v>
      </c>
      <c r="DT413" s="2">
        <v>72</v>
      </c>
      <c r="DU413" s="2">
        <v>100</v>
      </c>
      <c r="DV413" s="2">
        <v>2</v>
      </c>
      <c r="DW413" s="2">
        <v>2</v>
      </c>
      <c r="DX413" s="2">
        <v>2</v>
      </c>
      <c r="DY413" s="2">
        <v>2</v>
      </c>
      <c r="DZ413" s="2">
        <v>35</v>
      </c>
      <c r="EA413" s="2">
        <v>36</v>
      </c>
      <c r="EB413" s="2">
        <v>46.5</v>
      </c>
      <c r="EC413" s="2">
        <v>1</v>
      </c>
      <c r="ED413" s="2">
        <v>1</v>
      </c>
    </row>
    <row r="414" spans="2:134" x14ac:dyDescent="0.25">
      <c r="C414" s="8" t="s">
        <v>164</v>
      </c>
      <c r="D414" s="2">
        <v>2501063074</v>
      </c>
      <c r="E414" s="5">
        <v>6</v>
      </c>
      <c r="F414" s="2">
        <v>2</v>
      </c>
      <c r="G414" s="2">
        <v>23</v>
      </c>
      <c r="H414" s="2">
        <v>-1.6014789837385359</v>
      </c>
      <c r="I414" s="2">
        <v>47</v>
      </c>
      <c r="J414" s="2">
        <v>-1.5235289479443319</v>
      </c>
      <c r="K414" s="5">
        <v>2550</v>
      </c>
      <c r="L414" s="2">
        <v>-1.7758515475898951</v>
      </c>
      <c r="M414" s="2">
        <v>-4.5100000000000001E-2</v>
      </c>
      <c r="N414" s="2">
        <f t="shared" si="399"/>
        <v>0.54803949186926793</v>
      </c>
      <c r="O414" s="2">
        <f t="shared" si="400"/>
        <v>-4.5100000000000001E-2</v>
      </c>
      <c r="P414" s="2">
        <v>65</v>
      </c>
      <c r="Q414" s="2">
        <v>-1.23</v>
      </c>
      <c r="R414" s="5">
        <f t="shared" si="401"/>
        <v>0.186764473972166</v>
      </c>
      <c r="S414" s="5">
        <f t="shared" si="402"/>
        <v>-1.23</v>
      </c>
      <c r="T414" s="1">
        <v>7300</v>
      </c>
      <c r="U414" s="2">
        <v>-0.76</v>
      </c>
      <c r="V414" s="2">
        <f t="shared" si="403"/>
        <v>0.3629257737949475</v>
      </c>
      <c r="W414" s="2">
        <f t="shared" si="404"/>
        <v>-0.76</v>
      </c>
      <c r="X414" s="2">
        <v>-0.50539999999999996</v>
      </c>
      <c r="Y414" s="76">
        <f t="shared" si="440"/>
        <v>1.0960789837385359</v>
      </c>
      <c r="Z414" s="76">
        <f t="shared" si="441"/>
        <v>2</v>
      </c>
      <c r="AA414" s="2">
        <f t="shared" si="405"/>
        <v>0.56915000000000004</v>
      </c>
      <c r="AB414" s="2">
        <f t="shared" si="406"/>
        <v>-0.50539999999999996</v>
      </c>
      <c r="AC414" s="2">
        <v>73</v>
      </c>
      <c r="AD414" s="2">
        <v>-1.1499999999999999</v>
      </c>
      <c r="AE414" s="79">
        <f t="shared" si="442"/>
        <v>0.373528947944332</v>
      </c>
      <c r="AF414" s="79">
        <f t="shared" si="443"/>
        <v>1</v>
      </c>
      <c r="AG414" s="2">
        <f t="shared" si="395"/>
        <v>-0.36</v>
      </c>
      <c r="AH414" s="2">
        <f t="shared" si="407"/>
        <v>-1.1499999999999999</v>
      </c>
      <c r="AI414" s="2">
        <v>8600</v>
      </c>
      <c r="AJ414" s="2">
        <v>-1.05</v>
      </c>
      <c r="AK414" s="76">
        <f t="shared" si="444"/>
        <v>0.72585154758989501</v>
      </c>
      <c r="AL414" s="76">
        <f t="shared" si="445"/>
        <v>2</v>
      </c>
      <c r="AM414" s="2">
        <f t="shared" si="408"/>
        <v>-0.255</v>
      </c>
      <c r="AN414" s="2">
        <f t="shared" si="409"/>
        <v>-1.05</v>
      </c>
      <c r="AO414" s="2">
        <v>-9.1700000000000004E-2</v>
      </c>
      <c r="AP414" s="2" t="str">
        <f t="shared" si="410"/>
        <v/>
      </c>
      <c r="AQ414" s="2">
        <f t="shared" si="411"/>
        <v>-9.1700000000000004E-2</v>
      </c>
      <c r="AR414" s="2">
        <v>77</v>
      </c>
      <c r="AS414" s="2">
        <v>-1.95</v>
      </c>
      <c r="AT414" s="2" t="str">
        <f t="shared" si="412"/>
        <v/>
      </c>
      <c r="AU414" s="2">
        <f t="shared" si="413"/>
        <v>-1.95</v>
      </c>
      <c r="AV414" s="2">
        <v>9500</v>
      </c>
      <c r="AW414" s="2">
        <v>-1.27</v>
      </c>
      <c r="AX414" s="2" t="str">
        <f t="shared" si="414"/>
        <v/>
      </c>
      <c r="AY414" s="2">
        <f t="shared" si="415"/>
        <v>-1.27</v>
      </c>
      <c r="BA414" s="78" t="e">
        <f t="shared" si="446"/>
        <v>#VALUE!</v>
      </c>
      <c r="BB414" s="78" t="e">
        <f t="shared" si="447"/>
        <v>#VALUE!</v>
      </c>
      <c r="BC414" s="2" t="str">
        <f t="shared" si="416"/>
        <v/>
      </c>
      <c r="BD414" s="2" t="e">
        <f t="shared" si="417"/>
        <v>#VALUE!</v>
      </c>
      <c r="BE414" s="67" t="e">
        <f t="shared" si="448"/>
        <v>#VALUE!</v>
      </c>
      <c r="BF414" s="2" t="s">
        <v>12</v>
      </c>
      <c r="BH414" s="2" t="str">
        <f t="shared" si="418"/>
        <v/>
      </c>
      <c r="BI414" s="2" t="e">
        <f t="shared" si="419"/>
        <v>#VALUE!</v>
      </c>
      <c r="BJ414" s="67" t="e">
        <f t="shared" si="420"/>
        <v>#VALUE!</v>
      </c>
      <c r="BK414" s="2" t="s">
        <v>12</v>
      </c>
      <c r="BM414" s="77" t="e">
        <f t="shared" si="449"/>
        <v>#VALUE!</v>
      </c>
      <c r="BN414" s="77" t="e">
        <f t="shared" si="450"/>
        <v>#VALUE!</v>
      </c>
      <c r="BO414" s="2" t="str">
        <f t="shared" si="421"/>
        <v/>
      </c>
      <c r="BP414" s="2" t="e">
        <f t="shared" si="422"/>
        <v>#VALUE!</v>
      </c>
      <c r="BQ414" s="67" t="e">
        <f t="shared" si="451"/>
        <v>#VALUE!</v>
      </c>
      <c r="BS414" s="75" t="str">
        <f t="shared" si="452"/>
        <v>UF</v>
      </c>
      <c r="BT414" s="75" t="str">
        <f t="shared" si="453"/>
        <v>UF</v>
      </c>
      <c r="BU414" s="5" t="str">
        <f>IF(G419&gt;=36, IF(AND(NOT(ISBLANK(CM:CM)), NOT(ISBLANK(BD:BD))), (CM:CM-BD:BD)/2, ""), "UF")</f>
        <v/>
      </c>
      <c r="BV414" s="5" t="str">
        <f t="shared" si="423"/>
        <v>UF</v>
      </c>
      <c r="BW414" s="69" t="str">
        <f t="shared" si="424"/>
        <v/>
      </c>
      <c r="BX414" s="2" t="s">
        <v>12</v>
      </c>
      <c r="BZ414" s="74" t="str">
        <f t="shared" si="454"/>
        <v>UF</v>
      </c>
      <c r="CA414" s="74" t="str">
        <f t="shared" si="455"/>
        <v>UF</v>
      </c>
      <c r="CB414" s="5" t="str">
        <f t="shared" si="425"/>
        <v>UF</v>
      </c>
      <c r="CC414" s="5" t="str">
        <f t="shared" si="426"/>
        <v>UF</v>
      </c>
      <c r="CD414" s="2" t="e">
        <f t="shared" si="427"/>
        <v>#VALUE!</v>
      </c>
      <c r="CE414" s="69" t="str">
        <f t="shared" si="428"/>
        <v/>
      </c>
      <c r="CF414" s="5" t="s">
        <v>12</v>
      </c>
      <c r="CH414" s="72" t="str">
        <f t="shared" si="456"/>
        <v>UF</v>
      </c>
      <c r="CI414" s="72" t="str">
        <f t="shared" si="457"/>
        <v>UF</v>
      </c>
      <c r="CJ414" s="5" t="str">
        <f t="shared" si="429"/>
        <v>UF</v>
      </c>
      <c r="CK414" s="5" t="str">
        <f t="shared" si="430"/>
        <v>UF</v>
      </c>
      <c r="CL414" s="69" t="str">
        <f t="shared" si="431"/>
        <v/>
      </c>
      <c r="CN414" s="70" t="str">
        <f t="shared" si="432"/>
        <v/>
      </c>
      <c r="CO414" s="5" t="str">
        <f t="shared" si="433"/>
        <v>UF</v>
      </c>
      <c r="CP414" s="5" t="str">
        <f>IF(G414&lt;48,"UF", IF(NOT(ISBLANK(CM:CM)), CM:CM, IF(BW:BW=1, BV:BV+Sheet2!B324, IF(Sheet1!BW:BW=2, Sheet1!BV:BV+Sheet2!B325, IF(Sheet1!BW:BW=7, Sheet1!BV:BV+Sheet2!B326,"")))))</f>
        <v>UF</v>
      </c>
      <c r="CQ414" s="69" t="str">
        <f t="shared" si="458"/>
        <v/>
      </c>
      <c r="CR414" s="5" t="s">
        <v>12</v>
      </c>
      <c r="CT414" s="5" t="str">
        <f t="shared" si="434"/>
        <v/>
      </c>
      <c r="CU414" s="80" t="str">
        <f t="shared" si="435"/>
        <v>UF</v>
      </c>
      <c r="CV414" s="80" t="str">
        <f t="shared" si="436"/>
        <v>UF</v>
      </c>
      <c r="CW414" s="20" t="str">
        <f>IF(G414&lt;48,"UF", IF(NOT(ISBLANK(CS414)), CS414, IF(CE414=5, CC414+Sheet2!B313, IF(CE414=6, CC414+Sheet2!B314, IF(CE414=7, CC414+Sheet2!B315,"")))))</f>
        <v>UF</v>
      </c>
      <c r="CX414" s="68" t="str">
        <f t="shared" si="459"/>
        <v/>
      </c>
      <c r="CY414" s="5" t="s">
        <v>12</v>
      </c>
      <c r="DA414" s="5" t="str">
        <f t="shared" si="437"/>
        <v>UF</v>
      </c>
      <c r="DB414" s="73" t="str">
        <f t="shared" si="438"/>
        <v>UF</v>
      </c>
      <c r="DC414" s="73" t="str">
        <f t="shared" si="439"/>
        <v>UF</v>
      </c>
      <c r="DD414" s="5" t="str">
        <f>IF(G414&lt;48,"UF", IF(NOT(ISBLANK(CZ:CZ)), CZ:CZ, IF(CL:CL=3, CK:CK+Sheet2!B318, IF(CL:CL=4, CK:CK+Sheet2!B319, IF(CL:CL=7, CK:CK+Sheet2!B320,"")))))</f>
        <v>UF</v>
      </c>
      <c r="DE414" s="69" t="str">
        <f t="shared" si="397"/>
        <v/>
      </c>
      <c r="DF414" s="2">
        <v>2</v>
      </c>
      <c r="DG414" s="2">
        <v>34</v>
      </c>
      <c r="DH414" s="2">
        <v>1</v>
      </c>
      <c r="DI414" s="2">
        <v>2</v>
      </c>
      <c r="DJ414" s="2">
        <v>2</v>
      </c>
      <c r="DK414" s="2">
        <v>105</v>
      </c>
      <c r="DL414" s="2">
        <v>75</v>
      </c>
      <c r="DM414" s="2">
        <v>110</v>
      </c>
      <c r="DN414" s="2">
        <v>70</v>
      </c>
      <c r="DO414" s="2">
        <v>110</v>
      </c>
      <c r="DP414" s="2">
        <v>75</v>
      </c>
      <c r="DQ414" s="2">
        <v>2</v>
      </c>
      <c r="DR414" s="2">
        <v>39</v>
      </c>
      <c r="DS414" s="2">
        <v>1</v>
      </c>
      <c r="DT414" s="2">
        <v>75</v>
      </c>
      <c r="DU414" s="2">
        <v>75</v>
      </c>
      <c r="DV414" s="2">
        <v>2</v>
      </c>
      <c r="DW414" s="2">
        <v>2</v>
      </c>
      <c r="DX414" s="2">
        <v>2</v>
      </c>
      <c r="DY414" s="2">
        <v>2</v>
      </c>
      <c r="DZ414" s="2">
        <v>34</v>
      </c>
      <c r="EA414" s="2">
        <v>36</v>
      </c>
      <c r="EB414" s="2">
        <v>48</v>
      </c>
      <c r="EC414" s="2">
        <v>1</v>
      </c>
      <c r="ED414" s="2">
        <v>1</v>
      </c>
    </row>
    <row r="415" spans="2:134" x14ac:dyDescent="0.25">
      <c r="C415" s="8" t="s">
        <v>216</v>
      </c>
      <c r="D415" s="4">
        <v>3383342131</v>
      </c>
      <c r="E415" s="5">
        <v>7</v>
      </c>
      <c r="F415" s="2">
        <v>2</v>
      </c>
      <c r="G415" s="2">
        <v>59</v>
      </c>
      <c r="H415" s="2">
        <v>0.75183150003787313</v>
      </c>
      <c r="I415" s="2">
        <v>51</v>
      </c>
      <c r="J415" s="2">
        <v>0.58940135287155082</v>
      </c>
      <c r="K415" s="2">
        <v>3750</v>
      </c>
      <c r="L415" s="2">
        <v>0.7955186438917965</v>
      </c>
      <c r="M415" s="2">
        <v>0.25719999999999998</v>
      </c>
      <c r="N415" s="2" t="str">
        <f t="shared" si="399"/>
        <v/>
      </c>
      <c r="O415" s="2">
        <f t="shared" si="400"/>
        <v>0.25719999999999998</v>
      </c>
      <c r="P415" s="2">
        <v>70</v>
      </c>
      <c r="Q415" s="2">
        <v>1.1000000000000001</v>
      </c>
      <c r="R415" s="5" t="str">
        <f t="shared" si="401"/>
        <v/>
      </c>
      <c r="S415" s="5">
        <f t="shared" si="402"/>
        <v>1.1000000000000001</v>
      </c>
      <c r="T415" s="2">
        <v>8680</v>
      </c>
      <c r="U415" s="2">
        <v>0.82</v>
      </c>
      <c r="V415" s="2" t="str">
        <f t="shared" si="403"/>
        <v/>
      </c>
      <c r="W415" s="2">
        <f t="shared" si="404"/>
        <v>0.82</v>
      </c>
      <c r="Y415" s="76">
        <f t="shared" si="440"/>
        <v>-0.57638150003787314</v>
      </c>
      <c r="Z415" s="76">
        <f t="shared" si="441"/>
        <v>-1</v>
      </c>
      <c r="AA415" s="2">
        <f t="shared" si="405"/>
        <v>-8.1750000000000045E-2</v>
      </c>
      <c r="AB415" s="2">
        <f t="shared" si="406"/>
        <v>0.17544999999999994</v>
      </c>
      <c r="AC415" s="2" t="s">
        <v>12</v>
      </c>
      <c r="AE415" s="79">
        <f t="shared" si="442"/>
        <v>-8.9401352871550821E-2</v>
      </c>
      <c r="AF415" s="79">
        <f t="shared" si="443"/>
        <v>-1</v>
      </c>
      <c r="AG415" s="2">
        <f t="shared" si="395"/>
        <v>-0.60000000000000009</v>
      </c>
      <c r="AH415" s="2">
        <f t="shared" si="407"/>
        <v>0.5</v>
      </c>
      <c r="AI415" s="2" t="s">
        <v>12</v>
      </c>
      <c r="AK415" s="76">
        <f t="shared" si="444"/>
        <v>-8.5518643891796531E-2</v>
      </c>
      <c r="AL415" s="76">
        <f t="shared" si="445"/>
        <v>-1</v>
      </c>
      <c r="AM415" s="2">
        <f t="shared" si="408"/>
        <v>-0.10999999999999999</v>
      </c>
      <c r="AN415" s="2">
        <f t="shared" si="409"/>
        <v>0.71</v>
      </c>
      <c r="AO415" s="2">
        <v>0.9365</v>
      </c>
      <c r="AP415" s="2" t="str">
        <f t="shared" si="410"/>
        <v/>
      </c>
      <c r="AQ415" s="2">
        <f t="shared" si="411"/>
        <v>0.9365</v>
      </c>
      <c r="AR415" s="2">
        <v>82</v>
      </c>
      <c r="AS415" s="2">
        <v>-0.1</v>
      </c>
      <c r="AT415" s="2" t="str">
        <f t="shared" si="412"/>
        <v/>
      </c>
      <c r="AU415" s="2">
        <f t="shared" si="413"/>
        <v>-0.1</v>
      </c>
      <c r="AV415" s="2">
        <v>11700</v>
      </c>
      <c r="AW415" s="2">
        <v>0.6</v>
      </c>
      <c r="AX415" s="2" t="str">
        <f t="shared" si="414"/>
        <v/>
      </c>
      <c r="AY415" s="2">
        <f t="shared" si="415"/>
        <v>0.6</v>
      </c>
      <c r="BA415" s="78" t="e">
        <f t="shared" si="446"/>
        <v>#VALUE!</v>
      </c>
      <c r="BB415" s="78" t="e">
        <f t="shared" si="447"/>
        <v>#VALUE!</v>
      </c>
      <c r="BC415" s="2" t="str">
        <f t="shared" si="416"/>
        <v/>
      </c>
      <c r="BD415" s="2" t="e">
        <f t="shared" si="417"/>
        <v>#VALUE!</v>
      </c>
      <c r="BE415" s="67" t="e">
        <f t="shared" si="448"/>
        <v>#VALUE!</v>
      </c>
      <c r="BF415" s="2" t="s">
        <v>12</v>
      </c>
      <c r="BH415" s="2" t="str">
        <f t="shared" si="418"/>
        <v/>
      </c>
      <c r="BI415" s="2" t="e">
        <f t="shared" si="419"/>
        <v>#VALUE!</v>
      </c>
      <c r="BJ415" s="67" t="e">
        <f t="shared" si="420"/>
        <v>#VALUE!</v>
      </c>
      <c r="BK415" s="2" t="s">
        <v>12</v>
      </c>
      <c r="BM415" s="77" t="e">
        <f t="shared" si="449"/>
        <v>#VALUE!</v>
      </c>
      <c r="BN415" s="77" t="e">
        <f t="shared" si="450"/>
        <v>#VALUE!</v>
      </c>
      <c r="BO415" s="2" t="str">
        <f t="shared" si="421"/>
        <v/>
      </c>
      <c r="BP415" s="2" t="e">
        <f t="shared" si="422"/>
        <v>#VALUE!</v>
      </c>
      <c r="BQ415" s="67" t="e">
        <f t="shared" si="451"/>
        <v>#VALUE!</v>
      </c>
      <c r="BS415" s="75" t="e">
        <f t="shared" si="452"/>
        <v>#VALUE!</v>
      </c>
      <c r="BT415" s="75" t="e">
        <f t="shared" si="453"/>
        <v>#VALUE!</v>
      </c>
      <c r="BU415" s="5" t="e">
        <f>IF(G420&gt;=36, IF(AND(NOT(ISBLANK(CM:CM)), NOT(ISBLANK(BD:BD))), (CM:CM-BD:BD)/2, ""), "UF")</f>
        <v>#VALUE!</v>
      </c>
      <c r="BV415" s="5" t="e">
        <f t="shared" si="423"/>
        <v>#VALUE!</v>
      </c>
      <c r="BW415" s="69" t="e">
        <f t="shared" si="424"/>
        <v>#VALUE!</v>
      </c>
      <c r="BX415" s="2" t="s">
        <v>12</v>
      </c>
      <c r="BZ415" s="74" t="e">
        <f t="shared" si="454"/>
        <v>#VALUE!</v>
      </c>
      <c r="CA415" s="74" t="e">
        <f t="shared" si="455"/>
        <v>#VALUE!</v>
      </c>
      <c r="CB415" s="5" t="e">
        <f t="shared" si="425"/>
        <v>#VALUE!</v>
      </c>
      <c r="CC415" s="5" t="e">
        <f t="shared" si="426"/>
        <v>#VALUE!</v>
      </c>
      <c r="CD415" s="2" t="e">
        <f t="shared" si="427"/>
        <v>#VALUE!</v>
      </c>
      <c r="CE415" s="69" t="e">
        <f t="shared" si="428"/>
        <v>#VALUE!</v>
      </c>
      <c r="CF415" s="5" t="s">
        <v>12</v>
      </c>
      <c r="CH415" s="72" t="e">
        <f t="shared" si="456"/>
        <v>#VALUE!</v>
      </c>
      <c r="CI415" s="72" t="e">
        <f t="shared" si="457"/>
        <v>#VALUE!</v>
      </c>
      <c r="CJ415" s="5" t="e">
        <f t="shared" si="429"/>
        <v>#VALUE!</v>
      </c>
      <c r="CK415" s="5" t="e">
        <f t="shared" si="430"/>
        <v>#VALUE!</v>
      </c>
      <c r="CL415" s="69" t="e">
        <f t="shared" si="431"/>
        <v>#VALUE!</v>
      </c>
      <c r="CM415" s="5">
        <v>-0.9256505485427331</v>
      </c>
      <c r="CN415" s="70" t="e">
        <f t="shared" si="432"/>
        <v>#VALUE!</v>
      </c>
      <c r="CO415" s="5" t="e">
        <f t="shared" si="433"/>
        <v>#VALUE!</v>
      </c>
      <c r="CP415" s="5">
        <f>IF(G415&lt;48,"UF", IF(NOT(ISBLANK(CM:CM)), CM:CM, IF(BW:BW=1, BV:BV+Sheet2!B421, IF(Sheet1!BW:BW=2, Sheet1!BV:BV+Sheet2!B422, IF(Sheet1!BW:BW=7, Sheet1!BV:BV+Sheet2!B423,"")))))</f>
        <v>-0.9256505485427331</v>
      </c>
      <c r="CQ415" s="69">
        <f t="shared" si="458"/>
        <v>7</v>
      </c>
      <c r="CR415" s="5">
        <v>107</v>
      </c>
      <c r="CS415" s="5">
        <v>1.0553641018295821</v>
      </c>
      <c r="CT415" s="5" t="e">
        <f t="shared" si="434"/>
        <v>#VALUE!</v>
      </c>
      <c r="CU415" s="80" t="e">
        <f t="shared" si="435"/>
        <v>#VALUE!</v>
      </c>
      <c r="CV415" s="80" t="e">
        <f t="shared" si="436"/>
        <v>#VALUE!</v>
      </c>
      <c r="CW415" s="20">
        <f>IF(G415&lt;48,"UF", IF(NOT(ISBLANK(CS415)), CS415, IF(CE415=5, CC415+Sheet2!B410, IF(CE415=6, CC415+Sheet2!B411, IF(CE415=7, CC415+Sheet2!B412,"")))))</f>
        <v>1.0553641018295821</v>
      </c>
      <c r="CX415" s="68">
        <f t="shared" si="459"/>
        <v>7</v>
      </c>
      <c r="CY415" s="5">
        <v>16800</v>
      </c>
      <c r="CZ415" s="5">
        <v>0.24008344143569629</v>
      </c>
      <c r="DA415" s="5" t="e">
        <f t="shared" si="437"/>
        <v>#VALUE!</v>
      </c>
      <c r="DB415" s="73" t="e">
        <f t="shared" si="438"/>
        <v>#VALUE!</v>
      </c>
      <c r="DC415" s="73" t="e">
        <f t="shared" si="439"/>
        <v>#VALUE!</v>
      </c>
      <c r="DD415" s="5">
        <f>IF(G415&lt;48,"UF", IF(NOT(ISBLANK(CZ:CZ)), CZ:CZ, IF(CL:CL=3, CK:CK+Sheet2!B415, IF(CL:CL=4, CK:CK+Sheet2!B416, IF(CL:CL=7, CK:CK+Sheet2!B417,"")))))</f>
        <v>0.24008344143569629</v>
      </c>
      <c r="DE415" s="69">
        <f t="shared" si="397"/>
        <v>7</v>
      </c>
      <c r="DF415" s="2">
        <v>2</v>
      </c>
      <c r="DG415" s="2">
        <v>42</v>
      </c>
      <c r="DH415" s="2">
        <v>1</v>
      </c>
      <c r="DI415" s="2">
        <v>2</v>
      </c>
      <c r="DJ415" s="2">
        <v>2</v>
      </c>
      <c r="DK415" s="2" t="s">
        <v>12</v>
      </c>
      <c r="DL415" s="2" t="s">
        <v>12</v>
      </c>
      <c r="DM415" s="2">
        <v>115</v>
      </c>
      <c r="DN415" s="2">
        <v>70</v>
      </c>
      <c r="DO415" s="2" t="s">
        <v>12</v>
      </c>
      <c r="DP415" s="2" t="s">
        <v>12</v>
      </c>
      <c r="DQ415" s="2">
        <v>2</v>
      </c>
      <c r="DR415" s="2">
        <v>38</v>
      </c>
      <c r="DS415" s="2">
        <v>3</v>
      </c>
      <c r="DT415" s="2" t="s">
        <v>12</v>
      </c>
      <c r="DU415" s="2" t="s">
        <v>12</v>
      </c>
      <c r="DV415" s="2">
        <v>3</v>
      </c>
      <c r="DW415" s="2">
        <v>3</v>
      </c>
      <c r="DX415" s="2">
        <v>2</v>
      </c>
      <c r="DY415" s="2">
        <v>3</v>
      </c>
      <c r="DZ415" s="2">
        <v>36.5</v>
      </c>
      <c r="EA415" s="2" t="s">
        <v>12</v>
      </c>
      <c r="EB415" s="2" t="s">
        <v>12</v>
      </c>
      <c r="EC415" s="2" t="s">
        <v>12</v>
      </c>
      <c r="ED415" s="2" t="s">
        <v>12</v>
      </c>
    </row>
    <row r="416" spans="2:134" x14ac:dyDescent="0.25">
      <c r="B416" s="2"/>
      <c r="C416" t="s">
        <v>49</v>
      </c>
      <c r="D416" s="3">
        <v>3430807816</v>
      </c>
      <c r="E416" s="3">
        <v>7</v>
      </c>
      <c r="F416" s="2">
        <v>2</v>
      </c>
      <c r="G416" s="2">
        <v>43</v>
      </c>
      <c r="H416">
        <v>-0.36969607019172013</v>
      </c>
      <c r="I416" s="2">
        <v>52</v>
      </c>
      <c r="J416">
        <v>1.117633928075521</v>
      </c>
      <c r="K416" s="2">
        <v>3500</v>
      </c>
      <c r="L416" s="2">
        <v>0.30975760258732121</v>
      </c>
      <c r="M416" s="2">
        <v>1.3861711530934411</v>
      </c>
      <c r="N416" s="2">
        <f t="shared" si="399"/>
        <v>0.69115346881110007</v>
      </c>
      <c r="O416" s="2">
        <f t="shared" si="400"/>
        <v>1.3861711530934411</v>
      </c>
      <c r="P416" s="2">
        <v>69.5</v>
      </c>
      <c r="Q416" s="2">
        <v>0.52506415530890782</v>
      </c>
      <c r="R416" s="5">
        <f t="shared" si="401"/>
        <v>-0.10485056896228978</v>
      </c>
      <c r="S416" s="5">
        <f t="shared" si="402"/>
        <v>0.52506415530890782</v>
      </c>
      <c r="T416" s="2">
        <v>9400</v>
      </c>
      <c r="U416" s="2">
        <v>1.3608475179275701</v>
      </c>
      <c r="V416" s="2">
        <f t="shared" si="403"/>
        <v>0.47752759066640438</v>
      </c>
      <c r="W416" s="2">
        <f t="shared" si="404"/>
        <v>1.3608475179275701</v>
      </c>
      <c r="X416" s="2">
        <v>1.0126108674304799</v>
      </c>
      <c r="Y416" s="76">
        <f t="shared" si="440"/>
        <v>1.3823069376222001</v>
      </c>
      <c r="Z416" s="76">
        <f t="shared" si="441"/>
        <v>2</v>
      </c>
      <c r="AA416" s="2">
        <f t="shared" si="405"/>
        <v>0.1405691280187939</v>
      </c>
      <c r="AB416" s="2">
        <f t="shared" si="406"/>
        <v>1.0126108674304799</v>
      </c>
      <c r="AC416" s="2">
        <v>78.5</v>
      </c>
      <c r="AD416" s="2">
        <v>0.90793279015094142</v>
      </c>
      <c r="AE416" s="79">
        <f t="shared" si="442"/>
        <v>-0.20970113792457956</v>
      </c>
      <c r="AF416" s="79">
        <f t="shared" si="443"/>
        <v>-1</v>
      </c>
      <c r="AG416" s="2">
        <f t="shared" si="395"/>
        <v>0.33987379027407255</v>
      </c>
      <c r="AH416" s="2">
        <f t="shared" si="407"/>
        <v>0.90793279015094142</v>
      </c>
      <c r="AI416" s="2">
        <v>11200</v>
      </c>
      <c r="AJ416" s="2">
        <v>1.26481278392013</v>
      </c>
      <c r="AK416" s="76">
        <f t="shared" si="444"/>
        <v>0.95505518133280876</v>
      </c>
      <c r="AL416" s="76">
        <f t="shared" si="445"/>
        <v>2</v>
      </c>
      <c r="AM416" s="2">
        <f t="shared" si="408"/>
        <v>-4.8248330679081075E-2</v>
      </c>
      <c r="AN416" s="2">
        <f t="shared" si="409"/>
        <v>1.26481278392013</v>
      </c>
      <c r="AO416" s="2">
        <v>0.80620241134649562</v>
      </c>
      <c r="AP416" s="2">
        <f t="shared" si="410"/>
        <v>-0.85281636934180416</v>
      </c>
      <c r="AQ416" s="2">
        <f t="shared" si="411"/>
        <v>0.80620241134649562</v>
      </c>
      <c r="AR416" s="2">
        <v>86</v>
      </c>
      <c r="AS416" s="2">
        <v>1.2048117358570529</v>
      </c>
      <c r="AT416" s="2">
        <f t="shared" si="412"/>
        <v>0.13584436702317332</v>
      </c>
      <c r="AU416" s="2">
        <f t="shared" si="413"/>
        <v>1.2048117358570529</v>
      </c>
      <c r="AV416" s="2">
        <v>12700</v>
      </c>
      <c r="AW416" s="2">
        <v>1.2643508565694079</v>
      </c>
      <c r="AX416" s="2">
        <f t="shared" si="414"/>
        <v>-0.5397805537775634</v>
      </c>
      <c r="AY416" s="2">
        <f t="shared" si="415"/>
        <v>1.2643508565694079</v>
      </c>
      <c r="AZ416" s="2">
        <v>-0.69302187125312842</v>
      </c>
      <c r="BA416" s="78">
        <f t="shared" si="446"/>
        <v>-1.7056327386836083</v>
      </c>
      <c r="BB416" s="78">
        <f t="shared" si="447"/>
        <v>-2</v>
      </c>
      <c r="BC416" s="2">
        <f t="shared" si="416"/>
        <v>-0.17787708507164721</v>
      </c>
      <c r="BD416" s="2">
        <f t="shared" si="417"/>
        <v>-0.69302187125312842</v>
      </c>
      <c r="BE416" s="67">
        <f t="shared" si="448"/>
        <v>7</v>
      </c>
      <c r="BF416" s="2">
        <v>91</v>
      </c>
      <c r="BG416" s="2">
        <v>1.1796215241972881</v>
      </c>
      <c r="BH416" s="2">
        <f t="shared" si="418"/>
        <v>-8.8444687853136861E-2</v>
      </c>
      <c r="BI416" s="2">
        <f t="shared" si="419"/>
        <v>1.1796215241972881</v>
      </c>
      <c r="BJ416" s="67">
        <f t="shared" si="420"/>
        <v>7</v>
      </c>
      <c r="BK416" s="2">
        <v>13000</v>
      </c>
      <c r="BL416" s="2">
        <v>0.18525167636500309</v>
      </c>
      <c r="BM416" s="77">
        <f t="shared" si="449"/>
        <v>-1.0795611075551268</v>
      </c>
      <c r="BN416" s="77">
        <f t="shared" si="450"/>
        <v>-2</v>
      </c>
      <c r="BO416" s="2">
        <f t="shared" si="421"/>
        <v>-0.11808935619082672</v>
      </c>
      <c r="BP416" s="2">
        <f t="shared" si="422"/>
        <v>0.18525167636500309</v>
      </c>
      <c r="BQ416" s="67">
        <f t="shared" si="451"/>
        <v>7</v>
      </c>
      <c r="BR416" s="2">
        <v>0.27257115613155403</v>
      </c>
      <c r="BS416" s="75">
        <f t="shared" si="452"/>
        <v>0.96559302738468245</v>
      </c>
      <c r="BT416" s="75">
        <f t="shared" si="453"/>
        <v>2</v>
      </c>
      <c r="BU416" s="5" t="str">
        <f>IF(G421&gt;=36, IF(AND(NOT(ISBLANK(CM:CM)), NOT(ISBLANK(BD:BD))), (CM:CM-BD:BD)/2, ""), "UF")</f>
        <v>UF</v>
      </c>
      <c r="BV416" s="5">
        <f t="shared" si="423"/>
        <v>0.27257115613155403</v>
      </c>
      <c r="BW416" s="69">
        <f t="shared" si="424"/>
        <v>7</v>
      </c>
      <c r="BX416" s="2">
        <v>99</v>
      </c>
      <c r="BY416" s="2">
        <v>0.93947767229764234</v>
      </c>
      <c r="BZ416" s="74">
        <f t="shared" si="454"/>
        <v>0.75422599593263928</v>
      </c>
      <c r="CA416" s="74">
        <f t="shared" si="455"/>
        <v>2</v>
      </c>
      <c r="CB416" s="5" t="str">
        <f t="shared" si="425"/>
        <v/>
      </c>
      <c r="CC416" s="5">
        <f t="shared" si="426"/>
        <v>0.93947767229764234</v>
      </c>
      <c r="CD416" s="2">
        <f t="shared" si="427"/>
        <v>-0.24014385189964571</v>
      </c>
      <c r="CE416" s="69">
        <f t="shared" si="428"/>
        <v>7</v>
      </c>
      <c r="CF416" s="5">
        <v>16000</v>
      </c>
      <c r="CG416" s="2">
        <v>0.91008278799692777</v>
      </c>
      <c r="CH416" s="72">
        <f t="shared" si="456"/>
        <v>0.72483111163192471</v>
      </c>
      <c r="CI416" s="72">
        <f t="shared" si="457"/>
        <v>2</v>
      </c>
      <c r="CJ416" s="5" t="str">
        <f t="shared" si="429"/>
        <v/>
      </c>
      <c r="CK416" s="5">
        <f t="shared" si="430"/>
        <v>0.91008278799692777</v>
      </c>
      <c r="CL416" s="69">
        <f t="shared" si="431"/>
        <v>7</v>
      </c>
      <c r="CM416" s="2"/>
      <c r="CN416" s="70" t="str">
        <f t="shared" si="432"/>
        <v/>
      </c>
      <c r="CO416" s="5" t="str">
        <f t="shared" si="433"/>
        <v>UF</v>
      </c>
      <c r="CP416" s="5" t="str">
        <f>IF(G416&lt;48,"UF", IF(NOT(ISBLANK(CM:CM)), CM:CM, IF(BW:BW=1, BV:BV+Sheet2!B639, IF(Sheet1!BW:BW=2, Sheet1!BV:BV+Sheet2!B640, IF(Sheet1!BW:BW=7, Sheet1!BV:BV+Sheet2!B641,"")))))</f>
        <v>UF</v>
      </c>
      <c r="CQ416" s="69" t="str">
        <f t="shared" si="458"/>
        <v/>
      </c>
      <c r="CR416" s="5" t="s">
        <v>12</v>
      </c>
      <c r="CS416" s="2"/>
      <c r="CT416" s="5" t="str">
        <f t="shared" si="434"/>
        <v/>
      </c>
      <c r="CU416" s="80" t="str">
        <f t="shared" si="435"/>
        <v>UF</v>
      </c>
      <c r="CV416" s="80" t="str">
        <f t="shared" si="436"/>
        <v>UF</v>
      </c>
      <c r="CW416" s="20" t="str">
        <f>IF(G416&lt;48,"UF", IF(NOT(ISBLANK(CS416)), CS416, IF(CE416=5, CC416+Sheet2!B628, IF(CE416=6, CC416+Sheet2!B629, IF(CE416=7, CC416+Sheet2!B630,"")))))</f>
        <v>UF</v>
      </c>
      <c r="CX416" s="68" t="str">
        <f t="shared" si="459"/>
        <v/>
      </c>
      <c r="CY416" s="5" t="s">
        <v>12</v>
      </c>
      <c r="DA416" s="5" t="str">
        <f t="shared" si="437"/>
        <v>UF</v>
      </c>
      <c r="DB416" s="73" t="str">
        <f t="shared" si="438"/>
        <v>UF</v>
      </c>
      <c r="DC416" s="73" t="str">
        <f t="shared" si="439"/>
        <v>UF</v>
      </c>
      <c r="DD416" s="5" t="str">
        <f>IF(G416&lt;48,"UF", IF(NOT(ISBLANK(CZ:CZ)), CZ:CZ, IF(CL:CL=3, CK:CK+Sheet2!B633, IF(CL:CL=4, CK:CK+Sheet2!B634, IF(CL:CL=7, CK:CK+Sheet2!B635,"")))))</f>
        <v>UF</v>
      </c>
      <c r="DE416" s="69" t="str">
        <f t="shared" si="397"/>
        <v/>
      </c>
      <c r="DF416" s="2">
        <v>1</v>
      </c>
      <c r="DG416" s="2">
        <v>20</v>
      </c>
      <c r="DH416" s="2">
        <v>2</v>
      </c>
      <c r="DI416" s="2">
        <v>2</v>
      </c>
      <c r="DJ416" s="2">
        <v>2</v>
      </c>
      <c r="DK416" s="2">
        <v>120</v>
      </c>
      <c r="DL416" s="2">
        <v>70</v>
      </c>
      <c r="DM416" s="2">
        <v>110</v>
      </c>
      <c r="DN416" s="2">
        <v>71</v>
      </c>
      <c r="DO416" s="2">
        <v>120</v>
      </c>
      <c r="DP416" s="2">
        <v>64</v>
      </c>
      <c r="DQ416" s="2">
        <v>2</v>
      </c>
      <c r="DR416" s="2">
        <v>39</v>
      </c>
      <c r="DS416" s="2">
        <v>2</v>
      </c>
      <c r="DT416" s="2">
        <v>83</v>
      </c>
      <c r="DU416" s="2">
        <v>79</v>
      </c>
      <c r="DV416" s="2">
        <v>2</v>
      </c>
      <c r="DW416" s="2">
        <v>2</v>
      </c>
      <c r="DX416" s="2">
        <v>2</v>
      </c>
      <c r="DY416" s="2">
        <v>3</v>
      </c>
      <c r="DZ416" s="2">
        <v>35</v>
      </c>
      <c r="EA416" s="2">
        <v>37</v>
      </c>
      <c r="EB416" s="2">
        <v>48</v>
      </c>
      <c r="EC416" s="2">
        <v>1</v>
      </c>
      <c r="ED416" s="2">
        <v>1</v>
      </c>
    </row>
    <row r="417" spans="1:134" x14ac:dyDescent="0.25">
      <c r="A417" t="s">
        <v>66</v>
      </c>
      <c r="C417" s="8" t="s">
        <v>67</v>
      </c>
      <c r="D417" s="8">
        <v>4713462225</v>
      </c>
      <c r="E417" s="2" t="s">
        <v>532</v>
      </c>
      <c r="F417" s="2">
        <v>2</v>
      </c>
      <c r="G417" s="2">
        <v>60</v>
      </c>
      <c r="H417" s="2">
        <v>-1.2533240630246421</v>
      </c>
      <c r="I417" s="2">
        <v>51</v>
      </c>
      <c r="J417" s="2">
        <v>0.58940135287155082</v>
      </c>
      <c r="K417" s="5">
        <v>3100</v>
      </c>
      <c r="L417" s="2">
        <v>-0.51686178682742712</v>
      </c>
      <c r="N417" s="2" t="str">
        <f t="shared" si="399"/>
        <v/>
      </c>
      <c r="O417" s="2" t="e">
        <f t="shared" si="400"/>
        <v>#VALUE!</v>
      </c>
      <c r="P417" s="2" t="s">
        <v>12</v>
      </c>
      <c r="R417" s="5" t="str">
        <f t="shared" si="401"/>
        <v/>
      </c>
      <c r="S417" s="5" t="e">
        <f t="shared" si="402"/>
        <v>#VALUE!</v>
      </c>
      <c r="T417" s="2" t="s">
        <v>12</v>
      </c>
      <c r="V417" s="2" t="str">
        <f t="shared" si="403"/>
        <v/>
      </c>
      <c r="W417" s="2" t="e">
        <f t="shared" si="404"/>
        <v>#VALUE!</v>
      </c>
      <c r="Y417" s="76" t="e">
        <f t="shared" si="440"/>
        <v>#VALUE!</v>
      </c>
      <c r="Z417" s="76" t="e">
        <f t="shared" si="441"/>
        <v>#VALUE!</v>
      </c>
      <c r="AA417" s="2" t="e">
        <f t="shared" si="405"/>
        <v>#VALUE!</v>
      </c>
      <c r="AB417" s="2" t="e">
        <f t="shared" si="406"/>
        <v>#VALUE!</v>
      </c>
      <c r="AC417" s="2" t="s">
        <v>12</v>
      </c>
      <c r="AE417" s="79" t="e">
        <f t="shared" si="442"/>
        <v>#VALUE!</v>
      </c>
      <c r="AF417" s="79" t="e">
        <f t="shared" si="443"/>
        <v>#VALUE!</v>
      </c>
      <c r="AG417" s="2" t="e">
        <f t="shared" ref="AG417:AG480" si="461">IF(AND(NOT(ISBLANK(S417)), NOT(ISBLANK(AS417))), (AS417 - S417)/2, "")</f>
        <v>#VALUE!</v>
      </c>
      <c r="AH417" s="2" t="e">
        <f t="shared" si="407"/>
        <v>#VALUE!</v>
      </c>
      <c r="AI417" s="2" t="s">
        <v>12</v>
      </c>
      <c r="AK417" s="76" t="e">
        <f t="shared" si="444"/>
        <v>#VALUE!</v>
      </c>
      <c r="AL417" s="76" t="e">
        <f t="shared" si="445"/>
        <v>#VALUE!</v>
      </c>
      <c r="AM417" s="2" t="e">
        <f t="shared" si="408"/>
        <v>#VALUE!</v>
      </c>
      <c r="AN417" s="2" t="e">
        <f t="shared" si="409"/>
        <v>#VALUE!</v>
      </c>
      <c r="AO417" s="2">
        <v>-2.4474999999999998</v>
      </c>
      <c r="AP417" s="2" t="e">
        <f t="shared" si="410"/>
        <v>#VALUE!</v>
      </c>
      <c r="AQ417" s="2">
        <f t="shared" si="411"/>
        <v>-2.4474999999999998</v>
      </c>
      <c r="AR417" s="2">
        <v>80</v>
      </c>
      <c r="AS417" s="2">
        <v>-0.84</v>
      </c>
      <c r="AT417" s="2" t="e">
        <f t="shared" si="412"/>
        <v>#VALUE!</v>
      </c>
      <c r="AU417" s="2">
        <f t="shared" si="413"/>
        <v>-0.84</v>
      </c>
      <c r="AV417" s="2">
        <v>8600</v>
      </c>
      <c r="AW417" s="2">
        <v>-2.16</v>
      </c>
      <c r="AX417" s="2" t="e">
        <f t="shared" si="414"/>
        <v>#VALUE!</v>
      </c>
      <c r="AY417" s="2">
        <f t="shared" si="415"/>
        <v>-2.16</v>
      </c>
      <c r="AZ417" s="2">
        <v>-7.048218367897495</v>
      </c>
      <c r="BA417" s="78" t="e">
        <f t="shared" si="446"/>
        <v>#VALUE!</v>
      </c>
      <c r="BB417" s="78" t="e">
        <f t="shared" si="447"/>
        <v>#VALUE!</v>
      </c>
      <c r="BC417" s="2">
        <f t="shared" si="416"/>
        <v>-0.95462143297791735</v>
      </c>
      <c r="BD417" s="2">
        <f t="shared" si="417"/>
        <v>-7.048218367897495</v>
      </c>
      <c r="BE417" s="67">
        <f t="shared" si="448"/>
        <v>1</v>
      </c>
      <c r="BF417" s="2">
        <v>85</v>
      </c>
      <c r="BG417" s="2">
        <v>-0.8053950735271872</v>
      </c>
      <c r="BH417" s="2">
        <f t="shared" si="418"/>
        <v>-0.57921640791783913</v>
      </c>
      <c r="BI417" s="2">
        <f t="shared" si="419"/>
        <v>-0.8053950735271872</v>
      </c>
      <c r="BJ417" s="67">
        <f t="shared" si="420"/>
        <v>7</v>
      </c>
      <c r="BK417" s="2">
        <v>8000</v>
      </c>
      <c r="BL417" s="2">
        <v>-4.5271486877403744</v>
      </c>
      <c r="BM417" s="77" t="e">
        <f t="shared" si="449"/>
        <v>#VALUE!</v>
      </c>
      <c r="BN417" s="77" t="e">
        <f t="shared" si="450"/>
        <v>#VALUE!</v>
      </c>
      <c r="BO417" s="2">
        <f t="shared" si="421"/>
        <v>-1.0437526129361119</v>
      </c>
      <c r="BP417" s="2">
        <f t="shared" si="422"/>
        <v>-4.5271486877403744</v>
      </c>
      <c r="BQ417" s="67">
        <f t="shared" si="451"/>
        <v>3</v>
      </c>
      <c r="BR417" s="5">
        <v>-5.3113642989337517</v>
      </c>
      <c r="BS417" s="75">
        <f t="shared" si="452"/>
        <v>1.7368540689637433</v>
      </c>
      <c r="BT417" s="75">
        <f t="shared" si="453"/>
        <v>2</v>
      </c>
      <c r="BU417" s="5" t="str">
        <f>IF(G422&gt;=36, IF(AND(NOT(ISBLANK(CM:CM)), NOT(ISBLANK(BD:BD))), (CM:CM-BD:BD)/2, ""), "UF")</f>
        <v>UF</v>
      </c>
      <c r="BV417" s="5">
        <f t="shared" si="423"/>
        <v>-5.3113642989337517</v>
      </c>
      <c r="BW417" s="69">
        <f t="shared" si="424"/>
        <v>1</v>
      </c>
      <c r="BX417" s="2">
        <v>86</v>
      </c>
      <c r="BY417" s="5">
        <v>-2.5776492237535171</v>
      </c>
      <c r="BZ417" s="74">
        <f t="shared" si="454"/>
        <v>1.9494994639868573</v>
      </c>
      <c r="CA417" s="74">
        <f t="shared" si="455"/>
        <v>2</v>
      </c>
      <c r="CB417" s="5" t="str">
        <f t="shared" si="425"/>
        <v/>
      </c>
      <c r="CC417" s="5">
        <f t="shared" si="426"/>
        <v>-2.5776492237535171</v>
      </c>
      <c r="CD417" s="2">
        <f t="shared" si="427"/>
        <v>-1.7722541502263298</v>
      </c>
      <c r="CE417" s="69">
        <f t="shared" si="428"/>
        <v>6</v>
      </c>
      <c r="CF417" s="5">
        <v>8700</v>
      </c>
      <c r="CG417" s="5">
        <v>-5.2912578388083356</v>
      </c>
      <c r="CH417" s="72">
        <f t="shared" si="456"/>
        <v>-0.76410915106796118</v>
      </c>
      <c r="CI417" s="72">
        <f t="shared" si="457"/>
        <v>-2</v>
      </c>
      <c r="CJ417" s="5" t="str">
        <f t="shared" si="429"/>
        <v/>
      </c>
      <c r="CK417" s="5">
        <f t="shared" si="430"/>
        <v>-5.2912578388083356</v>
      </c>
      <c r="CL417" s="69">
        <f t="shared" si="431"/>
        <v>3</v>
      </c>
      <c r="CN417" s="70" t="str">
        <f t="shared" si="432"/>
        <v/>
      </c>
      <c r="CO417" s="5">
        <f t="shared" si="433"/>
        <v>0.42219498013714318</v>
      </c>
      <c r="CP417" s="5">
        <f>IF(G417&lt;48,"UF", IF(NOT(ISBLANK(CM:CM)), CM:CM, IF(BW:BW=1, BV:BV+Sheet2!B17, IF(Sheet1!BW:BW=2, Sheet1!BV:BV+Sheet2!B18, IF(Sheet1!BW:BW=7, Sheet1!BV:BV+Sheet2!B19,"")))))</f>
        <v>-4.8891693187966085</v>
      </c>
      <c r="CQ417" s="69">
        <f t="shared" si="458"/>
        <v>1</v>
      </c>
      <c r="CR417" s="5" t="s">
        <v>12</v>
      </c>
      <c r="CT417" s="5" t="str">
        <f t="shared" si="434"/>
        <v/>
      </c>
      <c r="CU417" s="80">
        <f t="shared" si="435"/>
        <v>-8.2654241959696506E-2</v>
      </c>
      <c r="CV417" s="80">
        <f t="shared" si="436"/>
        <v>-1</v>
      </c>
      <c r="CW417" s="20">
        <f>IF(G417&lt;48,"UF", IF(NOT(ISBLANK(CS417)), CS417, IF(CE417=5, CC417+Sheet2!B6, IF(CE417=6, CC417+Sheet2!B7, IF(CE417=7, CC417+Sheet2!B8,"")))))</f>
        <v>-2.6603034657132136</v>
      </c>
      <c r="CX417" s="68">
        <f t="shared" si="459"/>
        <v>6</v>
      </c>
      <c r="CY417" s="5" t="s">
        <v>12</v>
      </c>
      <c r="DA417" s="5" t="str">
        <f t="shared" si="437"/>
        <v/>
      </c>
      <c r="DB417" s="73" t="e">
        <f t="shared" si="438"/>
        <v>#REF!</v>
      </c>
      <c r="DC417" s="73" t="e">
        <f t="shared" si="439"/>
        <v>#REF!</v>
      </c>
      <c r="DD417" s="5" t="e">
        <f>IF(G417&lt;48,"UF", IF(NOT(ISBLANK(CZ:CZ)), CZ:CZ, IF(CL:CL=3, CK:CK+Sheet2!B11, IF(CL:CL=4, CK:CK+Sheet2!B12, IF(CL:CL=7, CK:CK+Sheet2!B13,"")))))</f>
        <v>#REF!</v>
      </c>
      <c r="DE417" s="69" t="e">
        <f t="shared" si="397"/>
        <v>#REF!</v>
      </c>
      <c r="DF417" s="2">
        <v>1</v>
      </c>
      <c r="DG417" s="2">
        <v>23</v>
      </c>
      <c r="DH417" s="2">
        <v>2</v>
      </c>
      <c r="DI417" s="2">
        <v>2</v>
      </c>
      <c r="DJ417" s="2">
        <v>2</v>
      </c>
      <c r="DK417" s="2">
        <v>50</v>
      </c>
      <c r="DL417" s="2">
        <v>120</v>
      </c>
      <c r="DM417" s="2" t="s">
        <v>12</v>
      </c>
      <c r="DN417" s="2" t="s">
        <v>12</v>
      </c>
      <c r="DO417" s="2" t="s">
        <v>12</v>
      </c>
      <c r="DP417" s="2" t="s">
        <v>12</v>
      </c>
      <c r="DQ417" s="2">
        <v>2</v>
      </c>
      <c r="DR417" s="2">
        <v>40</v>
      </c>
      <c r="DS417" s="2">
        <v>3</v>
      </c>
      <c r="DT417" s="2" t="s">
        <v>12</v>
      </c>
      <c r="DU417" s="2" t="s">
        <v>12</v>
      </c>
      <c r="DV417" s="2">
        <v>3</v>
      </c>
      <c r="DW417" s="2">
        <v>3</v>
      </c>
      <c r="DX417" s="2">
        <v>4</v>
      </c>
      <c r="DY417" s="2">
        <v>3</v>
      </c>
      <c r="DZ417" s="2">
        <v>34</v>
      </c>
      <c r="EA417" s="2" t="s">
        <v>12</v>
      </c>
      <c r="EB417" s="2" t="s">
        <v>12</v>
      </c>
      <c r="EC417" s="2" t="s">
        <v>12</v>
      </c>
      <c r="ED417" s="2" t="s">
        <v>12</v>
      </c>
    </row>
    <row r="418" spans="1:134" x14ac:dyDescent="0.25">
      <c r="C418" s="5" t="s">
        <v>18</v>
      </c>
      <c r="D418" s="10">
        <v>5150450881</v>
      </c>
      <c r="E418" s="5" t="s">
        <v>529</v>
      </c>
      <c r="F418" s="2">
        <v>2</v>
      </c>
      <c r="G418" s="2">
        <v>57</v>
      </c>
      <c r="H418" s="2">
        <v>-1.5482335817165109</v>
      </c>
      <c r="I418" s="2">
        <v>50</v>
      </c>
      <c r="J418" s="2">
        <v>6.1168777667580831E-2</v>
      </c>
      <c r="K418" s="5">
        <v>2900</v>
      </c>
      <c r="L418" s="2">
        <v>-0.95643865409467577</v>
      </c>
      <c r="M418" s="2">
        <v>-2.0377999999999998</v>
      </c>
      <c r="N418" s="2">
        <f t="shared" si="399"/>
        <v>-9.1683209141744548E-2</v>
      </c>
      <c r="O418" s="2">
        <f t="shared" si="400"/>
        <v>-2.0377999999999998</v>
      </c>
      <c r="P418" s="2">
        <v>67</v>
      </c>
      <c r="Q418" s="2">
        <v>-0.3</v>
      </c>
      <c r="R418" s="5">
        <f t="shared" si="401"/>
        <v>-1.0255843888337903</v>
      </c>
      <c r="S418" s="5">
        <f t="shared" si="402"/>
        <v>-0.3</v>
      </c>
      <c r="T418" s="1">
        <v>6600</v>
      </c>
      <c r="U418" s="2">
        <v>-1.67</v>
      </c>
      <c r="V418" s="2">
        <f t="shared" si="403"/>
        <v>-0.72678067295266224</v>
      </c>
      <c r="W418" s="2">
        <f t="shared" si="404"/>
        <v>-1.67</v>
      </c>
      <c r="X418" s="2">
        <v>-1.7316</v>
      </c>
      <c r="Y418" s="76">
        <f t="shared" si="440"/>
        <v>-0.1833664182834891</v>
      </c>
      <c r="Z418" s="76">
        <f t="shared" si="441"/>
        <v>-1</v>
      </c>
      <c r="AA418" s="2">
        <f t="shared" si="405"/>
        <v>-0.86299999999999988</v>
      </c>
      <c r="AB418" s="2">
        <f t="shared" si="406"/>
        <v>-1.7316</v>
      </c>
      <c r="AC418" s="2">
        <v>71</v>
      </c>
      <c r="AD418" s="2">
        <v>-1.99</v>
      </c>
      <c r="AE418" s="79">
        <f t="shared" si="442"/>
        <v>-2.0511687776675807</v>
      </c>
      <c r="AF418" s="79">
        <f t="shared" si="443"/>
        <v>-2</v>
      </c>
      <c r="AG418" s="2">
        <f t="shared" si="461"/>
        <v>-1.01</v>
      </c>
      <c r="AH418" s="2">
        <f t="shared" si="407"/>
        <v>-1.99</v>
      </c>
      <c r="AI418" s="2">
        <v>7400</v>
      </c>
      <c r="AJ418" s="2">
        <v>-2.41</v>
      </c>
      <c r="AK418" s="76">
        <f t="shared" si="444"/>
        <v>-1.4535613459053245</v>
      </c>
      <c r="AL418" s="76">
        <f t="shared" si="445"/>
        <v>-2</v>
      </c>
      <c r="AM418" s="2">
        <f t="shared" si="408"/>
        <v>-0.56499999999999995</v>
      </c>
      <c r="AN418" s="2">
        <f t="shared" si="409"/>
        <v>-2.41</v>
      </c>
      <c r="AO418" s="2">
        <v>-2.0259999999999998</v>
      </c>
      <c r="AP418" s="2">
        <f t="shared" si="410"/>
        <v>-0.7796665701556259</v>
      </c>
      <c r="AQ418" s="2">
        <f t="shared" si="411"/>
        <v>-2.0259999999999998</v>
      </c>
      <c r="AR418" s="2">
        <v>76</v>
      </c>
      <c r="AS418" s="2">
        <v>-2.3199999999999998</v>
      </c>
      <c r="AT418" s="2">
        <f t="shared" si="412"/>
        <v>0.30237435931151646</v>
      </c>
      <c r="AU418" s="2">
        <f t="shared" si="413"/>
        <v>-2.3199999999999998</v>
      </c>
      <c r="AV418" s="2">
        <v>8000</v>
      </c>
      <c r="AW418" s="2">
        <v>-2.8</v>
      </c>
      <c r="AX418" s="2">
        <f t="shared" si="414"/>
        <v>-0.46401081260396038</v>
      </c>
      <c r="AY418" s="2">
        <f t="shared" si="415"/>
        <v>-2.8</v>
      </c>
      <c r="AZ418" s="2">
        <v>-3.2909331403112518</v>
      </c>
      <c r="BA418" s="78">
        <f t="shared" si="446"/>
        <v>-1.5593331403112518</v>
      </c>
      <c r="BB418" s="78">
        <f t="shared" si="447"/>
        <v>-2</v>
      </c>
      <c r="BC418" s="2">
        <f t="shared" si="416"/>
        <v>0.20230643166568463</v>
      </c>
      <c r="BD418" s="2">
        <f t="shared" si="417"/>
        <v>-3.2909331403112518</v>
      </c>
      <c r="BE418" s="67">
        <f t="shared" si="448"/>
        <v>1</v>
      </c>
      <c r="BF418" s="2">
        <v>82</v>
      </c>
      <c r="BG418" s="2">
        <v>-1.3852512813769671</v>
      </c>
      <c r="BH418" s="2">
        <f t="shared" si="418"/>
        <v>-0.18622346511258137</v>
      </c>
      <c r="BI418" s="2">
        <f t="shared" si="419"/>
        <v>-1.3852512813769671</v>
      </c>
      <c r="BJ418" s="67">
        <f t="shared" si="420"/>
        <v>7</v>
      </c>
      <c r="BK418" s="2">
        <v>9000</v>
      </c>
      <c r="BL418" s="2">
        <v>-3.3380216252079209</v>
      </c>
      <c r="BM418" s="77">
        <f t="shared" si="449"/>
        <v>-0.92802162520792075</v>
      </c>
      <c r="BN418" s="77">
        <f t="shared" si="450"/>
        <v>-2</v>
      </c>
      <c r="BO418" s="2">
        <f t="shared" si="421"/>
        <v>-0.1071128427882521</v>
      </c>
      <c r="BP418" s="2">
        <f t="shared" si="422"/>
        <v>-3.3380216252079209</v>
      </c>
      <c r="BQ418" s="67">
        <f t="shared" si="451"/>
        <v>3</v>
      </c>
      <c r="BR418" s="5">
        <v>-1.4190807050029459</v>
      </c>
      <c r="BS418" s="75">
        <f t="shared" si="452"/>
        <v>1.8718524353083059</v>
      </c>
      <c r="BT418" s="75">
        <f t="shared" si="453"/>
        <v>2</v>
      </c>
      <c r="BU418" s="5">
        <f>IF(G424&gt;=36, IF(AND(NOT(ISBLANK(CM:CM)), NOT(ISBLANK(BD:BD))), (CM:CM-BD:BD)/2, ""), "UF")</f>
        <v>0.89009209444150539</v>
      </c>
      <c r="BV418" s="5">
        <f t="shared" si="423"/>
        <v>-1.4190807050029459</v>
      </c>
      <c r="BW418" s="69">
        <f t="shared" si="424"/>
        <v>7</v>
      </c>
      <c r="BX418" s="2">
        <v>85</v>
      </c>
      <c r="BY418" s="5">
        <v>-2.8786703953377439</v>
      </c>
      <c r="BZ418" s="74">
        <f t="shared" si="454"/>
        <v>0.45935122987017696</v>
      </c>
      <c r="CA418" s="74">
        <f t="shared" si="455"/>
        <v>1</v>
      </c>
      <c r="CB418" s="5">
        <f t="shared" si="425"/>
        <v>-0.31881730855458057</v>
      </c>
      <c r="CC418" s="5">
        <f t="shared" si="426"/>
        <v>-2.8786703953377439</v>
      </c>
      <c r="CD418" s="2">
        <f t="shared" si="427"/>
        <v>-1.4934191139607769</v>
      </c>
      <c r="CE418" s="69">
        <f t="shared" si="428"/>
        <v>6</v>
      </c>
      <c r="CF418" s="5">
        <v>10500</v>
      </c>
      <c r="CG418" s="5">
        <v>-3.1213385283647561</v>
      </c>
      <c r="CH418" s="72">
        <f t="shared" si="456"/>
        <v>0.21668309684316478</v>
      </c>
      <c r="CI418" s="72">
        <f t="shared" si="457"/>
        <v>1</v>
      </c>
      <c r="CJ418" s="5">
        <f t="shared" si="429"/>
        <v>0.41117627726316286</v>
      </c>
      <c r="CK418" s="5">
        <f t="shared" si="430"/>
        <v>-3.1213385283647561</v>
      </c>
      <c r="CL418" s="69">
        <f t="shared" si="431"/>
        <v>3</v>
      </c>
      <c r="CM418" s="5">
        <v>-1.5107489514282411</v>
      </c>
      <c r="CN418" s="70">
        <f t="shared" si="432"/>
        <v>-9.1668246425295141E-2</v>
      </c>
      <c r="CO418" s="5">
        <f t="shared" si="433"/>
        <v>-9.1668246425295141E-2</v>
      </c>
      <c r="CP418" s="5">
        <f>IF(G418&lt;48,"UF", IF(NOT(ISBLANK(CM:CM)), CM:CM, IF(BW:BW=1, BV:BV+Sheet2!B34, IF(Sheet1!BW:BW=2, Sheet1!BV:BV+Sheet2!B35, IF(Sheet1!BW:BW=7, Sheet1!BV:BV+Sheet2!B36,"")))))</f>
        <v>-1.5107489514282411</v>
      </c>
      <c r="CQ418" s="69">
        <f t="shared" si="458"/>
        <v>7</v>
      </c>
      <c r="CR418" s="5">
        <v>94</v>
      </c>
      <c r="CS418" s="5">
        <v>-2.0228858984861282</v>
      </c>
      <c r="CT418" s="5">
        <f t="shared" si="434"/>
        <v>0.85578449685161573</v>
      </c>
      <c r="CU418" s="80">
        <f t="shared" si="435"/>
        <v>0.85578449685161573</v>
      </c>
      <c r="CV418" s="80">
        <f t="shared" si="436"/>
        <v>2</v>
      </c>
      <c r="CW418" s="20">
        <f>IF(G418&lt;48,"UF", IF(NOT(ISBLANK(CS418)), CS418, IF(CE418=5, CC418+Sheet2!B23, IF(CE418=6, CC418+Sheet2!B24, IF(CE418=7, CC418+Sheet2!B25,"")))))</f>
        <v>-2.0228858984861282</v>
      </c>
      <c r="CX418" s="68">
        <f t="shared" si="459"/>
        <v>6</v>
      </c>
      <c r="CY418" s="5">
        <v>12500</v>
      </c>
      <c r="CZ418" s="5">
        <v>-2.5156690706815952</v>
      </c>
      <c r="DA418" s="5">
        <f t="shared" si="437"/>
        <v>0.60566945768316094</v>
      </c>
      <c r="DB418" s="73">
        <f t="shared" si="438"/>
        <v>0.60566945768316094</v>
      </c>
      <c r="DC418" s="73">
        <f t="shared" si="439"/>
        <v>1</v>
      </c>
      <c r="DD418" s="5">
        <f>IF(G418&lt;48,"UF", IF(NOT(ISBLANK(CZ:CZ)), CZ:CZ, IF(CL:CL=3, CK:CK+Sheet2!B28, IF(CL:CL=4, CK:CK+Sheet2!B29, IF(CL:CL=7, CK:CK+Sheet2!B30,"")))))</f>
        <v>-2.5156690706815952</v>
      </c>
      <c r="DE418" s="69">
        <f t="shared" si="397"/>
        <v>4</v>
      </c>
      <c r="DF418" s="2">
        <v>5</v>
      </c>
      <c r="DG418" s="2">
        <v>38</v>
      </c>
      <c r="DH418" s="2">
        <v>2</v>
      </c>
      <c r="DI418" s="2">
        <v>2</v>
      </c>
      <c r="DJ418" s="2">
        <v>2</v>
      </c>
      <c r="DK418" s="2">
        <v>110</v>
      </c>
      <c r="DL418" s="2">
        <v>60</v>
      </c>
      <c r="DM418" s="2">
        <v>110</v>
      </c>
      <c r="DN418" s="2">
        <v>70</v>
      </c>
      <c r="DO418" s="2" t="s">
        <v>12</v>
      </c>
      <c r="DP418" s="2" t="s">
        <v>12</v>
      </c>
      <c r="DQ418" s="2">
        <v>2</v>
      </c>
      <c r="DR418" s="2">
        <v>40</v>
      </c>
      <c r="DS418" s="2">
        <v>2</v>
      </c>
      <c r="DT418" s="2">
        <v>89</v>
      </c>
      <c r="DU418" s="2">
        <v>86</v>
      </c>
      <c r="DV418" s="2">
        <v>2</v>
      </c>
      <c r="DW418" s="2">
        <v>2</v>
      </c>
      <c r="DX418" s="2">
        <v>2</v>
      </c>
      <c r="DY418" s="2">
        <v>1</v>
      </c>
      <c r="DZ418" s="2">
        <v>35</v>
      </c>
      <c r="EA418" s="2" t="s">
        <v>12</v>
      </c>
      <c r="EB418" s="2">
        <v>45.5</v>
      </c>
      <c r="EC418" s="2" t="s">
        <v>12</v>
      </c>
      <c r="ED418" s="2">
        <v>1</v>
      </c>
    </row>
    <row r="419" spans="1:134" x14ac:dyDescent="0.25">
      <c r="C419" s="5" t="s">
        <v>393</v>
      </c>
      <c r="D419" s="8">
        <v>5150461083</v>
      </c>
      <c r="E419" s="3">
        <v>7</v>
      </c>
      <c r="F419" s="2">
        <v>1</v>
      </c>
      <c r="G419" s="2">
        <v>49</v>
      </c>
      <c r="H419" s="2">
        <v>-2.8348966132264031</v>
      </c>
      <c r="I419" s="2">
        <v>43</v>
      </c>
      <c r="J419" s="2">
        <v>-3.3004284832931421</v>
      </c>
      <c r="K419" s="5">
        <v>1900</v>
      </c>
      <c r="L419" s="2">
        <v>-3.3666963314890981</v>
      </c>
      <c r="M419" s="2">
        <v>-0.96660000000000001</v>
      </c>
      <c r="N419" s="2">
        <f t="shared" si="399"/>
        <v>1.4971983066132015</v>
      </c>
      <c r="O419" s="2">
        <f t="shared" si="400"/>
        <v>-0.96660000000000001</v>
      </c>
      <c r="P419" s="2">
        <v>64</v>
      </c>
      <c r="Q419" s="2">
        <v>-0.77</v>
      </c>
      <c r="R419" s="5">
        <f t="shared" si="401"/>
        <v>1.2602142416465711</v>
      </c>
      <c r="S419" s="5">
        <f t="shared" si="402"/>
        <v>-0.77</v>
      </c>
      <c r="T419" s="1">
        <v>6350</v>
      </c>
      <c r="U419" s="2">
        <v>-1.1499999999999999</v>
      </c>
      <c r="V419" s="2">
        <f t="shared" si="403"/>
        <v>1.5233481657445491</v>
      </c>
      <c r="W419" s="2">
        <f t="shared" si="404"/>
        <v>-1.1499999999999999</v>
      </c>
      <c r="X419" s="2">
        <v>0.1595</v>
      </c>
      <c r="Y419" s="76">
        <f t="shared" si="440"/>
        <v>2.994396613226403</v>
      </c>
      <c r="Z419" s="76">
        <f t="shared" si="441"/>
        <v>2</v>
      </c>
      <c r="AA419" s="2" t="str">
        <f t="shared" si="405"/>
        <v/>
      </c>
      <c r="AB419" s="2">
        <f t="shared" si="406"/>
        <v>0.1595</v>
      </c>
      <c r="AC419" s="2">
        <v>72</v>
      </c>
      <c r="AD419" s="2">
        <v>-0.78</v>
      </c>
      <c r="AE419" s="79">
        <f t="shared" si="442"/>
        <v>2.5204284832931423</v>
      </c>
      <c r="AF419" s="79">
        <f t="shared" si="443"/>
        <v>2</v>
      </c>
      <c r="AG419" s="2" t="str">
        <f t="shared" si="461"/>
        <v/>
      </c>
      <c r="AH419" s="2">
        <f t="shared" si="407"/>
        <v>-0.78</v>
      </c>
      <c r="AI419" s="2">
        <v>8600</v>
      </c>
      <c r="AJ419" s="2">
        <v>-0.32</v>
      </c>
      <c r="AK419" s="76">
        <f t="shared" si="444"/>
        <v>3.0466963314890982</v>
      </c>
      <c r="AL419" s="76">
        <f t="shared" si="445"/>
        <v>2</v>
      </c>
      <c r="AM419" s="2" t="str">
        <f t="shared" si="408"/>
        <v/>
      </c>
      <c r="AN419" s="2">
        <f t="shared" si="409"/>
        <v>-0.32</v>
      </c>
      <c r="AP419" s="2" t="str">
        <f t="shared" si="410"/>
        <v/>
      </c>
      <c r="AQ419" s="2" t="e">
        <f t="shared" si="411"/>
        <v>#VALUE!</v>
      </c>
      <c r="AR419" s="2" t="s">
        <v>12</v>
      </c>
      <c r="AT419" s="2" t="str">
        <f t="shared" si="412"/>
        <v/>
      </c>
      <c r="AU419" s="2" t="e">
        <f t="shared" si="413"/>
        <v>#VALUE!</v>
      </c>
      <c r="AV419" s="2" t="s">
        <v>12</v>
      </c>
      <c r="AX419" s="2" t="str">
        <f t="shared" si="414"/>
        <v/>
      </c>
      <c r="AY419" s="2" t="e">
        <f t="shared" si="415"/>
        <v>#VALUE!</v>
      </c>
      <c r="BA419" s="78" t="e">
        <f t="shared" si="446"/>
        <v>#VALUE!</v>
      </c>
      <c r="BB419" s="78" t="e">
        <f t="shared" si="447"/>
        <v>#VALUE!</v>
      </c>
      <c r="BC419" s="2" t="e">
        <f t="shared" si="416"/>
        <v>#VALUE!</v>
      </c>
      <c r="BD419" s="2" t="e">
        <f t="shared" si="417"/>
        <v>#VALUE!</v>
      </c>
      <c r="BE419" s="67" t="e">
        <f t="shared" si="448"/>
        <v>#VALUE!</v>
      </c>
      <c r="BF419" s="2" t="s">
        <v>12</v>
      </c>
      <c r="BH419" s="2" t="e">
        <f t="shared" si="418"/>
        <v>#VALUE!</v>
      </c>
      <c r="BI419" s="2" t="e">
        <f t="shared" si="419"/>
        <v>#VALUE!</v>
      </c>
      <c r="BJ419" s="67" t="e">
        <f t="shared" si="420"/>
        <v>#VALUE!</v>
      </c>
      <c r="BK419" s="2" t="s">
        <v>12</v>
      </c>
      <c r="BM419" s="77" t="e">
        <f t="shared" si="449"/>
        <v>#VALUE!</v>
      </c>
      <c r="BN419" s="77" t="e">
        <f t="shared" si="450"/>
        <v>#VALUE!</v>
      </c>
      <c r="BO419" s="2" t="e">
        <f t="shared" si="421"/>
        <v>#VALUE!</v>
      </c>
      <c r="BP419" s="2" t="e">
        <f t="shared" si="422"/>
        <v>#VALUE!</v>
      </c>
      <c r="BQ419" s="67" t="e">
        <f t="shared" si="451"/>
        <v>#VALUE!</v>
      </c>
      <c r="BR419" s="5">
        <v>-1.1079778199104431</v>
      </c>
      <c r="BS419" s="75" t="e">
        <f t="shared" si="452"/>
        <v>#VALUE!</v>
      </c>
      <c r="BT419" s="75" t="e">
        <f t="shared" si="453"/>
        <v>#VALUE!</v>
      </c>
      <c r="BU419" s="5" t="e">
        <f>IF(#REF!&gt;=36, IF(AND(NOT(ISBLANK(CM:CM)), NOT(ISBLANK(BD:BD))), (CM:CM-BD:BD)/2, ""), "UF")</f>
        <v>#REF!</v>
      </c>
      <c r="BV419" s="5">
        <f t="shared" si="423"/>
        <v>-1.1079778199104431</v>
      </c>
      <c r="BW419" s="69">
        <f t="shared" si="424"/>
        <v>7</v>
      </c>
      <c r="BX419" s="2">
        <v>92.5</v>
      </c>
      <c r="BY419" s="5">
        <v>-0.43463648226424229</v>
      </c>
      <c r="BZ419" s="74" t="e">
        <f t="shared" si="454"/>
        <v>#VALUE!</v>
      </c>
      <c r="CA419" s="74" t="e">
        <f t="shared" si="455"/>
        <v>#VALUE!</v>
      </c>
      <c r="CB419" s="5" t="e">
        <f t="shared" si="425"/>
        <v>#VALUE!</v>
      </c>
      <c r="CC419" s="5">
        <f t="shared" si="426"/>
        <v>-0.43463648226424229</v>
      </c>
      <c r="CD419" s="2" t="e">
        <f t="shared" si="427"/>
        <v>#VALUE!</v>
      </c>
      <c r="CE419" s="69">
        <f t="shared" si="428"/>
        <v>7</v>
      </c>
      <c r="CF419" s="5">
        <v>12400</v>
      </c>
      <c r="CG419" s="5">
        <v>-1.041601490937502</v>
      </c>
      <c r="CH419" s="72" t="e">
        <f t="shared" si="456"/>
        <v>#VALUE!</v>
      </c>
      <c r="CI419" s="72" t="e">
        <f t="shared" si="457"/>
        <v>#VALUE!</v>
      </c>
      <c r="CJ419" s="5" t="e">
        <f t="shared" si="429"/>
        <v>#VALUE!</v>
      </c>
      <c r="CK419" s="5">
        <f t="shared" si="430"/>
        <v>-1.041601490937502</v>
      </c>
      <c r="CL419" s="69">
        <f t="shared" si="431"/>
        <v>7</v>
      </c>
      <c r="CM419" s="5">
        <v>-1.663859362668225</v>
      </c>
      <c r="CN419" s="70">
        <f t="shared" si="432"/>
        <v>-0.5558815427577819</v>
      </c>
      <c r="CO419" s="5">
        <f t="shared" si="433"/>
        <v>-0.5558815427577819</v>
      </c>
      <c r="CP419" s="5">
        <f>IF(G419&lt;48,"UF", IF(NOT(ISBLANK(CM:CM)), CM:CM, IF(BW:BW=1, BV:BV+Sheet2!B609, IF(Sheet1!BW:BW=2, Sheet1!BV:BV+Sheet2!B610, IF(Sheet1!BW:BW=7, Sheet1!BV:BV+Sheet2!B611,"")))))</f>
        <v>-1.663859362668225</v>
      </c>
      <c r="CQ419" s="69">
        <f t="shared" si="458"/>
        <v>7</v>
      </c>
      <c r="CR419" s="5">
        <v>100</v>
      </c>
      <c r="CS419" s="5">
        <v>-0.2375006052106538</v>
      </c>
      <c r="CT419" s="5">
        <f t="shared" si="434"/>
        <v>0.19713587705358848</v>
      </c>
      <c r="CU419" s="80">
        <f t="shared" si="435"/>
        <v>0.19713587705358848</v>
      </c>
      <c r="CV419" s="80">
        <f t="shared" si="436"/>
        <v>1</v>
      </c>
      <c r="CW419" s="20">
        <f>IF(G419&lt;48,"UF", IF(NOT(ISBLANK(CS419)), CS419, IF(CE419=5, CC419+Sheet2!B598, IF(CE419=6, CC419+Sheet2!B599, IF(CE419=7, CC419+Sheet2!B600,"")))))</f>
        <v>-0.2375006052106538</v>
      </c>
      <c r="CX419" s="68">
        <f t="shared" si="459"/>
        <v>7</v>
      </c>
      <c r="CY419" s="5">
        <v>13700</v>
      </c>
      <c r="CZ419" s="5">
        <v>-1.2226041048999361</v>
      </c>
      <c r="DA419" s="5">
        <f t="shared" si="437"/>
        <v>-0.18100261396243411</v>
      </c>
      <c r="DB419" s="73">
        <f t="shared" si="438"/>
        <v>-0.18100261396243411</v>
      </c>
      <c r="DC419" s="73">
        <f t="shared" si="439"/>
        <v>-1</v>
      </c>
      <c r="DD419" s="5">
        <f>IF(G419&lt;48,"UF", IF(NOT(ISBLANK(CZ:CZ)), CZ:CZ, IF(CL:CL=3, CK:CK+Sheet2!B603, IF(CL:CL=4, CK:CK+Sheet2!B604, IF(CL:CL=7, CK:CK+Sheet2!B605,"")))))</f>
        <v>-1.2226041048999361</v>
      </c>
      <c r="DE419" s="69">
        <f t="shared" si="397"/>
        <v>7</v>
      </c>
      <c r="DF419" s="2">
        <v>2</v>
      </c>
      <c r="DG419" s="2">
        <v>37</v>
      </c>
      <c r="DH419" s="2">
        <v>1</v>
      </c>
      <c r="DI419" s="2">
        <v>2</v>
      </c>
      <c r="DJ419" s="2">
        <v>1</v>
      </c>
      <c r="DK419" s="2">
        <v>119</v>
      </c>
      <c r="DL419" s="2">
        <v>76</v>
      </c>
      <c r="DM419" s="2">
        <v>120</v>
      </c>
      <c r="DN419" s="2">
        <v>80</v>
      </c>
      <c r="DO419" s="2">
        <v>140</v>
      </c>
      <c r="DP419" s="2">
        <v>98</v>
      </c>
      <c r="DQ419" s="2">
        <v>2</v>
      </c>
      <c r="DR419" s="2">
        <v>38</v>
      </c>
      <c r="DS419" s="2">
        <v>2</v>
      </c>
      <c r="DT419" s="2">
        <v>72</v>
      </c>
      <c r="DU419" s="2">
        <v>68</v>
      </c>
      <c r="DV419" s="2">
        <v>3</v>
      </c>
      <c r="DW419" s="2">
        <v>3</v>
      </c>
      <c r="DX419" s="2">
        <v>2</v>
      </c>
      <c r="DY419" s="2">
        <v>3</v>
      </c>
      <c r="DZ419" s="2">
        <v>32.5</v>
      </c>
      <c r="EA419" s="2">
        <v>33.5</v>
      </c>
      <c r="EB419" s="2">
        <v>46</v>
      </c>
      <c r="EC419" s="2">
        <v>1</v>
      </c>
      <c r="ED419" s="2">
        <v>1</v>
      </c>
    </row>
    <row r="420" spans="1:134" x14ac:dyDescent="0.25">
      <c r="C420" s="2" t="s">
        <v>155</v>
      </c>
      <c r="D420" s="2">
        <v>5150470791</v>
      </c>
      <c r="E420" s="5">
        <v>6</v>
      </c>
      <c r="F420" s="2">
        <v>1</v>
      </c>
      <c r="G420" s="2">
        <v>36</v>
      </c>
      <c r="H420" s="2">
        <v>-0.95948012325352849</v>
      </c>
      <c r="I420" s="2">
        <v>52</v>
      </c>
      <c r="J420" s="2">
        <v>1.531272843240846</v>
      </c>
      <c r="K420" s="5">
        <v>3300</v>
      </c>
      <c r="L420" s="2">
        <v>0.14707338780410831</v>
      </c>
      <c r="M420" s="2">
        <v>-1.3933</v>
      </c>
      <c r="N420" s="2">
        <f t="shared" si="399"/>
        <v>8.5440061626764263E-2</v>
      </c>
      <c r="O420" s="2">
        <f t="shared" si="400"/>
        <v>-1.3933</v>
      </c>
      <c r="P420" s="2">
        <v>67</v>
      </c>
      <c r="Q420" s="2">
        <v>0.55000000000000004</v>
      </c>
      <c r="R420" s="5">
        <f t="shared" si="401"/>
        <v>-1.350636421620423</v>
      </c>
      <c r="S420" s="5">
        <f t="shared" si="402"/>
        <v>0.55000000000000004</v>
      </c>
      <c r="T420" s="1">
        <v>6700</v>
      </c>
      <c r="U420" s="2">
        <v>-0.71</v>
      </c>
      <c r="V420" s="2">
        <f t="shared" si="403"/>
        <v>-0.69353669390205419</v>
      </c>
      <c r="W420" s="2">
        <f t="shared" si="404"/>
        <v>-0.71</v>
      </c>
      <c r="X420" s="2">
        <v>-0.78859999999999997</v>
      </c>
      <c r="Y420" s="76">
        <f t="shared" si="440"/>
        <v>0.17088012325352853</v>
      </c>
      <c r="Z420" s="76">
        <f t="shared" si="441"/>
        <v>1</v>
      </c>
      <c r="AA420" s="2">
        <f t="shared" si="405"/>
        <v>-0.88180000000000003</v>
      </c>
      <c r="AB420" s="2">
        <f t="shared" si="406"/>
        <v>-0.78859999999999997</v>
      </c>
      <c r="AC420" s="2">
        <v>71</v>
      </c>
      <c r="AD420" s="2">
        <v>-1.17</v>
      </c>
      <c r="AE420" s="79">
        <f t="shared" si="442"/>
        <v>-2.7012728432408459</v>
      </c>
      <c r="AF420" s="79">
        <f t="shared" si="443"/>
        <v>-2</v>
      </c>
      <c r="AG420" s="2">
        <f t="shared" si="461"/>
        <v>-1.085</v>
      </c>
      <c r="AH420" s="2">
        <f t="shared" si="407"/>
        <v>-1.17</v>
      </c>
      <c r="AI420" s="2">
        <v>7700</v>
      </c>
      <c r="AJ420" s="2">
        <v>-1.24</v>
      </c>
      <c r="AK420" s="76">
        <f t="shared" si="444"/>
        <v>-1.3870733878041084</v>
      </c>
      <c r="AL420" s="76">
        <f t="shared" si="445"/>
        <v>-2</v>
      </c>
      <c r="AM420" s="2">
        <f t="shared" si="408"/>
        <v>-0.57000000000000006</v>
      </c>
      <c r="AN420" s="2">
        <f t="shared" si="409"/>
        <v>-1.24</v>
      </c>
      <c r="AO420" s="2">
        <v>-1.2136</v>
      </c>
      <c r="AP420" s="2">
        <f t="shared" si="410"/>
        <v>0.26031767146217888</v>
      </c>
      <c r="AQ420" s="2">
        <f t="shared" si="411"/>
        <v>-1.2136</v>
      </c>
      <c r="AR420" s="2">
        <v>76</v>
      </c>
      <c r="AS420" s="2">
        <v>-1.62</v>
      </c>
      <c r="AT420" s="2">
        <f t="shared" si="412"/>
        <v>-0.32989819213479354</v>
      </c>
      <c r="AU420" s="2">
        <f t="shared" si="413"/>
        <v>-1.62</v>
      </c>
      <c r="AV420" s="2">
        <v>8200</v>
      </c>
      <c r="AW420" s="2">
        <v>-1.85</v>
      </c>
      <c r="AX420" s="2">
        <f t="shared" si="414"/>
        <v>-0.34648431136150404</v>
      </c>
      <c r="AY420" s="2">
        <f t="shared" si="415"/>
        <v>-1.85</v>
      </c>
      <c r="AZ420" s="2">
        <v>-0.26796465707564221</v>
      </c>
      <c r="BA420" s="78">
        <f t="shared" si="446"/>
        <v>0.52063534292435776</v>
      </c>
      <c r="BB420" s="78">
        <f t="shared" si="447"/>
        <v>1</v>
      </c>
      <c r="BC420" s="2">
        <f t="shared" si="416"/>
        <v>-0.43820484915370866</v>
      </c>
      <c r="BD420" s="2">
        <f t="shared" si="417"/>
        <v>-0.26796465707564221</v>
      </c>
      <c r="BE420" s="67">
        <f t="shared" si="448"/>
        <v>7</v>
      </c>
      <c r="BF420" s="2">
        <v>79</v>
      </c>
      <c r="BG420" s="2">
        <v>-1.829796384269587</v>
      </c>
      <c r="BH420" s="2">
        <f t="shared" si="418"/>
        <v>0.43752647748899398</v>
      </c>
      <c r="BI420" s="2">
        <f t="shared" si="419"/>
        <v>-1.829796384269587</v>
      </c>
      <c r="BJ420" s="67">
        <f t="shared" si="420"/>
        <v>7</v>
      </c>
      <c r="BK420" s="2">
        <v>10000</v>
      </c>
      <c r="BL420" s="2">
        <v>-1.9329686227230081</v>
      </c>
      <c r="BM420" s="77">
        <f t="shared" si="449"/>
        <v>-0.69296862272300808</v>
      </c>
      <c r="BN420" s="77">
        <f t="shared" si="450"/>
        <v>-2</v>
      </c>
      <c r="BO420" s="2">
        <f t="shared" si="421"/>
        <v>2.3082974174202686E-2</v>
      </c>
      <c r="BP420" s="2">
        <f t="shared" si="422"/>
        <v>-1.9329686227230081</v>
      </c>
      <c r="BQ420" s="67">
        <f t="shared" si="451"/>
        <v>7</v>
      </c>
      <c r="BR420" s="5">
        <v>-2.5282145474611259</v>
      </c>
      <c r="BS420" s="75">
        <f t="shared" si="452"/>
        <v>-2.2602498903854835</v>
      </c>
      <c r="BT420" s="75">
        <f t="shared" si="453"/>
        <v>-2</v>
      </c>
      <c r="BU420" s="5" t="str">
        <f>IF(G427&gt;=36, IF(AND(NOT(ISBLANK(CM:CM)), NOT(ISBLANK(BD:BD))), (CM:CM-BD:BD)/2, ""), "UF")</f>
        <v/>
      </c>
      <c r="BV420" s="5">
        <f t="shared" si="423"/>
        <v>-2.5282145474611259</v>
      </c>
      <c r="BW420" s="69">
        <f t="shared" si="424"/>
        <v>2</v>
      </c>
      <c r="BX420" s="2">
        <v>93</v>
      </c>
      <c r="BY420" s="5">
        <v>-0.30742056753301811</v>
      </c>
      <c r="BZ420" s="74">
        <f t="shared" si="454"/>
        <v>1.6255480551899899</v>
      </c>
      <c r="CA420" s="74">
        <f t="shared" si="455"/>
        <v>2</v>
      </c>
      <c r="CB420" s="5" t="str">
        <f t="shared" si="425"/>
        <v/>
      </c>
      <c r="CC420" s="5">
        <f t="shared" si="426"/>
        <v>-0.30742056753301811</v>
      </c>
      <c r="CD420" s="2">
        <f t="shared" si="427"/>
        <v>1.5223758167365689</v>
      </c>
      <c r="CE420" s="69">
        <f t="shared" si="428"/>
        <v>7</v>
      </c>
      <c r="CF420" s="5">
        <v>11500</v>
      </c>
      <c r="CG420" s="5">
        <v>-1.780751077477392</v>
      </c>
      <c r="CH420" s="72">
        <f t="shared" si="456"/>
        <v>0.15221754524561604</v>
      </c>
      <c r="CI420" s="72">
        <f t="shared" si="457"/>
        <v>1</v>
      </c>
      <c r="CJ420" s="5" t="str">
        <f t="shared" si="429"/>
        <v/>
      </c>
      <c r="CK420" s="5">
        <f t="shared" si="430"/>
        <v>-1.780751077477392</v>
      </c>
      <c r="CL420" s="69">
        <f t="shared" si="431"/>
        <v>7</v>
      </c>
      <c r="CN420" s="70" t="str">
        <f t="shared" si="432"/>
        <v/>
      </c>
      <c r="CO420" s="5" t="str">
        <f t="shared" si="433"/>
        <v>UF</v>
      </c>
      <c r="CP420" s="5" t="str">
        <f>IF(G420&lt;48,"UF", IF(NOT(ISBLANK(CM:CM)), CM:CM, IF(BW:BW=1, BV:BV+Sheet2!B293, IF(Sheet1!BW:BW=2, Sheet1!BV:BV+Sheet2!B294, IF(Sheet1!BW:BW=7, Sheet1!BV:BV+Sheet2!B295,"")))))</f>
        <v>UF</v>
      </c>
      <c r="CQ420" s="69" t="str">
        <f t="shared" si="458"/>
        <v/>
      </c>
      <c r="CR420" s="5" t="s">
        <v>12</v>
      </c>
      <c r="CT420" s="5" t="str">
        <f t="shared" si="434"/>
        <v/>
      </c>
      <c r="CU420" s="80" t="str">
        <f t="shared" si="435"/>
        <v>UF</v>
      </c>
      <c r="CV420" s="80" t="str">
        <f t="shared" si="436"/>
        <v>UF</v>
      </c>
      <c r="CW420" s="20" t="str">
        <f>IF(G420&lt;48,"UF", IF(NOT(ISBLANK(CS420)), CS420, IF(CE420=5, CC420+Sheet2!B282, IF(CE420=6, CC420+Sheet2!B283, IF(CE420=7, CC420+Sheet2!B284,"")))))</f>
        <v>UF</v>
      </c>
      <c r="CX420" s="68" t="str">
        <f t="shared" si="459"/>
        <v/>
      </c>
      <c r="CY420" s="5" t="s">
        <v>12</v>
      </c>
      <c r="DA420" s="5" t="str">
        <f t="shared" si="437"/>
        <v>UF</v>
      </c>
      <c r="DB420" s="73" t="str">
        <f t="shared" si="438"/>
        <v>UF</v>
      </c>
      <c r="DC420" s="73" t="str">
        <f t="shared" si="439"/>
        <v>UF</v>
      </c>
      <c r="DD420" s="5" t="str">
        <f>IF(G420&lt;48,"UF", IF(NOT(ISBLANK(CZ:CZ)), CZ:CZ, IF(CL:CL=3, CK:CK+Sheet2!B287, IF(CL:CL=4, CK:CK+Sheet2!B288, IF(CL:CL=7, CK:CK+Sheet2!B289,"")))))</f>
        <v>UF</v>
      </c>
      <c r="DE420" s="69" t="str">
        <f t="shared" si="397"/>
        <v/>
      </c>
      <c r="DF420" s="2">
        <v>1</v>
      </c>
      <c r="DG420" s="2">
        <v>26</v>
      </c>
      <c r="DH420" s="2">
        <v>2</v>
      </c>
      <c r="DI420" s="2">
        <v>1</v>
      </c>
      <c r="DJ420" s="2">
        <v>2</v>
      </c>
      <c r="DK420" s="2">
        <v>115</v>
      </c>
      <c r="DL420" s="2">
        <v>70</v>
      </c>
      <c r="DM420" s="2">
        <v>110</v>
      </c>
      <c r="DN420" s="2">
        <v>70</v>
      </c>
      <c r="DO420" s="2">
        <v>120</v>
      </c>
      <c r="DP420" s="2">
        <v>74</v>
      </c>
      <c r="DQ420" s="2">
        <v>2</v>
      </c>
      <c r="DR420" s="2">
        <v>38</v>
      </c>
      <c r="DS420" s="2">
        <v>2</v>
      </c>
      <c r="DT420" s="2" t="s">
        <v>12</v>
      </c>
      <c r="DU420" s="2">
        <v>87</v>
      </c>
      <c r="DV420" s="2">
        <v>2</v>
      </c>
      <c r="DW420" s="2">
        <v>2</v>
      </c>
      <c r="DX420" s="2">
        <v>2</v>
      </c>
      <c r="DY420" s="2">
        <v>3</v>
      </c>
      <c r="DZ420" s="2">
        <v>33</v>
      </c>
      <c r="EA420" s="2">
        <v>34</v>
      </c>
      <c r="EB420" s="2">
        <v>45</v>
      </c>
      <c r="EC420" s="2">
        <v>1</v>
      </c>
      <c r="ED420" s="2">
        <v>1</v>
      </c>
    </row>
    <row r="421" spans="1:134" x14ac:dyDescent="0.25">
      <c r="C421" s="8" t="s">
        <v>320</v>
      </c>
      <c r="D421" s="8">
        <v>5150472141</v>
      </c>
      <c r="E421" s="5">
        <v>7</v>
      </c>
      <c r="F421" s="2">
        <v>2</v>
      </c>
      <c r="G421" s="2">
        <v>35</v>
      </c>
      <c r="H421" s="2">
        <v>0.5674829688268852</v>
      </c>
      <c r="I421" s="2">
        <v>49</v>
      </c>
      <c r="J421" s="2">
        <v>-0.46706379753639199</v>
      </c>
      <c r="K421" s="2">
        <v>3400</v>
      </c>
      <c r="L421" s="2">
        <v>0.1091247039083435</v>
      </c>
      <c r="M421" s="2">
        <v>1.7372000000000001</v>
      </c>
      <c r="N421" s="2">
        <f t="shared" si="399"/>
        <v>0.18590851558655741</v>
      </c>
      <c r="O421" s="2">
        <f t="shared" si="400"/>
        <v>1.7372000000000001</v>
      </c>
      <c r="P421" s="2">
        <v>67</v>
      </c>
      <c r="Q421" s="2">
        <v>-0.3</v>
      </c>
      <c r="R421" s="5">
        <f t="shared" si="401"/>
        <v>7.8531898768195996E-2</v>
      </c>
      <c r="S421" s="5">
        <f t="shared" si="402"/>
        <v>-0.3</v>
      </c>
      <c r="T421" s="2">
        <v>9000</v>
      </c>
      <c r="U421" s="2">
        <v>1.1499999999999999</v>
      </c>
      <c r="V421" s="2">
        <f t="shared" si="403"/>
        <v>0.20043764804582825</v>
      </c>
      <c r="W421" s="2">
        <f t="shared" si="404"/>
        <v>1.1499999999999999</v>
      </c>
      <c r="X421" s="2">
        <v>0.93930000000000002</v>
      </c>
      <c r="Y421" s="76">
        <f t="shared" si="440"/>
        <v>0.37181703117311482</v>
      </c>
      <c r="Z421" s="76">
        <f t="shared" si="441"/>
        <v>1</v>
      </c>
      <c r="AA421" s="2">
        <f t="shared" si="405"/>
        <v>0.48685</v>
      </c>
      <c r="AB421" s="2">
        <f t="shared" si="406"/>
        <v>0.93930000000000002</v>
      </c>
      <c r="AC421" s="2">
        <v>75</v>
      </c>
      <c r="AD421" s="2">
        <v>-0.31</v>
      </c>
      <c r="AE421" s="79">
        <f t="shared" si="442"/>
        <v>0.15706379753639199</v>
      </c>
      <c r="AF421" s="79">
        <f t="shared" si="443"/>
        <v>1</v>
      </c>
      <c r="AG421" s="2">
        <f t="shared" si="461"/>
        <v>-0.27</v>
      </c>
      <c r="AH421" s="2">
        <f t="shared" si="407"/>
        <v>-0.31</v>
      </c>
      <c r="AI421" s="2">
        <v>10200</v>
      </c>
      <c r="AJ421" s="2">
        <v>0.51</v>
      </c>
      <c r="AK421" s="76">
        <f t="shared" si="444"/>
        <v>0.40087529609165651</v>
      </c>
      <c r="AL421" s="76">
        <f t="shared" si="445"/>
        <v>1</v>
      </c>
      <c r="AM421" s="2">
        <f t="shared" si="408"/>
        <v>-0.59</v>
      </c>
      <c r="AN421" s="2">
        <f t="shared" si="409"/>
        <v>0.51</v>
      </c>
      <c r="AO421" s="2">
        <v>0.67369999999999997</v>
      </c>
      <c r="AP421" s="2">
        <f t="shared" si="410"/>
        <v>-0.44669044140268982</v>
      </c>
      <c r="AQ421" s="2">
        <f t="shared" si="411"/>
        <v>0.67369999999999997</v>
      </c>
      <c r="AR421" s="2">
        <v>80</v>
      </c>
      <c r="AS421" s="2">
        <v>-0.84</v>
      </c>
      <c r="AT421" s="2">
        <f t="shared" si="412"/>
        <v>-0.11025437276213998</v>
      </c>
      <c r="AU421" s="2">
        <f t="shared" si="413"/>
        <v>-0.84</v>
      </c>
      <c r="AV421" s="2">
        <v>10900</v>
      </c>
      <c r="AW421" s="2">
        <v>-0.03</v>
      </c>
      <c r="AX421" s="2">
        <f t="shared" si="414"/>
        <v>-0.53397891830913835</v>
      </c>
      <c r="AY421" s="2">
        <f t="shared" si="415"/>
        <v>-0.03</v>
      </c>
      <c r="AZ421" s="2">
        <v>4.591911719462035E-2</v>
      </c>
      <c r="BA421" s="78">
        <f t="shared" si="446"/>
        <v>-0.89338088280537964</v>
      </c>
      <c r="BB421" s="78">
        <f t="shared" si="447"/>
        <v>-2</v>
      </c>
      <c r="BC421" s="2" t="str">
        <f t="shared" si="416"/>
        <v/>
      </c>
      <c r="BD421" s="2">
        <f t="shared" si="417"/>
        <v>4.591911719462035E-2</v>
      </c>
      <c r="BE421" s="67">
        <f t="shared" si="448"/>
        <v>7</v>
      </c>
      <c r="BF421" s="2">
        <v>85</v>
      </c>
      <c r="BG421" s="2">
        <v>-0.53050874552427996</v>
      </c>
      <c r="BH421" s="2" t="str">
        <f t="shared" si="418"/>
        <v/>
      </c>
      <c r="BI421" s="2">
        <f t="shared" si="419"/>
        <v>-0.53050874552427996</v>
      </c>
      <c r="BJ421" s="67">
        <f t="shared" si="420"/>
        <v>7</v>
      </c>
      <c r="BK421" s="2">
        <v>12000</v>
      </c>
      <c r="BL421" s="2">
        <v>-0.5579578366182768</v>
      </c>
      <c r="BM421" s="77">
        <f t="shared" si="449"/>
        <v>-1.0679578366182767</v>
      </c>
      <c r="BN421" s="77">
        <f t="shared" si="450"/>
        <v>-2</v>
      </c>
      <c r="BO421" s="2" t="str">
        <f t="shared" si="421"/>
        <v/>
      </c>
      <c r="BP421" s="2">
        <f t="shared" si="422"/>
        <v>-0.5579578366182768</v>
      </c>
      <c r="BQ421" s="67">
        <f t="shared" si="451"/>
        <v>7</v>
      </c>
      <c r="BS421" s="75" t="str">
        <f t="shared" si="452"/>
        <v>UF</v>
      </c>
      <c r="BT421" s="75" t="str">
        <f t="shared" si="453"/>
        <v>UF</v>
      </c>
      <c r="BU421" s="5" t="str">
        <f>IF(G428&gt;=36, IF(AND(NOT(ISBLANK(CM:CM)), NOT(ISBLANK(BD:BD))), (CM:CM-BD:BD)/2, ""), "UF")</f>
        <v/>
      </c>
      <c r="BV421" s="5" t="str">
        <f t="shared" si="423"/>
        <v>UF</v>
      </c>
      <c r="BW421" s="69" t="str">
        <f t="shared" si="424"/>
        <v/>
      </c>
      <c r="BX421" s="2" t="s">
        <v>12</v>
      </c>
      <c r="BZ421" s="74" t="str">
        <f t="shared" si="454"/>
        <v>UF</v>
      </c>
      <c r="CA421" s="74" t="str">
        <f t="shared" si="455"/>
        <v>UF</v>
      </c>
      <c r="CB421" s="5" t="str">
        <f t="shared" si="425"/>
        <v>UF</v>
      </c>
      <c r="CC421" s="5" t="str">
        <f t="shared" si="426"/>
        <v>UF</v>
      </c>
      <c r="CD421" s="2" t="e">
        <f t="shared" si="427"/>
        <v>#VALUE!</v>
      </c>
      <c r="CE421" s="69" t="str">
        <f t="shared" si="428"/>
        <v/>
      </c>
      <c r="CF421" s="5" t="s">
        <v>12</v>
      </c>
      <c r="CH421" s="72" t="str">
        <f t="shared" si="456"/>
        <v>UF</v>
      </c>
      <c r="CI421" s="72" t="str">
        <f t="shared" si="457"/>
        <v>UF</v>
      </c>
      <c r="CJ421" s="5" t="str">
        <f t="shared" si="429"/>
        <v>UF</v>
      </c>
      <c r="CK421" s="5" t="str">
        <f t="shared" si="430"/>
        <v>UF</v>
      </c>
      <c r="CL421" s="69" t="str">
        <f t="shared" si="431"/>
        <v/>
      </c>
      <c r="CN421" s="70" t="str">
        <f t="shared" si="432"/>
        <v/>
      </c>
      <c r="CO421" s="5" t="str">
        <f t="shared" si="433"/>
        <v>UF</v>
      </c>
      <c r="CP421" s="5" t="str">
        <f>IF(G421&lt;48,"UF", IF(NOT(ISBLANK(CM:CM)), CM:CM, IF(BW:BW=1, BV:BV+Sheet2!B543, IF(Sheet1!BW:BW=2, Sheet1!BV:BV+Sheet2!B544, IF(Sheet1!BW:BW=7, Sheet1!BV:BV+Sheet2!B545,"")))))</f>
        <v>UF</v>
      </c>
      <c r="CQ421" s="69" t="str">
        <f t="shared" si="458"/>
        <v/>
      </c>
      <c r="CR421" s="5" t="s">
        <v>12</v>
      </c>
      <c r="CT421" s="5" t="str">
        <f t="shared" si="434"/>
        <v/>
      </c>
      <c r="CU421" s="80" t="str">
        <f t="shared" si="435"/>
        <v>UF</v>
      </c>
      <c r="CV421" s="80" t="str">
        <f t="shared" si="436"/>
        <v>UF</v>
      </c>
      <c r="CW421" s="20" t="str">
        <f>IF(G421&lt;48,"UF", IF(NOT(ISBLANK(CS421)), CS421, IF(CE421=5, CC421+Sheet2!B532, IF(CE421=6, CC421+Sheet2!B533, IF(CE421=7, CC421+Sheet2!B534,"")))))</f>
        <v>UF</v>
      </c>
      <c r="CX421" s="68" t="str">
        <f t="shared" si="459"/>
        <v/>
      </c>
      <c r="CY421" s="5" t="s">
        <v>12</v>
      </c>
      <c r="DA421" s="5" t="str">
        <f t="shared" si="437"/>
        <v>UF</v>
      </c>
      <c r="DB421" s="73" t="str">
        <f t="shared" si="438"/>
        <v>UF</v>
      </c>
      <c r="DC421" s="73" t="str">
        <f t="shared" si="439"/>
        <v>UF</v>
      </c>
      <c r="DD421" s="5" t="str">
        <f>IF(G421&lt;48,"UF", IF(NOT(ISBLANK(CZ:CZ)), CZ:CZ, IF(CL:CL=3, CK:CK+Sheet2!B537, IF(CL:CL=4, CK:CK+Sheet2!B538, IF(CL:CL=7, CK:CK+Sheet2!B539,"")))))</f>
        <v>UF</v>
      </c>
      <c r="DE421" s="69" t="str">
        <f t="shared" si="397"/>
        <v/>
      </c>
      <c r="DF421" s="2">
        <v>1</v>
      </c>
      <c r="DG421" s="2">
        <v>30</v>
      </c>
      <c r="DH421" s="2">
        <v>1</v>
      </c>
      <c r="DI421" s="2">
        <v>2</v>
      </c>
      <c r="DJ421" s="2">
        <v>2</v>
      </c>
      <c r="DK421" s="2">
        <v>120</v>
      </c>
      <c r="DL421" s="2">
        <v>70</v>
      </c>
      <c r="DM421" s="2">
        <v>120</v>
      </c>
      <c r="DN421" s="2">
        <v>80</v>
      </c>
      <c r="DO421" s="2" t="s">
        <v>12</v>
      </c>
      <c r="DP421" s="2" t="s">
        <v>12</v>
      </c>
      <c r="DQ421" s="2">
        <v>2</v>
      </c>
      <c r="DR421" s="2">
        <v>39</v>
      </c>
      <c r="DS421" s="2">
        <v>2</v>
      </c>
      <c r="DT421" s="2">
        <v>73</v>
      </c>
      <c r="DU421" s="2">
        <v>96</v>
      </c>
      <c r="DV421" s="2">
        <v>2</v>
      </c>
      <c r="DW421" s="2">
        <v>3</v>
      </c>
      <c r="DX421" s="2">
        <v>2</v>
      </c>
      <c r="DY421" s="2">
        <v>1</v>
      </c>
      <c r="DZ421" s="2">
        <v>35.5</v>
      </c>
      <c r="EA421" s="2">
        <v>36.5</v>
      </c>
      <c r="EB421" s="2">
        <v>46.5</v>
      </c>
      <c r="EC421" s="2">
        <v>1</v>
      </c>
      <c r="ED421" s="2">
        <v>1</v>
      </c>
    </row>
    <row r="422" spans="1:134" x14ac:dyDescent="0.25">
      <c r="C422" s="5" t="s">
        <v>144</v>
      </c>
      <c r="D422" s="2">
        <v>5150479861</v>
      </c>
      <c r="E422" s="5" t="s">
        <v>527</v>
      </c>
      <c r="F422" s="2">
        <v>2</v>
      </c>
      <c r="G422" s="2">
        <v>29</v>
      </c>
      <c r="H422" s="2">
        <v>-0.29148366740280929</v>
      </c>
      <c r="I422" s="2">
        <v>50</v>
      </c>
      <c r="J422" s="2">
        <v>6.1168777667580831E-2</v>
      </c>
      <c r="K422" s="5">
        <v>3260</v>
      </c>
      <c r="L422" s="2">
        <v>-0.17832501205547949</v>
      </c>
      <c r="M422" s="2">
        <v>-1.3395999999999999</v>
      </c>
      <c r="N422" s="2">
        <f t="shared" si="399"/>
        <v>-0.39350816629859536</v>
      </c>
      <c r="O422" s="2">
        <f t="shared" si="400"/>
        <v>-1.3395999999999999</v>
      </c>
      <c r="P422" s="2">
        <v>68</v>
      </c>
      <c r="Q422" s="2">
        <v>0.17</v>
      </c>
      <c r="R422" s="5">
        <f t="shared" si="401"/>
        <v>-0.81558438883379047</v>
      </c>
      <c r="S422" s="5">
        <f t="shared" si="402"/>
        <v>0.17</v>
      </c>
      <c r="T422" s="1">
        <v>7190</v>
      </c>
      <c r="U422" s="2">
        <v>-0.9</v>
      </c>
      <c r="V422" s="2">
        <f t="shared" si="403"/>
        <v>-0.76083749397226019</v>
      </c>
      <c r="W422" s="2">
        <f t="shared" si="404"/>
        <v>-0.9</v>
      </c>
      <c r="X422" s="2">
        <v>-1.0785</v>
      </c>
      <c r="Y422" s="76">
        <f t="shared" si="440"/>
        <v>-0.78701633259719073</v>
      </c>
      <c r="Z422" s="76">
        <f t="shared" si="441"/>
        <v>-2</v>
      </c>
      <c r="AA422" s="2">
        <f t="shared" si="405"/>
        <v>-0.65144999999999997</v>
      </c>
      <c r="AB422" s="2">
        <f t="shared" si="406"/>
        <v>-1.0785</v>
      </c>
      <c r="AC422" s="2">
        <v>72</v>
      </c>
      <c r="AD422" s="2">
        <v>-1.57</v>
      </c>
      <c r="AE422" s="79">
        <f t="shared" si="442"/>
        <v>-1.6311687776675809</v>
      </c>
      <c r="AF422" s="79">
        <f t="shared" si="443"/>
        <v>-2</v>
      </c>
      <c r="AG422" s="2">
        <f t="shared" si="461"/>
        <v>-0.875</v>
      </c>
      <c r="AH422" s="2">
        <f t="shared" si="407"/>
        <v>-1.57</v>
      </c>
      <c r="AI422" s="2">
        <v>8000</v>
      </c>
      <c r="AJ422" s="2">
        <v>-1.7</v>
      </c>
      <c r="AK422" s="76">
        <f t="shared" si="444"/>
        <v>-1.5216749879445204</v>
      </c>
      <c r="AL422" s="76">
        <f t="shared" si="445"/>
        <v>-2</v>
      </c>
      <c r="AM422" s="2">
        <f t="shared" si="408"/>
        <v>-0.42499999999999999</v>
      </c>
      <c r="AN422" s="2">
        <f t="shared" si="409"/>
        <v>-1.7</v>
      </c>
      <c r="AO422" s="2">
        <v>-1.1329</v>
      </c>
      <c r="AP422" s="2" t="str">
        <f t="shared" si="410"/>
        <v/>
      </c>
      <c r="AQ422" s="2">
        <f t="shared" si="411"/>
        <v>-1.1329</v>
      </c>
      <c r="AR422" s="2">
        <v>78</v>
      </c>
      <c r="AS422" s="2">
        <v>-1.58</v>
      </c>
      <c r="AT422" s="2" t="str">
        <f t="shared" si="412"/>
        <v/>
      </c>
      <c r="AU422" s="2">
        <f t="shared" si="413"/>
        <v>-1.58</v>
      </c>
      <c r="AV422" s="2">
        <v>9000</v>
      </c>
      <c r="AW422" s="2">
        <v>-1.75</v>
      </c>
      <c r="AX422" s="2" t="str">
        <f t="shared" si="414"/>
        <v/>
      </c>
      <c r="AY422" s="2">
        <f t="shared" si="415"/>
        <v>-1.75</v>
      </c>
      <c r="BA422" s="78" t="e">
        <f t="shared" si="446"/>
        <v>#VALUE!</v>
      </c>
      <c r="BB422" s="78" t="e">
        <f t="shared" si="447"/>
        <v>#VALUE!</v>
      </c>
      <c r="BC422" s="2" t="str">
        <f t="shared" si="416"/>
        <v/>
      </c>
      <c r="BD422" s="2" t="e">
        <f t="shared" si="417"/>
        <v>#VALUE!</v>
      </c>
      <c r="BE422" s="67" t="e">
        <f t="shared" si="448"/>
        <v>#VALUE!</v>
      </c>
      <c r="BF422" s="2" t="s">
        <v>12</v>
      </c>
      <c r="BH422" s="2" t="str">
        <f t="shared" si="418"/>
        <v/>
      </c>
      <c r="BI422" s="2" t="e">
        <f t="shared" si="419"/>
        <v>#VALUE!</v>
      </c>
      <c r="BJ422" s="67" t="e">
        <f t="shared" si="420"/>
        <v>#VALUE!</v>
      </c>
      <c r="BK422" s="2" t="s">
        <v>12</v>
      </c>
      <c r="BM422" s="77" t="e">
        <f t="shared" si="449"/>
        <v>#VALUE!</v>
      </c>
      <c r="BN422" s="77" t="e">
        <f t="shared" si="450"/>
        <v>#VALUE!</v>
      </c>
      <c r="BO422" s="2" t="str">
        <f t="shared" si="421"/>
        <v/>
      </c>
      <c r="BP422" s="2" t="e">
        <f t="shared" si="422"/>
        <v>#VALUE!</v>
      </c>
      <c r="BQ422" s="67" t="e">
        <f t="shared" si="451"/>
        <v>#VALUE!</v>
      </c>
      <c r="BS422" s="75" t="str">
        <f t="shared" si="452"/>
        <v>UF</v>
      </c>
      <c r="BT422" s="75" t="str">
        <f t="shared" si="453"/>
        <v>UF</v>
      </c>
      <c r="BU422" s="5" t="e">
        <f>IF(#REF!&gt;=36, IF(AND(NOT(ISBLANK(CM:CM)), NOT(ISBLANK(BD:BD))), (CM:CM-BD:BD)/2, ""), "UF")</f>
        <v>#REF!</v>
      </c>
      <c r="BV422" s="5" t="str">
        <f t="shared" si="423"/>
        <v>UF</v>
      </c>
      <c r="BW422" s="69" t="str">
        <f t="shared" si="424"/>
        <v/>
      </c>
      <c r="BX422" s="2" t="s">
        <v>12</v>
      </c>
      <c r="BZ422" s="74" t="str">
        <f t="shared" si="454"/>
        <v>UF</v>
      </c>
      <c r="CA422" s="74" t="str">
        <f t="shared" si="455"/>
        <v>UF</v>
      </c>
      <c r="CB422" s="5" t="str">
        <f t="shared" si="425"/>
        <v>UF</v>
      </c>
      <c r="CC422" s="5" t="str">
        <f t="shared" si="426"/>
        <v>UF</v>
      </c>
      <c r="CD422" s="2" t="e">
        <f t="shared" si="427"/>
        <v>#VALUE!</v>
      </c>
      <c r="CE422" s="69" t="str">
        <f t="shared" si="428"/>
        <v/>
      </c>
      <c r="CF422" s="5" t="s">
        <v>12</v>
      </c>
      <c r="CH422" s="72" t="str">
        <f t="shared" si="456"/>
        <v>UF</v>
      </c>
      <c r="CI422" s="72" t="str">
        <f t="shared" si="457"/>
        <v>UF</v>
      </c>
      <c r="CJ422" s="5" t="str">
        <f t="shared" si="429"/>
        <v>UF</v>
      </c>
      <c r="CK422" s="5" t="str">
        <f t="shared" si="430"/>
        <v>UF</v>
      </c>
      <c r="CL422" s="69" t="str">
        <f t="shared" si="431"/>
        <v/>
      </c>
      <c r="CN422" s="70" t="str">
        <f t="shared" si="432"/>
        <v/>
      </c>
      <c r="CO422" s="5" t="str">
        <f t="shared" si="433"/>
        <v>UF</v>
      </c>
      <c r="CP422" s="5" t="str">
        <f>IF(G422&lt;48,"UF", IF(NOT(ISBLANK(CM:CM)), CM:CM, IF(BW:BW=1, BV:BV+Sheet2!B211, IF(Sheet1!BW:BW=2, Sheet1!BV:BV+Sheet2!B212, IF(Sheet1!BW:BW=7, Sheet1!BV:BV+Sheet2!B213,"")))))</f>
        <v>UF</v>
      </c>
      <c r="CQ422" s="69" t="str">
        <f t="shared" si="458"/>
        <v/>
      </c>
      <c r="CR422" s="5" t="s">
        <v>12</v>
      </c>
      <c r="CT422" s="5" t="str">
        <f t="shared" si="434"/>
        <v/>
      </c>
      <c r="CU422" s="80" t="str">
        <f t="shared" si="435"/>
        <v>UF</v>
      </c>
      <c r="CV422" s="80" t="str">
        <f t="shared" si="436"/>
        <v>UF</v>
      </c>
      <c r="CW422" s="20" t="str">
        <f>IF(G422&lt;48,"UF", IF(NOT(ISBLANK(CS422)), CS422, IF(CE422=5, CC422+Sheet2!B200, IF(CE422=6, CC422+Sheet2!B201, IF(CE422=7, CC422+Sheet2!B202,"")))))</f>
        <v>UF</v>
      </c>
      <c r="CX422" s="68" t="str">
        <f t="shared" si="459"/>
        <v/>
      </c>
      <c r="CY422" s="5" t="s">
        <v>12</v>
      </c>
      <c r="DA422" s="5" t="str">
        <f t="shared" si="437"/>
        <v>UF</v>
      </c>
      <c r="DB422" s="73" t="str">
        <f t="shared" si="438"/>
        <v>UF</v>
      </c>
      <c r="DC422" s="73" t="str">
        <f t="shared" si="439"/>
        <v>UF</v>
      </c>
      <c r="DD422" s="5" t="str">
        <f>IF(G422&lt;48,"UF", IF(NOT(ISBLANK(CZ:CZ)), CZ:CZ, IF(CL:CL=3, CK:CK+Sheet2!B205, IF(CL:CL=4, CK:CK+Sheet2!B206, IF(CL:CL=7, CK:CK+Sheet2!B207,"")))))</f>
        <v>UF</v>
      </c>
      <c r="DE422" s="69" t="str">
        <f t="shared" si="397"/>
        <v/>
      </c>
      <c r="DF422" s="2">
        <v>1</v>
      </c>
      <c r="DG422" s="2">
        <v>29</v>
      </c>
      <c r="DH422" s="2">
        <v>2</v>
      </c>
      <c r="DI422" s="2">
        <v>2</v>
      </c>
      <c r="DJ422" s="2">
        <v>2</v>
      </c>
      <c r="DK422" s="2">
        <v>100</v>
      </c>
      <c r="DL422" s="2">
        <v>60</v>
      </c>
      <c r="DM422" s="2">
        <v>102</v>
      </c>
      <c r="DN422" s="2">
        <v>60</v>
      </c>
      <c r="DO422" s="2">
        <v>105</v>
      </c>
      <c r="DP422" s="2">
        <v>65</v>
      </c>
      <c r="DQ422" s="2">
        <v>2</v>
      </c>
      <c r="DR422" s="2">
        <v>40</v>
      </c>
      <c r="DS422" s="2">
        <v>2</v>
      </c>
      <c r="DT422" s="2">
        <v>89</v>
      </c>
      <c r="DU422" s="2">
        <v>84</v>
      </c>
      <c r="DV422" s="2">
        <v>2</v>
      </c>
      <c r="DW422" s="2">
        <v>3</v>
      </c>
      <c r="DX422" s="2">
        <v>2</v>
      </c>
      <c r="DY422" s="2">
        <v>1</v>
      </c>
      <c r="DZ422" s="2">
        <v>35</v>
      </c>
      <c r="EA422" s="2">
        <v>37</v>
      </c>
      <c r="EB422" s="2">
        <v>46.5</v>
      </c>
      <c r="EC422" s="2">
        <v>1</v>
      </c>
      <c r="ED422" s="2">
        <v>1</v>
      </c>
    </row>
    <row r="423" spans="1:134" x14ac:dyDescent="0.25">
      <c r="C423" s="8" t="s">
        <v>309</v>
      </c>
      <c r="D423" s="8">
        <v>5150484504</v>
      </c>
      <c r="E423" s="5">
        <v>7</v>
      </c>
      <c r="F423" s="2">
        <v>2</v>
      </c>
      <c r="G423" s="2">
        <v>24</v>
      </c>
      <c r="H423" s="2">
        <v>-1.5482335817165109</v>
      </c>
      <c r="I423" s="2">
        <v>50</v>
      </c>
      <c r="J423" s="2">
        <v>6.1168777667580831E-2</v>
      </c>
      <c r="K423" s="2">
        <v>2900</v>
      </c>
      <c r="L423" s="2">
        <v>-0.95643865409467577</v>
      </c>
      <c r="M423" s="2">
        <v>-1.5189999999999999</v>
      </c>
      <c r="N423" s="2">
        <f t="shared" si="399"/>
        <v>0.62931679085825543</v>
      </c>
      <c r="O423" s="2">
        <f t="shared" si="400"/>
        <v>-1.5189999999999999</v>
      </c>
      <c r="P423" s="2">
        <v>67</v>
      </c>
      <c r="Q423" s="2">
        <v>-0.3</v>
      </c>
      <c r="R423" s="5">
        <f t="shared" si="401"/>
        <v>-0.81558438883379047</v>
      </c>
      <c r="S423" s="5">
        <f t="shared" si="402"/>
        <v>-0.3</v>
      </c>
      <c r="T423" s="2">
        <v>6880</v>
      </c>
      <c r="U423" s="2">
        <v>-1.29</v>
      </c>
      <c r="V423" s="2">
        <f t="shared" si="403"/>
        <v>-9.1780672952662068E-2</v>
      </c>
      <c r="W423" s="2">
        <f t="shared" si="404"/>
        <v>-1.29</v>
      </c>
      <c r="X423" s="2">
        <v>-0.28960000000000002</v>
      </c>
      <c r="Y423" s="76">
        <f t="shared" si="440"/>
        <v>1.2586335817165109</v>
      </c>
      <c r="Z423" s="76">
        <f t="shared" si="441"/>
        <v>2</v>
      </c>
      <c r="AA423" s="2">
        <f t="shared" si="405"/>
        <v>0.74824999999999997</v>
      </c>
      <c r="AB423" s="2">
        <f t="shared" si="406"/>
        <v>-0.28960000000000002</v>
      </c>
      <c r="AC423" s="2">
        <v>72</v>
      </c>
      <c r="AD423" s="2">
        <v>-1.57</v>
      </c>
      <c r="AE423" s="79">
        <f t="shared" si="442"/>
        <v>-1.6311687776675809</v>
      </c>
      <c r="AF423" s="79">
        <f t="shared" si="443"/>
        <v>-2</v>
      </c>
      <c r="AG423" s="2">
        <f t="shared" si="461"/>
        <v>-1.1950000000000001</v>
      </c>
      <c r="AH423" s="2">
        <f t="shared" si="407"/>
        <v>-1.57</v>
      </c>
      <c r="AI423" s="2">
        <v>8510</v>
      </c>
      <c r="AJ423" s="2">
        <v>-1.1399999999999999</v>
      </c>
      <c r="AK423" s="76">
        <f t="shared" si="444"/>
        <v>-0.18356134590532414</v>
      </c>
      <c r="AL423" s="76">
        <f t="shared" si="445"/>
        <v>-1</v>
      </c>
      <c r="AM423" s="2">
        <f t="shared" si="408"/>
        <v>0.24</v>
      </c>
      <c r="AN423" s="2">
        <f t="shared" si="409"/>
        <v>-1.1399999999999999</v>
      </c>
      <c r="AO423" s="2">
        <v>1.1964999999999999</v>
      </c>
      <c r="AP423" s="2" t="str">
        <f t="shared" si="410"/>
        <v/>
      </c>
      <c r="AQ423" s="2">
        <f t="shared" si="411"/>
        <v>1.1964999999999999</v>
      </c>
      <c r="AR423" s="2">
        <v>75</v>
      </c>
      <c r="AS423" s="2">
        <v>-2.69</v>
      </c>
      <c r="AT423" s="2" t="str">
        <f t="shared" si="412"/>
        <v/>
      </c>
      <c r="AU423" s="2">
        <f t="shared" si="413"/>
        <v>-2.69</v>
      </c>
      <c r="AV423" s="2">
        <v>10000</v>
      </c>
      <c r="AW423" s="2">
        <v>-0.81</v>
      </c>
      <c r="AX423" s="2" t="str">
        <f t="shared" si="414"/>
        <v/>
      </c>
      <c r="AY423" s="2">
        <f t="shared" si="415"/>
        <v>-0.81</v>
      </c>
      <c r="BA423" s="78" t="e">
        <f t="shared" si="446"/>
        <v>#VALUE!</v>
      </c>
      <c r="BB423" s="78" t="e">
        <f t="shared" si="447"/>
        <v>#VALUE!</v>
      </c>
      <c r="BC423" s="2" t="str">
        <f t="shared" si="416"/>
        <v/>
      </c>
      <c r="BD423" s="2" t="e">
        <f t="shared" si="417"/>
        <v>#VALUE!</v>
      </c>
      <c r="BE423" s="67" t="e">
        <f t="shared" si="448"/>
        <v>#VALUE!</v>
      </c>
      <c r="BF423" s="2" t="s">
        <v>12</v>
      </c>
      <c r="BH423" s="2" t="str">
        <f t="shared" si="418"/>
        <v/>
      </c>
      <c r="BI423" s="2" t="e">
        <f t="shared" si="419"/>
        <v>#VALUE!</v>
      </c>
      <c r="BJ423" s="67" t="e">
        <f t="shared" si="420"/>
        <v>#VALUE!</v>
      </c>
      <c r="BK423" s="2" t="s">
        <v>12</v>
      </c>
      <c r="BM423" s="77" t="e">
        <f t="shared" si="449"/>
        <v>#VALUE!</v>
      </c>
      <c r="BN423" s="77" t="e">
        <f t="shared" si="450"/>
        <v>#VALUE!</v>
      </c>
      <c r="BO423" s="2" t="str">
        <f t="shared" si="421"/>
        <v/>
      </c>
      <c r="BP423" s="2" t="e">
        <f t="shared" si="422"/>
        <v>#VALUE!</v>
      </c>
      <c r="BQ423" s="67" t="e">
        <f t="shared" si="451"/>
        <v>#VALUE!</v>
      </c>
      <c r="BS423" s="75" t="str">
        <f t="shared" si="452"/>
        <v>UF</v>
      </c>
      <c r="BT423" s="75" t="str">
        <f t="shared" si="453"/>
        <v>UF</v>
      </c>
      <c r="BU423" s="5" t="str">
        <f t="shared" ref="BU423:BU428" si="462">IF(G429&gt;=36, IF(AND(NOT(ISBLANK(CM:CM)), NOT(ISBLANK(BD:BD))), (CM:CM-BD:BD)/2, ""), "UF")</f>
        <v/>
      </c>
      <c r="BV423" s="5" t="str">
        <f t="shared" si="423"/>
        <v>UF</v>
      </c>
      <c r="BW423" s="69" t="str">
        <f t="shared" si="424"/>
        <v/>
      </c>
      <c r="BX423" s="2" t="s">
        <v>12</v>
      </c>
      <c r="BZ423" s="74" t="str">
        <f t="shared" si="454"/>
        <v>UF</v>
      </c>
      <c r="CA423" s="74" t="str">
        <f t="shared" si="455"/>
        <v>UF</v>
      </c>
      <c r="CB423" s="5" t="str">
        <f t="shared" si="425"/>
        <v>UF</v>
      </c>
      <c r="CC423" s="5" t="str">
        <f t="shared" si="426"/>
        <v>UF</v>
      </c>
      <c r="CD423" s="2" t="e">
        <f t="shared" si="427"/>
        <v>#VALUE!</v>
      </c>
      <c r="CE423" s="69" t="str">
        <f t="shared" si="428"/>
        <v/>
      </c>
      <c r="CF423" s="5" t="s">
        <v>12</v>
      </c>
      <c r="CH423" s="72" t="str">
        <f t="shared" si="456"/>
        <v>UF</v>
      </c>
      <c r="CI423" s="72" t="str">
        <f t="shared" si="457"/>
        <v>UF</v>
      </c>
      <c r="CJ423" s="5" t="str">
        <f t="shared" si="429"/>
        <v>UF</v>
      </c>
      <c r="CK423" s="5" t="str">
        <f t="shared" si="430"/>
        <v>UF</v>
      </c>
      <c r="CL423" s="69" t="str">
        <f t="shared" si="431"/>
        <v/>
      </c>
      <c r="CN423" s="70" t="str">
        <f t="shared" si="432"/>
        <v/>
      </c>
      <c r="CO423" s="5" t="str">
        <f t="shared" si="433"/>
        <v>UF</v>
      </c>
      <c r="CP423" s="5" t="str">
        <f>IF(G423&lt;48,"UF", IF(NOT(ISBLANK(CM:CM)), CM:CM, IF(BW:BW=1, BV:BV+Sheet2!B525, IF(Sheet1!BW:BW=2, Sheet1!BV:BV+Sheet2!B526, IF(Sheet1!BW:BW=7, Sheet1!BV:BV+Sheet2!B527,"")))))</f>
        <v>UF</v>
      </c>
      <c r="CQ423" s="69" t="str">
        <f t="shared" si="458"/>
        <v/>
      </c>
      <c r="CR423" s="5" t="s">
        <v>12</v>
      </c>
      <c r="CT423" s="5" t="str">
        <f t="shared" si="434"/>
        <v/>
      </c>
      <c r="CU423" s="80" t="str">
        <f t="shared" si="435"/>
        <v>UF</v>
      </c>
      <c r="CV423" s="80" t="str">
        <f t="shared" si="436"/>
        <v>UF</v>
      </c>
      <c r="CW423" s="20" t="str">
        <f>IF(G423&lt;48,"UF", IF(NOT(ISBLANK(CS423)), CS423, IF(CE423=5, CC423+Sheet2!B514, IF(CE423=6, CC423+Sheet2!B515, IF(CE423=7, CC423+Sheet2!B516,"")))))</f>
        <v>UF</v>
      </c>
      <c r="CX423" s="68" t="str">
        <f t="shared" si="459"/>
        <v/>
      </c>
      <c r="CY423" s="5" t="s">
        <v>12</v>
      </c>
      <c r="DA423" s="5" t="str">
        <f t="shared" si="437"/>
        <v>UF</v>
      </c>
      <c r="DB423" s="73" t="str">
        <f t="shared" si="438"/>
        <v>UF</v>
      </c>
      <c r="DC423" s="73" t="str">
        <f t="shared" si="439"/>
        <v>UF</v>
      </c>
      <c r="DD423" s="5" t="str">
        <f>IF(G423&lt;48,"UF", IF(NOT(ISBLANK(CZ:CZ)), CZ:CZ, IF(CL:CL=3, CK:CK+Sheet2!B519, IF(CL:CL=4, CK:CK+Sheet2!B520, IF(CL:CL=7, CK:CK+Sheet2!B521,"")))))</f>
        <v>UF</v>
      </c>
      <c r="DE423" s="69" t="str">
        <f t="shared" si="397"/>
        <v/>
      </c>
      <c r="DF423" s="2">
        <v>1</v>
      </c>
      <c r="DG423" s="2">
        <v>18</v>
      </c>
      <c r="DH423" s="2">
        <v>2</v>
      </c>
      <c r="DI423" s="2">
        <v>1</v>
      </c>
      <c r="DJ423" s="2">
        <v>2</v>
      </c>
      <c r="DK423" s="2">
        <v>102</v>
      </c>
      <c r="DL423" s="2">
        <v>62</v>
      </c>
      <c r="DM423" s="2">
        <v>110</v>
      </c>
      <c r="DN423" s="2">
        <v>70</v>
      </c>
      <c r="DO423" s="2" t="s">
        <v>12</v>
      </c>
      <c r="DP423" s="2" t="s">
        <v>12</v>
      </c>
      <c r="DQ423" s="2">
        <v>2</v>
      </c>
      <c r="DR423" s="2">
        <v>38</v>
      </c>
      <c r="DS423" s="2">
        <v>2</v>
      </c>
      <c r="DT423" s="2">
        <v>70</v>
      </c>
      <c r="DU423" s="2">
        <v>64</v>
      </c>
      <c r="DV423" s="2">
        <v>2</v>
      </c>
      <c r="DW423" s="2">
        <v>3</v>
      </c>
      <c r="DX423" s="2">
        <v>2</v>
      </c>
      <c r="DY423" s="2">
        <v>3</v>
      </c>
      <c r="DZ423" s="2">
        <v>35</v>
      </c>
      <c r="EA423" s="2" t="s">
        <v>12</v>
      </c>
      <c r="EB423" s="2">
        <v>45</v>
      </c>
      <c r="EC423" s="2" t="s">
        <v>12</v>
      </c>
      <c r="ED423" s="2">
        <v>1</v>
      </c>
    </row>
    <row r="424" spans="1:134" x14ac:dyDescent="0.25">
      <c r="C424" s="8" t="s">
        <v>210</v>
      </c>
      <c r="D424" s="53">
        <v>6490187851</v>
      </c>
      <c r="E424" s="5">
        <v>7</v>
      </c>
      <c r="F424" s="2">
        <v>1</v>
      </c>
      <c r="G424" s="2">
        <v>58</v>
      </c>
      <c r="H424" s="2">
        <v>0.18198889555719061</v>
      </c>
      <c r="I424" s="2">
        <v>48</v>
      </c>
      <c r="J424" s="2">
        <v>-0.61614996855203885</v>
      </c>
      <c r="K424" s="1">
        <v>3125</v>
      </c>
      <c r="L424" s="2">
        <v>-0.2364898208883143</v>
      </c>
      <c r="M424" s="2">
        <v>1.0450999999999999</v>
      </c>
      <c r="N424" s="2">
        <f t="shared" si="399"/>
        <v>0.58965555222140464</v>
      </c>
      <c r="O424" s="2">
        <f t="shared" si="400"/>
        <v>1.0450999999999999</v>
      </c>
      <c r="P424" s="2">
        <v>66</v>
      </c>
      <c r="Q424" s="2">
        <v>0.11</v>
      </c>
      <c r="R424" s="5">
        <f t="shared" si="401"/>
        <v>0.50307498427601938</v>
      </c>
      <c r="S424" s="5">
        <f t="shared" si="402"/>
        <v>0.11</v>
      </c>
      <c r="T424" s="2">
        <v>8100</v>
      </c>
      <c r="U424" s="2">
        <v>0.85</v>
      </c>
      <c r="V424" s="2">
        <f t="shared" si="403"/>
        <v>0.72324491044415717</v>
      </c>
      <c r="W424" s="2">
        <f t="shared" si="404"/>
        <v>0.85</v>
      </c>
      <c r="X424" s="2">
        <v>1.3613</v>
      </c>
      <c r="Y424" s="76">
        <f t="shared" si="440"/>
        <v>1.1793111044428093</v>
      </c>
      <c r="Z424" s="76">
        <f t="shared" si="441"/>
        <v>2</v>
      </c>
      <c r="AA424" s="2">
        <f t="shared" si="405"/>
        <v>0.6228499999999999</v>
      </c>
      <c r="AB424" s="2">
        <f t="shared" si="406"/>
        <v>1.3613</v>
      </c>
      <c r="AC424" s="2">
        <v>75</v>
      </c>
      <c r="AD424" s="2">
        <v>0.39</v>
      </c>
      <c r="AE424" s="79">
        <f t="shared" si="442"/>
        <v>1.0061499685520388</v>
      </c>
      <c r="AF424" s="79">
        <f t="shared" si="443"/>
        <v>2</v>
      </c>
      <c r="AG424" s="2">
        <f t="shared" si="461"/>
        <v>-0.09</v>
      </c>
      <c r="AH424" s="2">
        <f t="shared" si="407"/>
        <v>0.39</v>
      </c>
      <c r="AI424" s="2">
        <v>10400</v>
      </c>
      <c r="AJ424" s="2">
        <v>1.21</v>
      </c>
      <c r="AK424" s="76">
        <f t="shared" si="444"/>
        <v>1.4464898208883143</v>
      </c>
      <c r="AL424" s="76">
        <f t="shared" si="445"/>
        <v>2</v>
      </c>
      <c r="AM424" s="2">
        <f t="shared" si="408"/>
        <v>4.0000000000000036E-2</v>
      </c>
      <c r="AN424" s="2">
        <f t="shared" si="409"/>
        <v>1.21</v>
      </c>
      <c r="AO424" s="2">
        <v>1.3556999999999999</v>
      </c>
      <c r="AP424" s="2">
        <f t="shared" si="410"/>
        <v>-0.3705292980349334</v>
      </c>
      <c r="AQ424" s="2">
        <f t="shared" si="411"/>
        <v>1.3556999999999999</v>
      </c>
      <c r="AR424" s="2">
        <v>80.5</v>
      </c>
      <c r="AS424" s="2">
        <v>-7.0000000000000007E-2</v>
      </c>
      <c r="AT424" s="2">
        <f t="shared" si="412"/>
        <v>-0.25192663017451999</v>
      </c>
      <c r="AU424" s="2">
        <f t="shared" si="413"/>
        <v>-7.0000000000000007E-2</v>
      </c>
      <c r="AV424" s="2">
        <v>11500</v>
      </c>
      <c r="AW424" s="2">
        <v>0.93</v>
      </c>
      <c r="AX424" s="2">
        <f t="shared" si="414"/>
        <v>-0.46882636988942933</v>
      </c>
      <c r="AY424" s="2">
        <f t="shared" si="415"/>
        <v>0.93</v>
      </c>
      <c r="AZ424" s="2">
        <v>0.62024140393013316</v>
      </c>
      <c r="BA424" s="78">
        <f t="shared" si="446"/>
        <v>-0.74105859606986679</v>
      </c>
      <c r="BB424" s="78">
        <f t="shared" si="447"/>
        <v>-2</v>
      </c>
      <c r="BC424" s="2">
        <f t="shared" si="416"/>
        <v>-0.3561845357100113</v>
      </c>
      <c r="BD424" s="2">
        <f t="shared" si="417"/>
        <v>0.62024140393013316</v>
      </c>
      <c r="BE424" s="67">
        <f t="shared" si="448"/>
        <v>7</v>
      </c>
      <c r="BF424" s="2">
        <v>85</v>
      </c>
      <c r="BG424" s="2">
        <v>-0.11385326034904</v>
      </c>
      <c r="BH424" s="2" t="str">
        <f t="shared" si="418"/>
        <v/>
      </c>
      <c r="BI424" s="2">
        <f t="shared" si="419"/>
        <v>-0.11385326034904</v>
      </c>
      <c r="BJ424" s="67">
        <f t="shared" si="420"/>
        <v>7</v>
      </c>
      <c r="BK424" s="2">
        <v>12500</v>
      </c>
      <c r="BL424" s="2">
        <v>0.27234726022114131</v>
      </c>
      <c r="BM424" s="77">
        <f t="shared" si="449"/>
        <v>-0.93765273977885866</v>
      </c>
      <c r="BN424" s="77">
        <f t="shared" si="450"/>
        <v>-2</v>
      </c>
      <c r="BO424" s="2">
        <f t="shared" si="421"/>
        <v>-0.20252370388070914</v>
      </c>
      <c r="BP424" s="2">
        <f t="shared" si="422"/>
        <v>0.27234726022114131</v>
      </c>
      <c r="BQ424" s="67">
        <f t="shared" si="451"/>
        <v>7</v>
      </c>
      <c r="BR424" s="5">
        <v>0.28714639286996613</v>
      </c>
      <c r="BS424" s="75">
        <f t="shared" si="452"/>
        <v>-0.33309501106016703</v>
      </c>
      <c r="BT424" s="75">
        <f t="shared" si="453"/>
        <v>-1</v>
      </c>
      <c r="BU424" s="5">
        <f t="shared" si="462"/>
        <v>-0.27718798847535076</v>
      </c>
      <c r="BV424" s="5">
        <f t="shared" si="423"/>
        <v>0.28714639286996613</v>
      </c>
      <c r="BW424" s="69">
        <f t="shared" si="424"/>
        <v>7</v>
      </c>
      <c r="BX424" s="2">
        <v>95</v>
      </c>
      <c r="BZ424" s="74">
        <f t="shared" si="454"/>
        <v>-0.21916420445417148</v>
      </c>
      <c r="CA424" s="74">
        <f t="shared" si="455"/>
        <v>-1</v>
      </c>
      <c r="CB424" s="5">
        <f t="shared" si="425"/>
        <v>0.16703631611600983</v>
      </c>
      <c r="CC424" s="5">
        <f t="shared" si="426"/>
        <v>5.3183055766969828E-2</v>
      </c>
      <c r="CD424" s="2">
        <f t="shared" si="427"/>
        <v>0.16703631611600983</v>
      </c>
      <c r="CE424" s="69">
        <f t="shared" si="428"/>
        <v>7</v>
      </c>
      <c r="CF424" s="5">
        <v>14500</v>
      </c>
      <c r="CG424" s="5">
        <v>0.32242888835787259</v>
      </c>
      <c r="CH424" s="72">
        <f t="shared" si="456"/>
        <v>5.0081628136731282E-2</v>
      </c>
      <c r="CI424" s="72">
        <f t="shared" si="457"/>
        <v>1</v>
      </c>
      <c r="CJ424" s="5">
        <f t="shared" si="429"/>
        <v>-0.10732331045913779</v>
      </c>
      <c r="CK424" s="5">
        <f t="shared" si="430"/>
        <v>0.32242888835787259</v>
      </c>
      <c r="CL424" s="69">
        <f t="shared" si="431"/>
        <v>7</v>
      </c>
      <c r="CM424" s="5">
        <v>6.5865426979431693E-2</v>
      </c>
      <c r="CN424" s="70">
        <f t="shared" si="432"/>
        <v>-0.22128096589053442</v>
      </c>
      <c r="CO424" s="5">
        <f t="shared" si="433"/>
        <v>-0.22128096589053442</v>
      </c>
      <c r="CP424" s="5">
        <f>IF(G424&lt;48,"UF", IF(NOT(ISBLANK(CM:CM)), CM:CM, IF(BW:BW=1, BV:BV+Sheet2!B389, IF(Sheet1!BW:BW=2, Sheet1!BV:BV+Sheet2!B390, IF(Sheet1!BW:BW=7, Sheet1!BV:BV+Sheet2!B391,"")))))</f>
        <v>6.5865426979431693E-2</v>
      </c>
      <c r="CQ424" s="69">
        <f t="shared" si="458"/>
        <v>7</v>
      </c>
      <c r="CR424" s="5">
        <v>102</v>
      </c>
      <c r="CS424" s="5">
        <v>0.22021937188297969</v>
      </c>
      <c r="CT424" s="5">
        <f t="shared" si="434"/>
        <v>0.16703631611600986</v>
      </c>
      <c r="CU424" s="80">
        <f t="shared" si="435"/>
        <v>0.16703631611600986</v>
      </c>
      <c r="CV424" s="80">
        <f t="shared" si="436"/>
        <v>1</v>
      </c>
      <c r="CW424" s="20">
        <f>IF(G424&lt;48,"UF", IF(NOT(ISBLANK(CS424)), CS424, IF(CE424=5, CC424+Sheet2!B378, IF(CE424=6, CC424+Sheet2!B379, IF(CE424=7, CC424+Sheet2!B380,"")))))</f>
        <v>0.22021937188297969</v>
      </c>
      <c r="CX424" s="68">
        <f t="shared" si="459"/>
        <v>7</v>
      </c>
      <c r="CY424" s="5">
        <v>16000</v>
      </c>
      <c r="CZ424" s="5">
        <v>5.7700639302865737E-2</v>
      </c>
      <c r="DA424" s="5">
        <f t="shared" si="437"/>
        <v>-0.26472824905500686</v>
      </c>
      <c r="DB424" s="73">
        <f t="shared" si="438"/>
        <v>-0.26472824905500686</v>
      </c>
      <c r="DC424" s="73">
        <f t="shared" si="439"/>
        <v>-1</v>
      </c>
      <c r="DD424" s="5">
        <f>IF(G424&lt;48,"UF", IF(NOT(ISBLANK(CZ:CZ)), CZ:CZ, IF(CL:CL=3, CK:CK+Sheet2!B383, IF(CL:CL=4, CK:CK+Sheet2!B384, IF(CL:CL=7, CK:CK+Sheet2!B385,"")))))</f>
        <v>5.7700639302865737E-2</v>
      </c>
      <c r="DE424" s="69">
        <f t="shared" si="397"/>
        <v>7</v>
      </c>
      <c r="DF424" s="2">
        <v>2</v>
      </c>
      <c r="DG424" s="2">
        <v>39</v>
      </c>
      <c r="DH424" s="2">
        <v>1</v>
      </c>
      <c r="DI424" s="2">
        <v>1</v>
      </c>
      <c r="DJ424" s="2">
        <v>2</v>
      </c>
      <c r="DK424" s="2">
        <v>90</v>
      </c>
      <c r="DL424" s="2">
        <v>50</v>
      </c>
      <c r="DM424" s="2">
        <v>95</v>
      </c>
      <c r="DN424" s="2">
        <v>55</v>
      </c>
      <c r="DO424" s="2">
        <v>98</v>
      </c>
      <c r="DP424" s="2">
        <v>57</v>
      </c>
      <c r="DQ424" s="2">
        <v>2</v>
      </c>
      <c r="DR424" s="2">
        <v>38</v>
      </c>
      <c r="DS424" s="2">
        <v>2</v>
      </c>
      <c r="DT424" s="2">
        <v>80</v>
      </c>
      <c r="DU424" s="2">
        <v>86</v>
      </c>
      <c r="DV424" s="2">
        <v>3</v>
      </c>
      <c r="DW424" s="2">
        <v>2</v>
      </c>
      <c r="DX424" s="2">
        <v>2</v>
      </c>
      <c r="DY424" s="2">
        <v>3</v>
      </c>
      <c r="DZ424" s="2">
        <v>32</v>
      </c>
      <c r="EA424" s="2" t="s">
        <v>12</v>
      </c>
      <c r="EB424" s="2">
        <v>45</v>
      </c>
      <c r="EC424" s="2" t="s">
        <v>12</v>
      </c>
      <c r="ED424" s="2">
        <v>1</v>
      </c>
    </row>
    <row r="425" spans="1:134" x14ac:dyDescent="0.25">
      <c r="C425" s="8" t="s">
        <v>131</v>
      </c>
      <c r="D425" s="2">
        <v>6490188651</v>
      </c>
      <c r="E425" s="5">
        <v>4</v>
      </c>
      <c r="F425" s="2">
        <v>2</v>
      </c>
      <c r="G425" s="2">
        <v>60</v>
      </c>
      <c r="H425" s="2">
        <v>-2.0128853086836509</v>
      </c>
      <c r="I425" s="2">
        <v>49</v>
      </c>
      <c r="J425" s="2">
        <v>-0.46706379753639199</v>
      </c>
      <c r="K425" s="5">
        <v>2670</v>
      </c>
      <c r="L425" s="2">
        <v>-1.487095023315413</v>
      </c>
      <c r="M425" s="2">
        <v>-2.4247999999999998</v>
      </c>
      <c r="N425" s="2">
        <f t="shared" si="399"/>
        <v>-0.18480734565817447</v>
      </c>
      <c r="O425" s="2">
        <f t="shared" si="400"/>
        <v>-2.4247999999999998</v>
      </c>
      <c r="P425" s="2">
        <v>67</v>
      </c>
      <c r="Q425" s="2">
        <v>-0.3</v>
      </c>
      <c r="R425" s="5">
        <f t="shared" si="401"/>
        <v>-0.34146810123180393</v>
      </c>
      <c r="S425" s="5">
        <f t="shared" si="402"/>
        <v>-0.3</v>
      </c>
      <c r="T425" s="1">
        <v>6400</v>
      </c>
      <c r="U425" s="2">
        <v>-1.94</v>
      </c>
      <c r="V425" s="2">
        <f t="shared" si="403"/>
        <v>-0.42645248834229343</v>
      </c>
      <c r="W425" s="2">
        <f t="shared" si="404"/>
        <v>-1.94</v>
      </c>
      <c r="X425" s="2">
        <v>-2.3824999999999998</v>
      </c>
      <c r="Y425" s="76">
        <f t="shared" si="440"/>
        <v>-0.36961469131634894</v>
      </c>
      <c r="Z425" s="76">
        <f t="shared" si="441"/>
        <v>-1</v>
      </c>
      <c r="AA425" s="2">
        <f t="shared" si="405"/>
        <v>-0.78949999999999998</v>
      </c>
      <c r="AB425" s="2">
        <f t="shared" si="406"/>
        <v>-2.3824999999999998</v>
      </c>
      <c r="AC425" s="2">
        <v>73</v>
      </c>
      <c r="AD425" s="2">
        <v>-1.1499999999999999</v>
      </c>
      <c r="AE425" s="79">
        <f t="shared" si="442"/>
        <v>-0.68293620246360787</v>
      </c>
      <c r="AF425" s="79">
        <f t="shared" si="443"/>
        <v>-2</v>
      </c>
      <c r="AG425" s="2">
        <f t="shared" si="461"/>
        <v>-0.82499999999999996</v>
      </c>
      <c r="AH425" s="2">
        <f t="shared" si="407"/>
        <v>-1.1499999999999999</v>
      </c>
      <c r="AI425" s="2">
        <v>7450</v>
      </c>
      <c r="AJ425" s="2">
        <v>-2.34</v>
      </c>
      <c r="AK425" s="76">
        <f t="shared" si="444"/>
        <v>-0.85290497668458687</v>
      </c>
      <c r="AL425" s="76">
        <f t="shared" si="445"/>
        <v>-2</v>
      </c>
      <c r="AM425" s="2">
        <f t="shared" si="408"/>
        <v>-0.27</v>
      </c>
      <c r="AN425" s="2">
        <f t="shared" si="409"/>
        <v>-2.34</v>
      </c>
      <c r="AO425" s="2">
        <v>-1.879</v>
      </c>
      <c r="AP425" s="2" t="str">
        <f t="shared" si="410"/>
        <v/>
      </c>
      <c r="AQ425" s="2">
        <f t="shared" si="411"/>
        <v>-1.879</v>
      </c>
      <c r="AR425" s="2">
        <v>77</v>
      </c>
      <c r="AS425" s="2">
        <v>-1.95</v>
      </c>
      <c r="AT425" s="2">
        <f t="shared" si="412"/>
        <v>2.4819126023833959E-2</v>
      </c>
      <c r="AU425" s="2">
        <f t="shared" si="413"/>
        <v>-1.95</v>
      </c>
      <c r="AV425" s="2">
        <v>8300</v>
      </c>
      <c r="AW425" s="2">
        <v>-2.48</v>
      </c>
      <c r="AX425" s="2">
        <f t="shared" si="414"/>
        <v>-0.33616938110834416</v>
      </c>
      <c r="AY425" s="2">
        <f t="shared" si="415"/>
        <v>-2.48</v>
      </c>
      <c r="BA425" s="78">
        <f t="shared" si="446"/>
        <v>0.28240215575890693</v>
      </c>
      <c r="BB425" s="78">
        <f t="shared" si="447"/>
        <v>1</v>
      </c>
      <c r="BC425" s="2">
        <f t="shared" si="416"/>
        <v>-0.22109784424109305</v>
      </c>
      <c r="BD425" s="2">
        <f t="shared" si="417"/>
        <v>-2.1000978442410929</v>
      </c>
      <c r="BE425" s="67">
        <f t="shared" si="448"/>
        <v>2</v>
      </c>
      <c r="BF425" s="2">
        <v>83</v>
      </c>
      <c r="BG425" s="2">
        <v>-1.100361747952332</v>
      </c>
      <c r="BH425" s="2">
        <f t="shared" si="418"/>
        <v>0.17647716478686068</v>
      </c>
      <c r="BI425" s="2">
        <f t="shared" si="419"/>
        <v>-1.100361747952332</v>
      </c>
      <c r="BJ425" s="67">
        <f t="shared" si="420"/>
        <v>7</v>
      </c>
      <c r="BK425" s="2">
        <v>9300</v>
      </c>
      <c r="BL425" s="2">
        <v>-3.0123387622166882</v>
      </c>
      <c r="BM425" s="77">
        <f t="shared" si="449"/>
        <v>-0.67233876221668831</v>
      </c>
      <c r="BN425" s="77">
        <f t="shared" si="450"/>
        <v>-2</v>
      </c>
      <c r="BO425" s="2">
        <f t="shared" si="421"/>
        <v>-4.7513369751670677E-2</v>
      </c>
      <c r="BP425" s="2">
        <f t="shared" si="422"/>
        <v>-3.0123387622166882</v>
      </c>
      <c r="BQ425" s="67">
        <f t="shared" si="451"/>
        <v>3</v>
      </c>
      <c r="BR425" s="5">
        <v>-2.5422935327232792</v>
      </c>
      <c r="BS425" s="75">
        <f t="shared" si="452"/>
        <v>-0.44219568848218627</v>
      </c>
      <c r="BT425" s="75">
        <f t="shared" si="453"/>
        <v>-1</v>
      </c>
      <c r="BU425" s="5">
        <f t="shared" si="462"/>
        <v>-0.44453639299294356</v>
      </c>
      <c r="BV425" s="5">
        <f t="shared" si="423"/>
        <v>-2.5422935327232792</v>
      </c>
      <c r="BW425" s="69">
        <f t="shared" si="424"/>
        <v>2</v>
      </c>
      <c r="BX425" s="2">
        <v>90</v>
      </c>
      <c r="BY425" s="5">
        <v>-1.4205685056394179</v>
      </c>
      <c r="BZ425" s="74">
        <f t="shared" si="454"/>
        <v>1.5917702565772702</v>
      </c>
      <c r="CA425" s="74">
        <f t="shared" si="455"/>
        <v>2</v>
      </c>
      <c r="CB425" s="5">
        <f t="shared" si="425"/>
        <v>1.6008599727301509E-2</v>
      </c>
      <c r="CC425" s="5">
        <f t="shared" si="426"/>
        <v>-1.4205685056394179</v>
      </c>
      <c r="CD425" s="2">
        <f t="shared" si="427"/>
        <v>-0.32020675768708595</v>
      </c>
      <c r="CE425" s="69">
        <f t="shared" si="428"/>
        <v>7</v>
      </c>
      <c r="CF425" s="5">
        <v>11000</v>
      </c>
      <c r="CG425" s="5">
        <v>-2.622540109255012</v>
      </c>
      <c r="CH425" s="72">
        <f t="shared" si="456"/>
        <v>0.38979865296167615</v>
      </c>
      <c r="CI425" s="72">
        <f t="shared" si="457"/>
        <v>1</v>
      </c>
      <c r="CJ425" s="5">
        <f t="shared" si="429"/>
        <v>0.2483348457675465</v>
      </c>
      <c r="CK425" s="5">
        <f t="shared" si="430"/>
        <v>-2.622540109255012</v>
      </c>
      <c r="CL425" s="69">
        <f t="shared" si="431"/>
        <v>4</v>
      </c>
      <c r="CM425" s="5">
        <v>-2.98917063022698</v>
      </c>
      <c r="CN425" s="70">
        <f t="shared" si="432"/>
        <v>-0.44687709750370086</v>
      </c>
      <c r="CO425" s="5">
        <f t="shared" si="433"/>
        <v>-0.44687709750370086</v>
      </c>
      <c r="CP425" s="5">
        <f>IF(G425&lt;48,"UF", IF(NOT(ISBLANK(CM:CM)), CM:CM, IF(BW:BW=1, BV:BV+Sheet2!B180, IF(Sheet1!BW:BW=2, Sheet1!BV:BV+Sheet2!B181, IF(Sheet1!BW:BW=7, Sheet1!BV:BV+Sheet2!B182,"")))))</f>
        <v>-2.98917063022698</v>
      </c>
      <c r="CQ425" s="69">
        <f t="shared" si="458"/>
        <v>2</v>
      </c>
      <c r="CR425" s="5">
        <v>98</v>
      </c>
      <c r="CS425" s="5">
        <v>-1.068344548497729</v>
      </c>
      <c r="CT425" s="5">
        <f t="shared" si="434"/>
        <v>0.35222395714168897</v>
      </c>
      <c r="CU425" s="80">
        <f t="shared" si="435"/>
        <v>0.35222395714168897</v>
      </c>
      <c r="CV425" s="80">
        <f t="shared" si="436"/>
        <v>1</v>
      </c>
      <c r="CW425" s="20">
        <f>IF(G425&lt;48,"UF", IF(NOT(ISBLANK(CS425)), CS425, IF(CE425=5, CC425+Sheet2!B169, IF(CE425=6, CC425+Sheet2!B170, IF(CE425=7, CC425+Sheet2!B171,"")))))</f>
        <v>-1.068344548497729</v>
      </c>
      <c r="CX425" s="68">
        <f t="shared" si="459"/>
        <v>7</v>
      </c>
      <c r="CY425" s="5">
        <v>12500</v>
      </c>
      <c r="CZ425" s="5">
        <v>-2.5156690706815952</v>
      </c>
      <c r="DA425" s="5">
        <f t="shared" si="437"/>
        <v>0.10687103857341684</v>
      </c>
      <c r="DB425" s="73">
        <f t="shared" si="438"/>
        <v>0.10687103857341684</v>
      </c>
      <c r="DC425" s="73">
        <f t="shared" si="439"/>
        <v>1</v>
      </c>
      <c r="DD425" s="5">
        <f>IF(G425&lt;48,"UF", IF(NOT(ISBLANK(CZ:CZ)), CZ:CZ, IF(CL:CL=3, CK:CK+Sheet2!B174, IF(CL:CL=4, CK:CK+Sheet2!B175, IF(CL:CL=7, CK:CK+Sheet2!B176,"")))))</f>
        <v>-2.5156690706815952</v>
      </c>
      <c r="DE425" s="69">
        <f t="shared" si="397"/>
        <v>4</v>
      </c>
      <c r="DF425" s="2">
        <v>2</v>
      </c>
      <c r="DG425" s="2">
        <v>21</v>
      </c>
      <c r="DH425" s="2">
        <v>1</v>
      </c>
      <c r="DI425" s="2">
        <v>2</v>
      </c>
      <c r="DJ425" s="2">
        <v>3</v>
      </c>
      <c r="DK425" s="2" t="s">
        <v>12</v>
      </c>
      <c r="DL425" s="2" t="s">
        <v>12</v>
      </c>
      <c r="DM425" s="2" t="s">
        <v>12</v>
      </c>
      <c r="DN425" s="2" t="s">
        <v>12</v>
      </c>
      <c r="DO425" s="2" t="s">
        <v>12</v>
      </c>
      <c r="DP425" s="2" t="s">
        <v>12</v>
      </c>
      <c r="DQ425" s="2">
        <v>2</v>
      </c>
      <c r="DR425" s="2">
        <v>37</v>
      </c>
      <c r="DS425" s="2">
        <v>2</v>
      </c>
      <c r="DT425" s="2">
        <v>77</v>
      </c>
      <c r="DU425" s="2" t="s">
        <v>12</v>
      </c>
      <c r="DV425" s="2">
        <v>2</v>
      </c>
      <c r="DW425" s="2">
        <v>2</v>
      </c>
      <c r="DX425" s="2">
        <v>2</v>
      </c>
      <c r="DY425" s="2">
        <v>1</v>
      </c>
      <c r="DZ425" s="2">
        <v>32.5</v>
      </c>
      <c r="EA425" s="2">
        <v>34</v>
      </c>
      <c r="EB425" s="2">
        <v>43</v>
      </c>
      <c r="EC425" s="2">
        <v>1</v>
      </c>
      <c r="ED425" s="2">
        <v>1</v>
      </c>
    </row>
    <row r="426" spans="1:134" x14ac:dyDescent="0.25">
      <c r="C426" s="5" t="s">
        <v>38</v>
      </c>
      <c r="D426" s="2">
        <v>6490189399</v>
      </c>
      <c r="E426" s="5" t="s">
        <v>528</v>
      </c>
      <c r="F426" s="2">
        <v>2</v>
      </c>
      <c r="G426" s="2">
        <v>57</v>
      </c>
      <c r="H426" s="2">
        <v>-0.85261351019148357</v>
      </c>
      <c r="I426" s="2">
        <v>48</v>
      </c>
      <c r="J426" s="2">
        <v>-0.99529637274036198</v>
      </c>
      <c r="K426" s="5">
        <v>2850</v>
      </c>
      <c r="L426" s="2">
        <v>-1.0694006696783991</v>
      </c>
      <c r="M426" s="2">
        <v>-1.2823</v>
      </c>
      <c r="N426" s="2">
        <f t="shared" si="399"/>
        <v>-0.90729324490425811</v>
      </c>
      <c r="O426" s="2">
        <f t="shared" si="400"/>
        <v>-1.2823</v>
      </c>
      <c r="P426" s="2">
        <v>65</v>
      </c>
      <c r="Q426" s="2">
        <v>-1.23</v>
      </c>
      <c r="R426" s="5">
        <f t="shared" si="401"/>
        <v>0.34264818637018102</v>
      </c>
      <c r="S426" s="5">
        <f t="shared" si="402"/>
        <v>-1.23</v>
      </c>
      <c r="T426" s="1">
        <v>6600</v>
      </c>
      <c r="U426" s="2">
        <v>-1.67</v>
      </c>
      <c r="V426" s="2">
        <f t="shared" si="403"/>
        <v>-0.49029966516080037</v>
      </c>
      <c r="W426" s="2">
        <f t="shared" si="404"/>
        <v>-1.67</v>
      </c>
      <c r="X426" s="2">
        <v>-2.6671999999999998</v>
      </c>
      <c r="Y426" s="76">
        <f t="shared" si="440"/>
        <v>-1.8145864898085162</v>
      </c>
      <c r="Z426" s="76">
        <f t="shared" si="441"/>
        <v>-2</v>
      </c>
      <c r="AA426" s="2">
        <f t="shared" si="405"/>
        <v>-2.6100000000000012E-2</v>
      </c>
      <c r="AB426" s="2">
        <f t="shared" si="406"/>
        <v>-2.6671999999999998</v>
      </c>
      <c r="AC426" s="2">
        <v>75</v>
      </c>
      <c r="AD426" s="2">
        <v>-0.31</v>
      </c>
      <c r="AE426" s="79">
        <f t="shared" si="442"/>
        <v>0.68529637274036204</v>
      </c>
      <c r="AF426" s="79">
        <f t="shared" si="443"/>
        <v>2</v>
      </c>
      <c r="AG426" s="2">
        <f t="shared" si="461"/>
        <v>-0.17500000000000004</v>
      </c>
      <c r="AH426" s="2">
        <f t="shared" si="407"/>
        <v>-0.31</v>
      </c>
      <c r="AI426" s="2">
        <v>7700</v>
      </c>
      <c r="AJ426" s="2">
        <v>-2.0499999999999998</v>
      </c>
      <c r="AK426" s="76">
        <f t="shared" si="444"/>
        <v>-0.98059933032160074</v>
      </c>
      <c r="AL426" s="76">
        <f t="shared" si="445"/>
        <v>-2</v>
      </c>
      <c r="AM426" s="2">
        <f t="shared" si="408"/>
        <v>-9.000000000000008E-2</v>
      </c>
      <c r="AN426" s="2">
        <f t="shared" si="409"/>
        <v>-2.0499999999999998</v>
      </c>
      <c r="AO426" s="2">
        <v>-1.2822</v>
      </c>
      <c r="AP426" s="2">
        <f t="shared" si="410"/>
        <v>-0.4839899528354985</v>
      </c>
      <c r="AQ426" s="2">
        <f t="shared" si="411"/>
        <v>-1.2822</v>
      </c>
      <c r="AR426" s="2">
        <v>78</v>
      </c>
      <c r="AS426" s="2">
        <v>-1.58</v>
      </c>
      <c r="AT426" s="2">
        <f t="shared" si="412"/>
        <v>-0.11025437276213998</v>
      </c>
      <c r="AU426" s="2">
        <f t="shared" si="413"/>
        <v>-1.58</v>
      </c>
      <c r="AV426" s="2">
        <v>8900</v>
      </c>
      <c r="AW426" s="2">
        <v>-1.85</v>
      </c>
      <c r="AX426" s="2">
        <f t="shared" si="414"/>
        <v>-0.37611794421476019</v>
      </c>
      <c r="AY426" s="2">
        <f t="shared" si="415"/>
        <v>-1.85</v>
      </c>
      <c r="AZ426" s="2">
        <v>-3.6351799056709968</v>
      </c>
      <c r="BA426" s="78">
        <f t="shared" si="446"/>
        <v>-0.96797990567099701</v>
      </c>
      <c r="BB426" s="78">
        <f t="shared" si="447"/>
        <v>-2</v>
      </c>
      <c r="BC426" s="2" t="str">
        <f t="shared" si="416"/>
        <v/>
      </c>
      <c r="BD426" s="2">
        <f t="shared" si="417"/>
        <v>-3.6351799056709968</v>
      </c>
      <c r="BE426" s="67">
        <f t="shared" si="448"/>
        <v>1</v>
      </c>
      <c r="BF426" s="2">
        <v>85</v>
      </c>
      <c r="BG426" s="2">
        <v>-0.53050874552427996</v>
      </c>
      <c r="BH426" s="2" t="str">
        <f t="shared" si="418"/>
        <v/>
      </c>
      <c r="BI426" s="2">
        <f t="shared" si="419"/>
        <v>-0.53050874552427996</v>
      </c>
      <c r="BJ426" s="67">
        <f t="shared" si="420"/>
        <v>7</v>
      </c>
      <c r="BK426" s="2">
        <v>9500</v>
      </c>
      <c r="BL426" s="2">
        <v>-2.8022358884295202</v>
      </c>
      <c r="BM426" s="77">
        <f t="shared" si="449"/>
        <v>-0.75223588842952038</v>
      </c>
      <c r="BN426" s="77">
        <f t="shared" si="450"/>
        <v>-2</v>
      </c>
      <c r="BO426" s="2" t="str">
        <f t="shared" si="421"/>
        <v/>
      </c>
      <c r="BP426" s="2">
        <f t="shared" si="422"/>
        <v>-2.8022358884295202</v>
      </c>
      <c r="BQ426" s="67">
        <f t="shared" si="451"/>
        <v>4</v>
      </c>
      <c r="BS426" s="75">
        <f t="shared" si="452"/>
        <v>0.3230046377220086</v>
      </c>
      <c r="BT426" s="75">
        <f t="shared" si="453"/>
        <v>1</v>
      </c>
      <c r="BU426" s="5">
        <f t="shared" si="462"/>
        <v>0.32300463772200838</v>
      </c>
      <c r="BV426" s="5">
        <f t="shared" si="423"/>
        <v>-3.3121752679489882</v>
      </c>
      <c r="BW426" s="69">
        <f t="shared" si="424"/>
        <v>1</v>
      </c>
      <c r="BX426" s="2" t="s">
        <v>12</v>
      </c>
      <c r="BZ426" s="74">
        <f t="shared" si="454"/>
        <v>2.0028092414185155</v>
      </c>
      <c r="CA426" s="74">
        <f t="shared" si="455"/>
        <v>2</v>
      </c>
      <c r="CB426" s="5">
        <f t="shared" si="425"/>
        <v>-0.26891790148672451</v>
      </c>
      <c r="CC426" s="5">
        <f t="shared" si="426"/>
        <v>-0.79942664701100452</v>
      </c>
      <c r="CD426" s="2">
        <f t="shared" si="427"/>
        <v>-0.26891790148672456</v>
      </c>
      <c r="CE426" s="69">
        <f t="shared" si="428"/>
        <v>7</v>
      </c>
      <c r="CF426" s="5" t="s">
        <v>12</v>
      </c>
      <c r="CH426" s="72">
        <f t="shared" si="456"/>
        <v>0.14328340887396251</v>
      </c>
      <c r="CI426" s="72">
        <f t="shared" si="457"/>
        <v>1</v>
      </c>
      <c r="CJ426" s="5">
        <f t="shared" si="429"/>
        <v>0.14328340887396251</v>
      </c>
      <c r="CK426" s="5">
        <f t="shared" si="430"/>
        <v>-2.6589524795555577</v>
      </c>
      <c r="CL426" s="69">
        <f t="shared" si="431"/>
        <v>4</v>
      </c>
      <c r="CM426" s="5">
        <v>-2.98917063022698</v>
      </c>
      <c r="CN426" s="70">
        <f t="shared" si="432"/>
        <v>0.32300463772200816</v>
      </c>
      <c r="CO426" s="5">
        <f t="shared" si="433"/>
        <v>0.32300463772200816</v>
      </c>
      <c r="CP426" s="5">
        <f>IF(G426&lt;48,"UF", IF(NOT(ISBLANK(CM:CM)), CM:CM, IF(BW:BW=1, BV:BV+Sheet2!B59, IF(Sheet1!BW:BW=2, Sheet1!BV:BV+Sheet2!B60, IF(Sheet1!BW:BW=7, Sheet1!BV:BV+Sheet2!B61,"")))))</f>
        <v>-2.98917063022698</v>
      </c>
      <c r="CQ426" s="69">
        <f t="shared" si="458"/>
        <v>2</v>
      </c>
      <c r="CR426" s="5">
        <v>98</v>
      </c>
      <c r="CS426" s="5">
        <v>-1.068344548497729</v>
      </c>
      <c r="CT426" s="5">
        <f t="shared" si="434"/>
        <v>-0.26891790148672445</v>
      </c>
      <c r="CU426" s="80">
        <f t="shared" si="435"/>
        <v>-0.26891790148672445</v>
      </c>
      <c r="CV426" s="80">
        <f t="shared" si="436"/>
        <v>-1</v>
      </c>
      <c r="CW426" s="20">
        <f>IF(G426&lt;48,"UF", IF(NOT(ISBLANK(CS426)), CS426, IF(CE426=5, CC426+Sheet2!B48, IF(CE426=6, CC426+Sheet2!B49, IF(CE426=7, CC426+Sheet2!B50,"")))))</f>
        <v>-1.068344548497729</v>
      </c>
      <c r="CX426" s="68">
        <f t="shared" si="459"/>
        <v>7</v>
      </c>
      <c r="CY426" s="5">
        <v>12500</v>
      </c>
      <c r="CZ426" s="5">
        <v>-2.5156690706815952</v>
      </c>
      <c r="DA426" s="5">
        <f t="shared" si="437"/>
        <v>0.14328340887396251</v>
      </c>
      <c r="DB426" s="73">
        <f t="shared" si="438"/>
        <v>0.14328340887396251</v>
      </c>
      <c r="DC426" s="73">
        <f t="shared" si="439"/>
        <v>1</v>
      </c>
      <c r="DD426" s="5">
        <f>IF(G426&lt;48,"UF", IF(NOT(ISBLANK(CZ:CZ)), CZ:CZ, IF(CL:CL=3, CK:CK+Sheet2!B53, IF(CL:CL=4, CK:CK+Sheet2!B54, IF(CL:CL=7, CK:CK+Sheet2!B55,"")))))</f>
        <v>-2.5156690706815952</v>
      </c>
      <c r="DE426" s="69">
        <f t="shared" si="397"/>
        <v>4</v>
      </c>
      <c r="DF426" s="2">
        <v>3</v>
      </c>
      <c r="DG426" s="2">
        <v>39</v>
      </c>
      <c r="DH426" s="2">
        <v>1</v>
      </c>
      <c r="DI426" s="2">
        <v>2</v>
      </c>
      <c r="DJ426" s="2">
        <v>2</v>
      </c>
      <c r="DK426" s="2">
        <v>112</v>
      </c>
      <c r="DL426" s="2">
        <v>68</v>
      </c>
      <c r="DM426" s="2">
        <v>110</v>
      </c>
      <c r="DN426" s="2">
        <v>70</v>
      </c>
      <c r="DO426" s="2">
        <v>100</v>
      </c>
      <c r="DP426" s="2">
        <v>60</v>
      </c>
      <c r="DQ426" s="2">
        <v>1</v>
      </c>
      <c r="DR426" s="2">
        <v>38</v>
      </c>
      <c r="DS426" s="2">
        <v>1</v>
      </c>
      <c r="DT426" s="2">
        <v>89</v>
      </c>
      <c r="DU426" s="2">
        <v>97</v>
      </c>
      <c r="DV426" s="2">
        <v>2</v>
      </c>
      <c r="DW426" s="2">
        <v>4</v>
      </c>
      <c r="DX426" s="2">
        <v>2</v>
      </c>
      <c r="DY426" s="2">
        <v>2</v>
      </c>
      <c r="DZ426" s="2">
        <v>34</v>
      </c>
      <c r="EA426" s="2">
        <v>35.5</v>
      </c>
      <c r="EB426" s="2">
        <v>45</v>
      </c>
      <c r="EC426" s="2">
        <v>1</v>
      </c>
      <c r="ED426" s="2">
        <v>1</v>
      </c>
    </row>
    <row r="427" spans="1:134" x14ac:dyDescent="0.25">
      <c r="C427" s="2" t="s">
        <v>163</v>
      </c>
      <c r="D427" s="2">
        <v>6490190826</v>
      </c>
      <c r="E427" s="5">
        <v>6</v>
      </c>
      <c r="F427" s="2">
        <v>1</v>
      </c>
      <c r="G427" s="2">
        <v>52</v>
      </c>
      <c r="H427" s="2">
        <v>-0.44324479820409463</v>
      </c>
      <c r="I427" s="2">
        <v>50</v>
      </c>
      <c r="J427" s="2">
        <v>0.45756143734440202</v>
      </c>
      <c r="K427" s="5">
        <v>3200</v>
      </c>
      <c r="L427" s="2">
        <v>-7.0518060756779827E-2</v>
      </c>
      <c r="M427" s="2">
        <v>-0.79179999999999995</v>
      </c>
      <c r="N427" s="2" t="str">
        <f t="shared" si="399"/>
        <v/>
      </c>
      <c r="O427" s="2">
        <f t="shared" si="400"/>
        <v>-0.79179999999999995</v>
      </c>
      <c r="P427" s="2">
        <v>63</v>
      </c>
      <c r="Q427" s="2">
        <v>-1.21</v>
      </c>
      <c r="R427" s="5" t="str">
        <f t="shared" si="401"/>
        <v/>
      </c>
      <c r="S427" s="5">
        <f t="shared" si="402"/>
        <v>-1.21</v>
      </c>
      <c r="T427" s="1">
        <v>6250</v>
      </c>
      <c r="U427" s="2">
        <v>-1.28</v>
      </c>
      <c r="V427" s="2" t="str">
        <f t="shared" si="403"/>
        <v/>
      </c>
      <c r="W427" s="2">
        <f t="shared" si="404"/>
        <v>-1.28</v>
      </c>
      <c r="Y427" s="76" t="e">
        <f t="shared" si="440"/>
        <v>#VALUE!</v>
      </c>
      <c r="Z427" s="76" t="e">
        <f t="shared" si="441"/>
        <v>#VALUE!</v>
      </c>
      <c r="AA427" s="2" t="str">
        <f t="shared" si="405"/>
        <v/>
      </c>
      <c r="AB427" s="2" t="e">
        <f t="shared" si="406"/>
        <v>#VALUE!</v>
      </c>
      <c r="AC427" s="2" t="s">
        <v>12</v>
      </c>
      <c r="AE427" s="79" t="e">
        <f t="shared" si="442"/>
        <v>#VALUE!</v>
      </c>
      <c r="AF427" s="79" t="e">
        <f t="shared" si="443"/>
        <v>#VALUE!</v>
      </c>
      <c r="AG427" s="2" t="str">
        <f t="shared" si="461"/>
        <v/>
      </c>
      <c r="AH427" s="2" t="e">
        <f t="shared" si="407"/>
        <v>#VALUE!</v>
      </c>
      <c r="AI427" s="2" t="s">
        <v>12</v>
      </c>
      <c r="AK427" s="76" t="e">
        <f t="shared" si="444"/>
        <v>#VALUE!</v>
      </c>
      <c r="AL427" s="76" t="e">
        <f t="shared" si="445"/>
        <v>#VALUE!</v>
      </c>
      <c r="AM427" s="2" t="str">
        <f t="shared" si="408"/>
        <v/>
      </c>
      <c r="AN427" s="2" t="e">
        <f t="shared" si="409"/>
        <v>#VALUE!</v>
      </c>
      <c r="AP427" s="2" t="e">
        <f t="shared" si="410"/>
        <v>#VALUE!</v>
      </c>
      <c r="AQ427" s="2" t="e">
        <f t="shared" si="411"/>
        <v>#VALUE!</v>
      </c>
      <c r="AR427" s="2" t="s">
        <v>12</v>
      </c>
      <c r="AT427" s="2" t="e">
        <f t="shared" si="412"/>
        <v>#VALUE!</v>
      </c>
      <c r="AU427" s="2" t="e">
        <f t="shared" si="413"/>
        <v>#VALUE!</v>
      </c>
      <c r="AV427" s="2" t="s">
        <v>12</v>
      </c>
      <c r="AX427" s="2" t="e">
        <f t="shared" si="414"/>
        <v>#VALUE!</v>
      </c>
      <c r="AY427" s="2" t="e">
        <f t="shared" si="415"/>
        <v>#VALUE!</v>
      </c>
      <c r="AZ427" s="2">
        <v>-1.8844439138625551</v>
      </c>
      <c r="BA427" s="78" t="e">
        <f t="shared" si="446"/>
        <v>#VALUE!</v>
      </c>
      <c r="BB427" s="78" t="e">
        <f t="shared" si="447"/>
        <v>#VALUE!</v>
      </c>
      <c r="BC427" s="2" t="str">
        <f t="shared" si="416"/>
        <v/>
      </c>
      <c r="BD427" s="2">
        <f t="shared" si="417"/>
        <v>-1.8844439138625551</v>
      </c>
      <c r="BE427" s="67">
        <f t="shared" si="448"/>
        <v>7</v>
      </c>
      <c r="BF427" s="2">
        <v>82</v>
      </c>
      <c r="BG427" s="2">
        <v>-0.97262970501224089</v>
      </c>
      <c r="BH427" s="2" t="str">
        <f t="shared" si="418"/>
        <v/>
      </c>
      <c r="BI427" s="2">
        <f t="shared" si="419"/>
        <v>-0.97262970501224089</v>
      </c>
      <c r="BJ427" s="67">
        <f t="shared" si="420"/>
        <v>7</v>
      </c>
      <c r="BK427" s="2">
        <v>9500</v>
      </c>
      <c r="BL427" s="2">
        <v>-2.4943922631047268</v>
      </c>
      <c r="BM427" s="77" t="e">
        <f t="shared" si="449"/>
        <v>#VALUE!</v>
      </c>
      <c r="BN427" s="77" t="e">
        <f t="shared" si="450"/>
        <v>#VALUE!</v>
      </c>
      <c r="BO427" s="2" t="str">
        <f t="shared" si="421"/>
        <v/>
      </c>
      <c r="BP427" s="2">
        <f t="shared" si="422"/>
        <v>-2.4943922631047268</v>
      </c>
      <c r="BQ427" s="67">
        <f t="shared" si="451"/>
        <v>4</v>
      </c>
      <c r="BS427" s="75">
        <f t="shared" si="452"/>
        <v>-0.17529371720890774</v>
      </c>
      <c r="BT427" s="75">
        <f t="shared" si="453"/>
        <v>-1</v>
      </c>
      <c r="BU427" s="5">
        <f t="shared" si="462"/>
        <v>-0.17529371720890752</v>
      </c>
      <c r="BV427" s="5">
        <f t="shared" si="423"/>
        <v>-2.0597376310714628</v>
      </c>
      <c r="BW427" s="69">
        <f t="shared" si="424"/>
        <v>2</v>
      </c>
      <c r="BX427" s="2" t="s">
        <v>12</v>
      </c>
      <c r="BZ427" s="74">
        <f t="shared" si="454"/>
        <v>1.5392991401894107</v>
      </c>
      <c r="CA427" s="74">
        <f t="shared" si="455"/>
        <v>2</v>
      </c>
      <c r="CB427" s="5">
        <f t="shared" si="425"/>
        <v>1.7536582096924824E-2</v>
      </c>
      <c r="CC427" s="5">
        <f t="shared" si="426"/>
        <v>-0.95509312291531612</v>
      </c>
      <c r="CD427" s="2">
        <f t="shared" si="427"/>
        <v>1.7536582096924769E-2</v>
      </c>
      <c r="CE427" s="69">
        <f t="shared" si="428"/>
        <v>7</v>
      </c>
      <c r="CF427" s="5" t="s">
        <v>12</v>
      </c>
      <c r="CH427" s="72">
        <f t="shared" si="456"/>
        <v>0.19904932050638813</v>
      </c>
      <c r="CI427" s="72">
        <f t="shared" si="457"/>
        <v>1</v>
      </c>
      <c r="CJ427" s="5">
        <f t="shared" si="429"/>
        <v>0.19904932050638835</v>
      </c>
      <c r="CK427" s="5">
        <f t="shared" si="430"/>
        <v>-2.2953429425983387</v>
      </c>
      <c r="CL427" s="69">
        <f t="shared" si="431"/>
        <v>4</v>
      </c>
      <c r="CM427" s="5">
        <v>-2.2350313482803701</v>
      </c>
      <c r="CN427" s="70">
        <f t="shared" si="432"/>
        <v>-0.1752937172089073</v>
      </c>
      <c r="CO427" s="5">
        <f t="shared" si="433"/>
        <v>-0.1752937172089073</v>
      </c>
      <c r="CP427" s="5">
        <f>IF(G427&lt;48,"UF", IF(NOT(ISBLANK(CM:CM)), CM:CM, IF(BW:BW=1, BV:BV+Sheet2!B321, IF(Sheet1!BW:BW=2, Sheet1!BV:BV+Sheet2!B322, IF(Sheet1!BW:BW=7, Sheet1!BV:BV+Sheet2!B323,"")))))</f>
        <v>-2.2350313482803701</v>
      </c>
      <c r="CQ427" s="69">
        <f t="shared" si="458"/>
        <v>2</v>
      </c>
      <c r="CR427" s="5">
        <v>97</v>
      </c>
      <c r="CS427" s="5">
        <v>-0.93755654081839124</v>
      </c>
      <c r="CT427" s="5">
        <f t="shared" si="434"/>
        <v>1.753658209692488E-2</v>
      </c>
      <c r="CU427" s="80">
        <f t="shared" si="435"/>
        <v>1.753658209692488E-2</v>
      </c>
      <c r="CV427" s="80">
        <f t="shared" si="436"/>
        <v>1</v>
      </c>
      <c r="CW427" s="20">
        <f>IF(G427&lt;48,"UF", IF(NOT(ISBLANK(CS427)), CS427, IF(CE427=5, CC427+Sheet2!B310, IF(CE427=6, CC427+Sheet2!B311, IF(CE427=7, CC427+Sheet2!B312,"")))))</f>
        <v>-0.93755654081839124</v>
      </c>
      <c r="CX427" s="68">
        <f t="shared" si="459"/>
        <v>7</v>
      </c>
      <c r="CY427" s="5">
        <v>12500</v>
      </c>
      <c r="CZ427" s="5">
        <v>-2.0962936220919501</v>
      </c>
      <c r="DA427" s="5">
        <f t="shared" si="437"/>
        <v>0.19904932050638857</v>
      </c>
      <c r="DB427" s="73">
        <f t="shared" si="438"/>
        <v>0.19904932050638857</v>
      </c>
      <c r="DC427" s="73">
        <f t="shared" si="439"/>
        <v>1</v>
      </c>
      <c r="DD427" s="5">
        <f>IF(G427&lt;48,"UF", IF(NOT(ISBLANK(CZ:CZ)), CZ:CZ, IF(CL:CL=3, CK:CK+Sheet2!B315, IF(CL:CL=4, CK:CK+Sheet2!B316, IF(CL:CL=7, CK:CK+Sheet2!B317,"")))))</f>
        <v>-2.0962936220919501</v>
      </c>
      <c r="DE427" s="69">
        <f t="shared" si="397"/>
        <v>4</v>
      </c>
      <c r="DF427" s="2">
        <v>3</v>
      </c>
      <c r="DG427" s="2">
        <v>24</v>
      </c>
      <c r="DH427" s="2">
        <v>2</v>
      </c>
      <c r="DI427" s="2">
        <v>2</v>
      </c>
      <c r="DJ427" s="2">
        <v>2</v>
      </c>
      <c r="DK427" s="2">
        <v>105</v>
      </c>
      <c r="DL427" s="2">
        <v>60</v>
      </c>
      <c r="DM427" s="2" t="s">
        <v>12</v>
      </c>
      <c r="DN427" s="2" t="s">
        <v>12</v>
      </c>
      <c r="DO427" s="2">
        <v>118</v>
      </c>
      <c r="DP427" s="2">
        <v>60</v>
      </c>
      <c r="DQ427" s="2">
        <v>2</v>
      </c>
      <c r="DR427" s="2">
        <v>40</v>
      </c>
      <c r="DS427" s="2">
        <v>1</v>
      </c>
      <c r="DT427" s="2">
        <v>103</v>
      </c>
      <c r="DU427" s="2">
        <v>94</v>
      </c>
      <c r="DV427" s="2">
        <v>2</v>
      </c>
      <c r="DW427" s="2" t="s">
        <v>12</v>
      </c>
      <c r="DX427" s="2" t="s">
        <v>12</v>
      </c>
      <c r="DY427" s="2">
        <v>2</v>
      </c>
      <c r="DZ427" s="2">
        <v>34</v>
      </c>
      <c r="EA427" s="2" t="s">
        <v>12</v>
      </c>
      <c r="EB427" s="2" t="s">
        <v>12</v>
      </c>
      <c r="EC427" s="2">
        <v>3</v>
      </c>
      <c r="ED427" s="2">
        <v>3</v>
      </c>
    </row>
    <row r="428" spans="1:134" x14ac:dyDescent="0.25">
      <c r="C428" s="8" t="s">
        <v>21</v>
      </c>
      <c r="D428" s="2">
        <v>6490192055</v>
      </c>
      <c r="E428" s="5" t="s">
        <v>534</v>
      </c>
      <c r="F428" s="2">
        <v>1</v>
      </c>
      <c r="G428" s="2">
        <v>53</v>
      </c>
      <c r="H428" s="2">
        <v>-2.2390922504654189</v>
      </c>
      <c r="I428" s="2">
        <v>48</v>
      </c>
      <c r="J428" s="2">
        <v>-0.61614996855203885</v>
      </c>
      <c r="K428" s="5">
        <v>2500</v>
      </c>
      <c r="L428" s="2">
        <v>-1.7268064884432719</v>
      </c>
      <c r="M428" s="2">
        <v>-2.2917999999999998</v>
      </c>
      <c r="N428" s="2">
        <f t="shared" si="399"/>
        <v>5.7246125232709444E-2</v>
      </c>
      <c r="O428" s="2">
        <f t="shared" si="400"/>
        <v>-2.2917999999999998</v>
      </c>
      <c r="P428" s="2">
        <v>62</v>
      </c>
      <c r="Q428" s="2">
        <v>-1.65</v>
      </c>
      <c r="R428" s="5">
        <f t="shared" si="401"/>
        <v>-0.66192501572398055</v>
      </c>
      <c r="S428" s="5">
        <f t="shared" si="402"/>
        <v>-1.65</v>
      </c>
      <c r="T428" s="1">
        <v>5300</v>
      </c>
      <c r="U428" s="2">
        <v>-2.66</v>
      </c>
      <c r="V428" s="2">
        <f t="shared" si="403"/>
        <v>-0.48159675577836403</v>
      </c>
      <c r="W428" s="2">
        <f t="shared" si="404"/>
        <v>-2.66</v>
      </c>
      <c r="X428" s="2">
        <v>-2.1246</v>
      </c>
      <c r="Y428" s="76">
        <f t="shared" si="440"/>
        <v>0.11449225046541889</v>
      </c>
      <c r="Z428" s="76">
        <f t="shared" si="441"/>
        <v>1</v>
      </c>
      <c r="AA428" s="2">
        <f t="shared" si="405"/>
        <v>-0.59955000000000003</v>
      </c>
      <c r="AB428" s="2">
        <f t="shared" si="406"/>
        <v>-2.1246</v>
      </c>
      <c r="AC428" s="2">
        <v>69</v>
      </c>
      <c r="AD428" s="2">
        <v>-1.94</v>
      </c>
      <c r="AE428" s="79">
        <f t="shared" si="442"/>
        <v>-1.3238500314479611</v>
      </c>
      <c r="AF428" s="79">
        <f t="shared" si="443"/>
        <v>-2</v>
      </c>
      <c r="AG428" s="2">
        <f t="shared" si="461"/>
        <v>1.4999999999999902E-2</v>
      </c>
      <c r="AH428" s="2">
        <f t="shared" si="407"/>
        <v>-1.94</v>
      </c>
      <c r="AI428" s="2">
        <v>6500</v>
      </c>
      <c r="AJ428" s="2">
        <v>-2.69</v>
      </c>
      <c r="AK428" s="76">
        <f t="shared" si="444"/>
        <v>-0.96319351155672805</v>
      </c>
      <c r="AL428" s="76">
        <f t="shared" si="445"/>
        <v>-2</v>
      </c>
      <c r="AM428" s="2">
        <f t="shared" si="408"/>
        <v>-0.16500000000000004</v>
      </c>
      <c r="AN428" s="2">
        <f t="shared" si="409"/>
        <v>-2.69</v>
      </c>
      <c r="AO428" s="2">
        <v>-2.8491</v>
      </c>
      <c r="AP428" s="2">
        <f t="shared" si="410"/>
        <v>-0.77316547072105357</v>
      </c>
      <c r="AQ428" s="2">
        <f t="shared" si="411"/>
        <v>-2.8491</v>
      </c>
      <c r="AR428" s="2">
        <v>76</v>
      </c>
      <c r="AS428" s="2">
        <v>-1.62</v>
      </c>
      <c r="AT428" s="2">
        <f t="shared" si="412"/>
        <v>0.19787174404575347</v>
      </c>
      <c r="AU428" s="2">
        <f t="shared" si="413"/>
        <v>-1.62</v>
      </c>
      <c r="AV428" s="2">
        <v>7200</v>
      </c>
      <c r="AW428" s="2">
        <v>-2.99</v>
      </c>
      <c r="AX428" s="2">
        <f t="shared" si="414"/>
        <v>-0.92566317700335454</v>
      </c>
      <c r="AY428" s="2">
        <f t="shared" si="415"/>
        <v>-2.99</v>
      </c>
      <c r="AZ428" s="2">
        <v>-3.6709309414421072</v>
      </c>
      <c r="BA428" s="78">
        <f t="shared" si="446"/>
        <v>-1.5463309414421071</v>
      </c>
      <c r="BB428" s="78">
        <f t="shared" si="447"/>
        <v>-2</v>
      </c>
      <c r="BC428" s="2">
        <f t="shared" si="416"/>
        <v>3.9133144021989676E-2</v>
      </c>
      <c r="BD428" s="2">
        <f t="shared" si="417"/>
        <v>-3.6709309414421072</v>
      </c>
      <c r="BE428" s="67">
        <f t="shared" si="448"/>
        <v>1</v>
      </c>
      <c r="BF428" s="2">
        <v>80</v>
      </c>
      <c r="BG428" s="2">
        <v>-1.544256511908493</v>
      </c>
      <c r="BH428" s="2">
        <f t="shared" si="418"/>
        <v>-0.25406084891137465</v>
      </c>
      <c r="BI428" s="2">
        <f t="shared" si="419"/>
        <v>-1.544256511908493</v>
      </c>
      <c r="BJ428" s="67">
        <f t="shared" si="420"/>
        <v>7</v>
      </c>
      <c r="BK428" s="2">
        <v>8000</v>
      </c>
      <c r="BL428" s="2">
        <v>-4.541326354006709</v>
      </c>
      <c r="BM428" s="77">
        <f t="shared" si="449"/>
        <v>-1.8513263540067091</v>
      </c>
      <c r="BN428" s="77">
        <f t="shared" si="450"/>
        <v>-2</v>
      </c>
      <c r="BO428" s="2">
        <f t="shared" si="421"/>
        <v>-0.31395128016442025</v>
      </c>
      <c r="BP428" s="2">
        <f t="shared" si="422"/>
        <v>-4.541326354006709</v>
      </c>
      <c r="BQ428" s="67">
        <f t="shared" si="451"/>
        <v>3</v>
      </c>
      <c r="BR428" s="5">
        <v>-2.7317005679340309</v>
      </c>
      <c r="BS428" s="75">
        <f t="shared" si="452"/>
        <v>0.93923037350807626</v>
      </c>
      <c r="BT428" s="75">
        <f t="shared" si="453"/>
        <v>2</v>
      </c>
      <c r="BU428" s="5">
        <f t="shared" si="462"/>
        <v>0.60020290295137158</v>
      </c>
      <c r="BV428" s="5">
        <f t="shared" si="423"/>
        <v>-2.7317005679340309</v>
      </c>
      <c r="BW428" s="69">
        <f t="shared" si="424"/>
        <v>2</v>
      </c>
      <c r="BX428" s="2">
        <v>85</v>
      </c>
      <c r="BY428" s="5">
        <v>-2.382182546734124</v>
      </c>
      <c r="BZ428" s="74">
        <f t="shared" si="454"/>
        <v>2.159143807272585</v>
      </c>
      <c r="CA428" s="74">
        <f t="shared" si="455"/>
        <v>2</v>
      </c>
      <c r="CB428" s="5">
        <f t="shared" si="425"/>
        <v>-5.5163255820137036E-2</v>
      </c>
      <c r="CC428" s="5">
        <f t="shared" si="426"/>
        <v>-2.382182546734124</v>
      </c>
      <c r="CD428" s="2">
        <f t="shared" si="427"/>
        <v>-0.83792603482563099</v>
      </c>
      <c r="CE428" s="69">
        <f t="shared" si="428"/>
        <v>6</v>
      </c>
      <c r="CF428" s="5">
        <v>9500</v>
      </c>
      <c r="CG428" s="5">
        <v>-3.931853840493261</v>
      </c>
      <c r="CH428" s="72">
        <f t="shared" si="456"/>
        <v>0.609472513513448</v>
      </c>
      <c r="CI428" s="72">
        <f t="shared" si="457"/>
        <v>1</v>
      </c>
      <c r="CJ428" s="5">
        <f t="shared" si="429"/>
        <v>0.82984644610658598</v>
      </c>
      <c r="CK428" s="5">
        <f t="shared" si="430"/>
        <v>-3.931853840493261</v>
      </c>
      <c r="CL428" s="69">
        <f t="shared" si="431"/>
        <v>3</v>
      </c>
      <c r="CM428" s="5">
        <v>-2.470525135539364</v>
      </c>
      <c r="CN428" s="70">
        <f t="shared" si="432"/>
        <v>0.2611754323946669</v>
      </c>
      <c r="CO428" s="5">
        <f t="shared" si="433"/>
        <v>0.2611754323946669</v>
      </c>
      <c r="CP428" s="5">
        <f>IF(G428&lt;48,"UF", IF(NOT(ISBLANK(CM:CM)), CM:CM, IF(BW:BW=1, BV:BV+Sheet2!B37, IF(Sheet1!BW:BW=2, Sheet1!BV:BV+Sheet2!B38, IF(Sheet1!BW:BW=7, Sheet1!BV:BV+Sheet2!B39,"")))))</f>
        <v>-2.470525135539364</v>
      </c>
      <c r="CQ428" s="69">
        <f t="shared" si="458"/>
        <v>2</v>
      </c>
      <c r="CR428" s="5">
        <v>94</v>
      </c>
      <c r="CS428" s="5">
        <v>-1.6545830235487671</v>
      </c>
      <c r="CT428" s="5">
        <f t="shared" si="434"/>
        <v>0.72759952318535692</v>
      </c>
      <c r="CU428" s="80">
        <f t="shared" si="435"/>
        <v>0.72759952318535692</v>
      </c>
      <c r="CV428" s="80">
        <f t="shared" si="436"/>
        <v>2</v>
      </c>
      <c r="CW428" s="20">
        <f>IF(G428&lt;48,"UF", IF(NOT(ISBLANK(CS428)), CS428, IF(CE428=5, CC428+Sheet2!B26, IF(CE428=6, CC428+Sheet2!B27, IF(CE428=7, CC428+Sheet2!B28,"")))))</f>
        <v>-1.6545830235487671</v>
      </c>
      <c r="CX428" s="68">
        <f t="shared" si="459"/>
        <v>7</v>
      </c>
      <c r="CY428" s="5">
        <v>11600</v>
      </c>
      <c r="CZ428" s="5">
        <v>-2.8816334617935371</v>
      </c>
      <c r="DA428" s="5">
        <f t="shared" si="437"/>
        <v>1.050220378699724</v>
      </c>
      <c r="DB428" s="73">
        <f t="shared" si="438"/>
        <v>1.050220378699724</v>
      </c>
      <c r="DC428" s="73">
        <f t="shared" si="439"/>
        <v>2</v>
      </c>
      <c r="DD428" s="5">
        <f>IF(G428&lt;48,"UF", IF(NOT(ISBLANK(CZ:CZ)), CZ:CZ, IF(CL:CL=3, CK:CK+Sheet2!B31, IF(CL:CL=4, CK:CK+Sheet2!B32, IF(CL:CL=7, CK:CK+Sheet2!B33,"")))))</f>
        <v>-2.8816334617935371</v>
      </c>
      <c r="DE428" s="69">
        <f t="shared" si="397"/>
        <v>4</v>
      </c>
      <c r="DF428" s="2">
        <v>3</v>
      </c>
      <c r="DG428" s="2">
        <v>36</v>
      </c>
      <c r="DH428" s="2">
        <v>1</v>
      </c>
      <c r="DI428" s="2">
        <v>2</v>
      </c>
      <c r="DJ428" s="2">
        <v>2</v>
      </c>
      <c r="DK428" s="2">
        <v>101</v>
      </c>
      <c r="DL428" s="2">
        <v>60</v>
      </c>
      <c r="DM428" s="2">
        <v>97</v>
      </c>
      <c r="DN428" s="2">
        <v>60</v>
      </c>
      <c r="DO428" s="2">
        <v>100</v>
      </c>
      <c r="DP428" s="2">
        <v>60</v>
      </c>
      <c r="DQ428" s="2">
        <v>2</v>
      </c>
      <c r="DR428" s="2">
        <v>39</v>
      </c>
      <c r="DS428" s="2">
        <v>2</v>
      </c>
      <c r="DT428" s="2">
        <v>78</v>
      </c>
      <c r="DU428" s="2">
        <v>82</v>
      </c>
      <c r="DV428" s="2">
        <v>2</v>
      </c>
      <c r="DW428" s="2">
        <v>2</v>
      </c>
      <c r="DX428" s="2">
        <v>2</v>
      </c>
      <c r="DY428" s="2">
        <v>3</v>
      </c>
      <c r="DZ428" s="2">
        <v>33</v>
      </c>
      <c r="EA428" s="2">
        <v>34</v>
      </c>
      <c r="EB428" s="2">
        <v>43.5</v>
      </c>
      <c r="EC428" s="2">
        <v>1</v>
      </c>
      <c r="ED428" s="2">
        <v>1</v>
      </c>
    </row>
    <row r="429" spans="1:134" x14ac:dyDescent="0.25">
      <c r="C429" s="2" t="s">
        <v>394</v>
      </c>
      <c r="D429" s="8">
        <v>6490192391</v>
      </c>
      <c r="E429" s="3">
        <v>7</v>
      </c>
      <c r="F429" s="2">
        <v>1</v>
      </c>
      <c r="G429" s="2">
        <v>55</v>
      </c>
      <c r="H429" s="2">
        <v>-1.8518406581227571</v>
      </c>
      <c r="I429" s="2">
        <v>52</v>
      </c>
      <c r="J429" s="2">
        <v>1.531272843240846</v>
      </c>
      <c r="K429" s="5">
        <v>3040</v>
      </c>
      <c r="L429" s="2">
        <v>-0.42760028049282411</v>
      </c>
      <c r="M429" s="2">
        <v>0.74409999999999998</v>
      </c>
      <c r="N429" s="2">
        <f t="shared" si="399"/>
        <v>0.57112032906137855</v>
      </c>
      <c r="O429" s="2">
        <f t="shared" si="400"/>
        <v>0.74409999999999998</v>
      </c>
      <c r="P429" s="2">
        <v>66.5</v>
      </c>
      <c r="Q429" s="2">
        <v>0.33</v>
      </c>
      <c r="R429" s="5">
        <f t="shared" si="401"/>
        <v>-0.28063642162042302</v>
      </c>
      <c r="S429" s="5">
        <f t="shared" si="402"/>
        <v>0.33</v>
      </c>
      <c r="T429" s="1">
        <v>8000</v>
      </c>
      <c r="U429" s="2">
        <v>0.75</v>
      </c>
      <c r="V429" s="2">
        <f t="shared" si="403"/>
        <v>0.23880014024641205</v>
      </c>
      <c r="W429" s="2">
        <f t="shared" si="404"/>
        <v>0.75</v>
      </c>
      <c r="X429" s="2">
        <v>-0.70960000000000001</v>
      </c>
      <c r="Y429" s="76">
        <f t="shared" si="440"/>
        <v>1.1422406581227571</v>
      </c>
      <c r="Z429" s="76">
        <f t="shared" si="441"/>
        <v>2</v>
      </c>
      <c r="AA429" s="2">
        <f t="shared" si="405"/>
        <v>-3.2150000000000012E-2</v>
      </c>
      <c r="AB429" s="2">
        <f t="shared" si="406"/>
        <v>-0.70960000000000001</v>
      </c>
      <c r="AC429" s="2">
        <v>76.5</v>
      </c>
      <c r="AD429" s="2">
        <v>0.97</v>
      </c>
      <c r="AE429" s="79">
        <f t="shared" si="442"/>
        <v>-0.56127284324084603</v>
      </c>
      <c r="AF429" s="79">
        <f t="shared" si="443"/>
        <v>-1</v>
      </c>
      <c r="AG429" s="2">
        <f t="shared" si="461"/>
        <v>-0.29000000000000004</v>
      </c>
      <c r="AH429" s="2">
        <f t="shared" si="407"/>
        <v>0.97</v>
      </c>
      <c r="AI429" s="2">
        <v>9000</v>
      </c>
      <c r="AJ429" s="2">
        <v>0.05</v>
      </c>
      <c r="AK429" s="76">
        <f t="shared" si="444"/>
        <v>0.4776002804928241</v>
      </c>
      <c r="AL429" s="76">
        <f t="shared" si="445"/>
        <v>1</v>
      </c>
      <c r="AM429" s="2">
        <f t="shared" si="408"/>
        <v>-0.35</v>
      </c>
      <c r="AN429" s="2">
        <f t="shared" si="409"/>
        <v>0.05</v>
      </c>
      <c r="AO429" s="2">
        <v>0.26569999999999999</v>
      </c>
      <c r="AP429" s="2">
        <f t="shared" si="410"/>
        <v>0.56865738083367612</v>
      </c>
      <c r="AQ429" s="2">
        <f t="shared" si="411"/>
        <v>0.26569999999999999</v>
      </c>
      <c r="AR429" s="2">
        <v>80</v>
      </c>
      <c r="AS429" s="2">
        <v>-0.25</v>
      </c>
      <c r="AT429" s="2">
        <f t="shared" si="412"/>
        <v>-0.68514376441753855</v>
      </c>
      <c r="AU429" s="2">
        <f t="shared" si="413"/>
        <v>-0.25</v>
      </c>
      <c r="AV429" s="2">
        <v>10300</v>
      </c>
      <c r="AW429" s="2">
        <v>0.05</v>
      </c>
      <c r="AX429" s="2">
        <f t="shared" si="414"/>
        <v>-7.6964890701643654E-2</v>
      </c>
      <c r="AY429" s="2">
        <f t="shared" si="415"/>
        <v>0.05</v>
      </c>
      <c r="AZ429" s="2">
        <v>0.42771476166735217</v>
      </c>
      <c r="BA429" s="78">
        <f t="shared" si="446"/>
        <v>1.1373147616673522</v>
      </c>
      <c r="BB429" s="78">
        <f t="shared" si="447"/>
        <v>2</v>
      </c>
      <c r="BC429" s="2" t="str">
        <f t="shared" si="416"/>
        <v/>
      </c>
      <c r="BD429" s="2">
        <f t="shared" si="417"/>
        <v>0.42771476166735217</v>
      </c>
      <c r="BE429" s="67">
        <f t="shared" si="448"/>
        <v>7</v>
      </c>
      <c r="BF429" s="2">
        <v>84</v>
      </c>
      <c r="BG429" s="2">
        <v>-0.40028752883507712</v>
      </c>
      <c r="BH429" s="2" t="str">
        <f t="shared" si="418"/>
        <v/>
      </c>
      <c r="BI429" s="2">
        <f t="shared" si="419"/>
        <v>-0.40028752883507712</v>
      </c>
      <c r="BJ429" s="67">
        <f t="shared" si="420"/>
        <v>7</v>
      </c>
      <c r="BK429" s="2">
        <v>12000</v>
      </c>
      <c r="BL429" s="2">
        <v>-0.10392978140328731</v>
      </c>
      <c r="BM429" s="77">
        <f t="shared" si="449"/>
        <v>-0.15392978140328731</v>
      </c>
      <c r="BN429" s="77">
        <f t="shared" si="450"/>
        <v>-1</v>
      </c>
      <c r="BO429" s="2" t="str">
        <f t="shared" si="421"/>
        <v/>
      </c>
      <c r="BP429" s="2">
        <f t="shared" si="422"/>
        <v>-0.10392978140328731</v>
      </c>
      <c r="BQ429" s="67">
        <f t="shared" si="451"/>
        <v>7</v>
      </c>
      <c r="BS429" s="75">
        <f t="shared" si="452"/>
        <v>-0.62645750763990971</v>
      </c>
      <c r="BT429" s="75">
        <f t="shared" si="453"/>
        <v>-1</v>
      </c>
      <c r="BU429" s="5">
        <f>IF(G437&gt;=36, IF(AND(NOT(ISBLANK(CM:CM)), NOT(ISBLANK(BD:BD))), (CM:CM-BD:BD)/2, ""), "UF")</f>
        <v>-0.62645750763990971</v>
      </c>
      <c r="BV429" s="5">
        <f t="shared" si="423"/>
        <v>-0.19874274597255753</v>
      </c>
      <c r="BW429" s="69">
        <f t="shared" si="424"/>
        <v>7</v>
      </c>
      <c r="BX429" s="2" t="s">
        <v>12</v>
      </c>
      <c r="BZ429" s="74">
        <f t="shared" si="454"/>
        <v>1.3895702927238587E-2</v>
      </c>
      <c r="CA429" s="74">
        <f t="shared" si="455"/>
        <v>1</v>
      </c>
      <c r="CB429" s="5">
        <f t="shared" si="425"/>
        <v>0.3102534503590284</v>
      </c>
      <c r="CC429" s="5">
        <f t="shared" si="426"/>
        <v>-9.0034078476048718E-2</v>
      </c>
      <c r="CD429" s="2">
        <f t="shared" si="427"/>
        <v>0.3102534503590284</v>
      </c>
      <c r="CE429" s="69">
        <f t="shared" si="428"/>
        <v>7</v>
      </c>
      <c r="CF429" s="5" t="s">
        <v>12</v>
      </c>
      <c r="CH429" s="72">
        <f t="shared" si="456"/>
        <v>-0.17127796796673944</v>
      </c>
      <c r="CI429" s="72">
        <f t="shared" si="457"/>
        <v>-1</v>
      </c>
      <c r="CJ429" s="5">
        <f t="shared" si="429"/>
        <v>-0.17127796796673941</v>
      </c>
      <c r="CK429" s="5">
        <f t="shared" si="430"/>
        <v>-0.27520774937002673</v>
      </c>
      <c r="CL429" s="69">
        <f t="shared" si="431"/>
        <v>7</v>
      </c>
      <c r="CM429" s="5">
        <v>-0.82520025361246729</v>
      </c>
      <c r="CN429" s="70">
        <f t="shared" si="432"/>
        <v>-0.62645750763990971</v>
      </c>
      <c r="CO429" s="5">
        <f t="shared" si="433"/>
        <v>-0.62645750763990971</v>
      </c>
      <c r="CP429" s="5">
        <f>IF(G429&lt;48,"UF", IF(NOT(ISBLANK(CM:CM)), CM:CM, IF(BW:BW=1, BV:BV+Sheet2!B612, IF(Sheet1!BW:BW=2, Sheet1!BV:BV+Sheet2!B613, IF(Sheet1!BW:BW=7, Sheet1!BV:BV+Sheet2!B614,"")))))</f>
        <v>-0.82520025361246729</v>
      </c>
      <c r="CQ429" s="69">
        <f t="shared" si="458"/>
        <v>7</v>
      </c>
      <c r="CR429" s="5">
        <v>102</v>
      </c>
      <c r="CS429" s="5">
        <v>0.22021937188297969</v>
      </c>
      <c r="CT429" s="5">
        <f t="shared" si="434"/>
        <v>0.3102534503590284</v>
      </c>
      <c r="CU429" s="80">
        <f t="shared" si="435"/>
        <v>0.3102534503590284</v>
      </c>
      <c r="CV429" s="80">
        <f t="shared" si="436"/>
        <v>1</v>
      </c>
      <c r="CW429" s="20">
        <f>IF(G429&lt;48,"UF", IF(NOT(ISBLANK(CS429)), CS429, IF(CE429=5, CC429+Sheet2!B601, IF(CE429=6, CC429+Sheet2!B602, IF(CE429=7, CC429+Sheet2!B603,"")))))</f>
        <v>0.22021937188297969</v>
      </c>
      <c r="CX429" s="68">
        <f t="shared" si="459"/>
        <v>7</v>
      </c>
      <c r="CY429" s="5">
        <v>15000</v>
      </c>
      <c r="CZ429" s="5">
        <v>-0.44648571733676612</v>
      </c>
      <c r="DA429" s="5">
        <f t="shared" si="437"/>
        <v>-0.17127796796673939</v>
      </c>
      <c r="DB429" s="73">
        <f t="shared" si="438"/>
        <v>-0.17127796796673939</v>
      </c>
      <c r="DC429" s="73">
        <f t="shared" si="439"/>
        <v>-1</v>
      </c>
      <c r="DD429" s="5">
        <f>IF(G429&lt;48,"UF", IF(NOT(ISBLANK(CZ:CZ)), CZ:CZ, IF(CL:CL=3, CK:CK+Sheet2!B606, IF(CL:CL=4, CK:CK+Sheet2!B607, IF(CL:CL=7, CK:CK+Sheet2!B608,"")))))</f>
        <v>-0.44648571733676612</v>
      </c>
      <c r="DE429" s="69">
        <f t="shared" si="397"/>
        <v>7</v>
      </c>
      <c r="DF429" s="2">
        <v>2</v>
      </c>
      <c r="DG429" s="2">
        <v>34</v>
      </c>
      <c r="DH429" s="2">
        <v>1</v>
      </c>
      <c r="DI429" s="2">
        <v>2</v>
      </c>
      <c r="DJ429" s="2">
        <v>2</v>
      </c>
      <c r="DK429" s="2">
        <v>110</v>
      </c>
      <c r="DL429" s="2">
        <v>60</v>
      </c>
      <c r="DM429" s="2">
        <v>99</v>
      </c>
      <c r="DN429" s="2">
        <v>52</v>
      </c>
      <c r="DO429" s="2">
        <v>103</v>
      </c>
      <c r="DP429" s="2">
        <v>64</v>
      </c>
      <c r="DQ429" s="2">
        <v>1</v>
      </c>
      <c r="DR429" s="2">
        <v>39</v>
      </c>
      <c r="DS429" s="2">
        <v>2</v>
      </c>
      <c r="DT429" s="2">
        <v>85</v>
      </c>
      <c r="DU429" s="2">
        <v>75</v>
      </c>
      <c r="DV429" s="2">
        <v>2</v>
      </c>
      <c r="DW429" s="2">
        <v>3</v>
      </c>
      <c r="DX429" s="2">
        <v>2</v>
      </c>
      <c r="DY429" s="2">
        <v>3</v>
      </c>
      <c r="DZ429" s="2">
        <v>45</v>
      </c>
      <c r="EA429" s="2">
        <v>36</v>
      </c>
      <c r="EB429" s="2">
        <v>45.5</v>
      </c>
      <c r="EC429" s="2">
        <v>1</v>
      </c>
      <c r="ED429" s="2">
        <v>1</v>
      </c>
    </row>
    <row r="430" spans="1:134" x14ac:dyDescent="0.25">
      <c r="C430" s="8" t="s">
        <v>19</v>
      </c>
      <c r="D430" s="8">
        <v>6490192950</v>
      </c>
      <c r="E430" s="3">
        <v>7</v>
      </c>
      <c r="F430" s="2">
        <v>1</v>
      </c>
      <c r="G430" s="2">
        <v>54</v>
      </c>
      <c r="H430" s="2">
        <v>-1.5639615805521181</v>
      </c>
      <c r="I430" s="2">
        <v>47</v>
      </c>
      <c r="J430" s="2">
        <v>-1.153005671500261</v>
      </c>
      <c r="K430" s="5">
        <v>2550</v>
      </c>
      <c r="L430" s="2">
        <v>-1.5996118709669549</v>
      </c>
      <c r="M430" s="2">
        <v>-0.94920000000000004</v>
      </c>
      <c r="N430" s="2">
        <f t="shared" si="399"/>
        <v>0.5032307902760591</v>
      </c>
      <c r="O430" s="2">
        <f t="shared" si="400"/>
        <v>-0.94920000000000004</v>
      </c>
      <c r="P430" s="2">
        <v>69.5</v>
      </c>
      <c r="Q430" s="2">
        <v>1.65</v>
      </c>
      <c r="R430" s="5">
        <f t="shared" si="401"/>
        <v>0.96150283575013051</v>
      </c>
      <c r="S430" s="5">
        <f t="shared" si="402"/>
        <v>1.65</v>
      </c>
      <c r="T430" s="1">
        <v>7500</v>
      </c>
      <c r="U430" s="2">
        <v>0.22</v>
      </c>
      <c r="V430" s="2">
        <f t="shared" si="403"/>
        <v>0.82480593548347747</v>
      </c>
      <c r="W430" s="2">
        <f t="shared" si="404"/>
        <v>0.22</v>
      </c>
      <c r="X430" s="2">
        <v>-0.5575</v>
      </c>
      <c r="Y430" s="76">
        <f t="shared" si="440"/>
        <v>1.0064615805521182</v>
      </c>
      <c r="Z430" s="76">
        <f t="shared" si="441"/>
        <v>2</v>
      </c>
      <c r="AA430" s="2">
        <f t="shared" si="405"/>
        <v>-1.6612</v>
      </c>
      <c r="AB430" s="2">
        <f t="shared" si="406"/>
        <v>-0.5575</v>
      </c>
      <c r="AC430" s="2">
        <v>76</v>
      </c>
      <c r="AD430" s="2">
        <v>0.77</v>
      </c>
      <c r="AE430" s="79">
        <f t="shared" si="442"/>
        <v>1.923005671500261</v>
      </c>
      <c r="AF430" s="79">
        <f t="shared" si="443"/>
        <v>2</v>
      </c>
      <c r="AG430" s="2">
        <f t="shared" si="461"/>
        <v>-0.26</v>
      </c>
      <c r="AH430" s="2">
        <f t="shared" si="407"/>
        <v>0.77</v>
      </c>
      <c r="AI430" s="2">
        <v>9000</v>
      </c>
      <c r="AJ430" s="2">
        <v>0.05</v>
      </c>
      <c r="AK430" s="76">
        <f t="shared" si="444"/>
        <v>1.6496118709669549</v>
      </c>
      <c r="AL430" s="76">
        <f t="shared" si="445"/>
        <v>2</v>
      </c>
      <c r="AM430" s="2">
        <f t="shared" si="408"/>
        <v>-0.35</v>
      </c>
      <c r="AN430" s="2">
        <f t="shared" si="409"/>
        <v>0.05</v>
      </c>
      <c r="AO430" s="2">
        <v>-1.6724000000000001</v>
      </c>
      <c r="AP430" s="2" t="str">
        <f t="shared" si="410"/>
        <v/>
      </c>
      <c r="AQ430" s="2">
        <f t="shared" si="411"/>
        <v>-1.6724000000000001</v>
      </c>
      <c r="AR430" s="2">
        <v>84</v>
      </c>
      <c r="AS430" s="2">
        <v>1.1299999999999999</v>
      </c>
      <c r="AT430" s="2" t="str">
        <f t="shared" si="412"/>
        <v/>
      </c>
      <c r="AU430" s="2">
        <f t="shared" si="413"/>
        <v>1.1299999999999999</v>
      </c>
      <c r="AV430" s="2">
        <v>9650</v>
      </c>
      <c r="AW430" s="2">
        <v>-0.48</v>
      </c>
      <c r="AX430" s="2" t="str">
        <f t="shared" si="414"/>
        <v/>
      </c>
      <c r="AY430" s="2">
        <f t="shared" si="415"/>
        <v>-0.48</v>
      </c>
      <c r="BA430" s="78">
        <f t="shared" si="446"/>
        <v>-0.76017482155394001</v>
      </c>
      <c r="BB430" s="78">
        <f t="shared" si="447"/>
        <v>-2</v>
      </c>
      <c r="BC430" s="2">
        <f t="shared" si="416"/>
        <v>0.35472517844606016</v>
      </c>
      <c r="BD430" s="2">
        <f t="shared" si="417"/>
        <v>-1.31767482155394</v>
      </c>
      <c r="BE430" s="67">
        <f t="shared" si="448"/>
        <v>7</v>
      </c>
      <c r="BF430" s="2" t="s">
        <v>12</v>
      </c>
      <c r="BH430" s="2">
        <f t="shared" si="418"/>
        <v>0.10393884891623206</v>
      </c>
      <c r="BI430" s="2">
        <f t="shared" si="419"/>
        <v>1.233938848916232</v>
      </c>
      <c r="BJ430" s="67">
        <f t="shared" si="420"/>
        <v>7</v>
      </c>
      <c r="BK430" s="2" t="s">
        <v>12</v>
      </c>
      <c r="BM430" s="77">
        <f t="shared" si="449"/>
        <v>-0.17324425414118777</v>
      </c>
      <c r="BN430" s="77">
        <f t="shared" si="450"/>
        <v>-1</v>
      </c>
      <c r="BO430" s="2">
        <f t="shared" si="421"/>
        <v>0.3567557458588122</v>
      </c>
      <c r="BP430" s="2">
        <f t="shared" si="422"/>
        <v>-0.12324425414118778</v>
      </c>
      <c r="BQ430" s="67">
        <f t="shared" si="451"/>
        <v>7</v>
      </c>
      <c r="BR430" s="5">
        <v>-0.60822446466181945</v>
      </c>
      <c r="BS430" s="75">
        <f t="shared" si="452"/>
        <v>0.70945035689212055</v>
      </c>
      <c r="BT430" s="75">
        <f t="shared" si="453"/>
        <v>2</v>
      </c>
      <c r="BU430" s="5">
        <f>IF(G438&gt;=36, IF(AND(NOT(ISBLANK(CM:CM)), NOT(ISBLANK(BD:BD))), (CM:CM-BD:BD)/2, ""), "UF")</f>
        <v>0.31727699453611546</v>
      </c>
      <c r="BV430" s="5">
        <f t="shared" si="423"/>
        <v>-0.60822446466181945</v>
      </c>
      <c r="BW430" s="69">
        <f t="shared" si="424"/>
        <v>7</v>
      </c>
      <c r="BX430" s="2">
        <v>100</v>
      </c>
      <c r="BY430" s="5">
        <v>1.4418165467486961</v>
      </c>
      <c r="BZ430" s="74">
        <f t="shared" si="454"/>
        <v>1.5650608008898839</v>
      </c>
      <c r="CA430" s="74">
        <f t="shared" si="455"/>
        <v>2</v>
      </c>
      <c r="CB430" s="5">
        <f t="shared" si="425"/>
        <v>-0.1145826104919645</v>
      </c>
      <c r="CC430" s="5">
        <f t="shared" si="426"/>
        <v>1.4418165467486961</v>
      </c>
      <c r="CD430" s="2">
        <f t="shared" si="427"/>
        <v>0.20787769783246413</v>
      </c>
      <c r="CE430" s="69">
        <f t="shared" si="428"/>
        <v>7</v>
      </c>
      <c r="CF430" s="5">
        <v>15000</v>
      </c>
      <c r="CG430" s="5">
        <v>0.59026723757643662</v>
      </c>
      <c r="CH430" s="72">
        <f t="shared" si="456"/>
        <v>0.7135114917176244</v>
      </c>
      <c r="CI430" s="72">
        <f t="shared" si="457"/>
        <v>2</v>
      </c>
      <c r="CJ430" s="5">
        <f t="shared" si="429"/>
        <v>0.13683644293711875</v>
      </c>
      <c r="CK430" s="5">
        <f t="shared" si="430"/>
        <v>0.59026723757643662</v>
      </c>
      <c r="CL430" s="69">
        <f t="shared" si="431"/>
        <v>7</v>
      </c>
      <c r="CM430" s="5">
        <v>-0.68312083248170907</v>
      </c>
      <c r="CN430" s="70">
        <f t="shared" si="432"/>
        <v>-7.489636781988962E-2</v>
      </c>
      <c r="CO430" s="5">
        <f t="shared" si="433"/>
        <v>-7.489636781988962E-2</v>
      </c>
      <c r="CP430" s="5">
        <f>IF(G430&lt;48,"UF", IF(NOT(ISBLANK(CM:CM)), CM:CM, IF(BW:BW=1, BV:BV+Sheet2!B611, IF(Sheet1!BW:BW=2, Sheet1!BV:BV+Sheet2!B612, IF(Sheet1!BW:BW=7, Sheet1!BV:BV+Sheet2!B613,"")))))</f>
        <v>-0.68312083248170907</v>
      </c>
      <c r="CQ430" s="69">
        <f t="shared" si="458"/>
        <v>7</v>
      </c>
      <c r="CR430" s="5">
        <v>105.5</v>
      </c>
      <c r="CS430" s="5">
        <v>1.004773627932303</v>
      </c>
      <c r="CT430" s="5">
        <f t="shared" si="434"/>
        <v>-0.43704291881639312</v>
      </c>
      <c r="CU430" s="80">
        <f t="shared" si="435"/>
        <v>-0.43704291881639312</v>
      </c>
      <c r="CV430" s="80">
        <f t="shared" si="436"/>
        <v>-1</v>
      </c>
      <c r="CW430" s="20">
        <f>IF(G430&lt;48,"UF", IF(NOT(ISBLANK(CS430)), CS430, IF(CE430=5, CC430+Sheet2!B600, IF(CE430=6, CC430+Sheet2!B601, IF(CE430=7, CC430+Sheet2!B602,"")))))</f>
        <v>1.004773627932303</v>
      </c>
      <c r="CX430" s="68">
        <f t="shared" si="459"/>
        <v>7</v>
      </c>
      <c r="CY430" s="5">
        <v>16200</v>
      </c>
      <c r="CZ430" s="5">
        <v>0.15042863173304971</v>
      </c>
      <c r="DA430" s="5">
        <f t="shared" si="437"/>
        <v>-0.43983860584338691</v>
      </c>
      <c r="DB430" s="73">
        <f t="shared" si="438"/>
        <v>-0.43983860584338691</v>
      </c>
      <c r="DC430" s="73">
        <f t="shared" si="439"/>
        <v>-1</v>
      </c>
      <c r="DD430" s="5">
        <f>IF(G430&lt;48,"UF", IF(NOT(ISBLANK(CZ:CZ)), CZ:CZ, IF(CL:CL=3, CK:CK+Sheet2!B605, IF(CL:CL=4, CK:CK+Sheet2!B606, IF(CL:CL=7, CK:CK+Sheet2!B607,"")))))</f>
        <v>0.15042863173304971</v>
      </c>
      <c r="DE430" s="69">
        <f t="shared" si="397"/>
        <v>7</v>
      </c>
      <c r="DF430" s="2">
        <v>1</v>
      </c>
      <c r="DG430" s="2">
        <v>22</v>
      </c>
      <c r="DH430" s="2">
        <v>1</v>
      </c>
      <c r="DI430" s="2">
        <v>2</v>
      </c>
      <c r="DJ430" s="2">
        <v>2</v>
      </c>
      <c r="DK430" s="2">
        <v>90</v>
      </c>
      <c r="DL430" s="2">
        <v>50</v>
      </c>
      <c r="DM430" s="2">
        <v>110</v>
      </c>
      <c r="DN430" s="2">
        <v>60</v>
      </c>
      <c r="DO430" s="2">
        <v>112</v>
      </c>
      <c r="DP430" s="2">
        <v>70</v>
      </c>
      <c r="DQ430" s="2">
        <v>2</v>
      </c>
      <c r="DR430" s="2">
        <v>36</v>
      </c>
      <c r="DS430" s="2">
        <v>1</v>
      </c>
      <c r="DT430" s="2">
        <v>109</v>
      </c>
      <c r="DU430" s="2">
        <v>71</v>
      </c>
      <c r="DV430" s="2">
        <v>2</v>
      </c>
      <c r="DW430" s="2">
        <v>3</v>
      </c>
      <c r="DX430" s="2">
        <v>2</v>
      </c>
      <c r="DY430" s="2">
        <v>1</v>
      </c>
      <c r="DZ430" s="2">
        <v>33</v>
      </c>
      <c r="EA430" s="2">
        <v>34</v>
      </c>
      <c r="EB430" s="2">
        <v>45</v>
      </c>
      <c r="EC430" s="2">
        <v>1</v>
      </c>
      <c r="ED430" s="2">
        <v>1</v>
      </c>
    </row>
    <row r="431" spans="1:134" x14ac:dyDescent="0.25">
      <c r="C431" s="5" t="s">
        <v>58</v>
      </c>
      <c r="D431" s="2">
        <v>6490193442</v>
      </c>
      <c r="E431" s="2">
        <v>2</v>
      </c>
      <c r="F431" s="2">
        <v>1</v>
      </c>
      <c r="G431" s="2">
        <v>50</v>
      </c>
      <c r="H431" s="2">
        <v>-1.5730730422209309</v>
      </c>
      <c r="I431" s="2">
        <v>51</v>
      </c>
      <c r="J431" s="2">
        <v>0.99441714029262385</v>
      </c>
      <c r="K431" s="5">
        <v>3000</v>
      </c>
      <c r="L431" s="2">
        <v>-0.51868017376649433</v>
      </c>
      <c r="M431" s="2">
        <v>-0.7056</v>
      </c>
      <c r="N431" s="2">
        <f t="shared" si="399"/>
        <v>0.77563652111046544</v>
      </c>
      <c r="O431" s="2">
        <f t="shared" si="400"/>
        <v>-0.7056</v>
      </c>
      <c r="P431" s="2">
        <v>62</v>
      </c>
      <c r="Q431" s="2">
        <v>-1.65</v>
      </c>
      <c r="R431" s="5">
        <f t="shared" si="401"/>
        <v>-1.2772085701463118</v>
      </c>
      <c r="S431" s="5">
        <f t="shared" si="402"/>
        <v>-1.65</v>
      </c>
      <c r="T431" s="1">
        <v>6100</v>
      </c>
      <c r="U431" s="2">
        <v>-1.48</v>
      </c>
      <c r="V431" s="2">
        <f t="shared" si="403"/>
        <v>-0.20065991311675285</v>
      </c>
      <c r="W431" s="2">
        <f t="shared" si="404"/>
        <v>-1.48</v>
      </c>
      <c r="X431" s="2">
        <v>-2.18E-2</v>
      </c>
      <c r="Y431" s="76">
        <f t="shared" si="440"/>
        <v>1.5512730422209309</v>
      </c>
      <c r="Z431" s="76">
        <f t="shared" si="441"/>
        <v>2</v>
      </c>
      <c r="AA431" s="2">
        <f t="shared" si="405"/>
        <v>-4.8800000000000066E-2</v>
      </c>
      <c r="AB431" s="2">
        <f t="shared" si="406"/>
        <v>-2.18E-2</v>
      </c>
      <c r="AC431" s="2">
        <v>70</v>
      </c>
      <c r="AD431" s="2">
        <v>-1.56</v>
      </c>
      <c r="AE431" s="79">
        <f t="shared" si="442"/>
        <v>-2.5544171402926237</v>
      </c>
      <c r="AF431" s="79">
        <f t="shared" si="443"/>
        <v>-2</v>
      </c>
      <c r="AG431" s="2">
        <f t="shared" si="461"/>
        <v>0.7</v>
      </c>
      <c r="AH431" s="2">
        <f t="shared" si="407"/>
        <v>-1.56</v>
      </c>
      <c r="AI431" s="2">
        <v>8000</v>
      </c>
      <c r="AJ431" s="2">
        <v>-0.92</v>
      </c>
      <c r="AK431" s="76">
        <f t="shared" si="444"/>
        <v>-0.40131982623350571</v>
      </c>
      <c r="AL431" s="76">
        <f t="shared" si="445"/>
        <v>-1</v>
      </c>
      <c r="AM431" s="2">
        <f t="shared" si="408"/>
        <v>6.4999999999999947E-2</v>
      </c>
      <c r="AN431" s="2">
        <f t="shared" si="409"/>
        <v>-0.92</v>
      </c>
      <c r="AO431" s="2">
        <v>-1.7476</v>
      </c>
      <c r="AP431" s="2">
        <f t="shared" si="410"/>
        <v>-0.96386467229464801</v>
      </c>
      <c r="AQ431" s="2">
        <f t="shared" si="411"/>
        <v>-1.7476</v>
      </c>
      <c r="AR431" s="2">
        <v>80</v>
      </c>
      <c r="AS431" s="2">
        <v>-0.25</v>
      </c>
      <c r="AT431" s="2">
        <f t="shared" si="412"/>
        <v>0.8663769221845079</v>
      </c>
      <c r="AU431" s="2">
        <f t="shared" si="413"/>
        <v>-0.25</v>
      </c>
      <c r="AV431" s="2">
        <v>8700</v>
      </c>
      <c r="AW431" s="2">
        <v>-1.35</v>
      </c>
      <c r="AX431" s="2">
        <f t="shared" si="414"/>
        <v>-0.29903123227513101</v>
      </c>
      <c r="AY431" s="2">
        <f t="shared" si="415"/>
        <v>-1.35</v>
      </c>
      <c r="AZ431" s="2">
        <v>-1.9495293445892961</v>
      </c>
      <c r="BA431" s="78">
        <f t="shared" si="446"/>
        <v>-1.927729344589296</v>
      </c>
      <c r="BB431" s="78">
        <f t="shared" si="447"/>
        <v>-2</v>
      </c>
      <c r="BC431" s="2">
        <f t="shared" si="416"/>
        <v>-0.68437101860514904</v>
      </c>
      <c r="BD431" s="2">
        <f t="shared" si="417"/>
        <v>-1.9495293445892961</v>
      </c>
      <c r="BE431" s="67">
        <f t="shared" si="448"/>
        <v>7</v>
      </c>
      <c r="BF431" s="2">
        <v>86</v>
      </c>
      <c r="BG431" s="2">
        <v>0.1727538443690157</v>
      </c>
      <c r="BH431" s="2">
        <f t="shared" si="418"/>
        <v>6.5358351232728901E-2</v>
      </c>
      <c r="BI431" s="2">
        <f t="shared" si="419"/>
        <v>0.1727538443690157</v>
      </c>
      <c r="BJ431" s="67">
        <f t="shared" si="420"/>
        <v>7</v>
      </c>
      <c r="BK431" s="2">
        <v>10400</v>
      </c>
      <c r="BL431" s="2">
        <v>-1.5180624645502621</v>
      </c>
      <c r="BM431" s="77">
        <f t="shared" si="449"/>
        <v>-0.59806246455026202</v>
      </c>
      <c r="BN431" s="77">
        <f t="shared" si="450"/>
        <v>-1</v>
      </c>
      <c r="BO431" s="2">
        <f t="shared" si="421"/>
        <v>-0.29810944549649898</v>
      </c>
      <c r="BP431" s="2">
        <f t="shared" si="422"/>
        <v>-1.5180624645502621</v>
      </c>
      <c r="BQ431" s="67">
        <f t="shared" si="451"/>
        <v>7</v>
      </c>
      <c r="BR431" s="5">
        <v>-3.8007130558154469</v>
      </c>
      <c r="BS431" s="75">
        <f t="shared" si="452"/>
        <v>-1.8511837112261509</v>
      </c>
      <c r="BT431" s="75">
        <f t="shared" si="453"/>
        <v>-2</v>
      </c>
      <c r="BU431" s="5">
        <f>IF(G439&gt;=36, IF(AND(NOT(ISBLANK(CM:CM)), NOT(ISBLANK(BD:BD))), (CM:CM-BD:BD)/2, ""), "UF")</f>
        <v>0.36200605299466504</v>
      </c>
      <c r="BV431" s="5">
        <f t="shared" si="423"/>
        <v>-3.8007130558154469</v>
      </c>
      <c r="BW431" s="69">
        <f t="shared" si="424"/>
        <v>1</v>
      </c>
      <c r="BX431" s="2">
        <v>94</v>
      </c>
      <c r="BY431" s="5">
        <v>-5.3924946301813291E-2</v>
      </c>
      <c r="BZ431" s="74">
        <f t="shared" si="454"/>
        <v>1.4641375182484488</v>
      </c>
      <c r="CA431" s="74">
        <f t="shared" si="455"/>
        <v>2</v>
      </c>
      <c r="CB431" s="5">
        <f t="shared" si="425"/>
        <v>-0.43755922854666918</v>
      </c>
      <c r="CC431" s="5">
        <f t="shared" si="426"/>
        <v>-5.3924946301813291E-2</v>
      </c>
      <c r="CD431" s="2">
        <f t="shared" si="427"/>
        <v>-0.22667879067082899</v>
      </c>
      <c r="CE431" s="69">
        <f t="shared" si="428"/>
        <v>7</v>
      </c>
      <c r="CF431" s="5">
        <v>11000</v>
      </c>
      <c r="CG431" s="5">
        <v>-2.244328336489497</v>
      </c>
      <c r="CH431" s="72">
        <f t="shared" si="456"/>
        <v>-0.72626587193923497</v>
      </c>
      <c r="CI431" s="72">
        <f t="shared" si="457"/>
        <v>-2</v>
      </c>
      <c r="CJ431" s="5">
        <f t="shared" si="429"/>
        <v>8.0781344830217039E-2</v>
      </c>
      <c r="CK431" s="5">
        <f t="shared" si="430"/>
        <v>-2.244328336489497</v>
      </c>
      <c r="CL431" s="69">
        <f t="shared" si="431"/>
        <v>4</v>
      </c>
      <c r="CM431" s="5">
        <v>-1.225517238599966</v>
      </c>
      <c r="CN431" s="70">
        <f t="shared" si="432"/>
        <v>2.575195817215481</v>
      </c>
      <c r="CO431" s="5">
        <f t="shared" si="433"/>
        <v>2.575195817215481</v>
      </c>
      <c r="CP431" s="5">
        <f>IF(G431&lt;48,"UF", IF(NOT(ISBLANK(CM:CM)), CM:CM, IF(BW:BW=1, BV:BV+Sheet2!B81, IF(Sheet1!BW:BW=2, Sheet1!BV:BV+Sheet2!B82, IF(Sheet1!BW:BW=7, Sheet1!BV:BV+Sheet2!B83,"")))))</f>
        <v>-1.225517238599966</v>
      </c>
      <c r="CQ431" s="69">
        <f t="shared" si="458"/>
        <v>7</v>
      </c>
      <c r="CR431" s="5">
        <v>98</v>
      </c>
      <c r="CS431" s="5">
        <v>-0.7023646127243226</v>
      </c>
      <c r="CT431" s="5">
        <f t="shared" si="434"/>
        <v>-0.64843966642250928</v>
      </c>
      <c r="CU431" s="80">
        <f t="shared" si="435"/>
        <v>-0.64843966642250928</v>
      </c>
      <c r="CV431" s="80">
        <f t="shared" si="436"/>
        <v>-1</v>
      </c>
      <c r="CW431" s="20">
        <f>IF(G431&lt;48,"UF", IF(NOT(ISBLANK(CS431)), CS431, IF(CE431=5, CC431+Sheet2!B70, IF(CE431=6, CC431+Sheet2!B71, IF(CE431=7, CC431+Sheet2!B72,"")))))</f>
        <v>-0.7023646127243226</v>
      </c>
      <c r="CX431" s="68">
        <f t="shared" si="459"/>
        <v>7</v>
      </c>
      <c r="CY431" s="5">
        <v>13500</v>
      </c>
      <c r="CZ431" s="5">
        <v>-1.356499774889828</v>
      </c>
      <c r="DA431" s="5">
        <f t="shared" si="437"/>
        <v>0.88782856159966905</v>
      </c>
      <c r="DB431" s="73">
        <f t="shared" si="438"/>
        <v>0.88782856159966905</v>
      </c>
      <c r="DC431" s="73">
        <f t="shared" si="439"/>
        <v>2</v>
      </c>
      <c r="DD431" s="5">
        <f>IF(G431&lt;48,"UF", IF(NOT(ISBLANK(CZ:CZ)), CZ:CZ, IF(CL:CL=3, CK:CK+Sheet2!B75, IF(CL:CL=4, CK:CK+Sheet2!B76, IF(CL:CL=7, CK:CK+Sheet2!B77,"")))))</f>
        <v>-1.356499774889828</v>
      </c>
      <c r="DE431" s="69">
        <f t="shared" ref="DE431:DE494" si="463">IF(DD:DD&lt;-3,3,IF(AND(DD:DD&gt;=-3,DD:DD&lt;-2),4,IF(AND(DD:DD&gt;=-2,DD:DD&lt;=2),7,"")))</f>
        <v>7</v>
      </c>
      <c r="DF431" s="2">
        <v>3</v>
      </c>
      <c r="DG431" s="2">
        <v>40</v>
      </c>
      <c r="DH431" s="2">
        <v>2</v>
      </c>
      <c r="DI431" s="2">
        <v>3</v>
      </c>
      <c r="DJ431" s="2">
        <v>2</v>
      </c>
      <c r="DK431" s="2">
        <v>110</v>
      </c>
      <c r="DL431" s="2">
        <v>60</v>
      </c>
      <c r="DM431" s="2" t="s">
        <v>12</v>
      </c>
      <c r="DN431" s="2" t="s">
        <v>12</v>
      </c>
      <c r="DO431" s="2">
        <v>90</v>
      </c>
      <c r="DP431" s="2">
        <v>60</v>
      </c>
      <c r="DQ431" s="2">
        <v>2</v>
      </c>
      <c r="DR431" s="2">
        <v>39</v>
      </c>
      <c r="DS431" s="2">
        <v>2</v>
      </c>
      <c r="DT431" s="2">
        <v>82</v>
      </c>
      <c r="DU431" s="2">
        <v>68</v>
      </c>
      <c r="DV431" s="2">
        <v>2</v>
      </c>
      <c r="DW431" s="2">
        <v>3</v>
      </c>
      <c r="DX431" s="2">
        <v>2</v>
      </c>
      <c r="DY431" s="2">
        <v>3</v>
      </c>
      <c r="DZ431" s="2">
        <v>34</v>
      </c>
      <c r="EA431" s="2">
        <v>34.5</v>
      </c>
      <c r="EB431" s="2">
        <v>43.5</v>
      </c>
      <c r="EC431" s="2">
        <v>1</v>
      </c>
      <c r="ED431" s="2">
        <v>1</v>
      </c>
    </row>
    <row r="432" spans="1:134" x14ac:dyDescent="0.25">
      <c r="C432" s="5">
        <v>13991224</v>
      </c>
      <c r="D432" s="2">
        <v>6490194309</v>
      </c>
      <c r="E432" s="5" t="s">
        <v>528</v>
      </c>
      <c r="F432" s="2">
        <v>2</v>
      </c>
      <c r="G432" s="2">
        <v>51</v>
      </c>
      <c r="H432" s="2">
        <v>0.17983102930816239</v>
      </c>
      <c r="I432" s="2">
        <v>50</v>
      </c>
      <c r="J432" s="2">
        <v>6.1168777667580831E-2</v>
      </c>
      <c r="K432" s="5">
        <v>3410</v>
      </c>
      <c r="L432" s="2">
        <v>0.12935953866729011</v>
      </c>
      <c r="M432" s="2">
        <v>-1.4843</v>
      </c>
      <c r="N432" s="2">
        <f t="shared" si="399"/>
        <v>-1.0520155146540811</v>
      </c>
      <c r="O432" s="2">
        <f t="shared" si="400"/>
        <v>-1.4843</v>
      </c>
      <c r="P432" s="2">
        <v>63</v>
      </c>
      <c r="Q432" s="2">
        <v>-2.17</v>
      </c>
      <c r="R432" s="5">
        <f t="shared" si="401"/>
        <v>-0.81558438883379047</v>
      </c>
      <c r="S432" s="5">
        <f t="shared" si="402"/>
        <v>-2.17</v>
      </c>
      <c r="T432" s="1">
        <v>6100</v>
      </c>
      <c r="U432" s="2">
        <v>-2.37</v>
      </c>
      <c r="V432" s="2">
        <f t="shared" si="403"/>
        <v>-1.2046797693336448</v>
      </c>
      <c r="W432" s="2">
        <f t="shared" si="404"/>
        <v>-2.37</v>
      </c>
      <c r="X432" s="2">
        <v>-1.9241999999999999</v>
      </c>
      <c r="Y432" s="76">
        <f t="shared" si="440"/>
        <v>-2.1040310293081621</v>
      </c>
      <c r="Z432" s="76">
        <f t="shared" si="441"/>
        <v>-2</v>
      </c>
      <c r="AA432" s="2">
        <f t="shared" si="405"/>
        <v>-4.4599999999999973E-2</v>
      </c>
      <c r="AB432" s="2">
        <f t="shared" si="406"/>
        <v>-1.9241999999999999</v>
      </c>
      <c r="AC432" s="2">
        <v>72</v>
      </c>
      <c r="AD432" s="2">
        <v>-1.57</v>
      </c>
      <c r="AE432" s="79">
        <f t="shared" si="442"/>
        <v>-1.6311687776675809</v>
      </c>
      <c r="AF432" s="79">
        <f t="shared" si="443"/>
        <v>-2</v>
      </c>
      <c r="AG432" s="2">
        <f t="shared" si="461"/>
        <v>0.48</v>
      </c>
      <c r="AH432" s="2">
        <f t="shared" si="407"/>
        <v>-1.57</v>
      </c>
      <c r="AI432" s="2">
        <v>7500</v>
      </c>
      <c r="AJ432" s="2">
        <v>-2.2799999999999998</v>
      </c>
      <c r="AK432" s="76">
        <f t="shared" si="444"/>
        <v>-2.4093595386672897</v>
      </c>
      <c r="AL432" s="76">
        <f t="shared" si="445"/>
        <v>-2</v>
      </c>
      <c r="AM432" s="2">
        <f t="shared" si="408"/>
        <v>5.500000000000016E-2</v>
      </c>
      <c r="AN432" s="2">
        <f t="shared" si="409"/>
        <v>-2.2799999999999998</v>
      </c>
      <c r="AO432" s="2">
        <v>-2.2591999999999999</v>
      </c>
      <c r="AP432" s="2">
        <f t="shared" si="410"/>
        <v>-0.57951274468777814</v>
      </c>
      <c r="AQ432" s="2">
        <f t="shared" si="411"/>
        <v>-2.2591999999999999</v>
      </c>
      <c r="AR432" s="2">
        <v>79</v>
      </c>
      <c r="AS432" s="2">
        <v>-1.21</v>
      </c>
      <c r="AT432" s="2">
        <f t="shared" si="412"/>
        <v>9.2374359311516496E-2</v>
      </c>
      <c r="AU432" s="2">
        <f t="shared" si="413"/>
        <v>-1.21</v>
      </c>
      <c r="AV432" s="2">
        <v>8500</v>
      </c>
      <c r="AW432" s="2">
        <v>-2.2599999999999998</v>
      </c>
      <c r="AX432" s="2">
        <f t="shared" si="414"/>
        <v>-0.47400571660775404</v>
      </c>
      <c r="AY432" s="2">
        <f t="shared" si="415"/>
        <v>-2.2599999999999998</v>
      </c>
      <c r="AZ432" s="2">
        <v>-3.0832254893755562</v>
      </c>
      <c r="BA432" s="78">
        <f t="shared" si="446"/>
        <v>-1.1590254893755563</v>
      </c>
      <c r="BB432" s="78">
        <f t="shared" si="447"/>
        <v>-2</v>
      </c>
      <c r="BC432" s="2">
        <f t="shared" si="416"/>
        <v>-0.31467050130252011</v>
      </c>
      <c r="BD432" s="2">
        <f t="shared" si="417"/>
        <v>-3.0832254893755562</v>
      </c>
      <c r="BE432" s="67">
        <f t="shared" si="448"/>
        <v>1</v>
      </c>
      <c r="BF432" s="2">
        <v>82</v>
      </c>
      <c r="BG432" s="2">
        <v>-1.3852512813769671</v>
      </c>
      <c r="BH432" s="2">
        <f t="shared" si="418"/>
        <v>-7.0189501879805993E-2</v>
      </c>
      <c r="BI432" s="2">
        <f t="shared" si="419"/>
        <v>-1.3852512813769671</v>
      </c>
      <c r="BJ432" s="67">
        <f t="shared" si="420"/>
        <v>7</v>
      </c>
      <c r="BK432" s="2">
        <v>9100</v>
      </c>
      <c r="BL432" s="2">
        <v>-3.2280114332155079</v>
      </c>
      <c r="BM432" s="77">
        <f t="shared" si="449"/>
        <v>-0.94801143321550807</v>
      </c>
      <c r="BN432" s="77">
        <f t="shared" si="450"/>
        <v>-2</v>
      </c>
      <c r="BO432" s="2">
        <f t="shared" si="421"/>
        <v>-0.25284412989087707</v>
      </c>
      <c r="BP432" s="2">
        <f t="shared" si="422"/>
        <v>-3.2280114332155079</v>
      </c>
      <c r="BQ432" s="67">
        <f t="shared" si="451"/>
        <v>3</v>
      </c>
      <c r="BR432" s="5">
        <v>-3.2032115039075602</v>
      </c>
      <c r="BS432" s="75">
        <f t="shared" si="452"/>
        <v>-0.11998601453200397</v>
      </c>
      <c r="BT432" s="75">
        <f t="shared" si="453"/>
        <v>-1</v>
      </c>
      <c r="BU432" s="5" t="str">
        <f>IF(G440&gt;=36, IF(AND(NOT(ISBLANK(CM:CM)), NOT(ISBLANK(BD:BD))), (CM:CM-BD:BD)/2, ""), "UF")</f>
        <v/>
      </c>
      <c r="BV432" s="5">
        <f t="shared" si="423"/>
        <v>-3.2032115039075602</v>
      </c>
      <c r="BW432" s="69">
        <f t="shared" si="424"/>
        <v>1</v>
      </c>
      <c r="BX432" s="2">
        <v>90</v>
      </c>
      <c r="BY432" s="5">
        <v>-1.4205685056394179</v>
      </c>
      <c r="BZ432" s="74">
        <f t="shared" si="454"/>
        <v>1.8074429275760899</v>
      </c>
      <c r="CA432" s="74">
        <f t="shared" si="455"/>
        <v>2</v>
      </c>
      <c r="CB432" s="5" t="str">
        <f t="shared" si="425"/>
        <v/>
      </c>
      <c r="CC432" s="5">
        <f t="shared" si="426"/>
        <v>-1.4205685056394179</v>
      </c>
      <c r="CD432" s="2">
        <f t="shared" si="427"/>
        <v>-3.5317224262450875E-2</v>
      </c>
      <c r="CE432" s="69">
        <f t="shared" si="428"/>
        <v>7</v>
      </c>
      <c r="CF432" s="5">
        <v>10600</v>
      </c>
      <c r="CG432" s="5">
        <v>-3.018532389672631</v>
      </c>
      <c r="CH432" s="72">
        <f t="shared" si="456"/>
        <v>0.20947904354287683</v>
      </c>
      <c r="CI432" s="72">
        <f t="shared" si="457"/>
        <v>1</v>
      </c>
      <c r="CJ432" s="5" t="str">
        <f t="shared" si="429"/>
        <v/>
      </c>
      <c r="CK432" s="5">
        <f t="shared" si="430"/>
        <v>-3.018532389672631</v>
      </c>
      <c r="CL432" s="69">
        <f t="shared" si="431"/>
        <v>3</v>
      </c>
      <c r="CN432" s="70" t="str">
        <f t="shared" si="432"/>
        <v/>
      </c>
      <c r="CO432" s="5">
        <f t="shared" si="433"/>
        <v>0</v>
      </c>
      <c r="CP432" s="5">
        <f>IF(G432&lt;48,"UF", IF(NOT(ISBLANK(CM:CM)), CM:CM, IF(BW:BW=1, BV:BV+Sheet2!B91, IF(Sheet1!BW:BW=2, Sheet1!BV:BV+Sheet2!B92, IF(Sheet1!BW:BW=7, Sheet1!BV:BV+Sheet2!B93,"")))))</f>
        <v>-3.2032115039075602</v>
      </c>
      <c r="CQ432" s="69">
        <f t="shared" si="458"/>
        <v>1</v>
      </c>
      <c r="CR432" s="5" t="s">
        <v>12</v>
      </c>
      <c r="CT432" s="5" t="str">
        <f t="shared" si="434"/>
        <v/>
      </c>
      <c r="CU432" s="80">
        <f t="shared" si="435"/>
        <v>0</v>
      </c>
      <c r="CV432" s="80">
        <f t="shared" si="436"/>
        <v>-1</v>
      </c>
      <c r="CW432" s="20">
        <f>IF(G432&lt;48,"UF", IF(NOT(ISBLANK(CS432)), CS432, IF(CE432=5, CC432+Sheet2!B80, IF(CE432=6, CC432+Sheet2!B81, IF(CE432=7, CC432+Sheet2!B82,"")))))</f>
        <v>-1.4205685056394179</v>
      </c>
      <c r="CX432" s="68">
        <f t="shared" si="459"/>
        <v>7</v>
      </c>
      <c r="CY432" s="5" t="s">
        <v>12</v>
      </c>
      <c r="DA432" s="5" t="str">
        <f t="shared" si="437"/>
        <v/>
      </c>
      <c r="DB432" s="73">
        <f t="shared" si="438"/>
        <v>0</v>
      </c>
      <c r="DC432" s="73">
        <f t="shared" si="439"/>
        <v>-1</v>
      </c>
      <c r="DD432" s="5">
        <f>IF(G432&lt;48,"UF", IF(NOT(ISBLANK(CZ:CZ)), CZ:CZ, IF(CL:CL=3, CK:CK+Sheet2!B85, IF(CL:CL=4, CK:CK+Sheet2!B86, IF(CL:CL=7, CK:CK+Sheet2!B87,"")))))</f>
        <v>-3.018532389672631</v>
      </c>
      <c r="DE432" s="69">
        <f t="shared" si="463"/>
        <v>3</v>
      </c>
      <c r="DF432" s="2">
        <v>3</v>
      </c>
      <c r="DG432" s="2">
        <v>36</v>
      </c>
      <c r="DH432" s="2">
        <v>2</v>
      </c>
      <c r="DI432" s="2">
        <v>2</v>
      </c>
      <c r="DJ432" s="2">
        <v>2</v>
      </c>
      <c r="DK432" s="2" t="s">
        <v>12</v>
      </c>
      <c r="DL432" s="2" t="s">
        <v>12</v>
      </c>
      <c r="DM432" s="2">
        <v>100</v>
      </c>
      <c r="DN432" s="2">
        <v>60</v>
      </c>
      <c r="DO432" s="2" t="s">
        <v>12</v>
      </c>
      <c r="DP432" s="2" t="s">
        <v>12</v>
      </c>
      <c r="DQ432" s="2">
        <v>2</v>
      </c>
      <c r="DR432" s="2">
        <v>39</v>
      </c>
      <c r="DS432" s="2">
        <v>2</v>
      </c>
      <c r="DT432" s="2">
        <v>63</v>
      </c>
      <c r="DU432" s="2">
        <v>78</v>
      </c>
      <c r="DV432" s="2">
        <v>2</v>
      </c>
      <c r="DW432" s="2">
        <v>2</v>
      </c>
      <c r="DX432" s="2">
        <v>2</v>
      </c>
      <c r="DY432" s="2">
        <v>1</v>
      </c>
      <c r="DZ432" s="2">
        <v>33</v>
      </c>
      <c r="EA432" s="2">
        <v>35</v>
      </c>
      <c r="EB432" s="2">
        <v>45</v>
      </c>
      <c r="EC432" s="2">
        <v>1</v>
      </c>
      <c r="ED432" s="2">
        <v>1</v>
      </c>
    </row>
    <row r="433" spans="3:134" x14ac:dyDescent="0.25">
      <c r="C433" s="8" t="s">
        <v>130</v>
      </c>
      <c r="D433" s="2">
        <v>6490195453</v>
      </c>
      <c r="E433" s="5">
        <v>4</v>
      </c>
      <c r="F433" s="2">
        <v>1</v>
      </c>
      <c r="G433" s="2">
        <v>48</v>
      </c>
      <c r="H433" s="2">
        <v>-1.769243649861665</v>
      </c>
      <c r="I433" s="2">
        <v>48</v>
      </c>
      <c r="J433" s="2">
        <v>-0.61614996855203885</v>
      </c>
      <c r="K433" s="5">
        <v>2610</v>
      </c>
      <c r="L433" s="2">
        <v>-1.449000091667785</v>
      </c>
      <c r="M433" s="2">
        <v>0.2031</v>
      </c>
      <c r="N433" s="2">
        <f t="shared" si="399"/>
        <v>0.33622182493083252</v>
      </c>
      <c r="O433" s="2">
        <f t="shared" si="400"/>
        <v>0.2031</v>
      </c>
      <c r="P433" s="2">
        <v>60</v>
      </c>
      <c r="Q433" s="2">
        <v>-2.54</v>
      </c>
      <c r="R433" s="5">
        <f t="shared" si="401"/>
        <v>-0.27692501572398054</v>
      </c>
      <c r="S433" s="5">
        <f t="shared" si="402"/>
        <v>-2.54</v>
      </c>
      <c r="T433" s="1">
        <v>6200</v>
      </c>
      <c r="U433" s="2">
        <v>-1.35</v>
      </c>
      <c r="V433" s="2">
        <f t="shared" si="403"/>
        <v>-5.4999541661074902E-3</v>
      </c>
      <c r="W433" s="2">
        <f t="shared" si="404"/>
        <v>-1.35</v>
      </c>
      <c r="X433" s="2">
        <v>-1.0968</v>
      </c>
      <c r="Y433" s="76">
        <f t="shared" si="440"/>
        <v>0.67244364986166505</v>
      </c>
      <c r="Z433" s="76">
        <f t="shared" si="441"/>
        <v>2</v>
      </c>
      <c r="AA433" s="2">
        <f t="shared" si="405"/>
        <v>0.73670000000000002</v>
      </c>
      <c r="AB433" s="2">
        <f t="shared" si="406"/>
        <v>-1.0968</v>
      </c>
      <c r="AC433" s="2">
        <v>71</v>
      </c>
      <c r="AD433" s="2">
        <v>-1.17</v>
      </c>
      <c r="AE433" s="79">
        <f t="shared" si="442"/>
        <v>-0.55385003144796108</v>
      </c>
      <c r="AF433" s="79">
        <f t="shared" si="443"/>
        <v>-1</v>
      </c>
      <c r="AG433" s="2">
        <f t="shared" si="461"/>
        <v>0.45999999999999996</v>
      </c>
      <c r="AH433" s="2">
        <f t="shared" si="407"/>
        <v>-1.17</v>
      </c>
      <c r="AI433" s="2">
        <v>7500</v>
      </c>
      <c r="AJ433" s="2">
        <v>-1.46</v>
      </c>
      <c r="AK433" s="76">
        <f t="shared" si="444"/>
        <v>-1.099990833221498E-2</v>
      </c>
      <c r="AL433" s="76">
        <f t="shared" si="445"/>
        <v>-1</v>
      </c>
      <c r="AM433" s="2">
        <f t="shared" si="408"/>
        <v>-0.19999999999999996</v>
      </c>
      <c r="AN433" s="2">
        <f t="shared" si="409"/>
        <v>-1.46</v>
      </c>
      <c r="AO433" s="2">
        <v>-1.0666</v>
      </c>
      <c r="AP433" s="2">
        <f t="shared" si="410"/>
        <v>-0.54108345291522797</v>
      </c>
      <c r="AQ433" s="2">
        <f t="shared" si="411"/>
        <v>-1.0666</v>
      </c>
      <c r="AR433" s="2">
        <v>76</v>
      </c>
      <c r="AS433" s="2">
        <v>-1.62</v>
      </c>
      <c r="AT433" s="2">
        <f t="shared" si="412"/>
        <v>9.8685147493879521E-2</v>
      </c>
      <c r="AU433" s="2">
        <f t="shared" si="413"/>
        <v>-1.62</v>
      </c>
      <c r="AV433" s="2">
        <v>8300</v>
      </c>
      <c r="AW433" s="2">
        <v>-1.75</v>
      </c>
      <c r="AX433" s="2">
        <f t="shared" si="414"/>
        <v>-0.63685640682062861</v>
      </c>
      <c r="AY433" s="2">
        <f t="shared" si="415"/>
        <v>-1.75</v>
      </c>
      <c r="AZ433" s="2">
        <v>-2.1789669058304559</v>
      </c>
      <c r="BA433" s="78">
        <f t="shared" si="446"/>
        <v>-1.0821669058304559</v>
      </c>
      <c r="BB433" s="78">
        <f t="shared" si="447"/>
        <v>-2</v>
      </c>
      <c r="BC433" s="2">
        <f t="shared" si="416"/>
        <v>-0.50555996114872104</v>
      </c>
      <c r="BD433" s="2">
        <f t="shared" si="417"/>
        <v>-2.1789669058304559</v>
      </c>
      <c r="BE433" s="67">
        <f t="shared" si="448"/>
        <v>2</v>
      </c>
      <c r="BF433" s="2">
        <v>82</v>
      </c>
      <c r="BG433" s="2">
        <v>-0.97262970501224089</v>
      </c>
      <c r="BH433" s="2">
        <f t="shared" si="418"/>
        <v>9.5293265562264404E-2</v>
      </c>
      <c r="BI433" s="2">
        <f t="shared" si="419"/>
        <v>-0.97262970501224089</v>
      </c>
      <c r="BJ433" s="67">
        <f t="shared" si="420"/>
        <v>7</v>
      </c>
      <c r="BK433" s="2">
        <v>9300</v>
      </c>
      <c r="BL433" s="2">
        <v>-2.7337128136412572</v>
      </c>
      <c r="BM433" s="77">
        <f t="shared" si="449"/>
        <v>-1.2737128136412572</v>
      </c>
      <c r="BN433" s="77">
        <f t="shared" si="450"/>
        <v>-2</v>
      </c>
      <c r="BO433" s="2">
        <f t="shared" si="421"/>
        <v>-0.33420715768375731</v>
      </c>
      <c r="BP433" s="2">
        <f t="shared" si="422"/>
        <v>-2.7337128136412572</v>
      </c>
      <c r="BQ433" s="67">
        <f t="shared" si="451"/>
        <v>4</v>
      </c>
      <c r="BR433" s="5">
        <v>-2.583279883446163</v>
      </c>
      <c r="BS433" s="75">
        <f t="shared" si="452"/>
        <v>-0.40431297761570706</v>
      </c>
      <c r="BT433" s="75">
        <f t="shared" si="453"/>
        <v>-1</v>
      </c>
      <c r="BU433" s="5">
        <f t="shared" ref="BU433:BU438" si="464">IF(G442&gt;=36, IF(AND(NOT(ISBLANK(CM:CM)), NOT(ISBLANK(BD:BD))), (CM:CM-BD:BD)/2, ""), "UF")</f>
        <v>-0.31795694984691347</v>
      </c>
      <c r="BV433" s="5">
        <f t="shared" si="423"/>
        <v>-2.583279883446163</v>
      </c>
      <c r="BW433" s="69">
        <f t="shared" si="424"/>
        <v>2</v>
      </c>
      <c r="BX433" s="2">
        <v>89</v>
      </c>
      <c r="BY433" s="5">
        <v>-1.3341202033132069</v>
      </c>
      <c r="BZ433" s="74">
        <f t="shared" si="454"/>
        <v>1.3995926103280503</v>
      </c>
      <c r="CA433" s="74">
        <f t="shared" si="455"/>
        <v>2</v>
      </c>
      <c r="CB433" s="5">
        <f t="shared" si="425"/>
        <v>0.13513254614395914</v>
      </c>
      <c r="CC433" s="5">
        <f t="shared" si="426"/>
        <v>-1.3341202033132069</v>
      </c>
      <c r="CD433" s="2">
        <f t="shared" si="427"/>
        <v>-0.36149049830096602</v>
      </c>
      <c r="CE433" s="69">
        <f t="shared" si="428"/>
        <v>7</v>
      </c>
      <c r="CF433" s="5">
        <v>10500</v>
      </c>
      <c r="CG433" s="5">
        <v>-2.7526214730512719</v>
      </c>
      <c r="CH433" s="72">
        <f t="shared" si="456"/>
        <v>-1.8908659410014739E-2</v>
      </c>
      <c r="CI433" s="72">
        <f t="shared" si="457"/>
        <v>-1</v>
      </c>
      <c r="CJ433" s="5">
        <f t="shared" si="429"/>
        <v>0.27813826791950902</v>
      </c>
      <c r="CK433" s="5">
        <f t="shared" si="430"/>
        <v>-2.7526214730512719</v>
      </c>
      <c r="CL433" s="69">
        <f t="shared" si="431"/>
        <v>4</v>
      </c>
      <c r="CM433" s="5">
        <v>-2.8148808055242829</v>
      </c>
      <c r="CN433" s="70">
        <f t="shared" si="432"/>
        <v>-0.23160092207811989</v>
      </c>
      <c r="CO433" s="5">
        <f t="shared" si="433"/>
        <v>-0.23160092207811989</v>
      </c>
      <c r="CP433" s="5">
        <f>IF(G433&lt;48,"UF", IF(NOT(ISBLANK(CM:CM)), CM:CM, IF(BW:BW=1, BV:BV+Sheet2!B179, IF(Sheet1!BW:BW=2, Sheet1!BV:BV+Sheet2!B180, IF(Sheet1!BW:BW=7, Sheet1!BV:BV+Sheet2!B181,"")))))</f>
        <v>-2.8148808055242829</v>
      </c>
      <c r="CQ433" s="69">
        <f t="shared" si="458"/>
        <v>2</v>
      </c>
      <c r="CR433" s="5">
        <v>98</v>
      </c>
      <c r="CS433" s="5">
        <v>-0.7023646127243226</v>
      </c>
      <c r="CT433" s="5">
        <f t="shared" si="434"/>
        <v>0.63175559058888431</v>
      </c>
      <c r="CU433" s="80">
        <f t="shared" si="435"/>
        <v>0.63175559058888431</v>
      </c>
      <c r="CV433" s="80">
        <f t="shared" si="436"/>
        <v>1</v>
      </c>
      <c r="CW433" s="20">
        <f>IF(G433&lt;48,"UF", IF(NOT(ISBLANK(CS433)), CS433, IF(CE433=5, CC433+Sheet2!B168, IF(CE433=6, CC433+Sheet2!B169, IF(CE433=7, CC433+Sheet2!B170,"")))))</f>
        <v>-0.7023646127243226</v>
      </c>
      <c r="CX433" s="68">
        <f t="shared" si="459"/>
        <v>7</v>
      </c>
      <c r="CY433" s="5">
        <v>12400</v>
      </c>
      <c r="CZ433" s="5">
        <v>-2.1774362778022391</v>
      </c>
      <c r="DA433" s="5">
        <f t="shared" si="437"/>
        <v>0.57518519524903278</v>
      </c>
      <c r="DB433" s="73">
        <f t="shared" si="438"/>
        <v>0.57518519524903278</v>
      </c>
      <c r="DC433" s="73">
        <f t="shared" si="439"/>
        <v>1</v>
      </c>
      <c r="DD433" s="5">
        <f>IF(G433&lt;48,"UF", IF(NOT(ISBLANK(CZ:CZ)), CZ:CZ, IF(CL:CL=3, CK:CK+Sheet2!B173, IF(CL:CL=4, CK:CK+Sheet2!B174, IF(CL:CL=7, CK:CK+Sheet2!B175,"")))))</f>
        <v>-2.1774362778022391</v>
      </c>
      <c r="DE433" s="69">
        <f t="shared" si="463"/>
        <v>4</v>
      </c>
      <c r="DF433" s="2">
        <v>2</v>
      </c>
      <c r="DG433" s="2">
        <v>32</v>
      </c>
      <c r="DH433" s="2">
        <v>2</v>
      </c>
      <c r="DI433" s="2">
        <v>1</v>
      </c>
      <c r="DJ433" s="2">
        <v>2</v>
      </c>
      <c r="DK433" s="2">
        <v>85</v>
      </c>
      <c r="DL433" s="2">
        <v>40</v>
      </c>
      <c r="DM433" s="2">
        <v>80</v>
      </c>
      <c r="DN433" s="2">
        <v>40</v>
      </c>
      <c r="DO433" s="2">
        <v>100</v>
      </c>
      <c r="DP433" s="2">
        <v>60</v>
      </c>
      <c r="DQ433" s="2">
        <v>2</v>
      </c>
      <c r="DR433" s="2">
        <v>39</v>
      </c>
      <c r="DS433" s="2">
        <v>2</v>
      </c>
      <c r="DT433" s="2">
        <v>74</v>
      </c>
      <c r="DU433" s="2">
        <v>69</v>
      </c>
      <c r="DV433" s="2">
        <v>2</v>
      </c>
      <c r="DW433" s="2">
        <v>2</v>
      </c>
      <c r="DX433" s="2">
        <v>3</v>
      </c>
      <c r="DY433" s="2">
        <v>3</v>
      </c>
      <c r="DZ433" s="2">
        <v>34</v>
      </c>
      <c r="EA433" s="2">
        <v>34.5</v>
      </c>
      <c r="EB433" s="2">
        <v>45</v>
      </c>
      <c r="EC433" s="2">
        <v>1</v>
      </c>
      <c r="ED433" s="2">
        <v>1</v>
      </c>
    </row>
    <row r="434" spans="3:134" x14ac:dyDescent="0.25">
      <c r="C434" s="8" t="s">
        <v>340</v>
      </c>
      <c r="D434" s="2">
        <v>6490196905</v>
      </c>
      <c r="E434" s="5">
        <v>7</v>
      </c>
      <c r="F434" s="2">
        <v>1</v>
      </c>
      <c r="G434" s="2">
        <v>46</v>
      </c>
      <c r="H434" s="2">
        <v>-0.67293574827289571</v>
      </c>
      <c r="I434" s="2">
        <v>53</v>
      </c>
      <c r="J434" s="2">
        <v>2.0681285461890671</v>
      </c>
      <c r="K434" s="2">
        <v>3520</v>
      </c>
      <c r="L434" s="2">
        <v>0.61180435520324106</v>
      </c>
      <c r="M434" s="2">
        <v>-0.13250000000000001</v>
      </c>
      <c r="N434" s="2">
        <f t="shared" si="399"/>
        <v>0.48521787413644785</v>
      </c>
      <c r="O434" s="2">
        <f t="shared" si="400"/>
        <v>-0.13250000000000001</v>
      </c>
      <c r="P434" s="2">
        <v>67</v>
      </c>
      <c r="Q434" s="2">
        <v>0.55000000000000004</v>
      </c>
      <c r="R434" s="5">
        <f t="shared" si="401"/>
        <v>-0.64906427309453352</v>
      </c>
      <c r="S434" s="5">
        <f t="shared" si="402"/>
        <v>0.55000000000000004</v>
      </c>
      <c r="T434" s="2">
        <v>7500</v>
      </c>
      <c r="U434" s="2">
        <v>0.22</v>
      </c>
      <c r="V434" s="2">
        <f t="shared" si="403"/>
        <v>1.9097822398379483E-2</v>
      </c>
      <c r="W434" s="2">
        <f t="shared" si="404"/>
        <v>0.22</v>
      </c>
      <c r="X434" s="2">
        <v>0.29749999999999999</v>
      </c>
      <c r="Y434" s="76">
        <f t="shared" si="440"/>
        <v>0.97043574827289569</v>
      </c>
      <c r="Z434" s="76">
        <f t="shared" si="441"/>
        <v>2</v>
      </c>
      <c r="AA434" s="2">
        <f t="shared" si="405"/>
        <v>-0.18725000000000003</v>
      </c>
      <c r="AB434" s="2">
        <f t="shared" si="406"/>
        <v>0.29749999999999999</v>
      </c>
      <c r="AC434" s="2">
        <v>76</v>
      </c>
      <c r="AD434" s="2">
        <v>0.77</v>
      </c>
      <c r="AE434" s="79">
        <f t="shared" si="442"/>
        <v>-1.298128546189067</v>
      </c>
      <c r="AF434" s="79">
        <f t="shared" si="443"/>
        <v>-2</v>
      </c>
      <c r="AG434" s="2">
        <f t="shared" si="461"/>
        <v>0.12</v>
      </c>
      <c r="AH434" s="2">
        <f t="shared" si="407"/>
        <v>0.77</v>
      </c>
      <c r="AI434" s="2">
        <v>9700</v>
      </c>
      <c r="AJ434" s="2">
        <v>0.65</v>
      </c>
      <c r="AK434" s="76">
        <f t="shared" si="444"/>
        <v>3.8195644796758965E-2</v>
      </c>
      <c r="AL434" s="76">
        <f t="shared" si="445"/>
        <v>1</v>
      </c>
      <c r="AM434" s="2">
        <f t="shared" si="408"/>
        <v>0.18</v>
      </c>
      <c r="AN434" s="2">
        <f t="shared" si="409"/>
        <v>0.65</v>
      </c>
      <c r="AO434" s="2">
        <v>0.17549999999999999</v>
      </c>
      <c r="AP434" s="2">
        <f t="shared" si="410"/>
        <v>-0.6150045962937456</v>
      </c>
      <c r="AQ434" s="2">
        <f t="shared" si="411"/>
        <v>0.17549999999999999</v>
      </c>
      <c r="AR434" s="2">
        <v>83</v>
      </c>
      <c r="AS434" s="2">
        <v>0.79</v>
      </c>
      <c r="AT434" s="2">
        <f t="shared" si="412"/>
        <v>0.27543655570852699</v>
      </c>
      <c r="AU434" s="2">
        <f t="shared" si="413"/>
        <v>0.79</v>
      </c>
      <c r="AV434" s="2">
        <v>11000</v>
      </c>
      <c r="AW434" s="2">
        <v>0.57999999999999996</v>
      </c>
      <c r="AX434" s="2">
        <f t="shared" si="414"/>
        <v>-0.26247311396668127</v>
      </c>
      <c r="AY434" s="2">
        <f t="shared" si="415"/>
        <v>0.57999999999999996</v>
      </c>
      <c r="AZ434" s="2">
        <v>-0.93250919258749132</v>
      </c>
      <c r="BA434" s="78">
        <f t="shared" si="446"/>
        <v>-1.2300091925874912</v>
      </c>
      <c r="BB434" s="78">
        <f t="shared" si="447"/>
        <v>-2</v>
      </c>
      <c r="BC434" s="2" t="str">
        <f t="shared" si="416"/>
        <v/>
      </c>
      <c r="BD434" s="2">
        <f t="shared" si="417"/>
        <v>-0.93250919258749132</v>
      </c>
      <c r="BE434" s="67">
        <f t="shared" si="448"/>
        <v>7</v>
      </c>
      <c r="BF434" s="2">
        <v>90</v>
      </c>
      <c r="BG434" s="2">
        <v>1.320873111417054</v>
      </c>
      <c r="BH434" s="2" t="str">
        <f t="shared" si="418"/>
        <v/>
      </c>
      <c r="BI434" s="2">
        <f t="shared" si="419"/>
        <v>1.320873111417054</v>
      </c>
      <c r="BJ434" s="67">
        <f t="shared" si="420"/>
        <v>7</v>
      </c>
      <c r="BK434" s="2">
        <v>12300</v>
      </c>
      <c r="BL434" s="2">
        <v>0.12505377206663751</v>
      </c>
      <c r="BM434" s="77">
        <f t="shared" si="449"/>
        <v>-0.52494622793336254</v>
      </c>
      <c r="BN434" s="77">
        <f t="shared" si="450"/>
        <v>-1</v>
      </c>
      <c r="BO434" s="2" t="str">
        <f t="shared" si="421"/>
        <v/>
      </c>
      <c r="BP434" s="2">
        <f t="shared" si="422"/>
        <v>0.12505377206663751</v>
      </c>
      <c r="BQ434" s="67">
        <f t="shared" si="451"/>
        <v>7</v>
      </c>
      <c r="BS434" s="75" t="e">
        <f t="shared" si="452"/>
        <v>#VALUE!</v>
      </c>
      <c r="BT434" s="75" t="e">
        <f t="shared" si="453"/>
        <v>#VALUE!</v>
      </c>
      <c r="BU434" s="5" t="str">
        <f t="shared" si="464"/>
        <v>UF</v>
      </c>
      <c r="BV434" s="5" t="e">
        <f t="shared" si="423"/>
        <v>#VALUE!</v>
      </c>
      <c r="BW434" s="69" t="e">
        <f t="shared" si="424"/>
        <v>#VALUE!</v>
      </c>
      <c r="BX434" s="2" t="s">
        <v>12</v>
      </c>
      <c r="BZ434" s="74" t="e">
        <f t="shared" si="454"/>
        <v>#VALUE!</v>
      </c>
      <c r="CA434" s="74" t="e">
        <f t="shared" si="455"/>
        <v>#VALUE!</v>
      </c>
      <c r="CB434" s="5" t="str">
        <f t="shared" si="425"/>
        <v/>
      </c>
      <c r="CC434" s="5" t="e">
        <f t="shared" si="426"/>
        <v>#VALUE!</v>
      </c>
      <c r="CD434" s="2" t="e">
        <f t="shared" si="427"/>
        <v>#VALUE!</v>
      </c>
      <c r="CE434" s="69" t="e">
        <f t="shared" si="428"/>
        <v>#VALUE!</v>
      </c>
      <c r="CF434" s="5" t="s">
        <v>12</v>
      </c>
      <c r="CH434" s="72" t="e">
        <f t="shared" si="456"/>
        <v>#VALUE!</v>
      </c>
      <c r="CI434" s="72" t="e">
        <f t="shared" si="457"/>
        <v>#VALUE!</v>
      </c>
      <c r="CJ434" s="5" t="str">
        <f t="shared" si="429"/>
        <v/>
      </c>
      <c r="CK434" s="5" t="e">
        <f t="shared" si="430"/>
        <v>#VALUE!</v>
      </c>
      <c r="CL434" s="69" t="e">
        <f t="shared" si="431"/>
        <v>#VALUE!</v>
      </c>
      <c r="CN434" s="70" t="str">
        <f t="shared" si="432"/>
        <v/>
      </c>
      <c r="CO434" s="5" t="str">
        <f t="shared" si="433"/>
        <v>UF</v>
      </c>
      <c r="CP434" s="5" t="str">
        <f>IF(G434&lt;48,"UF", IF(NOT(ISBLANK(CM:CM)), CM:CM, IF(BW:BW=1, BV:BV+Sheet2!B571, IF(Sheet1!BW:BW=2, Sheet1!BV:BV+Sheet2!B572, IF(Sheet1!BW:BW=7, Sheet1!BV:BV+Sheet2!B573,"")))))</f>
        <v>UF</v>
      </c>
      <c r="CQ434" s="69" t="str">
        <f t="shared" si="458"/>
        <v/>
      </c>
      <c r="CR434" s="5" t="s">
        <v>12</v>
      </c>
      <c r="CT434" s="5" t="str">
        <f t="shared" si="434"/>
        <v/>
      </c>
      <c r="CU434" s="80" t="str">
        <f t="shared" si="435"/>
        <v>UF</v>
      </c>
      <c r="CV434" s="80" t="str">
        <f t="shared" si="436"/>
        <v>UF</v>
      </c>
      <c r="CW434" s="20" t="str">
        <f>IF(G434&lt;48,"UF", IF(NOT(ISBLANK(CS434)), CS434, IF(CE434=5, CC434+Sheet2!B560, IF(CE434=6, CC434+Sheet2!B561, IF(CE434=7, CC434+Sheet2!B562,"")))))</f>
        <v>UF</v>
      </c>
      <c r="CX434" s="68" t="str">
        <f t="shared" si="459"/>
        <v/>
      </c>
      <c r="CY434" s="5" t="s">
        <v>12</v>
      </c>
      <c r="DA434" s="5" t="str">
        <f t="shared" si="437"/>
        <v>UF</v>
      </c>
      <c r="DB434" s="73" t="str">
        <f t="shared" si="438"/>
        <v>UF</v>
      </c>
      <c r="DC434" s="73" t="str">
        <f t="shared" si="439"/>
        <v>UF</v>
      </c>
      <c r="DD434" s="5" t="str">
        <f>IF(G434&lt;48,"UF", IF(NOT(ISBLANK(CZ:CZ)), CZ:CZ, IF(CL:CL=3, CK:CK+Sheet2!B565, IF(CL:CL=4, CK:CK+Sheet2!B566, IF(CL:CL=7, CK:CK+Sheet2!B567,"")))))</f>
        <v>UF</v>
      </c>
      <c r="DE434" s="69" t="str">
        <f t="shared" si="463"/>
        <v/>
      </c>
      <c r="DF434" s="2">
        <v>2</v>
      </c>
      <c r="DG434" s="2">
        <v>33</v>
      </c>
      <c r="DH434" s="2">
        <v>1</v>
      </c>
      <c r="DI434" s="2">
        <v>2</v>
      </c>
      <c r="DJ434" s="2">
        <v>2</v>
      </c>
      <c r="DK434" s="2">
        <v>90</v>
      </c>
      <c r="DL434" s="2">
        <v>60</v>
      </c>
      <c r="DM434" s="2" t="s">
        <v>12</v>
      </c>
      <c r="DN434" s="2" t="s">
        <v>12</v>
      </c>
      <c r="DO434" s="2" t="s">
        <v>12</v>
      </c>
      <c r="DP434" s="2" t="s">
        <v>12</v>
      </c>
      <c r="DQ434" s="2">
        <v>2</v>
      </c>
      <c r="DR434" s="2">
        <v>39</v>
      </c>
      <c r="DS434" s="2">
        <v>1</v>
      </c>
      <c r="DT434" s="2">
        <v>71</v>
      </c>
      <c r="DU434" s="2">
        <v>93</v>
      </c>
      <c r="DV434" s="2">
        <v>3</v>
      </c>
      <c r="DW434" s="2">
        <v>2</v>
      </c>
      <c r="DX434" s="2">
        <v>3</v>
      </c>
      <c r="DY434" s="2">
        <v>1</v>
      </c>
      <c r="DZ434" s="2">
        <v>35</v>
      </c>
      <c r="EA434" s="2">
        <v>34.5</v>
      </c>
      <c r="EB434" s="2">
        <v>46</v>
      </c>
      <c r="EC434" s="2">
        <v>1</v>
      </c>
      <c r="ED434" s="2">
        <v>1</v>
      </c>
    </row>
    <row r="435" spans="3:134" x14ac:dyDescent="0.25">
      <c r="C435" s="5" t="s">
        <v>391</v>
      </c>
      <c r="D435" s="8">
        <v>6490197154</v>
      </c>
      <c r="E435" s="3">
        <v>7</v>
      </c>
      <c r="F435" s="2">
        <v>2</v>
      </c>
      <c r="G435" s="2">
        <v>45</v>
      </c>
      <c r="H435" s="2">
        <v>-2.0973688752001141</v>
      </c>
      <c r="I435" s="2">
        <v>53</v>
      </c>
      <c r="J435" s="2">
        <v>1.645866503279491</v>
      </c>
      <c r="K435" s="5">
        <v>3100</v>
      </c>
      <c r="L435" s="2">
        <v>-0.51686178682742712</v>
      </c>
      <c r="M435" s="2">
        <v>-0.55730000000000002</v>
      </c>
      <c r="N435" s="2">
        <f t="shared" si="399"/>
        <v>0.69188443760005702</v>
      </c>
      <c r="O435" s="2">
        <f t="shared" si="400"/>
        <v>-0.55730000000000002</v>
      </c>
      <c r="P435" s="2">
        <v>65</v>
      </c>
      <c r="Q435" s="2">
        <v>-1.23</v>
      </c>
      <c r="R435" s="5">
        <f t="shared" si="401"/>
        <v>-0.87293325163974556</v>
      </c>
      <c r="S435" s="5">
        <f t="shared" si="402"/>
        <v>-1.23</v>
      </c>
      <c r="T435" s="1">
        <v>7000</v>
      </c>
      <c r="U435" s="2">
        <v>-1.1399999999999999</v>
      </c>
      <c r="V435" s="2">
        <f t="shared" si="403"/>
        <v>-3.1569106586286422E-2</v>
      </c>
      <c r="W435" s="2">
        <f t="shared" si="404"/>
        <v>-1.1399999999999999</v>
      </c>
      <c r="X435" s="2">
        <v>-0.71360000000000001</v>
      </c>
      <c r="Y435" s="76">
        <f t="shared" si="440"/>
        <v>1.383768875200114</v>
      </c>
      <c r="Z435" s="76">
        <f t="shared" si="441"/>
        <v>2</v>
      </c>
      <c r="AA435" s="2">
        <f t="shared" si="405"/>
        <v>0.26250000000000001</v>
      </c>
      <c r="AB435" s="2">
        <f t="shared" si="406"/>
        <v>-0.71360000000000001</v>
      </c>
      <c r="AC435" s="2">
        <v>75.5</v>
      </c>
      <c r="AD435" s="2">
        <v>-0.1</v>
      </c>
      <c r="AE435" s="79">
        <f t="shared" si="442"/>
        <v>-1.7458665032794911</v>
      </c>
      <c r="AF435" s="79">
        <f t="shared" si="443"/>
        <v>-2</v>
      </c>
      <c r="AG435" s="2">
        <f t="shared" si="461"/>
        <v>0.66</v>
      </c>
      <c r="AH435" s="2">
        <f t="shared" si="407"/>
        <v>-0.1</v>
      </c>
      <c r="AI435" s="2">
        <v>9050</v>
      </c>
      <c r="AJ435" s="2">
        <v>-0.57999999999999996</v>
      </c>
      <c r="AK435" s="76">
        <f t="shared" si="444"/>
        <v>-6.3138213172572843E-2</v>
      </c>
      <c r="AL435" s="76">
        <f t="shared" si="445"/>
        <v>-1</v>
      </c>
      <c r="AM435" s="2">
        <f t="shared" si="408"/>
        <v>0.34499999999999997</v>
      </c>
      <c r="AN435" s="2">
        <f t="shared" si="409"/>
        <v>-0.57999999999999996</v>
      </c>
      <c r="AO435" s="2">
        <v>-0.70499999999999996</v>
      </c>
      <c r="AP435" s="2">
        <f t="shared" si="410"/>
        <v>-0.59399811158351701</v>
      </c>
      <c r="AQ435" s="2">
        <f t="shared" si="411"/>
        <v>-0.70499999999999996</v>
      </c>
      <c r="AR435" s="2">
        <v>82.5</v>
      </c>
      <c r="AS435" s="2">
        <v>0.09</v>
      </c>
      <c r="AT435" s="2">
        <f t="shared" si="412"/>
        <v>0.14097159098559292</v>
      </c>
      <c r="AU435" s="2">
        <f t="shared" si="413"/>
        <v>0.09</v>
      </c>
      <c r="AV435" s="2">
        <v>10400</v>
      </c>
      <c r="AW435" s="2">
        <v>-0.45</v>
      </c>
      <c r="AX435" s="2">
        <f t="shared" si="414"/>
        <v>-0.36145840731400453</v>
      </c>
      <c r="AY435" s="2">
        <f t="shared" si="415"/>
        <v>-0.45</v>
      </c>
      <c r="AZ435" s="2">
        <v>-1.901596223167034</v>
      </c>
      <c r="BA435" s="78">
        <f t="shared" si="446"/>
        <v>-1.187996223167034</v>
      </c>
      <c r="BB435" s="78">
        <f t="shared" si="447"/>
        <v>-2</v>
      </c>
      <c r="BC435" s="2">
        <f t="shared" si="416"/>
        <v>-0.32460162936271136</v>
      </c>
      <c r="BD435" s="2">
        <f t="shared" si="417"/>
        <v>-1.901596223167034</v>
      </c>
      <c r="BE435" s="67">
        <f t="shared" si="448"/>
        <v>7</v>
      </c>
      <c r="BF435" s="2">
        <v>87.5</v>
      </c>
      <c r="BG435" s="2">
        <v>0.18194318197118581</v>
      </c>
      <c r="BH435" s="2">
        <f t="shared" si="418"/>
        <v>-0.18509904681002434</v>
      </c>
      <c r="BI435" s="2">
        <f t="shared" si="419"/>
        <v>0.18194318197118581</v>
      </c>
      <c r="BJ435" s="67">
        <f t="shared" si="420"/>
        <v>7</v>
      </c>
      <c r="BK435" s="2">
        <v>11090</v>
      </c>
      <c r="BL435" s="2">
        <v>-1.302916814628009</v>
      </c>
      <c r="BM435" s="77">
        <f t="shared" si="449"/>
        <v>-0.72291681462800905</v>
      </c>
      <c r="BN435" s="77">
        <f t="shared" si="450"/>
        <v>-2</v>
      </c>
      <c r="BO435" s="2">
        <f t="shared" si="421"/>
        <v>-0.29128376126834765</v>
      </c>
      <c r="BP435" s="2">
        <f t="shared" si="422"/>
        <v>-1.302916814628009</v>
      </c>
      <c r="BQ435" s="67">
        <f t="shared" si="451"/>
        <v>7</v>
      </c>
      <c r="BR435" s="5">
        <v>-1.6788048880881341</v>
      </c>
      <c r="BS435" s="75">
        <f t="shared" si="452"/>
        <v>0.22279133507889992</v>
      </c>
      <c r="BT435" s="75">
        <f t="shared" si="453"/>
        <v>1</v>
      </c>
      <c r="BU435" s="5" t="str">
        <f t="shared" si="464"/>
        <v/>
      </c>
      <c r="BV435" s="5">
        <f t="shared" si="423"/>
        <v>-1.6788048880881341</v>
      </c>
      <c r="BW435" s="69">
        <f t="shared" si="424"/>
        <v>7</v>
      </c>
      <c r="BX435" s="2">
        <v>93.5</v>
      </c>
      <c r="BY435" s="5">
        <v>-0.46529714043007309</v>
      </c>
      <c r="BZ435" s="74">
        <f t="shared" si="454"/>
        <v>0.83761967419793593</v>
      </c>
      <c r="CA435" s="74">
        <f t="shared" si="455"/>
        <v>2</v>
      </c>
      <c r="CB435" s="5" t="str">
        <f t="shared" si="425"/>
        <v/>
      </c>
      <c r="CC435" s="5">
        <f t="shared" si="426"/>
        <v>-0.46529714043007309</v>
      </c>
      <c r="CD435" s="2">
        <f t="shared" si="427"/>
        <v>-0.64724032240125884</v>
      </c>
      <c r="CE435" s="69">
        <f t="shared" si="428"/>
        <v>7</v>
      </c>
      <c r="CF435" s="5">
        <v>12500</v>
      </c>
      <c r="CG435" s="5">
        <v>-1.3238512838050429</v>
      </c>
      <c r="CH435" s="72">
        <f t="shared" si="456"/>
        <v>-2.0934469177033899E-2</v>
      </c>
      <c r="CI435" s="72">
        <f t="shared" si="457"/>
        <v>-1</v>
      </c>
      <c r="CJ435" s="5" t="str">
        <f t="shared" si="429"/>
        <v/>
      </c>
      <c r="CK435" s="5">
        <f t="shared" si="430"/>
        <v>-1.3238512838050429</v>
      </c>
      <c r="CL435" s="69">
        <f t="shared" si="431"/>
        <v>7</v>
      </c>
      <c r="CN435" s="70" t="str">
        <f t="shared" si="432"/>
        <v/>
      </c>
      <c r="CO435" s="5" t="str">
        <f t="shared" si="433"/>
        <v>UF</v>
      </c>
      <c r="CP435" s="5" t="str">
        <f>IF(G435&lt;48,"UF", IF(NOT(ISBLANK(CM:CM)), CM:CM, IF(BW:BW=1, BV:BV+Sheet2!B607, IF(Sheet1!BW:BW=2, Sheet1!BV:BV+Sheet2!B608, IF(Sheet1!BW:BW=7, Sheet1!BV:BV+Sheet2!B609,"")))))</f>
        <v>UF</v>
      </c>
      <c r="CQ435" s="69" t="str">
        <f t="shared" si="458"/>
        <v/>
      </c>
      <c r="CR435" s="5" t="s">
        <v>12</v>
      </c>
      <c r="CT435" s="5" t="str">
        <f t="shared" si="434"/>
        <v/>
      </c>
      <c r="CU435" s="80" t="str">
        <f t="shared" si="435"/>
        <v>UF</v>
      </c>
      <c r="CV435" s="80" t="str">
        <f t="shared" si="436"/>
        <v>UF</v>
      </c>
      <c r="CW435" s="20" t="str">
        <f>IF(G435&lt;48,"UF", IF(NOT(ISBLANK(CS435)), CS435, IF(CE435=5, CC435+Sheet2!B596, IF(CE435=6, CC435+Sheet2!B597, IF(CE435=7, CC435+Sheet2!B598,"")))))</f>
        <v>UF</v>
      </c>
      <c r="CX435" s="68" t="str">
        <f t="shared" si="459"/>
        <v/>
      </c>
      <c r="CY435" s="5" t="s">
        <v>12</v>
      </c>
      <c r="DA435" s="5" t="str">
        <f t="shared" si="437"/>
        <v>UF</v>
      </c>
      <c r="DB435" s="73" t="str">
        <f t="shared" si="438"/>
        <v>UF</v>
      </c>
      <c r="DC435" s="73" t="str">
        <f t="shared" si="439"/>
        <v>UF</v>
      </c>
      <c r="DD435" s="5" t="str">
        <f>IF(G435&lt;48,"UF", IF(NOT(ISBLANK(CZ:CZ)), CZ:CZ, IF(CL:CL=3, CK:CK+Sheet2!B601, IF(CL:CL=4, CK:CK+Sheet2!B602, IF(CL:CL=7, CK:CK+Sheet2!B603,"")))))</f>
        <v>UF</v>
      </c>
      <c r="DE435" s="69" t="str">
        <f t="shared" si="463"/>
        <v/>
      </c>
      <c r="DF435" s="2">
        <v>1</v>
      </c>
      <c r="DG435" s="2">
        <v>37</v>
      </c>
      <c r="DH435" s="2">
        <v>2</v>
      </c>
      <c r="DI435" s="2">
        <v>2</v>
      </c>
      <c r="DJ435" s="2">
        <v>3</v>
      </c>
      <c r="DK435" s="2" t="s">
        <v>12</v>
      </c>
      <c r="DL435" s="2" t="s">
        <v>12</v>
      </c>
      <c r="DM435" s="2" t="s">
        <v>12</v>
      </c>
      <c r="DN435" s="2" t="s">
        <v>12</v>
      </c>
      <c r="DO435" s="2" t="s">
        <v>12</v>
      </c>
      <c r="DP435" s="2" t="s">
        <v>12</v>
      </c>
      <c r="DQ435" s="2">
        <v>2</v>
      </c>
      <c r="DR435" s="2">
        <v>40</v>
      </c>
      <c r="DS435" s="2">
        <v>3</v>
      </c>
      <c r="DT435" s="2" t="s">
        <v>12</v>
      </c>
      <c r="DU435" s="2" t="s">
        <v>12</v>
      </c>
      <c r="DV435" s="2">
        <v>2</v>
      </c>
      <c r="DW435" s="2">
        <v>2</v>
      </c>
      <c r="DX435" s="2">
        <v>2</v>
      </c>
      <c r="DY435" s="2">
        <v>1</v>
      </c>
      <c r="DZ435" s="2">
        <v>35</v>
      </c>
      <c r="EA435" s="2">
        <v>36</v>
      </c>
      <c r="EB435" s="2">
        <v>46</v>
      </c>
      <c r="EC435" s="2">
        <v>1</v>
      </c>
      <c r="ED435" s="2">
        <v>1</v>
      </c>
    </row>
    <row r="436" spans="3:134" x14ac:dyDescent="0.25">
      <c r="C436" s="10" t="s">
        <v>162</v>
      </c>
      <c r="D436" s="10">
        <v>6490197235</v>
      </c>
      <c r="E436" s="5">
        <v>6</v>
      </c>
      <c r="F436" s="2">
        <v>1</v>
      </c>
      <c r="G436" s="2">
        <v>42</v>
      </c>
      <c r="H436" s="2">
        <v>-1.109423612389751</v>
      </c>
      <c r="I436" s="2">
        <v>49</v>
      </c>
      <c r="J436" s="2">
        <v>-7.9294265603816944E-2</v>
      </c>
      <c r="K436" s="5">
        <v>2890</v>
      </c>
      <c r="L436" s="2">
        <v>-0.77309295392041322</v>
      </c>
      <c r="M436" s="2">
        <v>-0.89049999999999996</v>
      </c>
      <c r="N436" s="2">
        <f t="shared" si="399"/>
        <v>0.33911180619487546</v>
      </c>
      <c r="O436" s="2">
        <f t="shared" si="400"/>
        <v>-0.89049999999999996</v>
      </c>
      <c r="P436" s="2">
        <v>62</v>
      </c>
      <c r="Q436" s="2">
        <v>-1.65</v>
      </c>
      <c r="R436" s="5">
        <f t="shared" si="401"/>
        <v>-0.93035286719809152</v>
      </c>
      <c r="S436" s="5">
        <f t="shared" si="402"/>
        <v>-1.65</v>
      </c>
      <c r="T436" s="1">
        <v>6000</v>
      </c>
      <c r="U436" s="2">
        <v>-1.62</v>
      </c>
      <c r="V436" s="2">
        <f t="shared" si="403"/>
        <v>-0.34345352303979337</v>
      </c>
      <c r="W436" s="2">
        <f t="shared" si="404"/>
        <v>-1.62</v>
      </c>
      <c r="X436" s="2">
        <v>-0.43120000000000003</v>
      </c>
      <c r="Y436" s="76">
        <f t="shared" si="440"/>
        <v>0.67822361238975093</v>
      </c>
      <c r="Z436" s="76">
        <f t="shared" si="441"/>
        <v>2</v>
      </c>
      <c r="AA436" s="2">
        <f t="shared" si="405"/>
        <v>0.27759999999999996</v>
      </c>
      <c r="AB436" s="2">
        <f t="shared" si="406"/>
        <v>-0.43120000000000003</v>
      </c>
      <c r="AC436" s="2">
        <v>69</v>
      </c>
      <c r="AD436" s="2">
        <v>-1.94</v>
      </c>
      <c r="AE436" s="79">
        <f t="shared" si="442"/>
        <v>-1.860705734396183</v>
      </c>
      <c r="AF436" s="79">
        <f t="shared" si="443"/>
        <v>-2</v>
      </c>
      <c r="AG436" s="2">
        <f t="shared" si="461"/>
        <v>0.18499999999999994</v>
      </c>
      <c r="AH436" s="2">
        <f t="shared" si="407"/>
        <v>-1.94</v>
      </c>
      <c r="AI436" s="2">
        <v>7500</v>
      </c>
      <c r="AJ436" s="2">
        <v>-1.46</v>
      </c>
      <c r="AK436" s="76">
        <f t="shared" si="444"/>
        <v>-0.68690704607958675</v>
      </c>
      <c r="AL436" s="76">
        <f t="shared" si="445"/>
        <v>-2</v>
      </c>
      <c r="AM436" s="2">
        <f t="shared" si="408"/>
        <v>4.0000000000000036E-2</v>
      </c>
      <c r="AN436" s="2">
        <f t="shared" si="409"/>
        <v>-1.46</v>
      </c>
      <c r="AO436" s="2">
        <v>-1.0948</v>
      </c>
      <c r="AP436" s="2">
        <f t="shared" si="410"/>
        <v>-0.72662195693127751</v>
      </c>
      <c r="AQ436" s="2">
        <f t="shared" si="411"/>
        <v>-1.0948</v>
      </c>
      <c r="AR436" s="2">
        <v>77</v>
      </c>
      <c r="AS436" s="2">
        <v>-1.28</v>
      </c>
      <c r="AT436" s="2">
        <f t="shared" si="412"/>
        <v>0.48368514749387953</v>
      </c>
      <c r="AU436" s="2">
        <f t="shared" si="413"/>
        <v>-1.28</v>
      </c>
      <c r="AV436" s="2">
        <v>8500</v>
      </c>
      <c r="AW436" s="2">
        <v>-1.54</v>
      </c>
      <c r="AX436" s="2">
        <f t="shared" si="414"/>
        <v>-0.51719613155236344</v>
      </c>
      <c r="AY436" s="2">
        <f t="shared" si="415"/>
        <v>-1.54</v>
      </c>
      <c r="AZ436" s="2">
        <v>-1.8844439138625551</v>
      </c>
      <c r="BA436" s="78">
        <f t="shared" si="446"/>
        <v>-1.453243913862555</v>
      </c>
      <c r="BB436" s="78">
        <f t="shared" si="447"/>
        <v>-2</v>
      </c>
      <c r="BC436" s="2">
        <f t="shared" si="416"/>
        <v>0.24140335823397729</v>
      </c>
      <c r="BD436" s="2">
        <f t="shared" si="417"/>
        <v>-1.8844439138625551</v>
      </c>
      <c r="BE436" s="67">
        <f t="shared" si="448"/>
        <v>7</v>
      </c>
      <c r="BF436" s="2">
        <v>82</v>
      </c>
      <c r="BG436" s="2">
        <v>-0.97262970501224089</v>
      </c>
      <c r="BH436" s="2">
        <f t="shared" si="418"/>
        <v>-0.51458175567646136</v>
      </c>
      <c r="BI436" s="2">
        <f t="shared" si="419"/>
        <v>-0.97262970501224089</v>
      </c>
      <c r="BJ436" s="67">
        <f t="shared" si="420"/>
        <v>7</v>
      </c>
      <c r="BK436" s="2">
        <v>9500</v>
      </c>
      <c r="BL436" s="2">
        <v>-2.4943922631047268</v>
      </c>
      <c r="BM436" s="77">
        <f t="shared" si="449"/>
        <v>-1.0343922631047269</v>
      </c>
      <c r="BN436" s="77">
        <f t="shared" si="450"/>
        <v>-2</v>
      </c>
      <c r="BO436" s="2">
        <f t="shared" si="421"/>
        <v>-0.36902643314622496</v>
      </c>
      <c r="BP436" s="2">
        <f t="shared" si="422"/>
        <v>-2.4943922631047268</v>
      </c>
      <c r="BQ436" s="67">
        <f t="shared" si="451"/>
        <v>4</v>
      </c>
      <c r="BR436" s="5">
        <v>-0.37058992529806811</v>
      </c>
      <c r="BS436" s="75">
        <f t="shared" si="452"/>
        <v>1.5138539885644868</v>
      </c>
      <c r="BT436" s="75">
        <f t="shared" si="453"/>
        <v>2</v>
      </c>
      <c r="BU436" s="5" t="str">
        <f t="shared" si="464"/>
        <v>UF</v>
      </c>
      <c r="BV436" s="5">
        <f t="shared" si="423"/>
        <v>-0.37058992529806811</v>
      </c>
      <c r="BW436" s="69">
        <f t="shared" si="424"/>
        <v>7</v>
      </c>
      <c r="BX436" s="2">
        <v>83.34</v>
      </c>
      <c r="BY436" s="5">
        <v>-2.8237452670293841</v>
      </c>
      <c r="BZ436" s="74">
        <f t="shared" si="454"/>
        <v>-0.32935300392465727</v>
      </c>
      <c r="CA436" s="74">
        <f t="shared" si="455"/>
        <v>-1</v>
      </c>
      <c r="CB436" s="5" t="str">
        <f t="shared" si="425"/>
        <v/>
      </c>
      <c r="CC436" s="5">
        <f t="shared" si="426"/>
        <v>-2.8237452670293841</v>
      </c>
      <c r="CD436" s="2">
        <f t="shared" si="427"/>
        <v>-1.8511155620171431</v>
      </c>
      <c r="CE436" s="69">
        <f t="shared" si="428"/>
        <v>6</v>
      </c>
      <c r="CF436" s="5">
        <v>10600</v>
      </c>
      <c r="CG436" s="5">
        <v>-2.6470792994386749</v>
      </c>
      <c r="CH436" s="72">
        <f t="shared" si="456"/>
        <v>-0.15268703633394809</v>
      </c>
      <c r="CI436" s="72">
        <f t="shared" si="457"/>
        <v>-1</v>
      </c>
      <c r="CJ436" s="5" t="str">
        <f t="shared" si="429"/>
        <v/>
      </c>
      <c r="CK436" s="5">
        <f t="shared" si="430"/>
        <v>-2.6470792994386749</v>
      </c>
      <c r="CL436" s="69">
        <f t="shared" si="431"/>
        <v>4</v>
      </c>
      <c r="CN436" s="70" t="str">
        <f t="shared" si="432"/>
        <v/>
      </c>
      <c r="CO436" s="5" t="str">
        <f t="shared" si="433"/>
        <v>UF</v>
      </c>
      <c r="CP436" s="5" t="str">
        <f>IF(G436&lt;48,"UF", IF(NOT(ISBLANK(CM:CM)), CM:CM, IF(BW:BW=1, BV:BV+Sheet2!B318, IF(Sheet1!BW:BW=2, Sheet1!BV:BV+Sheet2!B319, IF(Sheet1!BW:BW=7, Sheet1!BV:BV+Sheet2!B320,"")))))</f>
        <v>UF</v>
      </c>
      <c r="CQ436" s="69" t="str">
        <f t="shared" si="458"/>
        <v/>
      </c>
      <c r="CR436" s="5" t="s">
        <v>12</v>
      </c>
      <c r="CT436" s="5" t="str">
        <f t="shared" si="434"/>
        <v/>
      </c>
      <c r="CU436" s="80" t="str">
        <f t="shared" si="435"/>
        <v>UF</v>
      </c>
      <c r="CV436" s="80" t="str">
        <f t="shared" si="436"/>
        <v>UF</v>
      </c>
      <c r="CW436" s="20" t="str">
        <f>IF(G436&lt;48,"UF", IF(NOT(ISBLANK(CS436)), CS436, IF(CE436=5, CC436+Sheet2!B307, IF(CE436=6, CC436+Sheet2!B308, IF(CE436=7, CC436+Sheet2!B309,"")))))</f>
        <v>UF</v>
      </c>
      <c r="CX436" s="68" t="str">
        <f t="shared" si="459"/>
        <v/>
      </c>
      <c r="CY436" s="5" t="s">
        <v>12</v>
      </c>
      <c r="DA436" s="5" t="str">
        <f t="shared" si="437"/>
        <v>UF</v>
      </c>
      <c r="DB436" s="73" t="str">
        <f t="shared" si="438"/>
        <v>UF</v>
      </c>
      <c r="DC436" s="73" t="str">
        <f t="shared" si="439"/>
        <v>UF</v>
      </c>
      <c r="DD436" s="5" t="str">
        <f>IF(G436&lt;48,"UF", IF(NOT(ISBLANK(CZ:CZ)), CZ:CZ, IF(CL:CL=3, CK:CK+Sheet2!B312, IF(CL:CL=4, CK:CK+Sheet2!B313, IF(CL:CL=7, CK:CK+Sheet2!B314,"")))))</f>
        <v>UF</v>
      </c>
      <c r="DE436" s="69" t="str">
        <f t="shared" si="463"/>
        <v/>
      </c>
      <c r="DF436" s="2">
        <v>4</v>
      </c>
      <c r="DG436" s="2">
        <v>37</v>
      </c>
      <c r="DH436" s="2">
        <v>1</v>
      </c>
      <c r="DI436" s="2">
        <v>2</v>
      </c>
      <c r="DJ436" s="2">
        <v>2</v>
      </c>
      <c r="DK436" s="2">
        <v>105</v>
      </c>
      <c r="DL436" s="2">
        <v>65</v>
      </c>
      <c r="DM436" s="2" t="s">
        <v>12</v>
      </c>
      <c r="DN436" s="2" t="s">
        <v>12</v>
      </c>
      <c r="DO436" s="2">
        <v>100</v>
      </c>
      <c r="DP436" s="2">
        <v>60</v>
      </c>
      <c r="DQ436" s="2">
        <v>2</v>
      </c>
      <c r="DR436" s="2">
        <v>39</v>
      </c>
      <c r="DS436" s="2">
        <v>2</v>
      </c>
      <c r="DT436" s="2">
        <v>86</v>
      </c>
      <c r="DU436" s="2">
        <v>70</v>
      </c>
      <c r="DV436" s="2">
        <v>2</v>
      </c>
      <c r="DW436" s="2">
        <v>2</v>
      </c>
      <c r="DX436" s="2">
        <v>2</v>
      </c>
      <c r="DY436" s="2">
        <v>3</v>
      </c>
      <c r="DZ436" s="2">
        <v>35.5</v>
      </c>
      <c r="EA436" s="2">
        <v>36</v>
      </c>
      <c r="EB436" s="2" t="s">
        <v>12</v>
      </c>
      <c r="EC436" s="2">
        <v>1</v>
      </c>
      <c r="ED436" s="2" t="s">
        <v>12</v>
      </c>
    </row>
    <row r="437" spans="3:134" x14ac:dyDescent="0.25">
      <c r="C437" s="8" t="s">
        <v>345</v>
      </c>
      <c r="D437" s="2">
        <v>6490198053</v>
      </c>
      <c r="E437" s="5">
        <v>7</v>
      </c>
      <c r="F437" s="2">
        <v>2</v>
      </c>
      <c r="G437" s="2">
        <v>43</v>
      </c>
      <c r="H437" s="2">
        <v>-0.39996143683412588</v>
      </c>
      <c r="I437" s="2">
        <v>52</v>
      </c>
      <c r="J437" s="2">
        <v>1.117633928075521</v>
      </c>
      <c r="K437" s="2">
        <v>3490</v>
      </c>
      <c r="L437" s="2">
        <v>0.28986368186374117</v>
      </c>
      <c r="M437" s="2">
        <v>-0.9325</v>
      </c>
      <c r="N437" s="2">
        <f t="shared" si="399"/>
        <v>0.40398071841706296</v>
      </c>
      <c r="O437" s="2">
        <f t="shared" si="400"/>
        <v>-0.9325</v>
      </c>
      <c r="P437" s="2">
        <v>66</v>
      </c>
      <c r="Q437" s="2">
        <v>-0.77</v>
      </c>
      <c r="R437" s="5">
        <f t="shared" si="401"/>
        <v>-1.3438169640377606</v>
      </c>
      <c r="S437" s="5">
        <f t="shared" si="402"/>
        <v>-0.77</v>
      </c>
      <c r="T437" s="2">
        <v>7000</v>
      </c>
      <c r="U437" s="2">
        <v>-1.1399999999999999</v>
      </c>
      <c r="V437" s="2">
        <f t="shared" si="403"/>
        <v>-0.45993184093187056</v>
      </c>
      <c r="W437" s="2">
        <f t="shared" si="404"/>
        <v>-1.1399999999999999</v>
      </c>
      <c r="X437" s="2">
        <v>0.40799999999999997</v>
      </c>
      <c r="Y437" s="76">
        <f t="shared" si="440"/>
        <v>0.80796143683412591</v>
      </c>
      <c r="Z437" s="76">
        <f t="shared" si="441"/>
        <v>2</v>
      </c>
      <c r="AA437" s="2">
        <f t="shared" si="405"/>
        <v>0.49560000000000004</v>
      </c>
      <c r="AB437" s="2">
        <f t="shared" si="406"/>
        <v>0.40799999999999997</v>
      </c>
      <c r="AC437" s="2">
        <v>72</v>
      </c>
      <c r="AD437" s="2">
        <v>-1.57</v>
      </c>
      <c r="AE437" s="79">
        <f t="shared" si="442"/>
        <v>-2.6876339280755213</v>
      </c>
      <c r="AF437" s="79">
        <f t="shared" si="443"/>
        <v>-2</v>
      </c>
      <c r="AG437" s="2">
        <f t="shared" si="461"/>
        <v>-0.21999999999999997</v>
      </c>
      <c r="AH437" s="2">
        <f t="shared" si="407"/>
        <v>-1.57</v>
      </c>
      <c r="AI437" s="2">
        <v>9000</v>
      </c>
      <c r="AJ437" s="2">
        <v>-0.63</v>
      </c>
      <c r="AK437" s="76">
        <f t="shared" si="444"/>
        <v>-0.91986368186374112</v>
      </c>
      <c r="AL437" s="76">
        <f t="shared" si="445"/>
        <v>-2</v>
      </c>
      <c r="AM437" s="2">
        <f t="shared" si="408"/>
        <v>0.27999999999999997</v>
      </c>
      <c r="AN437" s="2">
        <f t="shared" si="409"/>
        <v>-0.63</v>
      </c>
      <c r="AO437" s="2">
        <v>0.22120000000000001</v>
      </c>
      <c r="AP437" s="2">
        <f t="shared" si="410"/>
        <v>-0.784522559428527</v>
      </c>
      <c r="AQ437" s="2">
        <f t="shared" si="411"/>
        <v>0.22120000000000001</v>
      </c>
      <c r="AR437" s="2">
        <v>79</v>
      </c>
      <c r="AS437" s="2">
        <v>-1.21</v>
      </c>
      <c r="AT437" s="2">
        <f t="shared" si="412"/>
        <v>0.80472046099855987</v>
      </c>
      <c r="AU437" s="2">
        <f t="shared" si="413"/>
        <v>-1.21</v>
      </c>
      <c r="AV437" s="2">
        <v>10250</v>
      </c>
      <c r="AW437" s="2">
        <v>-0.57999999999999996</v>
      </c>
      <c r="AX437" s="2">
        <f t="shared" si="414"/>
        <v>-0.16420338178308169</v>
      </c>
      <c r="AY437" s="2">
        <f t="shared" si="415"/>
        <v>-0.57999999999999996</v>
      </c>
      <c r="AZ437" s="2">
        <v>-1.1610451188570541</v>
      </c>
      <c r="BA437" s="78">
        <f t="shared" si="446"/>
        <v>-1.569045118857054</v>
      </c>
      <c r="BB437" s="78">
        <f t="shared" si="447"/>
        <v>-2</v>
      </c>
      <c r="BC437" s="2">
        <f t="shared" si="416"/>
        <v>-0.53075117814428407</v>
      </c>
      <c r="BD437" s="2">
        <f t="shared" si="417"/>
        <v>-1.1610451188570541</v>
      </c>
      <c r="BE437" s="67">
        <f t="shared" si="448"/>
        <v>7</v>
      </c>
      <c r="BF437" s="2">
        <v>87</v>
      </c>
      <c r="BG437" s="2">
        <v>3.9440921997119571E-2</v>
      </c>
      <c r="BH437" s="2">
        <f t="shared" si="418"/>
        <v>0.63408370922737356</v>
      </c>
      <c r="BI437" s="2">
        <f t="shared" si="419"/>
        <v>3.9440921997119571E-2</v>
      </c>
      <c r="BJ437" s="67">
        <f t="shared" si="420"/>
        <v>7</v>
      </c>
      <c r="BK437" s="2">
        <v>11500</v>
      </c>
      <c r="BL437" s="2">
        <v>-0.95840676356616339</v>
      </c>
      <c r="BM437" s="77">
        <f t="shared" si="449"/>
        <v>-0.32840676356616338</v>
      </c>
      <c r="BN437" s="77">
        <f t="shared" si="450"/>
        <v>-1</v>
      </c>
      <c r="BO437" s="2">
        <f t="shared" si="421"/>
        <v>0.10810528097981821</v>
      </c>
      <c r="BP437" s="2">
        <f t="shared" si="422"/>
        <v>-0.95840676356616339</v>
      </c>
      <c r="BQ437" s="67">
        <f t="shared" si="451"/>
        <v>7</v>
      </c>
      <c r="BR437" s="5">
        <v>-1.3710535344328521</v>
      </c>
      <c r="BS437" s="75">
        <f t="shared" si="452"/>
        <v>-0.21000841557579797</v>
      </c>
      <c r="BT437" s="75">
        <f t="shared" si="453"/>
        <v>-1</v>
      </c>
      <c r="BU437" s="5" t="str">
        <f t="shared" si="464"/>
        <v>UF</v>
      </c>
      <c r="BV437" s="5">
        <f t="shared" si="423"/>
        <v>-1.3710535344328521</v>
      </c>
      <c r="BW437" s="69">
        <f t="shared" si="424"/>
        <v>7</v>
      </c>
      <c r="BX437" s="2">
        <v>98</v>
      </c>
      <c r="BY437" s="5">
        <v>0.69225112768212071</v>
      </c>
      <c r="BZ437" s="74">
        <f t="shared" si="454"/>
        <v>1.6506578912482841</v>
      </c>
      <c r="CA437" s="74">
        <f t="shared" si="455"/>
        <v>2</v>
      </c>
      <c r="CB437" s="5" t="str">
        <f t="shared" si="425"/>
        <v/>
      </c>
      <c r="CC437" s="5">
        <f t="shared" si="426"/>
        <v>0.69225112768212071</v>
      </c>
      <c r="CD437" s="2">
        <f t="shared" si="427"/>
        <v>0.65281020568500114</v>
      </c>
      <c r="CE437" s="69">
        <f t="shared" si="428"/>
        <v>7</v>
      </c>
      <c r="CF437" s="5">
        <v>14000</v>
      </c>
      <c r="CG437" s="5">
        <v>-0.25568415706054531</v>
      </c>
      <c r="CH437" s="72">
        <f t="shared" si="456"/>
        <v>0.70272260650561802</v>
      </c>
      <c r="CI437" s="72">
        <f t="shared" si="457"/>
        <v>2</v>
      </c>
      <c r="CJ437" s="5" t="str">
        <f t="shared" si="429"/>
        <v/>
      </c>
      <c r="CK437" s="5">
        <f t="shared" si="430"/>
        <v>-0.25568415706054531</v>
      </c>
      <c r="CL437" s="69">
        <f t="shared" si="431"/>
        <v>7</v>
      </c>
      <c r="CN437" s="70" t="str">
        <f t="shared" si="432"/>
        <v/>
      </c>
      <c r="CO437" s="5" t="str">
        <f t="shared" si="433"/>
        <v>UF</v>
      </c>
      <c r="CP437" s="5" t="str">
        <f>IF(G437&lt;48,"UF", IF(NOT(ISBLANK(CM:CM)), CM:CM, IF(BW:BW=1, BV:BV+Sheet2!B577, IF(Sheet1!BW:BW=2, Sheet1!BV:BV+Sheet2!B578, IF(Sheet1!BW:BW=7, Sheet1!BV:BV+Sheet2!B579,"")))))</f>
        <v>UF</v>
      </c>
      <c r="CQ437" s="69" t="str">
        <f t="shared" si="458"/>
        <v/>
      </c>
      <c r="CR437" s="5" t="s">
        <v>12</v>
      </c>
      <c r="CT437" s="5" t="str">
        <f t="shared" si="434"/>
        <v/>
      </c>
      <c r="CU437" s="80" t="str">
        <f t="shared" si="435"/>
        <v>UF</v>
      </c>
      <c r="CV437" s="80" t="str">
        <f t="shared" si="436"/>
        <v>UF</v>
      </c>
      <c r="CW437" s="20" t="str">
        <f>IF(G437&lt;48,"UF", IF(NOT(ISBLANK(CS437)), CS437, IF(CE437=5, CC437+Sheet2!B566, IF(CE437=6, CC437+Sheet2!B567, IF(CE437=7, CC437+Sheet2!B568,"")))))</f>
        <v>UF</v>
      </c>
      <c r="CX437" s="68" t="str">
        <f t="shared" si="459"/>
        <v/>
      </c>
      <c r="CY437" s="5" t="s">
        <v>12</v>
      </c>
      <c r="DA437" s="5" t="str">
        <f t="shared" si="437"/>
        <v>UF</v>
      </c>
      <c r="DB437" s="73" t="str">
        <f t="shared" si="438"/>
        <v>UF</v>
      </c>
      <c r="DC437" s="73" t="str">
        <f t="shared" si="439"/>
        <v>UF</v>
      </c>
      <c r="DD437" s="5" t="str">
        <f>IF(G437&lt;48,"UF", IF(NOT(ISBLANK(CZ:CZ)), CZ:CZ, IF(CL:CL=3, CK:CK+Sheet2!B571, IF(CL:CL=4, CK:CK+Sheet2!B572, IF(CL:CL=7, CK:CK+Sheet2!B573,"")))))</f>
        <v>UF</v>
      </c>
      <c r="DE437" s="69" t="str">
        <f t="shared" si="463"/>
        <v/>
      </c>
      <c r="DF437" s="2">
        <v>1</v>
      </c>
      <c r="DG437" s="2">
        <v>20</v>
      </c>
      <c r="DH437" s="2">
        <v>2</v>
      </c>
      <c r="DI437" s="2">
        <v>2</v>
      </c>
      <c r="DJ437" s="2">
        <v>2</v>
      </c>
      <c r="DK437" s="2">
        <v>110</v>
      </c>
      <c r="DL437" s="2">
        <v>70</v>
      </c>
      <c r="DM437" s="2">
        <v>110</v>
      </c>
      <c r="DN437" s="2">
        <v>55</v>
      </c>
      <c r="DO437" s="2">
        <v>120</v>
      </c>
      <c r="DP437" s="2">
        <v>70</v>
      </c>
      <c r="DQ437" s="2">
        <v>2</v>
      </c>
      <c r="DR437" s="2">
        <v>39</v>
      </c>
      <c r="DS437" s="2">
        <v>2</v>
      </c>
      <c r="DT437" s="2">
        <v>75</v>
      </c>
      <c r="DU437" s="2">
        <v>80</v>
      </c>
      <c r="DV437" s="2">
        <v>2</v>
      </c>
      <c r="DW437" s="2">
        <v>2</v>
      </c>
      <c r="DX437" s="2">
        <v>2</v>
      </c>
      <c r="DY437" s="2">
        <v>2</v>
      </c>
      <c r="DZ437" s="2">
        <v>35</v>
      </c>
      <c r="EA437" s="2">
        <v>37.5</v>
      </c>
      <c r="EB437" s="2">
        <v>47</v>
      </c>
      <c r="EC437" s="2">
        <v>1</v>
      </c>
      <c r="ED437" s="2">
        <v>1</v>
      </c>
    </row>
    <row r="438" spans="3:134" x14ac:dyDescent="0.25">
      <c r="C438" s="8" t="s">
        <v>291</v>
      </c>
      <c r="D438" s="8">
        <v>6490198509</v>
      </c>
      <c r="E438" s="5">
        <v>7</v>
      </c>
      <c r="F438" s="2">
        <v>2</v>
      </c>
      <c r="G438" s="2">
        <v>40</v>
      </c>
      <c r="H438" s="2">
        <v>-0.52095372339822732</v>
      </c>
      <c r="I438" s="2">
        <v>55</v>
      </c>
      <c r="J438" s="2">
        <v>2.7023316536874251</v>
      </c>
      <c r="K438" s="2">
        <v>3860</v>
      </c>
      <c r="L438" s="2">
        <v>1.002576318523247</v>
      </c>
      <c r="M438" s="2">
        <v>-0.93369999999999997</v>
      </c>
      <c r="N438" s="2">
        <f t="shared" si="399"/>
        <v>-0.23117313830088632</v>
      </c>
      <c r="O438" s="2">
        <f t="shared" si="400"/>
        <v>-0.93369999999999997</v>
      </c>
      <c r="P438" s="2">
        <v>71</v>
      </c>
      <c r="Q438" s="2">
        <v>1.57</v>
      </c>
      <c r="R438" s="5">
        <f t="shared" si="401"/>
        <v>-0.24616582684371258</v>
      </c>
      <c r="S438" s="5">
        <f t="shared" si="402"/>
        <v>1.57</v>
      </c>
      <c r="T438" s="2">
        <v>8100</v>
      </c>
      <c r="U438" s="2">
        <v>0.18</v>
      </c>
      <c r="V438" s="2">
        <f t="shared" si="403"/>
        <v>-0.24628815926162351</v>
      </c>
      <c r="W438" s="2">
        <f t="shared" si="404"/>
        <v>0.18</v>
      </c>
      <c r="X438" s="2">
        <v>-0.98329999999999995</v>
      </c>
      <c r="Y438" s="76">
        <f t="shared" si="440"/>
        <v>-0.46234627660177263</v>
      </c>
      <c r="Z438" s="76">
        <f t="shared" si="441"/>
        <v>-1</v>
      </c>
      <c r="AA438" s="2">
        <f t="shared" si="405"/>
        <v>-0.77805000000000002</v>
      </c>
      <c r="AB438" s="2">
        <f t="shared" si="406"/>
        <v>-0.98329999999999995</v>
      </c>
      <c r="AC438" s="2">
        <v>81</v>
      </c>
      <c r="AD438" s="2">
        <v>2.21</v>
      </c>
      <c r="AE438" s="79">
        <f t="shared" si="442"/>
        <v>-0.49233165368742515</v>
      </c>
      <c r="AF438" s="79">
        <f t="shared" si="443"/>
        <v>-1</v>
      </c>
      <c r="AG438" s="2">
        <f t="shared" si="461"/>
        <v>-0.46500000000000002</v>
      </c>
      <c r="AH438" s="2">
        <f t="shared" si="407"/>
        <v>2.21</v>
      </c>
      <c r="AI438" s="2">
        <v>10200</v>
      </c>
      <c r="AJ438" s="2">
        <v>0.51</v>
      </c>
      <c r="AK438" s="76">
        <f t="shared" si="444"/>
        <v>-0.49257631852324701</v>
      </c>
      <c r="AL438" s="76">
        <f t="shared" si="445"/>
        <v>-1</v>
      </c>
      <c r="AM438" s="2">
        <f t="shared" si="408"/>
        <v>9.5000000000000001E-2</v>
      </c>
      <c r="AN438" s="2">
        <f t="shared" si="409"/>
        <v>0.51</v>
      </c>
      <c r="AO438" s="2">
        <v>1.3899999999999999E-2</v>
      </c>
      <c r="AP438" s="2">
        <f t="shared" si="410"/>
        <v>0.18114954993024435</v>
      </c>
      <c r="AQ438" s="2">
        <f t="shared" si="411"/>
        <v>1.3899999999999999E-2</v>
      </c>
      <c r="AR438" s="2">
        <v>84</v>
      </c>
      <c r="AS438" s="2">
        <v>0.64</v>
      </c>
      <c r="AT438" s="2">
        <f t="shared" si="412"/>
        <v>-0.80025747606636499</v>
      </c>
      <c r="AU438" s="2">
        <f t="shared" si="413"/>
        <v>0.64</v>
      </c>
      <c r="AV438" s="2">
        <v>11400</v>
      </c>
      <c r="AW438" s="2">
        <v>0.37</v>
      </c>
      <c r="AX438" s="2">
        <f t="shared" si="414"/>
        <v>-0.34365491619059224</v>
      </c>
      <c r="AY438" s="2">
        <f t="shared" si="415"/>
        <v>0.37</v>
      </c>
      <c r="AZ438" s="2">
        <v>-0.62100090013951126</v>
      </c>
      <c r="BA438" s="78">
        <f t="shared" si="446"/>
        <v>0.36229909986048869</v>
      </c>
      <c r="BB438" s="78">
        <f t="shared" si="447"/>
        <v>1</v>
      </c>
      <c r="BC438" s="2">
        <f t="shared" si="416"/>
        <v>-0.49384894492426629</v>
      </c>
      <c r="BD438" s="2">
        <f t="shared" si="417"/>
        <v>-0.62100090013951126</v>
      </c>
      <c r="BE438" s="67">
        <f t="shared" si="448"/>
        <v>7</v>
      </c>
      <c r="BF438" s="2">
        <v>89</v>
      </c>
      <c r="BG438" s="2">
        <v>0.60948504786727009</v>
      </c>
      <c r="BH438" s="2">
        <f t="shared" si="418"/>
        <v>9.9825890765880776E-2</v>
      </c>
      <c r="BI438" s="2">
        <f t="shared" si="419"/>
        <v>0.60948504786727009</v>
      </c>
      <c r="BJ438" s="67">
        <f t="shared" si="420"/>
        <v>7</v>
      </c>
      <c r="BK438" s="2">
        <v>12500</v>
      </c>
      <c r="BL438" s="2">
        <v>-0.1773098323811845</v>
      </c>
      <c r="BM438" s="77">
        <f t="shared" si="449"/>
        <v>-0.68730983238118448</v>
      </c>
      <c r="BN438" s="77">
        <f t="shared" si="450"/>
        <v>-2</v>
      </c>
      <c r="BO438" s="2">
        <f t="shared" si="421"/>
        <v>-0.16573571892836422</v>
      </c>
      <c r="BP438" s="2">
        <f t="shared" si="422"/>
        <v>-0.1773098323811845</v>
      </c>
      <c r="BQ438" s="67">
        <f t="shared" si="451"/>
        <v>7</v>
      </c>
      <c r="BR438" s="5">
        <v>-1.4676468347727989</v>
      </c>
      <c r="BS438" s="75">
        <f t="shared" si="452"/>
        <v>-0.84664593463328763</v>
      </c>
      <c r="BT438" s="75">
        <f t="shared" si="453"/>
        <v>-2</v>
      </c>
      <c r="BU438" s="5" t="str">
        <f t="shared" si="464"/>
        <v>UF</v>
      </c>
      <c r="BV438" s="5">
        <f t="shared" si="423"/>
        <v>-1.4676468347727989</v>
      </c>
      <c r="BW438" s="69">
        <f t="shared" si="424"/>
        <v>7</v>
      </c>
      <c r="BX438" s="2">
        <v>99</v>
      </c>
      <c r="BY438" s="5">
        <v>0.93947767229764234</v>
      </c>
      <c r="BZ438" s="74">
        <f t="shared" si="454"/>
        <v>1.1167875046788269</v>
      </c>
      <c r="CA438" s="74">
        <f t="shared" si="455"/>
        <v>2</v>
      </c>
      <c r="CB438" s="5" t="str">
        <f t="shared" si="425"/>
        <v/>
      </c>
      <c r="CC438" s="5">
        <f t="shared" si="426"/>
        <v>0.93947767229764234</v>
      </c>
      <c r="CD438" s="2">
        <f t="shared" si="427"/>
        <v>0.32999262443037225</v>
      </c>
      <c r="CE438" s="69">
        <f t="shared" si="428"/>
        <v>7</v>
      </c>
      <c r="CF438" s="5">
        <v>14200</v>
      </c>
      <c r="CG438" s="5">
        <v>-0.1272071567850927</v>
      </c>
      <c r="CH438" s="72">
        <f t="shared" si="456"/>
        <v>5.01026755960918E-2</v>
      </c>
      <c r="CI438" s="72">
        <f t="shared" si="457"/>
        <v>1</v>
      </c>
      <c r="CJ438" s="5" t="str">
        <f t="shared" si="429"/>
        <v/>
      </c>
      <c r="CK438" s="5">
        <f t="shared" si="430"/>
        <v>-0.1272071567850927</v>
      </c>
      <c r="CL438" s="69">
        <f t="shared" si="431"/>
        <v>7</v>
      </c>
      <c r="CN438" s="70" t="str">
        <f t="shared" si="432"/>
        <v/>
      </c>
      <c r="CO438" s="5" t="str">
        <f t="shared" si="433"/>
        <v>UF</v>
      </c>
      <c r="CP438" s="5" t="str">
        <f>IF(G438&lt;48,"UF", IF(NOT(ISBLANK(CM:CM)), CM:CM, IF(BW:BW=1, BV:BV+Sheet2!B497, IF(Sheet1!BW:BW=2, Sheet1!BV:BV+Sheet2!B498, IF(Sheet1!BW:BW=7, Sheet1!BV:BV+Sheet2!B499,"")))))</f>
        <v>UF</v>
      </c>
      <c r="CQ438" s="69" t="str">
        <f t="shared" si="458"/>
        <v/>
      </c>
      <c r="CR438" s="5" t="s">
        <v>12</v>
      </c>
      <c r="CT438" s="5" t="str">
        <f t="shared" si="434"/>
        <v/>
      </c>
      <c r="CU438" s="80" t="str">
        <f t="shared" si="435"/>
        <v>UF</v>
      </c>
      <c r="CV438" s="80" t="str">
        <f t="shared" si="436"/>
        <v>UF</v>
      </c>
      <c r="CW438" s="20" t="str">
        <f>IF(G438&lt;48,"UF", IF(NOT(ISBLANK(CS438)), CS438, IF(CE438=5, CC438+Sheet2!B486, IF(CE438=6, CC438+Sheet2!B487, IF(CE438=7, CC438+Sheet2!B488,"")))))</f>
        <v>UF</v>
      </c>
      <c r="CX438" s="68" t="str">
        <f t="shared" si="459"/>
        <v/>
      </c>
      <c r="CY438" s="5" t="s">
        <v>12</v>
      </c>
      <c r="DA438" s="5" t="str">
        <f t="shared" si="437"/>
        <v>UF</v>
      </c>
      <c r="DB438" s="73" t="str">
        <f t="shared" si="438"/>
        <v>UF</v>
      </c>
      <c r="DC438" s="73" t="str">
        <f t="shared" si="439"/>
        <v>UF</v>
      </c>
      <c r="DD438" s="5" t="str">
        <f>IF(G438&lt;48,"UF", IF(NOT(ISBLANK(CZ:CZ)), CZ:CZ, IF(CL:CL=3, CK:CK+Sheet2!B491, IF(CL:CL=4, CK:CK+Sheet2!B492, IF(CL:CL=7, CK:CK+Sheet2!B493,"")))))</f>
        <v>UF</v>
      </c>
      <c r="DE438" s="69" t="str">
        <f t="shared" si="463"/>
        <v/>
      </c>
      <c r="DF438" s="2">
        <v>2</v>
      </c>
      <c r="DG438" s="2">
        <v>41</v>
      </c>
      <c r="DH438" s="2">
        <v>1</v>
      </c>
      <c r="DI438" s="2">
        <v>2</v>
      </c>
      <c r="DJ438" s="2">
        <v>2</v>
      </c>
      <c r="DK438" s="2">
        <v>120</v>
      </c>
      <c r="DL438" s="2">
        <v>80</v>
      </c>
      <c r="DM438" s="2">
        <v>120</v>
      </c>
      <c r="DN438" s="2">
        <v>80</v>
      </c>
      <c r="DO438" s="2">
        <v>120</v>
      </c>
      <c r="DP438" s="2">
        <v>80</v>
      </c>
      <c r="DQ438" s="2">
        <v>1</v>
      </c>
      <c r="DR438" s="2">
        <v>39</v>
      </c>
      <c r="DS438" s="2">
        <v>2</v>
      </c>
      <c r="DT438" s="2">
        <v>81</v>
      </c>
      <c r="DU438" s="2">
        <v>83</v>
      </c>
      <c r="DV438" s="2">
        <v>4</v>
      </c>
      <c r="DW438" s="2">
        <v>2</v>
      </c>
      <c r="DX438" s="2">
        <v>2</v>
      </c>
      <c r="DY438" s="2">
        <v>2</v>
      </c>
      <c r="DZ438" s="2">
        <v>38</v>
      </c>
      <c r="EA438" s="2">
        <v>37</v>
      </c>
      <c r="EB438" s="2">
        <v>46.5</v>
      </c>
      <c r="EC438" s="2">
        <v>1</v>
      </c>
      <c r="ED438" s="2">
        <v>1</v>
      </c>
    </row>
    <row r="439" spans="3:134" x14ac:dyDescent="0.25">
      <c r="C439" s="8" t="s">
        <v>389</v>
      </c>
      <c r="D439" s="8">
        <v>6490198770</v>
      </c>
      <c r="E439" s="3">
        <v>7</v>
      </c>
      <c r="F439" s="2">
        <v>1</v>
      </c>
      <c r="G439" s="2">
        <v>42</v>
      </c>
      <c r="H439" s="2">
        <v>0.73543095820998416</v>
      </c>
      <c r="I439" s="2">
        <v>48</v>
      </c>
      <c r="J439" s="2">
        <v>-0.61614996855203885</v>
      </c>
      <c r="K439" s="5">
        <v>3290</v>
      </c>
      <c r="L439" s="2">
        <v>0.12549954475022879</v>
      </c>
      <c r="M439" s="2">
        <v>-1.0680000000000001</v>
      </c>
      <c r="N439" s="2">
        <f t="shared" si="399"/>
        <v>-0.27706547910499207</v>
      </c>
      <c r="O439" s="2">
        <f t="shared" si="400"/>
        <v>-1.0680000000000001</v>
      </c>
      <c r="P439" s="2">
        <v>67.5</v>
      </c>
      <c r="Q439" s="2">
        <v>0.77</v>
      </c>
      <c r="R439" s="5">
        <f t="shared" si="401"/>
        <v>0.14807498427601942</v>
      </c>
      <c r="S439" s="5">
        <f t="shared" si="402"/>
        <v>0.77</v>
      </c>
      <c r="T439" s="2">
        <v>7000</v>
      </c>
      <c r="U439" s="2">
        <v>-0.35</v>
      </c>
      <c r="V439" s="2">
        <f t="shared" si="403"/>
        <v>-8.2749772375114397E-2</v>
      </c>
      <c r="W439" s="2">
        <f t="shared" si="404"/>
        <v>-0.35</v>
      </c>
      <c r="X439" s="2">
        <v>0.18129999999999999</v>
      </c>
      <c r="Y439" s="76">
        <f t="shared" si="440"/>
        <v>-0.55413095820998415</v>
      </c>
      <c r="Z439" s="76">
        <f t="shared" si="441"/>
        <v>-1</v>
      </c>
      <c r="AA439" s="2">
        <f t="shared" si="405"/>
        <v>-0.87240000000000006</v>
      </c>
      <c r="AB439" s="2">
        <f t="shared" si="406"/>
        <v>0.18129999999999999</v>
      </c>
      <c r="AC439" s="2">
        <v>76.5</v>
      </c>
      <c r="AD439" s="2">
        <v>-0.32</v>
      </c>
      <c r="AE439" s="79">
        <f t="shared" si="442"/>
        <v>0.29614996855203884</v>
      </c>
      <c r="AF439" s="79">
        <f t="shared" si="443"/>
        <v>1</v>
      </c>
      <c r="AG439" s="2">
        <f t="shared" si="461"/>
        <v>-0.33500000000000002</v>
      </c>
      <c r="AH439" s="2">
        <f t="shared" si="407"/>
        <v>-0.32</v>
      </c>
      <c r="AI439" s="2">
        <v>8900</v>
      </c>
      <c r="AJ439" s="2">
        <v>-0.04</v>
      </c>
      <c r="AK439" s="76">
        <f t="shared" si="444"/>
        <v>-0.16549954475022879</v>
      </c>
      <c r="AL439" s="76">
        <f t="shared" si="445"/>
        <v>-1</v>
      </c>
      <c r="AM439" s="2">
        <f t="shared" si="408"/>
        <v>-0.13</v>
      </c>
      <c r="AN439" s="2">
        <f t="shared" si="409"/>
        <v>-0.04</v>
      </c>
      <c r="AO439" s="2">
        <v>-0.9748</v>
      </c>
      <c r="AP439" s="2">
        <f t="shared" si="410"/>
        <v>-0.85022977260493648</v>
      </c>
      <c r="AQ439" s="2">
        <f t="shared" si="411"/>
        <v>-0.9748</v>
      </c>
      <c r="AR439" s="2">
        <v>81</v>
      </c>
      <c r="AS439" s="2">
        <v>0.1</v>
      </c>
      <c r="AT439" s="2">
        <f t="shared" si="412"/>
        <v>-0.18327350475836804</v>
      </c>
      <c r="AU439" s="2">
        <f t="shared" si="413"/>
        <v>0.1</v>
      </c>
      <c r="AV439" s="2">
        <v>9500</v>
      </c>
      <c r="AW439" s="2">
        <v>-0.61</v>
      </c>
      <c r="AX439" s="2">
        <f t="shared" si="414"/>
        <v>-0.94648431136150402</v>
      </c>
      <c r="AY439" s="2">
        <f t="shared" si="415"/>
        <v>-0.61</v>
      </c>
      <c r="AZ439" s="2">
        <v>-1.519159545209873</v>
      </c>
      <c r="BA439" s="78">
        <f t="shared" si="446"/>
        <v>-1.700459545209873</v>
      </c>
      <c r="BB439" s="78">
        <f t="shared" si="447"/>
        <v>-2</v>
      </c>
      <c r="BC439" s="2">
        <f t="shared" si="416"/>
        <v>0.16801632122658772</v>
      </c>
      <c r="BD439" s="2">
        <f t="shared" si="417"/>
        <v>-1.519159545209873</v>
      </c>
      <c r="BE439" s="67">
        <f t="shared" si="448"/>
        <v>7</v>
      </c>
      <c r="BF439" s="2">
        <v>83</v>
      </c>
      <c r="BG439" s="2">
        <v>-0.68654700951673608</v>
      </c>
      <c r="BH439" s="2">
        <f t="shared" si="418"/>
        <v>-0.478040067771069</v>
      </c>
      <c r="BI439" s="2">
        <f t="shared" si="419"/>
        <v>-0.68654700951673608</v>
      </c>
      <c r="BJ439" s="67">
        <f t="shared" si="420"/>
        <v>7</v>
      </c>
      <c r="BK439" s="2">
        <v>10000</v>
      </c>
      <c r="BL439" s="2">
        <v>-1.9329686227230081</v>
      </c>
      <c r="BM439" s="77">
        <f t="shared" si="449"/>
        <v>-1.892968622723008</v>
      </c>
      <c r="BN439" s="77">
        <f t="shared" si="450"/>
        <v>-2</v>
      </c>
      <c r="BO439" s="2">
        <f t="shared" si="421"/>
        <v>-0.24875252482014198</v>
      </c>
      <c r="BP439" s="2">
        <f t="shared" si="422"/>
        <v>-1.9329686227230081</v>
      </c>
      <c r="BQ439" s="67">
        <f t="shared" si="451"/>
        <v>7</v>
      </c>
      <c r="BR439" s="5">
        <v>-0.4707510363202369</v>
      </c>
      <c r="BS439" s="75">
        <f t="shared" si="452"/>
        <v>1.048408508889636</v>
      </c>
      <c r="BT439" s="75">
        <f t="shared" si="453"/>
        <v>2</v>
      </c>
      <c r="BU439" s="5" t="e">
        <f>IF(#REF!&gt;=36, IF(AND(NOT(ISBLANK(CM:CM)), NOT(ISBLANK(BD:BD))), (CM:CM-BD:BD)/2, ""), "UF")</f>
        <v>#REF!</v>
      </c>
      <c r="BV439" s="5">
        <f t="shared" si="423"/>
        <v>-0.4707510363202369</v>
      </c>
      <c r="BW439" s="69">
        <f t="shared" si="424"/>
        <v>7</v>
      </c>
      <c r="BX439" s="2">
        <v>89</v>
      </c>
      <c r="BY439" s="5">
        <v>-1.3341202033132069</v>
      </c>
      <c r="BZ439" s="74">
        <f t="shared" si="454"/>
        <v>0.59884841940980116</v>
      </c>
      <c r="CA439" s="74">
        <f t="shared" si="455"/>
        <v>1</v>
      </c>
      <c r="CB439" s="5" t="str">
        <f t="shared" si="425"/>
        <v/>
      </c>
      <c r="CC439" s="5">
        <f t="shared" si="426"/>
        <v>-1.3341202033132069</v>
      </c>
      <c r="CD439" s="2">
        <f t="shared" si="427"/>
        <v>-0.64757319379647083</v>
      </c>
      <c r="CE439" s="69">
        <f t="shared" si="428"/>
        <v>7</v>
      </c>
      <c r="CF439" s="5">
        <v>12000</v>
      </c>
      <c r="CG439" s="5">
        <v>-1.3562575744604259</v>
      </c>
      <c r="CH439" s="72">
        <f t="shared" si="456"/>
        <v>0.57671104826258213</v>
      </c>
      <c r="CI439" s="72">
        <f t="shared" si="457"/>
        <v>1</v>
      </c>
      <c r="CJ439" s="5" t="str">
        <f t="shared" si="429"/>
        <v/>
      </c>
      <c r="CK439" s="5">
        <f t="shared" si="430"/>
        <v>-1.3562575744604259</v>
      </c>
      <c r="CL439" s="69">
        <f t="shared" si="431"/>
        <v>7</v>
      </c>
      <c r="CN439" s="70" t="str">
        <f t="shared" si="432"/>
        <v/>
      </c>
      <c r="CO439" s="5" t="str">
        <f t="shared" si="433"/>
        <v>UF</v>
      </c>
      <c r="CP439" s="5" t="str">
        <f>IF(G439&lt;48,"UF", IF(NOT(ISBLANK(CM:CM)), CM:CM, IF(BW:BW=1, BV:BV+Sheet2!B605, IF(Sheet1!BW:BW=2, Sheet1!BV:BV+Sheet2!B606, IF(Sheet1!BW:BW=7, Sheet1!BV:BV+Sheet2!B607,"")))))</f>
        <v>UF</v>
      </c>
      <c r="CQ439" s="69" t="str">
        <f t="shared" si="458"/>
        <v/>
      </c>
      <c r="CR439" s="5" t="s">
        <v>12</v>
      </c>
      <c r="CT439" s="5" t="str">
        <f t="shared" si="434"/>
        <v/>
      </c>
      <c r="CU439" s="80" t="str">
        <f t="shared" si="435"/>
        <v>UF</v>
      </c>
      <c r="CV439" s="80" t="str">
        <f t="shared" si="436"/>
        <v>UF</v>
      </c>
      <c r="CW439" s="20" t="str">
        <f>IF(G439&lt;48,"UF", IF(NOT(ISBLANK(CS439)), CS439, IF(CE439=5, CC439+Sheet2!B594, IF(CE439=6, CC439+Sheet2!B595, IF(CE439=7, CC439+Sheet2!B596,"")))))</f>
        <v>UF</v>
      </c>
      <c r="CX439" s="68" t="str">
        <f t="shared" si="459"/>
        <v/>
      </c>
      <c r="CY439" s="5" t="s">
        <v>12</v>
      </c>
      <c r="DA439" s="5" t="str">
        <f t="shared" si="437"/>
        <v>UF</v>
      </c>
      <c r="DB439" s="73" t="str">
        <f t="shared" si="438"/>
        <v>UF</v>
      </c>
      <c r="DC439" s="73" t="str">
        <f t="shared" si="439"/>
        <v>UF</v>
      </c>
      <c r="DD439" s="5" t="str">
        <f>IF(G439&lt;48,"UF", IF(NOT(ISBLANK(CZ:CZ)), CZ:CZ, IF(CL:CL=3, CK:CK+Sheet2!B599, IF(CL:CL=4, CK:CK+Sheet2!B600, IF(CL:CL=7, CK:CK+Sheet2!B601,"")))))</f>
        <v>UF</v>
      </c>
      <c r="DE439" s="69" t="str">
        <f t="shared" si="463"/>
        <v/>
      </c>
      <c r="DF439" s="2">
        <v>3</v>
      </c>
      <c r="DG439" s="2">
        <v>31</v>
      </c>
      <c r="DH439" s="2">
        <v>2</v>
      </c>
      <c r="DI439" s="2">
        <v>2</v>
      </c>
      <c r="DJ439" s="2">
        <v>2</v>
      </c>
      <c r="DK439" s="2">
        <v>110</v>
      </c>
      <c r="DL439" s="2">
        <v>56</v>
      </c>
      <c r="DM439" s="2">
        <v>111</v>
      </c>
      <c r="DN439" s="2">
        <v>56</v>
      </c>
      <c r="DO439" s="2">
        <v>115</v>
      </c>
      <c r="DP439" s="2">
        <v>65</v>
      </c>
      <c r="DQ439" s="2">
        <v>1</v>
      </c>
      <c r="DR439" s="2">
        <v>39</v>
      </c>
      <c r="DS439" s="2">
        <v>3</v>
      </c>
      <c r="DT439" s="2" t="s">
        <v>12</v>
      </c>
      <c r="DU439" s="2">
        <v>86</v>
      </c>
      <c r="DV439" s="2">
        <v>3</v>
      </c>
      <c r="DW439" s="2">
        <v>3</v>
      </c>
      <c r="DX439" s="2">
        <v>2</v>
      </c>
      <c r="DY439" s="2">
        <v>1</v>
      </c>
      <c r="DZ439" s="2">
        <v>34</v>
      </c>
      <c r="EA439" s="2">
        <v>36</v>
      </c>
      <c r="EB439" s="2">
        <v>43.5</v>
      </c>
      <c r="EC439" s="2">
        <v>4</v>
      </c>
      <c r="ED439" s="2">
        <v>1</v>
      </c>
    </row>
    <row r="440" spans="3:134" x14ac:dyDescent="0.25">
      <c r="C440" s="8" t="s">
        <v>328</v>
      </c>
      <c r="D440" s="2">
        <v>6490199025</v>
      </c>
      <c r="E440" s="5">
        <v>7</v>
      </c>
      <c r="F440" s="2">
        <v>1</v>
      </c>
      <c r="G440" s="2">
        <v>41</v>
      </c>
      <c r="H440" s="2">
        <v>-0.70439796274203903</v>
      </c>
      <c r="I440" s="2">
        <v>49</v>
      </c>
      <c r="J440" s="2">
        <v>-7.9294265603816944E-2</v>
      </c>
      <c r="K440" s="2">
        <v>3000</v>
      </c>
      <c r="L440" s="2">
        <v>-0.51868017376649433</v>
      </c>
      <c r="M440" s="2">
        <v>-0.47860000000000003</v>
      </c>
      <c r="N440" s="2">
        <f t="shared" si="399"/>
        <v>-0.46370101862898044</v>
      </c>
      <c r="O440" s="2">
        <f t="shared" si="400"/>
        <v>-0.47860000000000003</v>
      </c>
      <c r="P440" s="2">
        <v>67</v>
      </c>
      <c r="Q440" s="2">
        <v>0.55000000000000004</v>
      </c>
      <c r="R440" s="5">
        <f t="shared" si="401"/>
        <v>0.23464713280190846</v>
      </c>
      <c r="S440" s="5">
        <f t="shared" si="402"/>
        <v>0.55000000000000004</v>
      </c>
      <c r="T440" s="2">
        <v>7270</v>
      </c>
      <c r="U440" s="2">
        <v>-0.04</v>
      </c>
      <c r="V440" s="2">
        <f t="shared" si="403"/>
        <v>-0.20065991311675285</v>
      </c>
      <c r="W440" s="2">
        <f t="shared" si="404"/>
        <v>-0.04</v>
      </c>
      <c r="X440" s="2">
        <v>-1.6317999999999999</v>
      </c>
      <c r="Y440" s="76">
        <f t="shared" si="440"/>
        <v>-0.92740203725796089</v>
      </c>
      <c r="Z440" s="76">
        <f t="shared" si="441"/>
        <v>-2</v>
      </c>
      <c r="AA440" s="2">
        <f t="shared" si="405"/>
        <v>-0.82674999999999998</v>
      </c>
      <c r="AB440" s="2">
        <f t="shared" si="406"/>
        <v>-1.6317999999999999</v>
      </c>
      <c r="AC440" s="2">
        <v>75</v>
      </c>
      <c r="AD440" s="2">
        <v>0.39</v>
      </c>
      <c r="AE440" s="79">
        <f t="shared" si="442"/>
        <v>0.46929426560381693</v>
      </c>
      <c r="AF440" s="79">
        <f t="shared" si="443"/>
        <v>1</v>
      </c>
      <c r="AG440" s="2">
        <f t="shared" si="461"/>
        <v>-0.45</v>
      </c>
      <c r="AH440" s="2">
        <f t="shared" si="407"/>
        <v>0.39</v>
      </c>
      <c r="AI440" s="2">
        <v>8000</v>
      </c>
      <c r="AJ440" s="2">
        <v>-0.92</v>
      </c>
      <c r="AK440" s="76">
        <f t="shared" si="444"/>
        <v>-0.40131982623350571</v>
      </c>
      <c r="AL440" s="76">
        <f t="shared" si="445"/>
        <v>-1</v>
      </c>
      <c r="AM440" s="2">
        <f t="shared" si="408"/>
        <v>-0.46499999999999997</v>
      </c>
      <c r="AN440" s="2">
        <f t="shared" si="409"/>
        <v>-0.92</v>
      </c>
      <c r="AO440" s="2">
        <v>-1.1034999999999999</v>
      </c>
      <c r="AP440" s="2">
        <f t="shared" si="410"/>
        <v>-0.60172280146076396</v>
      </c>
      <c r="AQ440" s="2">
        <f t="shared" si="411"/>
        <v>-1.1034999999999999</v>
      </c>
      <c r="AR440" s="2">
        <v>79.7</v>
      </c>
      <c r="AS440" s="2">
        <v>-0.35</v>
      </c>
      <c r="AT440" s="2">
        <f t="shared" si="412"/>
        <v>3.4765938992431134E-2</v>
      </c>
      <c r="AU440" s="2">
        <f t="shared" si="413"/>
        <v>-0.35</v>
      </c>
      <c r="AV440" s="2">
        <v>9100</v>
      </c>
      <c r="AW440" s="2">
        <v>-0.97</v>
      </c>
      <c r="AX440" s="2">
        <f t="shared" si="414"/>
        <v>-0.50648431136150407</v>
      </c>
      <c r="AY440" s="2">
        <f t="shared" si="415"/>
        <v>-0.97</v>
      </c>
      <c r="AZ440" s="2">
        <v>-2.8352456029215278</v>
      </c>
      <c r="BA440" s="78">
        <f t="shared" si="446"/>
        <v>-1.2034456029215279</v>
      </c>
      <c r="BB440" s="78">
        <f t="shared" si="447"/>
        <v>-2</v>
      </c>
      <c r="BC440" s="2">
        <f t="shared" si="416"/>
        <v>-0.27358325590957405</v>
      </c>
      <c r="BD440" s="2">
        <f t="shared" si="417"/>
        <v>-2.8352456029215278</v>
      </c>
      <c r="BE440" s="67">
        <f t="shared" si="448"/>
        <v>2</v>
      </c>
      <c r="BF440" s="2">
        <v>87</v>
      </c>
      <c r="BG440" s="2">
        <v>0.45953187798486228</v>
      </c>
      <c r="BH440" s="2">
        <f t="shared" si="418"/>
        <v>-0.15606212377131365</v>
      </c>
      <c r="BI440" s="2">
        <f t="shared" si="419"/>
        <v>0.45953187798486228</v>
      </c>
      <c r="BJ440" s="67">
        <f t="shared" si="420"/>
        <v>7</v>
      </c>
      <c r="BK440" s="2">
        <v>10000</v>
      </c>
      <c r="BL440" s="2">
        <v>-1.9329686227230081</v>
      </c>
      <c r="BM440" s="77">
        <f t="shared" si="449"/>
        <v>-1.0129686227230081</v>
      </c>
      <c r="BN440" s="77">
        <f t="shared" si="450"/>
        <v>-2</v>
      </c>
      <c r="BO440" s="2">
        <f t="shared" si="421"/>
        <v>-0.300057971802631</v>
      </c>
      <c r="BP440" s="2">
        <f t="shared" si="422"/>
        <v>-1.9329686227230081</v>
      </c>
      <c r="BQ440" s="67">
        <f t="shared" si="451"/>
        <v>7</v>
      </c>
      <c r="BR440" s="5">
        <v>-1.924249767728722</v>
      </c>
      <c r="BS440" s="75">
        <f t="shared" si="452"/>
        <v>0.9109958351928058</v>
      </c>
      <c r="BT440" s="75">
        <f t="shared" si="453"/>
        <v>2</v>
      </c>
      <c r="BU440" s="5" t="str">
        <f t="shared" ref="BU440:BU447" si="465">IF(G448&gt;=36, IF(AND(NOT(ISBLANK(CM:CM)), NOT(ISBLANK(BD:BD))), (CM:CM-BD:BD)/2, ""), "UF")</f>
        <v>UF</v>
      </c>
      <c r="BV440" s="5">
        <f t="shared" si="423"/>
        <v>-1.924249767728722</v>
      </c>
      <c r="BW440" s="69">
        <f t="shared" si="424"/>
        <v>7</v>
      </c>
      <c r="BX440" s="2">
        <v>91</v>
      </c>
      <c r="BY440" s="5">
        <v>-0.8181863713139409</v>
      </c>
      <c r="BZ440" s="74">
        <f t="shared" si="454"/>
        <v>1.1147822514090673</v>
      </c>
      <c r="CA440" s="74">
        <f t="shared" si="455"/>
        <v>2</v>
      </c>
      <c r="CB440" s="5" t="str">
        <f t="shared" si="425"/>
        <v/>
      </c>
      <c r="CC440" s="5">
        <f t="shared" si="426"/>
        <v>-0.8181863713139409</v>
      </c>
      <c r="CD440" s="2">
        <f t="shared" si="427"/>
        <v>-1.2777182492988031</v>
      </c>
      <c r="CE440" s="69">
        <f t="shared" si="428"/>
        <v>7</v>
      </c>
      <c r="CF440" s="5">
        <v>11400</v>
      </c>
      <c r="CG440" s="5">
        <v>-1.8701739154078929</v>
      </c>
      <c r="CH440" s="72">
        <f t="shared" si="456"/>
        <v>6.2794707315115161E-2</v>
      </c>
      <c r="CI440" s="72">
        <f t="shared" si="457"/>
        <v>1</v>
      </c>
      <c r="CJ440" s="5" t="str">
        <f t="shared" si="429"/>
        <v/>
      </c>
      <c r="CK440" s="5">
        <f t="shared" si="430"/>
        <v>-1.8701739154078929</v>
      </c>
      <c r="CL440" s="69">
        <f t="shared" si="431"/>
        <v>7</v>
      </c>
      <c r="CN440" s="70" t="str">
        <f t="shared" si="432"/>
        <v/>
      </c>
      <c r="CO440" s="5" t="str">
        <f t="shared" si="433"/>
        <v>UF</v>
      </c>
      <c r="CP440" s="5" t="str">
        <f>IF(G440&lt;48,"UF", IF(NOT(ISBLANK(CM:CM)), CM:CM, IF(BW:BW=1, BV:BV+Sheet2!B555, IF(Sheet1!BW:BW=2, Sheet1!BV:BV+Sheet2!B556, IF(Sheet1!BW:BW=7, Sheet1!BV:BV+Sheet2!B557,"")))))</f>
        <v>UF</v>
      </c>
      <c r="CQ440" s="69" t="str">
        <f t="shared" si="458"/>
        <v/>
      </c>
      <c r="CR440" s="5" t="s">
        <v>12</v>
      </c>
      <c r="CT440" s="5" t="str">
        <f t="shared" si="434"/>
        <v/>
      </c>
      <c r="CU440" s="80" t="str">
        <f t="shared" si="435"/>
        <v>UF</v>
      </c>
      <c r="CV440" s="80" t="str">
        <f t="shared" si="436"/>
        <v>UF</v>
      </c>
      <c r="CW440" s="20" t="str">
        <f>IF(G440&lt;48,"UF", IF(NOT(ISBLANK(CS440)), CS440, IF(CE440=5, CC440+Sheet2!B544, IF(CE440=6, CC440+Sheet2!B545, IF(CE440=7, CC440+Sheet2!B546,"")))))</f>
        <v>UF</v>
      </c>
      <c r="CX440" s="68" t="str">
        <f t="shared" si="459"/>
        <v/>
      </c>
      <c r="CY440" s="5" t="s">
        <v>12</v>
      </c>
      <c r="DA440" s="5" t="str">
        <f t="shared" si="437"/>
        <v>UF</v>
      </c>
      <c r="DB440" s="73" t="str">
        <f t="shared" si="438"/>
        <v>UF</v>
      </c>
      <c r="DC440" s="73" t="str">
        <f t="shared" si="439"/>
        <v>UF</v>
      </c>
      <c r="DD440" s="5" t="str">
        <f>IF(G440&lt;48,"UF", IF(NOT(ISBLANK(CZ:CZ)), CZ:CZ, IF(CL:CL=3, CK:CK+Sheet2!B549, IF(CL:CL=4, CK:CK+Sheet2!B550, IF(CL:CL=7, CK:CK+Sheet2!B551,"")))))</f>
        <v>UF</v>
      </c>
      <c r="DE440" s="69" t="str">
        <f t="shared" si="463"/>
        <v/>
      </c>
      <c r="DF440" s="2">
        <v>3</v>
      </c>
      <c r="DG440" s="2">
        <v>39</v>
      </c>
      <c r="DH440" s="2">
        <v>1</v>
      </c>
      <c r="DI440" s="2">
        <v>2</v>
      </c>
      <c r="DJ440" s="2">
        <v>2</v>
      </c>
      <c r="DK440" s="2" t="s">
        <v>12</v>
      </c>
      <c r="DL440" s="2" t="s">
        <v>12</v>
      </c>
      <c r="DM440" s="2">
        <v>110</v>
      </c>
      <c r="DN440" s="2">
        <v>70</v>
      </c>
      <c r="DO440" s="2" t="s">
        <v>12</v>
      </c>
      <c r="DP440" s="2" t="s">
        <v>12</v>
      </c>
      <c r="DQ440" s="2">
        <v>1</v>
      </c>
      <c r="DR440" s="2">
        <v>39</v>
      </c>
      <c r="DS440" s="2">
        <v>3</v>
      </c>
      <c r="DT440" s="2" t="s">
        <v>12</v>
      </c>
      <c r="DU440" s="2" t="s">
        <v>12</v>
      </c>
      <c r="DV440" s="2">
        <v>2</v>
      </c>
      <c r="DW440" s="2">
        <v>2</v>
      </c>
      <c r="DX440" s="2">
        <v>2</v>
      </c>
      <c r="DY440" s="2">
        <v>3</v>
      </c>
      <c r="DZ440" s="2">
        <v>34</v>
      </c>
      <c r="EA440" s="2">
        <v>33.5</v>
      </c>
      <c r="EB440" s="2">
        <v>44</v>
      </c>
      <c r="EC440" s="2">
        <v>1</v>
      </c>
      <c r="ED440" s="2">
        <v>1</v>
      </c>
    </row>
    <row r="441" spans="3:134" x14ac:dyDescent="0.25">
      <c r="C441" s="8" t="s">
        <v>207</v>
      </c>
      <c r="D441" s="4">
        <v>6490199157</v>
      </c>
      <c r="E441" s="5">
        <v>7</v>
      </c>
      <c r="F441" s="2">
        <v>1</v>
      </c>
      <c r="G441" s="2">
        <v>37</v>
      </c>
      <c r="H441" s="2">
        <v>-0.1212710532580424</v>
      </c>
      <c r="I441" s="2">
        <v>51</v>
      </c>
      <c r="J441" s="2">
        <v>0.99441714029262385</v>
      </c>
      <c r="K441" s="1">
        <v>3430</v>
      </c>
      <c r="L441" s="2">
        <v>0.42392407782294578</v>
      </c>
      <c r="M441" s="2">
        <v>1.2427999999999999</v>
      </c>
      <c r="N441" s="2">
        <f t="shared" si="399"/>
        <v>0.84473552662902118</v>
      </c>
      <c r="O441" s="2">
        <f t="shared" si="400"/>
        <v>1.2427999999999999</v>
      </c>
      <c r="P441" s="2">
        <v>67</v>
      </c>
      <c r="Q441" s="2">
        <v>0.55000000000000004</v>
      </c>
      <c r="R441" s="5">
        <f t="shared" si="401"/>
        <v>-1.082208570146312</v>
      </c>
      <c r="S441" s="5">
        <f t="shared" si="402"/>
        <v>0.55000000000000004</v>
      </c>
      <c r="T441" s="2">
        <v>8500</v>
      </c>
      <c r="U441" s="2">
        <v>1.24</v>
      </c>
      <c r="V441" s="2">
        <f t="shared" si="403"/>
        <v>3.3037961088527107E-2</v>
      </c>
      <c r="W441" s="2">
        <f t="shared" si="404"/>
        <v>1.24</v>
      </c>
      <c r="X441" s="2">
        <v>1.5682</v>
      </c>
      <c r="Y441" s="76">
        <f t="shared" si="440"/>
        <v>1.6894710532580424</v>
      </c>
      <c r="Z441" s="76">
        <f t="shared" si="441"/>
        <v>2</v>
      </c>
      <c r="AA441" s="2">
        <f t="shared" si="405"/>
        <v>-0.42785000000000006</v>
      </c>
      <c r="AB441" s="2">
        <f t="shared" si="406"/>
        <v>1.5682</v>
      </c>
      <c r="AC441" s="2">
        <v>71</v>
      </c>
      <c r="AD441" s="2">
        <v>-1.17</v>
      </c>
      <c r="AE441" s="79">
        <f t="shared" si="442"/>
        <v>-2.164417140292624</v>
      </c>
      <c r="AF441" s="79">
        <f t="shared" si="443"/>
        <v>-2</v>
      </c>
      <c r="AG441" s="2">
        <f t="shared" si="461"/>
        <v>-5.5000000000000021E-2</v>
      </c>
      <c r="AH441" s="2">
        <f t="shared" si="407"/>
        <v>-1.17</v>
      </c>
      <c r="AI441" s="2">
        <v>9500</v>
      </c>
      <c r="AJ441" s="2">
        <v>0.49</v>
      </c>
      <c r="AK441" s="76">
        <f t="shared" si="444"/>
        <v>6.6075922177054214E-2</v>
      </c>
      <c r="AL441" s="76">
        <f t="shared" si="445"/>
        <v>1</v>
      </c>
      <c r="AM441" s="2">
        <f t="shared" si="408"/>
        <v>-0.59499999999999997</v>
      </c>
      <c r="AN441" s="2">
        <f t="shared" si="409"/>
        <v>0.49</v>
      </c>
      <c r="AO441" s="2">
        <v>-0.30570000000000003</v>
      </c>
      <c r="AP441" s="2">
        <f t="shared" si="410"/>
        <v>-1.2337637554775163</v>
      </c>
      <c r="AQ441" s="2">
        <f t="shared" si="411"/>
        <v>-0.30570000000000003</v>
      </c>
      <c r="AR441" s="2">
        <v>82</v>
      </c>
      <c r="AS441" s="2">
        <v>0.44</v>
      </c>
      <c r="AT441" s="2">
        <f t="shared" si="412"/>
        <v>0.52807336982547992</v>
      </c>
      <c r="AU441" s="2">
        <f t="shared" si="413"/>
        <v>0.44</v>
      </c>
      <c r="AV441" s="2">
        <v>10300</v>
      </c>
      <c r="AW441" s="2">
        <v>0.05</v>
      </c>
      <c r="AX441" s="2">
        <f t="shared" si="414"/>
        <v>-0.71778864706458922</v>
      </c>
      <c r="AY441" s="2">
        <f t="shared" si="415"/>
        <v>0.05</v>
      </c>
      <c r="AZ441" s="2">
        <v>-0.89932751095503227</v>
      </c>
      <c r="BA441" s="78">
        <f t="shared" si="446"/>
        <v>-2.4675275109550325</v>
      </c>
      <c r="BB441" s="78">
        <f t="shared" si="447"/>
        <v>-2</v>
      </c>
      <c r="BC441" s="2">
        <f t="shared" si="416"/>
        <v>0.55575396502805707</v>
      </c>
      <c r="BD441" s="2">
        <f t="shared" si="417"/>
        <v>-0.89932751095503227</v>
      </c>
      <c r="BE441" s="67">
        <f t="shared" si="448"/>
        <v>7</v>
      </c>
      <c r="BF441" s="2">
        <v>85</v>
      </c>
      <c r="BG441" s="2">
        <v>-0.11385326034904</v>
      </c>
      <c r="BH441" s="2">
        <f t="shared" si="418"/>
        <v>-0.33405591584772809</v>
      </c>
      <c r="BI441" s="2">
        <f t="shared" si="419"/>
        <v>-0.11385326034904</v>
      </c>
      <c r="BJ441" s="67">
        <f t="shared" si="420"/>
        <v>7</v>
      </c>
      <c r="BK441" s="2">
        <v>11000</v>
      </c>
      <c r="BL441" s="2">
        <v>-0.94557729412917846</v>
      </c>
      <c r="BM441" s="77">
        <f t="shared" si="449"/>
        <v>-1.4355772941291784</v>
      </c>
      <c r="BN441" s="77">
        <f t="shared" si="450"/>
        <v>-2</v>
      </c>
      <c r="BO441" s="2">
        <f t="shared" si="421"/>
        <v>0.18008907919214553</v>
      </c>
      <c r="BP441" s="2">
        <f t="shared" si="422"/>
        <v>-0.94557729412917846</v>
      </c>
      <c r="BQ441" s="67">
        <f t="shared" si="451"/>
        <v>7</v>
      </c>
      <c r="BR441" s="5">
        <v>1.361561895084171</v>
      </c>
      <c r="BS441" s="75">
        <f t="shared" si="452"/>
        <v>2.2608894060392033</v>
      </c>
      <c r="BT441" s="75">
        <f t="shared" si="453"/>
        <v>2</v>
      </c>
      <c r="BU441" s="5" t="str">
        <f t="shared" si="465"/>
        <v>UF</v>
      </c>
      <c r="BV441" s="5">
        <f t="shared" si="423"/>
        <v>1.361561895084171</v>
      </c>
      <c r="BW441" s="69">
        <f t="shared" si="424"/>
        <v>7</v>
      </c>
      <c r="BX441" s="2">
        <v>92</v>
      </c>
      <c r="BY441" s="5">
        <v>-0.56216774754318422</v>
      </c>
      <c r="BZ441" s="74">
        <f t="shared" si="454"/>
        <v>0.38340954658599424</v>
      </c>
      <c r="CA441" s="74">
        <f t="shared" si="455"/>
        <v>1</v>
      </c>
      <c r="CB441" s="5" t="str">
        <f t="shared" si="425"/>
        <v/>
      </c>
      <c r="CC441" s="5">
        <f t="shared" si="426"/>
        <v>-0.56216774754318422</v>
      </c>
      <c r="CD441" s="2">
        <f t="shared" si="427"/>
        <v>-0.44831448719414424</v>
      </c>
      <c r="CE441" s="69">
        <f t="shared" si="428"/>
        <v>7</v>
      </c>
      <c r="CF441" s="5">
        <v>15000</v>
      </c>
      <c r="CG441" s="5">
        <v>0.59026723757643662</v>
      </c>
      <c r="CH441" s="72">
        <f t="shared" si="456"/>
        <v>1.5358445317056151</v>
      </c>
      <c r="CI441" s="72">
        <f t="shared" si="457"/>
        <v>2</v>
      </c>
      <c r="CJ441" s="5" t="str">
        <f t="shared" si="429"/>
        <v/>
      </c>
      <c r="CK441" s="5">
        <f t="shared" si="430"/>
        <v>0.59026723757643662</v>
      </c>
      <c r="CL441" s="69">
        <f t="shared" si="431"/>
        <v>7</v>
      </c>
      <c r="CN441" s="70" t="str">
        <f t="shared" si="432"/>
        <v/>
      </c>
      <c r="CO441" s="5" t="str">
        <f t="shared" si="433"/>
        <v>UF</v>
      </c>
      <c r="CP441" s="5" t="str">
        <f>IF(G441&lt;48,"UF", IF(NOT(ISBLANK(CM:CM)), CM:CM, IF(BW:BW=1, BV:BV+Sheet2!B386, IF(Sheet1!BW:BW=2, Sheet1!BV:BV+Sheet2!B387, IF(Sheet1!BW:BW=7, Sheet1!BV:BV+Sheet2!B388,"")))))</f>
        <v>UF</v>
      </c>
      <c r="CQ441" s="69" t="str">
        <f t="shared" si="458"/>
        <v/>
      </c>
      <c r="CR441" s="5" t="s">
        <v>12</v>
      </c>
      <c r="CT441" s="5" t="str">
        <f t="shared" si="434"/>
        <v/>
      </c>
      <c r="CU441" s="80" t="str">
        <f t="shared" si="435"/>
        <v>UF</v>
      </c>
      <c r="CV441" s="80" t="str">
        <f t="shared" si="436"/>
        <v>UF</v>
      </c>
      <c r="CW441" s="20" t="str">
        <f>IF(G441&lt;48,"UF", IF(NOT(ISBLANK(CS441)), CS441, IF(CE441=5, CC441+Sheet2!B375, IF(CE441=6, CC441+Sheet2!B376, IF(CE441=7, CC441+Sheet2!B377,"")))))</f>
        <v>UF</v>
      </c>
      <c r="CX441" s="68" t="str">
        <f t="shared" si="459"/>
        <v/>
      </c>
      <c r="CY441" s="5" t="s">
        <v>12</v>
      </c>
      <c r="DA441" s="5" t="str">
        <f t="shared" si="437"/>
        <v>UF</v>
      </c>
      <c r="DB441" s="73" t="str">
        <f t="shared" si="438"/>
        <v>UF</v>
      </c>
      <c r="DC441" s="73" t="str">
        <f t="shared" si="439"/>
        <v>UF</v>
      </c>
      <c r="DD441" s="5" t="str">
        <f>IF(G441&lt;48,"UF", IF(NOT(ISBLANK(CZ:CZ)), CZ:CZ, IF(CL:CL=3, CK:CK+Sheet2!B380, IF(CL:CL=4, CK:CK+Sheet2!B381, IF(CL:CL=7, CK:CK+Sheet2!B382,"")))))</f>
        <v>UF</v>
      </c>
      <c r="DE441" s="69" t="str">
        <f t="shared" si="463"/>
        <v/>
      </c>
      <c r="DF441" s="2">
        <v>1</v>
      </c>
      <c r="DG441" s="2">
        <v>28</v>
      </c>
      <c r="DH441" s="2">
        <v>1</v>
      </c>
      <c r="DI441" s="2">
        <v>2</v>
      </c>
      <c r="DJ441" s="2">
        <v>2</v>
      </c>
      <c r="DK441" s="2" t="s">
        <v>12</v>
      </c>
      <c r="DL441" s="2" t="s">
        <v>12</v>
      </c>
      <c r="DM441" s="2">
        <v>100</v>
      </c>
      <c r="DN441" s="2">
        <v>50</v>
      </c>
      <c r="DO441" s="2" t="s">
        <v>12</v>
      </c>
      <c r="DP441" s="2" t="s">
        <v>12</v>
      </c>
      <c r="DQ441" s="2">
        <v>2</v>
      </c>
      <c r="DR441" s="2">
        <v>39</v>
      </c>
      <c r="DS441" s="2">
        <v>1</v>
      </c>
      <c r="DT441" s="2">
        <v>94</v>
      </c>
      <c r="DU441" s="2" t="s">
        <v>12</v>
      </c>
      <c r="DV441" s="2">
        <v>2</v>
      </c>
      <c r="DW441" s="2">
        <v>2</v>
      </c>
      <c r="DX441" s="2">
        <v>2</v>
      </c>
      <c r="DY441" s="2">
        <v>2</v>
      </c>
      <c r="DZ441" s="2">
        <v>37</v>
      </c>
      <c r="EA441" s="2">
        <v>36.5</v>
      </c>
      <c r="EB441" s="2">
        <v>46.5</v>
      </c>
      <c r="EC441" s="2">
        <v>1</v>
      </c>
      <c r="ED441" s="2">
        <v>1</v>
      </c>
    </row>
    <row r="442" spans="3:134" x14ac:dyDescent="0.25">
      <c r="C442" s="10" t="s">
        <v>157</v>
      </c>
      <c r="D442" s="10">
        <v>6490199696</v>
      </c>
      <c r="E442" s="2">
        <v>6</v>
      </c>
      <c r="F442" s="2">
        <v>1</v>
      </c>
      <c r="G442" s="2">
        <v>38</v>
      </c>
      <c r="H442" s="2">
        <v>-0.84982557582765383</v>
      </c>
      <c r="I442" s="2">
        <v>49</v>
      </c>
      <c r="J442" s="2">
        <v>-7.9294265603816944E-2</v>
      </c>
      <c r="K442" s="5">
        <v>2960</v>
      </c>
      <c r="L442" s="2">
        <v>-0.61051504224734321</v>
      </c>
      <c r="M442" s="2">
        <v>0.222</v>
      </c>
      <c r="N442" s="2">
        <f t="shared" si="399"/>
        <v>1.266212787913827</v>
      </c>
      <c r="O442" s="2">
        <f t="shared" si="400"/>
        <v>0.222</v>
      </c>
      <c r="P442" s="2">
        <v>59.5</v>
      </c>
      <c r="Q442" s="2">
        <v>-0.11</v>
      </c>
      <c r="R442" s="5">
        <f t="shared" si="401"/>
        <v>-1.3203528671980915</v>
      </c>
      <c r="S442" s="5">
        <f t="shared" si="402"/>
        <v>-0.11</v>
      </c>
      <c r="T442" s="2">
        <v>7400</v>
      </c>
      <c r="U442" s="2">
        <v>0.11</v>
      </c>
      <c r="V442" s="2">
        <f t="shared" si="403"/>
        <v>0.12025752112367161</v>
      </c>
      <c r="W442" s="2">
        <f t="shared" si="404"/>
        <v>0.11</v>
      </c>
      <c r="X442" s="2">
        <v>1.6826000000000001</v>
      </c>
      <c r="Y442" s="76">
        <f t="shared" si="440"/>
        <v>2.5324255758276539</v>
      </c>
      <c r="Z442" s="76">
        <f t="shared" si="441"/>
        <v>2</v>
      </c>
      <c r="AA442" s="2">
        <f t="shared" si="405"/>
        <v>0.92495000000000005</v>
      </c>
      <c r="AB442" s="2">
        <f t="shared" si="406"/>
        <v>1.6826000000000001</v>
      </c>
      <c r="AC442" s="2">
        <v>67</v>
      </c>
      <c r="AD442" s="2">
        <v>-2.72</v>
      </c>
      <c r="AE442" s="79">
        <f t="shared" si="442"/>
        <v>-2.6407057343961831</v>
      </c>
      <c r="AF442" s="79">
        <f t="shared" si="443"/>
        <v>-2</v>
      </c>
      <c r="AG442" s="2">
        <f t="shared" si="461"/>
        <v>-1.2750000000000001</v>
      </c>
      <c r="AH442" s="2">
        <f t="shared" si="407"/>
        <v>-2.72</v>
      </c>
      <c r="AI442" s="2">
        <v>8550</v>
      </c>
      <c r="AJ442" s="2">
        <v>-0.37</v>
      </c>
      <c r="AK442" s="76">
        <f t="shared" si="444"/>
        <v>0.24051504224734321</v>
      </c>
      <c r="AL442" s="76">
        <f t="shared" si="445"/>
        <v>1</v>
      </c>
      <c r="AM442" s="2">
        <f t="shared" si="408"/>
        <v>-0.22999999999999998</v>
      </c>
      <c r="AN442" s="2">
        <f t="shared" si="409"/>
        <v>-0.37</v>
      </c>
      <c r="AO442" s="2">
        <v>1.7399</v>
      </c>
      <c r="AP442" s="2">
        <f t="shared" si="410"/>
        <v>-2.2554858175691583E-2</v>
      </c>
      <c r="AQ442" s="2">
        <f t="shared" si="411"/>
        <v>1.7399</v>
      </c>
      <c r="AR442" s="2">
        <v>73</v>
      </c>
      <c r="AS442" s="2">
        <v>-2.66</v>
      </c>
      <c r="AT442" s="2">
        <f t="shared" si="412"/>
        <v>1.7352334397735536E-2</v>
      </c>
      <c r="AU442" s="2">
        <f t="shared" si="413"/>
        <v>-2.66</v>
      </c>
      <c r="AV442" s="2">
        <v>9800</v>
      </c>
      <c r="AW442" s="2">
        <v>-0.35</v>
      </c>
      <c r="AX442" s="2">
        <f t="shared" si="414"/>
        <v>-0.28778864706458923</v>
      </c>
      <c r="AY442" s="2">
        <f t="shared" si="415"/>
        <v>-0.35</v>
      </c>
      <c r="AZ442" s="2">
        <v>1.6374902836486169</v>
      </c>
      <c r="BA442" s="78">
        <f t="shared" si="446"/>
        <v>-4.5109716351383167E-2</v>
      </c>
      <c r="BB442" s="78">
        <f t="shared" si="447"/>
        <v>-1</v>
      </c>
      <c r="BC442" s="2" t="str">
        <f t="shared" si="416"/>
        <v/>
      </c>
      <c r="BD442" s="2">
        <f t="shared" si="417"/>
        <v>1.6374902836486169</v>
      </c>
      <c r="BE442" s="67">
        <f t="shared" si="448"/>
        <v>7</v>
      </c>
      <c r="BF442" s="2">
        <v>76</v>
      </c>
      <c r="BG442" s="2">
        <v>-2.6852953312045291</v>
      </c>
      <c r="BH442" s="2" t="str">
        <f t="shared" si="418"/>
        <v/>
      </c>
      <c r="BI442" s="2">
        <f t="shared" si="419"/>
        <v>-2.6852953312045291</v>
      </c>
      <c r="BJ442" s="67">
        <f t="shared" si="420"/>
        <v>6</v>
      </c>
      <c r="BK442" s="2">
        <v>11000</v>
      </c>
      <c r="BL442" s="2">
        <v>-0.94557729412917846</v>
      </c>
      <c r="BM442" s="77">
        <f t="shared" si="449"/>
        <v>-0.57557729412917846</v>
      </c>
      <c r="BN442" s="77">
        <f t="shared" si="450"/>
        <v>-1</v>
      </c>
      <c r="BO442" s="2" t="str">
        <f t="shared" si="421"/>
        <v/>
      </c>
      <c r="BP442" s="2">
        <f t="shared" si="422"/>
        <v>-0.94557729412917846</v>
      </c>
      <c r="BQ442" s="67">
        <f t="shared" si="451"/>
        <v>7</v>
      </c>
      <c r="BS442" s="75" t="e">
        <f t="shared" si="452"/>
        <v>#VALUE!</v>
      </c>
      <c r="BT442" s="75" t="e">
        <f t="shared" si="453"/>
        <v>#VALUE!</v>
      </c>
      <c r="BU442" s="5" t="str">
        <f t="shared" si="465"/>
        <v>UF</v>
      </c>
      <c r="BV442" s="5" t="e">
        <f t="shared" si="423"/>
        <v>#VALUE!</v>
      </c>
      <c r="BW442" s="69" t="e">
        <f t="shared" si="424"/>
        <v>#VALUE!</v>
      </c>
      <c r="BX442" s="2" t="s">
        <v>12</v>
      </c>
      <c r="BZ442" s="74" t="e">
        <f t="shared" si="454"/>
        <v>#VALUE!</v>
      </c>
      <c r="CA442" s="74" t="e">
        <f t="shared" si="455"/>
        <v>#VALUE!</v>
      </c>
      <c r="CB442" s="5" t="str">
        <f t="shared" si="425"/>
        <v/>
      </c>
      <c r="CC442" s="5" t="e">
        <f t="shared" si="426"/>
        <v>#VALUE!</v>
      </c>
      <c r="CD442" s="2" t="e">
        <f t="shared" si="427"/>
        <v>#VALUE!</v>
      </c>
      <c r="CE442" s="69" t="e">
        <f t="shared" si="428"/>
        <v>#VALUE!</v>
      </c>
      <c r="CF442" s="5" t="s">
        <v>12</v>
      </c>
      <c r="CH442" s="72" t="e">
        <f t="shared" si="456"/>
        <v>#VALUE!</v>
      </c>
      <c r="CI442" s="72" t="e">
        <f t="shared" si="457"/>
        <v>#VALUE!</v>
      </c>
      <c r="CJ442" s="5" t="str">
        <f t="shared" si="429"/>
        <v/>
      </c>
      <c r="CK442" s="5" t="e">
        <f t="shared" si="430"/>
        <v>#VALUE!</v>
      </c>
      <c r="CL442" s="69" t="e">
        <f t="shared" si="431"/>
        <v>#VALUE!</v>
      </c>
      <c r="CN442" s="70" t="str">
        <f t="shared" si="432"/>
        <v/>
      </c>
      <c r="CO442" s="5" t="str">
        <f t="shared" si="433"/>
        <v>UF</v>
      </c>
      <c r="CP442" s="5" t="str">
        <f>IF(G442&lt;48,"UF", IF(NOT(ISBLANK(CM:CM)), CM:CM, IF(BW:BW=1, BV:BV+Sheet2!B296, IF(Sheet1!BW:BW=2, Sheet1!BV:BV+Sheet2!B297, IF(Sheet1!BW:BW=7, Sheet1!BV:BV+Sheet2!B298,"")))))</f>
        <v>UF</v>
      </c>
      <c r="CQ442" s="69" t="str">
        <f t="shared" si="458"/>
        <v/>
      </c>
      <c r="CR442" s="5" t="s">
        <v>12</v>
      </c>
      <c r="CT442" s="5" t="str">
        <f t="shared" si="434"/>
        <v/>
      </c>
      <c r="CU442" s="80" t="str">
        <f t="shared" si="435"/>
        <v>UF</v>
      </c>
      <c r="CV442" s="80" t="str">
        <f t="shared" si="436"/>
        <v>UF</v>
      </c>
      <c r="CW442" s="20" t="str">
        <f>IF(G442&lt;48,"UF", IF(NOT(ISBLANK(CS442)), CS442, IF(CE442=5, CC442+Sheet2!B285, IF(CE442=6, CC442+Sheet2!B286, IF(CE442=7, CC442+Sheet2!B287,"")))))</f>
        <v>UF</v>
      </c>
      <c r="CX442" s="68" t="str">
        <f t="shared" si="459"/>
        <v/>
      </c>
      <c r="CY442" s="5" t="s">
        <v>12</v>
      </c>
      <c r="DA442" s="5" t="str">
        <f t="shared" si="437"/>
        <v>UF</v>
      </c>
      <c r="DB442" s="73" t="str">
        <f t="shared" si="438"/>
        <v>UF</v>
      </c>
      <c r="DC442" s="73" t="str">
        <f t="shared" si="439"/>
        <v>UF</v>
      </c>
      <c r="DD442" s="5" t="str">
        <f>IF(G442&lt;48,"UF", IF(NOT(ISBLANK(CZ:CZ)), CZ:CZ, IF(CL:CL=3, CK:CK+Sheet2!B290, IF(CL:CL=4, CK:CK+Sheet2!B291, IF(CL:CL=7, CK:CK+Sheet2!B292,"")))))</f>
        <v>UF</v>
      </c>
      <c r="DE442" s="69" t="str">
        <f t="shared" si="463"/>
        <v/>
      </c>
      <c r="DF442" s="2">
        <v>2</v>
      </c>
      <c r="DG442" s="2">
        <v>33</v>
      </c>
      <c r="DH442" s="2">
        <v>1</v>
      </c>
      <c r="DI442" s="2">
        <v>2</v>
      </c>
      <c r="DJ442" s="2">
        <v>2</v>
      </c>
      <c r="DK442" s="2">
        <v>60</v>
      </c>
      <c r="DL442" s="2">
        <v>110</v>
      </c>
      <c r="DM442" s="2">
        <v>65</v>
      </c>
      <c r="DN442" s="2">
        <v>110</v>
      </c>
      <c r="DO442" s="2">
        <v>65</v>
      </c>
      <c r="DP442" s="2">
        <v>115</v>
      </c>
      <c r="DQ442" s="2">
        <v>1</v>
      </c>
      <c r="DR442" s="2">
        <v>38</v>
      </c>
      <c r="DS442" s="2">
        <v>2</v>
      </c>
      <c r="DT442" s="2">
        <v>77</v>
      </c>
      <c r="DU442" s="2">
        <v>67</v>
      </c>
      <c r="DV442" s="2">
        <v>2</v>
      </c>
      <c r="DW442" s="2">
        <v>2</v>
      </c>
      <c r="DX442" s="2">
        <v>2</v>
      </c>
      <c r="DY442" s="2">
        <v>2</v>
      </c>
      <c r="DZ442" s="2">
        <v>37</v>
      </c>
      <c r="EA442" s="2">
        <v>36</v>
      </c>
      <c r="EB442" s="2">
        <v>46.5</v>
      </c>
      <c r="EC442" s="2">
        <v>1</v>
      </c>
      <c r="ED442" s="2">
        <v>1</v>
      </c>
    </row>
    <row r="443" spans="3:134" x14ac:dyDescent="0.25">
      <c r="C443" s="8" t="s">
        <v>54</v>
      </c>
      <c r="D443" s="8">
        <v>6490201194</v>
      </c>
      <c r="E443" s="5">
        <v>7</v>
      </c>
      <c r="F443" s="2">
        <v>1</v>
      </c>
      <c r="G443" s="2">
        <v>34</v>
      </c>
      <c r="H443" s="2">
        <v>-0.51105233900230662</v>
      </c>
      <c r="I443" s="2">
        <v>50</v>
      </c>
      <c r="J443" s="2">
        <v>0.45756143734440202</v>
      </c>
      <c r="K443" s="2">
        <v>3180</v>
      </c>
      <c r="L443" s="2">
        <v>-0.1145396314971112</v>
      </c>
      <c r="M443" s="2">
        <v>0.16300000000000001</v>
      </c>
      <c r="N443" s="2">
        <f t="shared" si="399"/>
        <v>0.7943261695011532</v>
      </c>
      <c r="O443" s="2">
        <f t="shared" si="400"/>
        <v>0.16300000000000001</v>
      </c>
      <c r="P443" s="2">
        <v>65</v>
      </c>
      <c r="Q443" s="2">
        <v>-0.33</v>
      </c>
      <c r="R443" s="5">
        <f t="shared" si="401"/>
        <v>-0.42378071867220102</v>
      </c>
      <c r="S443" s="5">
        <f t="shared" si="402"/>
        <v>-0.33</v>
      </c>
      <c r="T443" s="2">
        <v>7250</v>
      </c>
      <c r="U443" s="2">
        <v>-0.06</v>
      </c>
      <c r="V443" s="2">
        <f t="shared" si="403"/>
        <v>0.34226981574855558</v>
      </c>
      <c r="W443" s="2">
        <f t="shared" si="404"/>
        <v>-0.06</v>
      </c>
      <c r="X443" s="2">
        <v>1.0775999999999999</v>
      </c>
      <c r="Y443" s="76">
        <f t="shared" si="440"/>
        <v>1.5886523390023064</v>
      </c>
      <c r="Z443" s="76">
        <f t="shared" si="441"/>
        <v>2</v>
      </c>
      <c r="AA443" s="2">
        <f t="shared" si="405"/>
        <v>0.86310000000000009</v>
      </c>
      <c r="AB443" s="2">
        <f t="shared" si="406"/>
        <v>1.0775999999999999</v>
      </c>
      <c r="AC443" s="2">
        <v>73</v>
      </c>
      <c r="AD443" s="2">
        <v>-0.39</v>
      </c>
      <c r="AE443" s="79">
        <f t="shared" si="442"/>
        <v>-0.84756143734440204</v>
      </c>
      <c r="AF443" s="79">
        <f t="shared" si="443"/>
        <v>-2</v>
      </c>
      <c r="AG443" s="2">
        <f t="shared" si="461"/>
        <v>4.0000000000000008E-2</v>
      </c>
      <c r="AH443" s="2">
        <f t="shared" si="407"/>
        <v>-0.39</v>
      </c>
      <c r="AI443" s="2">
        <v>9600</v>
      </c>
      <c r="AJ443" s="2">
        <v>0.56999999999999995</v>
      </c>
      <c r="AK443" s="76">
        <f t="shared" si="444"/>
        <v>0.68453963149711117</v>
      </c>
      <c r="AL443" s="76">
        <f t="shared" si="445"/>
        <v>2</v>
      </c>
      <c r="AM443" s="2">
        <f t="shared" si="408"/>
        <v>0.46499999999999997</v>
      </c>
      <c r="AN443" s="2">
        <f t="shared" si="409"/>
        <v>0.56999999999999995</v>
      </c>
      <c r="AO443" s="2">
        <v>1.3962000000000001</v>
      </c>
      <c r="AP443" s="2" t="str">
        <f t="shared" si="410"/>
        <v/>
      </c>
      <c r="AQ443" s="2">
        <f t="shared" si="411"/>
        <v>1.3962000000000001</v>
      </c>
      <c r="AR443" s="2">
        <v>80</v>
      </c>
      <c r="AS443" s="2">
        <v>-0.25</v>
      </c>
      <c r="AT443" s="2" t="str">
        <f t="shared" si="412"/>
        <v/>
      </c>
      <c r="AU443" s="2">
        <f t="shared" si="413"/>
        <v>-0.25</v>
      </c>
      <c r="AV443" s="2">
        <v>11400</v>
      </c>
      <c r="AW443" s="2">
        <v>0.87</v>
      </c>
      <c r="AX443" s="2" t="str">
        <f t="shared" si="414"/>
        <v/>
      </c>
      <c r="AY443" s="2">
        <f t="shared" si="415"/>
        <v>0.87</v>
      </c>
      <c r="BA443" s="78" t="e">
        <f t="shared" si="446"/>
        <v>#VALUE!</v>
      </c>
      <c r="BB443" s="78" t="e">
        <f t="shared" si="447"/>
        <v>#VALUE!</v>
      </c>
      <c r="BC443" s="2" t="str">
        <f t="shared" si="416"/>
        <v/>
      </c>
      <c r="BD443" s="2" t="e">
        <f t="shared" si="417"/>
        <v>#VALUE!</v>
      </c>
      <c r="BE443" s="67" t="e">
        <f t="shared" si="448"/>
        <v>#VALUE!</v>
      </c>
      <c r="BF443" s="2" t="s">
        <v>12</v>
      </c>
      <c r="BH443" s="2" t="str">
        <f t="shared" si="418"/>
        <v/>
      </c>
      <c r="BI443" s="2" t="e">
        <f t="shared" si="419"/>
        <v>#VALUE!</v>
      </c>
      <c r="BJ443" s="67" t="e">
        <f t="shared" si="420"/>
        <v>#VALUE!</v>
      </c>
      <c r="BK443" s="2" t="s">
        <v>12</v>
      </c>
      <c r="BM443" s="77" t="e">
        <f t="shared" si="449"/>
        <v>#VALUE!</v>
      </c>
      <c r="BN443" s="77" t="e">
        <f t="shared" si="450"/>
        <v>#VALUE!</v>
      </c>
      <c r="BO443" s="2" t="str">
        <f t="shared" si="421"/>
        <v/>
      </c>
      <c r="BP443" s="2" t="e">
        <f t="shared" si="422"/>
        <v>#VALUE!</v>
      </c>
      <c r="BQ443" s="67" t="e">
        <f t="shared" si="451"/>
        <v>#VALUE!</v>
      </c>
      <c r="BS443" s="75" t="str">
        <f t="shared" si="452"/>
        <v>UF</v>
      </c>
      <c r="BT443" s="75" t="str">
        <f t="shared" si="453"/>
        <v>UF</v>
      </c>
      <c r="BU443" s="5" t="str">
        <f t="shared" si="465"/>
        <v>UF</v>
      </c>
      <c r="BV443" s="5" t="str">
        <f t="shared" si="423"/>
        <v>UF</v>
      </c>
      <c r="BW443" s="69" t="str">
        <f t="shared" si="424"/>
        <v/>
      </c>
      <c r="BX443" s="2" t="s">
        <v>12</v>
      </c>
      <c r="BZ443" s="74" t="str">
        <f t="shared" si="454"/>
        <v>UF</v>
      </c>
      <c r="CA443" s="74" t="str">
        <f t="shared" si="455"/>
        <v>UF</v>
      </c>
      <c r="CB443" s="5" t="str">
        <f t="shared" si="425"/>
        <v>UF</v>
      </c>
      <c r="CC443" s="5" t="str">
        <f t="shared" si="426"/>
        <v>UF</v>
      </c>
      <c r="CD443" s="2" t="e">
        <f t="shared" si="427"/>
        <v>#VALUE!</v>
      </c>
      <c r="CE443" s="69" t="str">
        <f t="shared" si="428"/>
        <v/>
      </c>
      <c r="CF443" s="5" t="s">
        <v>12</v>
      </c>
      <c r="CH443" s="72" t="str">
        <f t="shared" si="456"/>
        <v>UF</v>
      </c>
      <c r="CI443" s="72" t="str">
        <f t="shared" si="457"/>
        <v>UF</v>
      </c>
      <c r="CJ443" s="5" t="str">
        <f t="shared" si="429"/>
        <v>UF</v>
      </c>
      <c r="CK443" s="5" t="str">
        <f t="shared" si="430"/>
        <v>UF</v>
      </c>
      <c r="CL443" s="69" t="str">
        <f t="shared" si="431"/>
        <v/>
      </c>
      <c r="CN443" s="70" t="str">
        <f t="shared" si="432"/>
        <v/>
      </c>
      <c r="CO443" s="5" t="str">
        <f t="shared" si="433"/>
        <v>UF</v>
      </c>
      <c r="CP443" s="5" t="str">
        <f>IF(G443&lt;48,"UF", IF(NOT(ISBLANK(CM:CM)), CM:CM, IF(BW:BW=1, BV:BV+Sheet2!B524, IF(Sheet1!BW:BW=2, Sheet1!BV:BV+Sheet2!B525, IF(Sheet1!BW:BW=7, Sheet1!BV:BV+Sheet2!B526,"")))))</f>
        <v>UF</v>
      </c>
      <c r="CQ443" s="69" t="str">
        <f t="shared" si="458"/>
        <v/>
      </c>
      <c r="CR443" s="5" t="s">
        <v>12</v>
      </c>
      <c r="CT443" s="5" t="str">
        <f t="shared" si="434"/>
        <v/>
      </c>
      <c r="CU443" s="80" t="str">
        <f t="shared" si="435"/>
        <v>UF</v>
      </c>
      <c r="CV443" s="80" t="str">
        <f t="shared" si="436"/>
        <v>UF</v>
      </c>
      <c r="CW443" s="20" t="str">
        <f>IF(G443&lt;48,"UF", IF(NOT(ISBLANK(CS443)), CS443, IF(CE443=5, CC443+Sheet2!B513, IF(CE443=6, CC443+Sheet2!B514, IF(CE443=7, CC443+Sheet2!B515,"")))))</f>
        <v>UF</v>
      </c>
      <c r="CX443" s="68" t="str">
        <f t="shared" si="459"/>
        <v/>
      </c>
      <c r="CY443" s="5" t="s">
        <v>12</v>
      </c>
      <c r="DA443" s="5" t="str">
        <f t="shared" si="437"/>
        <v>UF</v>
      </c>
      <c r="DB443" s="73" t="str">
        <f t="shared" si="438"/>
        <v>UF</v>
      </c>
      <c r="DC443" s="73" t="str">
        <f t="shared" si="439"/>
        <v>UF</v>
      </c>
      <c r="DD443" s="5" t="str">
        <f>IF(G443&lt;48,"UF", IF(NOT(ISBLANK(CZ:CZ)), CZ:CZ, IF(CL:CL=3, CK:CK+Sheet2!B518, IF(CL:CL=4, CK:CK+Sheet2!B519, IF(CL:CL=7, CK:CK+Sheet2!B520,"")))))</f>
        <v>UF</v>
      </c>
      <c r="DE443" s="69" t="str">
        <f t="shared" si="463"/>
        <v/>
      </c>
      <c r="DF443" s="2">
        <v>2</v>
      </c>
      <c r="DG443" s="2">
        <v>32</v>
      </c>
      <c r="DH443" s="2">
        <v>2</v>
      </c>
      <c r="DI443" s="2">
        <v>2</v>
      </c>
      <c r="DJ443" s="2">
        <v>2</v>
      </c>
      <c r="DK443" s="2">
        <v>100</v>
      </c>
      <c r="DL443" s="2">
        <v>60</v>
      </c>
      <c r="DM443" s="2">
        <v>100</v>
      </c>
      <c r="DN443" s="2">
        <v>60</v>
      </c>
      <c r="DO443" s="2" t="s">
        <v>12</v>
      </c>
      <c r="DP443" s="2" t="s">
        <v>12</v>
      </c>
      <c r="DQ443" s="2">
        <v>2</v>
      </c>
      <c r="DR443" s="2">
        <v>39</v>
      </c>
      <c r="DS443" s="2">
        <v>2</v>
      </c>
      <c r="DT443" s="2" t="s">
        <v>12</v>
      </c>
      <c r="DU443" s="2">
        <v>91</v>
      </c>
      <c r="DV443" s="2">
        <v>2</v>
      </c>
      <c r="DW443" s="2">
        <v>2</v>
      </c>
      <c r="DX443" s="2">
        <v>2</v>
      </c>
      <c r="DY443" s="2">
        <v>2</v>
      </c>
      <c r="DZ443" s="2">
        <v>35</v>
      </c>
      <c r="EA443" s="2">
        <v>335</v>
      </c>
      <c r="EB443" s="2">
        <v>46</v>
      </c>
      <c r="EC443" s="2">
        <v>1</v>
      </c>
      <c r="ED443" s="2">
        <v>1</v>
      </c>
    </row>
    <row r="444" spans="3:134" x14ac:dyDescent="0.25">
      <c r="C444" s="8" t="s">
        <v>339</v>
      </c>
      <c r="D444" s="2">
        <v>6490201593</v>
      </c>
      <c r="E444" s="5">
        <v>7</v>
      </c>
      <c r="F444" s="2">
        <v>1</v>
      </c>
      <c r="G444" s="2">
        <v>47</v>
      </c>
      <c r="H444" s="2">
        <v>-1.140049087283403</v>
      </c>
      <c r="I444" s="2">
        <v>54</v>
      </c>
      <c r="J444" s="2">
        <v>2.604984249137289</v>
      </c>
      <c r="K444" s="2">
        <v>3500</v>
      </c>
      <c r="L444" s="2">
        <v>0.57031252552855893</v>
      </c>
      <c r="M444" s="2">
        <v>0.41620000000000001</v>
      </c>
      <c r="N444" s="2">
        <f t="shared" si="399"/>
        <v>1.1372745436417016</v>
      </c>
      <c r="O444" s="2">
        <f t="shared" si="400"/>
        <v>0.41620000000000001</v>
      </c>
      <c r="P444" s="2">
        <v>67.5</v>
      </c>
      <c r="Q444" s="2">
        <v>0.77</v>
      </c>
      <c r="R444" s="5">
        <f t="shared" si="401"/>
        <v>-1.4974921245686446</v>
      </c>
      <c r="S444" s="5">
        <f t="shared" si="402"/>
        <v>0.77</v>
      </c>
      <c r="T444" s="2">
        <v>8000</v>
      </c>
      <c r="U444" s="2">
        <v>0.75</v>
      </c>
      <c r="V444" s="2">
        <f t="shared" si="403"/>
        <v>1.9843737235720527E-2</v>
      </c>
      <c r="W444" s="2">
        <f t="shared" si="404"/>
        <v>0.75</v>
      </c>
      <c r="X444" s="2">
        <v>1.1345000000000001</v>
      </c>
      <c r="Y444" s="76">
        <f t="shared" si="440"/>
        <v>2.2745490872834031</v>
      </c>
      <c r="Z444" s="76">
        <f t="shared" si="441"/>
        <v>2</v>
      </c>
      <c r="AA444" s="2">
        <f t="shared" si="405"/>
        <v>0.26515</v>
      </c>
      <c r="AB444" s="2">
        <f t="shared" si="406"/>
        <v>1.1345000000000001</v>
      </c>
      <c r="AC444" s="2">
        <v>73</v>
      </c>
      <c r="AD444" s="2">
        <v>-0.39</v>
      </c>
      <c r="AE444" s="79">
        <f t="shared" si="442"/>
        <v>-2.9949842491372891</v>
      </c>
      <c r="AF444" s="79">
        <f t="shared" si="443"/>
        <v>-2</v>
      </c>
      <c r="AG444" s="2">
        <f t="shared" si="461"/>
        <v>-0.51</v>
      </c>
      <c r="AH444" s="2">
        <f t="shared" si="407"/>
        <v>-0.39</v>
      </c>
      <c r="AI444" s="2">
        <v>9650</v>
      </c>
      <c r="AJ444" s="2">
        <v>0.61</v>
      </c>
      <c r="AK444" s="76">
        <f t="shared" si="444"/>
        <v>3.9687474471441053E-2</v>
      </c>
      <c r="AL444" s="76">
        <f t="shared" si="445"/>
        <v>1</v>
      </c>
      <c r="AM444" s="2">
        <f t="shared" si="408"/>
        <v>2.5000000000000022E-2</v>
      </c>
      <c r="AN444" s="2">
        <f t="shared" si="409"/>
        <v>0.61</v>
      </c>
      <c r="AO444" s="2">
        <v>1.3003</v>
      </c>
      <c r="AP444" s="2">
        <f t="shared" si="410"/>
        <v>-0.50178628635830935</v>
      </c>
      <c r="AQ444" s="2">
        <f t="shared" si="411"/>
        <v>1.3003</v>
      </c>
      <c r="AR444" s="2">
        <v>80</v>
      </c>
      <c r="AS444" s="2">
        <v>-0.25</v>
      </c>
      <c r="AT444" s="2">
        <f t="shared" si="412"/>
        <v>0.35306080629326891</v>
      </c>
      <c r="AU444" s="2">
        <f t="shared" si="413"/>
        <v>-0.25</v>
      </c>
      <c r="AV444" s="2">
        <v>11300</v>
      </c>
      <c r="AW444" s="2">
        <v>0.8</v>
      </c>
      <c r="AX444" s="2">
        <f t="shared" si="414"/>
        <v>-0.20538957098892946</v>
      </c>
      <c r="AY444" s="2">
        <f t="shared" si="415"/>
        <v>0.8</v>
      </c>
      <c r="AZ444" s="2">
        <v>0.1309274272833813</v>
      </c>
      <c r="BA444" s="78">
        <f t="shared" si="446"/>
        <v>-1.0035725727166187</v>
      </c>
      <c r="BB444" s="78">
        <f t="shared" si="447"/>
        <v>-2</v>
      </c>
      <c r="BC444" s="2" t="str">
        <f t="shared" si="416"/>
        <v/>
      </c>
      <c r="BD444" s="2">
        <f t="shared" si="417"/>
        <v>0.1309274272833813</v>
      </c>
      <c r="BE444" s="67">
        <f t="shared" si="448"/>
        <v>7</v>
      </c>
      <c r="BF444" s="2">
        <v>86.5</v>
      </c>
      <c r="BG444" s="2">
        <v>0.31612161258653781</v>
      </c>
      <c r="BH444" s="2" t="str">
        <f t="shared" si="418"/>
        <v/>
      </c>
      <c r="BI444" s="2">
        <f t="shared" si="419"/>
        <v>0.31612161258653781</v>
      </c>
      <c r="BJ444" s="67">
        <f t="shared" si="420"/>
        <v>7</v>
      </c>
      <c r="BK444" s="2">
        <v>12400</v>
      </c>
      <c r="BL444" s="2">
        <v>0.1992208580221411</v>
      </c>
      <c r="BM444" s="77">
        <f t="shared" si="449"/>
        <v>-0.41077914197785892</v>
      </c>
      <c r="BN444" s="77">
        <f t="shared" si="450"/>
        <v>-1</v>
      </c>
      <c r="BO444" s="2" t="str">
        <f t="shared" si="421"/>
        <v/>
      </c>
      <c r="BP444" s="2">
        <f t="shared" si="422"/>
        <v>0.1992208580221411</v>
      </c>
      <c r="BQ444" s="67">
        <f t="shared" si="451"/>
        <v>7</v>
      </c>
      <c r="BS444" s="75" t="e">
        <f t="shared" si="452"/>
        <v>#VALUE!</v>
      </c>
      <c r="BT444" s="75" t="e">
        <f t="shared" si="453"/>
        <v>#VALUE!</v>
      </c>
      <c r="BU444" s="5" t="str">
        <f t="shared" si="465"/>
        <v>UF</v>
      </c>
      <c r="BV444" s="5" t="e">
        <f t="shared" si="423"/>
        <v>#VALUE!</v>
      </c>
      <c r="BW444" s="69" t="e">
        <f t="shared" si="424"/>
        <v>#VALUE!</v>
      </c>
      <c r="BX444" s="2" t="s">
        <v>12</v>
      </c>
      <c r="BZ444" s="74" t="e">
        <f t="shared" si="454"/>
        <v>#VALUE!</v>
      </c>
      <c r="CA444" s="74" t="e">
        <f t="shared" si="455"/>
        <v>#VALUE!</v>
      </c>
      <c r="CB444" s="5" t="str">
        <f t="shared" si="425"/>
        <v/>
      </c>
      <c r="CC444" s="5" t="e">
        <f t="shared" si="426"/>
        <v>#VALUE!</v>
      </c>
      <c r="CD444" s="2" t="e">
        <f t="shared" si="427"/>
        <v>#VALUE!</v>
      </c>
      <c r="CE444" s="69" t="e">
        <f t="shared" si="428"/>
        <v>#VALUE!</v>
      </c>
      <c r="CF444" s="5" t="s">
        <v>12</v>
      </c>
      <c r="CH444" s="72" t="e">
        <f t="shared" si="456"/>
        <v>#VALUE!</v>
      </c>
      <c r="CI444" s="72" t="e">
        <f t="shared" si="457"/>
        <v>#VALUE!</v>
      </c>
      <c r="CJ444" s="5" t="str">
        <f t="shared" si="429"/>
        <v/>
      </c>
      <c r="CK444" s="5" t="e">
        <f t="shared" si="430"/>
        <v>#VALUE!</v>
      </c>
      <c r="CL444" s="69" t="e">
        <f t="shared" si="431"/>
        <v>#VALUE!</v>
      </c>
      <c r="CN444" s="70" t="str">
        <f t="shared" si="432"/>
        <v/>
      </c>
      <c r="CO444" s="5" t="str">
        <f t="shared" si="433"/>
        <v>UF</v>
      </c>
      <c r="CP444" s="5" t="str">
        <f>IF(G444&lt;48,"UF", IF(NOT(ISBLANK(CM:CM)), CM:CM, IF(BW:BW=1, BV:BV+Sheet2!B569, IF(Sheet1!BW:BW=2, Sheet1!BV:BV+Sheet2!B570, IF(Sheet1!BW:BW=7, Sheet1!BV:BV+Sheet2!B571,"")))))</f>
        <v>UF</v>
      </c>
      <c r="CQ444" s="69" t="str">
        <f t="shared" si="458"/>
        <v/>
      </c>
      <c r="CR444" s="5" t="s">
        <v>12</v>
      </c>
      <c r="CT444" s="5" t="str">
        <f t="shared" si="434"/>
        <v/>
      </c>
      <c r="CU444" s="80" t="str">
        <f t="shared" si="435"/>
        <v>UF</v>
      </c>
      <c r="CV444" s="80" t="str">
        <f t="shared" si="436"/>
        <v>UF</v>
      </c>
      <c r="CW444" s="20" t="str">
        <f>IF(G444&lt;48,"UF", IF(NOT(ISBLANK(CS444)), CS444, IF(CE444=5, CC444+Sheet2!B558, IF(CE444=6, CC444+Sheet2!B559, IF(CE444=7, CC444+Sheet2!B560,"")))))</f>
        <v>UF</v>
      </c>
      <c r="CX444" s="68" t="str">
        <f t="shared" si="459"/>
        <v/>
      </c>
      <c r="CY444" s="5" t="s">
        <v>12</v>
      </c>
      <c r="DA444" s="5" t="str">
        <f t="shared" si="437"/>
        <v>UF</v>
      </c>
      <c r="DB444" s="73" t="str">
        <f t="shared" si="438"/>
        <v>UF</v>
      </c>
      <c r="DC444" s="73" t="str">
        <f t="shared" si="439"/>
        <v>UF</v>
      </c>
      <c r="DD444" s="5" t="str">
        <f>IF(G444&lt;48,"UF", IF(NOT(ISBLANK(CZ:CZ)), CZ:CZ, IF(CL:CL=3, CK:CK+Sheet2!B563, IF(CL:CL=4, CK:CK+Sheet2!B564, IF(CL:CL=7, CK:CK+Sheet2!B565,"")))))</f>
        <v>UF</v>
      </c>
      <c r="DE444" s="69" t="str">
        <f t="shared" si="463"/>
        <v/>
      </c>
      <c r="DF444" s="2">
        <v>3</v>
      </c>
      <c r="DG444" s="2">
        <v>27</v>
      </c>
      <c r="DH444" s="2">
        <v>2</v>
      </c>
      <c r="DI444" s="2">
        <v>2</v>
      </c>
      <c r="DJ444" s="2">
        <v>2</v>
      </c>
      <c r="DK444" s="2">
        <v>90</v>
      </c>
      <c r="DL444" s="2">
        <v>60</v>
      </c>
      <c r="DM444" s="2">
        <v>95</v>
      </c>
      <c r="DN444" s="2">
        <v>65</v>
      </c>
      <c r="DO444" s="2">
        <v>95</v>
      </c>
      <c r="DP444" s="2">
        <v>60</v>
      </c>
      <c r="DQ444" s="2">
        <v>2</v>
      </c>
      <c r="DR444" s="2">
        <v>39</v>
      </c>
      <c r="DS444" s="2">
        <v>2</v>
      </c>
      <c r="DT444" s="2">
        <v>83</v>
      </c>
      <c r="DU444" s="2">
        <v>84</v>
      </c>
      <c r="DV444" s="2">
        <v>2</v>
      </c>
      <c r="DW444" s="2">
        <v>2</v>
      </c>
      <c r="DX444" s="2">
        <v>2</v>
      </c>
      <c r="DY444" s="2">
        <v>2</v>
      </c>
      <c r="DZ444" s="2">
        <v>36</v>
      </c>
      <c r="EA444" s="2">
        <v>36.5</v>
      </c>
      <c r="EB444" s="2">
        <v>46</v>
      </c>
      <c r="EC444" s="2">
        <v>1</v>
      </c>
      <c r="ED444" s="2">
        <v>1</v>
      </c>
    </row>
    <row r="445" spans="3:134" x14ac:dyDescent="0.25">
      <c r="C445" s="8" t="s">
        <v>115</v>
      </c>
      <c r="D445" s="53">
        <v>6490202077</v>
      </c>
      <c r="E445" s="5">
        <v>7</v>
      </c>
      <c r="F445" s="2">
        <v>1</v>
      </c>
      <c r="G445" s="2">
        <v>30</v>
      </c>
      <c r="H445" s="2">
        <v>0.80251445293572332</v>
      </c>
      <c r="I445" s="2">
        <v>49</v>
      </c>
      <c r="J445" s="2">
        <v>-7.9294265603816944E-2</v>
      </c>
      <c r="K445" s="1">
        <v>3450</v>
      </c>
      <c r="L445" s="2">
        <v>0.4659366154745832</v>
      </c>
      <c r="M445" s="2">
        <v>0.14560000000000001</v>
      </c>
      <c r="N445" s="2">
        <f t="shared" si="399"/>
        <v>-0.68245722646786167</v>
      </c>
      <c r="O445" s="2">
        <f t="shared" si="400"/>
        <v>0.14560000000000001</v>
      </c>
      <c r="P445" s="2">
        <v>63</v>
      </c>
      <c r="Q445" s="2">
        <v>-1.21</v>
      </c>
      <c r="R445" s="5">
        <f t="shared" si="401"/>
        <v>-0.15535286719809155</v>
      </c>
      <c r="S445" s="5">
        <f t="shared" si="402"/>
        <v>-1.21</v>
      </c>
      <c r="T445" s="2">
        <v>6800</v>
      </c>
      <c r="U445" s="2">
        <v>-0.57999999999999996</v>
      </c>
      <c r="V445" s="2">
        <f t="shared" si="403"/>
        <v>-0.54296830773729154</v>
      </c>
      <c r="W445" s="2">
        <f t="shared" si="404"/>
        <v>-0.57999999999999996</v>
      </c>
      <c r="X445" s="2">
        <v>-0.56240000000000001</v>
      </c>
      <c r="Y445" s="76">
        <f t="shared" si="440"/>
        <v>-1.3649144529357233</v>
      </c>
      <c r="Z445" s="76">
        <f t="shared" si="441"/>
        <v>-2</v>
      </c>
      <c r="AA445" s="2">
        <f t="shared" si="405"/>
        <v>0.65074999999999994</v>
      </c>
      <c r="AB445" s="2">
        <f t="shared" si="406"/>
        <v>-0.56240000000000001</v>
      </c>
      <c r="AC445" s="2">
        <v>73</v>
      </c>
      <c r="AD445" s="2">
        <v>-0.39</v>
      </c>
      <c r="AE445" s="79">
        <f t="shared" si="442"/>
        <v>-0.3107057343961831</v>
      </c>
      <c r="AF445" s="79">
        <f t="shared" si="443"/>
        <v>-1</v>
      </c>
      <c r="AG445" s="2">
        <f t="shared" si="461"/>
        <v>0.65500000000000003</v>
      </c>
      <c r="AH445" s="2">
        <f t="shared" si="407"/>
        <v>-0.39</v>
      </c>
      <c r="AI445" s="2">
        <v>8300</v>
      </c>
      <c r="AJ445" s="2">
        <v>-0.62</v>
      </c>
      <c r="AK445" s="76">
        <f t="shared" si="444"/>
        <v>-1.0859366154745831</v>
      </c>
      <c r="AL445" s="76">
        <f t="shared" si="445"/>
        <v>-2</v>
      </c>
      <c r="AM445" s="2">
        <f t="shared" si="408"/>
        <v>0.35499999999999998</v>
      </c>
      <c r="AN445" s="2">
        <f t="shared" si="409"/>
        <v>-0.62</v>
      </c>
      <c r="AO445" s="2">
        <v>9.1499999999999998E-2</v>
      </c>
      <c r="AP445" s="2">
        <f t="shared" si="410"/>
        <v>-0.43889616501078155</v>
      </c>
      <c r="AQ445" s="2">
        <f t="shared" si="411"/>
        <v>9.1499999999999998E-2</v>
      </c>
      <c r="AR445" s="2">
        <v>81</v>
      </c>
      <c r="AS445" s="2">
        <v>0.1</v>
      </c>
      <c r="AT445" s="2">
        <f t="shared" si="412"/>
        <v>0.28137692218450783</v>
      </c>
      <c r="AU445" s="2">
        <f t="shared" si="413"/>
        <v>0.1</v>
      </c>
      <c r="AV445" s="2">
        <v>10400</v>
      </c>
      <c r="AW445" s="2">
        <v>0.13</v>
      </c>
      <c r="AX445" s="2">
        <f t="shared" si="414"/>
        <v>-0.25510430407852053</v>
      </c>
      <c r="AY445" s="2">
        <f t="shared" si="415"/>
        <v>0.13</v>
      </c>
      <c r="AZ445" s="2">
        <v>-1.4401923300215631</v>
      </c>
      <c r="BA445" s="78">
        <f t="shared" si="446"/>
        <v>-0.87779233002156309</v>
      </c>
      <c r="BB445" s="78">
        <f t="shared" si="447"/>
        <v>-2</v>
      </c>
      <c r="BC445" s="2" t="str">
        <f t="shared" si="416"/>
        <v/>
      </c>
      <c r="BD445" s="2">
        <f t="shared" si="417"/>
        <v>-1.4401923300215631</v>
      </c>
      <c r="BE445" s="67">
        <f t="shared" si="448"/>
        <v>7</v>
      </c>
      <c r="BF445" s="2">
        <v>86</v>
      </c>
      <c r="BG445" s="2">
        <v>0.1727538443690157</v>
      </c>
      <c r="BH445" s="2" t="str">
        <f t="shared" si="418"/>
        <v/>
      </c>
      <c r="BI445" s="2">
        <f t="shared" si="419"/>
        <v>0.1727538443690157</v>
      </c>
      <c r="BJ445" s="67">
        <f t="shared" si="420"/>
        <v>7</v>
      </c>
      <c r="BK445" s="2">
        <v>10800</v>
      </c>
      <c r="BL445" s="2">
        <v>-1.1302086081570411</v>
      </c>
      <c r="BM445" s="77">
        <f t="shared" si="449"/>
        <v>-0.51020860815704105</v>
      </c>
      <c r="BN445" s="77">
        <f t="shared" si="450"/>
        <v>-1</v>
      </c>
      <c r="BO445" s="2" t="str">
        <f t="shared" si="421"/>
        <v/>
      </c>
      <c r="BP445" s="2">
        <f t="shared" si="422"/>
        <v>-1.1302086081570411</v>
      </c>
      <c r="BQ445" s="67">
        <f t="shared" si="451"/>
        <v>7</v>
      </c>
      <c r="BS445" s="75" t="str">
        <f t="shared" si="452"/>
        <v>UF</v>
      </c>
      <c r="BT445" s="75" t="str">
        <f t="shared" si="453"/>
        <v>UF</v>
      </c>
      <c r="BU445" s="5" t="str">
        <f t="shared" si="465"/>
        <v>UF</v>
      </c>
      <c r="BV445" s="5" t="str">
        <f t="shared" si="423"/>
        <v>UF</v>
      </c>
      <c r="BW445" s="69" t="str">
        <f t="shared" si="424"/>
        <v/>
      </c>
      <c r="BX445" s="2" t="s">
        <v>12</v>
      </c>
      <c r="BZ445" s="74" t="str">
        <f t="shared" si="454"/>
        <v>UF</v>
      </c>
      <c r="CA445" s="74" t="str">
        <f t="shared" si="455"/>
        <v>UF</v>
      </c>
      <c r="CB445" s="5" t="str">
        <f t="shared" si="425"/>
        <v>UF</v>
      </c>
      <c r="CC445" s="5" t="str">
        <f t="shared" si="426"/>
        <v>UF</v>
      </c>
      <c r="CD445" s="2" t="e">
        <f t="shared" si="427"/>
        <v>#VALUE!</v>
      </c>
      <c r="CE445" s="69" t="str">
        <f t="shared" si="428"/>
        <v/>
      </c>
      <c r="CF445" s="5" t="s">
        <v>12</v>
      </c>
      <c r="CH445" s="72" t="str">
        <f t="shared" si="456"/>
        <v>UF</v>
      </c>
      <c r="CI445" s="72" t="str">
        <f t="shared" si="457"/>
        <v>UF</v>
      </c>
      <c r="CJ445" s="5" t="str">
        <f t="shared" si="429"/>
        <v>UF</v>
      </c>
      <c r="CK445" s="5" t="str">
        <f t="shared" si="430"/>
        <v>UF</v>
      </c>
      <c r="CL445" s="69" t="str">
        <f t="shared" si="431"/>
        <v/>
      </c>
      <c r="CN445" s="70" t="str">
        <f t="shared" si="432"/>
        <v/>
      </c>
      <c r="CO445" s="5" t="str">
        <f t="shared" si="433"/>
        <v>UF</v>
      </c>
      <c r="CP445" s="5" t="str">
        <f>IF(G445&lt;48,"UF", IF(NOT(ISBLANK(CM:CM)), CM:CM, IF(BW:BW=1, BV:BV+Sheet2!B392, IF(Sheet1!BW:BW=2, Sheet1!BV:BV+Sheet2!B393, IF(Sheet1!BW:BW=7, Sheet1!BV:BV+Sheet2!B394,"")))))</f>
        <v>UF</v>
      </c>
      <c r="CQ445" s="69" t="str">
        <f t="shared" si="458"/>
        <v/>
      </c>
      <c r="CR445" s="5" t="s">
        <v>12</v>
      </c>
      <c r="CT445" s="5" t="str">
        <f t="shared" si="434"/>
        <v/>
      </c>
      <c r="CU445" s="80" t="str">
        <f t="shared" si="435"/>
        <v>UF</v>
      </c>
      <c r="CV445" s="80" t="str">
        <f t="shared" si="436"/>
        <v>UF</v>
      </c>
      <c r="CW445" s="20" t="str">
        <f>IF(G445&lt;48,"UF", IF(NOT(ISBLANK(CS445)), CS445, IF(CE445=5, CC445+Sheet2!B381, IF(CE445=6, CC445+Sheet2!B382, IF(CE445=7, CC445+Sheet2!B383,"")))))</f>
        <v>UF</v>
      </c>
      <c r="CX445" s="68" t="str">
        <f t="shared" si="459"/>
        <v/>
      </c>
      <c r="CY445" s="5" t="s">
        <v>12</v>
      </c>
      <c r="DA445" s="5" t="str">
        <f t="shared" si="437"/>
        <v>UF</v>
      </c>
      <c r="DB445" s="73" t="str">
        <f t="shared" si="438"/>
        <v>UF</v>
      </c>
      <c r="DC445" s="73" t="str">
        <f t="shared" si="439"/>
        <v>UF</v>
      </c>
      <c r="DD445" s="5" t="str">
        <f>IF(G445&lt;48,"UF", IF(NOT(ISBLANK(CZ:CZ)), CZ:CZ, IF(CL:CL=3, CK:CK+Sheet2!B386, IF(CL:CL=4, CK:CK+Sheet2!B387, IF(CL:CL=7, CK:CK+Sheet2!B388,"")))))</f>
        <v>UF</v>
      </c>
      <c r="DE445" s="69" t="str">
        <f t="shared" si="463"/>
        <v/>
      </c>
      <c r="DF445" s="2">
        <v>1</v>
      </c>
      <c r="DG445" s="2">
        <v>36</v>
      </c>
      <c r="DH445" s="2">
        <v>1</v>
      </c>
      <c r="DI445" s="2">
        <v>2</v>
      </c>
      <c r="DJ445" s="2">
        <v>2</v>
      </c>
      <c r="DK445" s="2">
        <v>100</v>
      </c>
      <c r="DL445" s="2">
        <v>60</v>
      </c>
      <c r="DM445" s="2">
        <v>123</v>
      </c>
      <c r="DN445" s="2">
        <v>70</v>
      </c>
      <c r="DO445" s="2" t="s">
        <v>12</v>
      </c>
      <c r="DP445" s="2" t="s">
        <v>12</v>
      </c>
      <c r="DQ445" s="2">
        <v>2</v>
      </c>
      <c r="DR445" s="2">
        <v>39</v>
      </c>
      <c r="DS445" s="2">
        <v>2</v>
      </c>
      <c r="DT445" s="2">
        <v>72</v>
      </c>
      <c r="DU445" s="2">
        <v>79</v>
      </c>
      <c r="DV445" s="2">
        <v>4</v>
      </c>
      <c r="DW445" s="2">
        <v>2</v>
      </c>
      <c r="DX445" s="2">
        <v>2</v>
      </c>
      <c r="DY445" s="2">
        <v>2</v>
      </c>
      <c r="DZ445" s="2">
        <v>35</v>
      </c>
      <c r="EA445" s="2">
        <v>37</v>
      </c>
      <c r="EB445" s="2">
        <v>47.5</v>
      </c>
      <c r="EC445" s="2">
        <v>1</v>
      </c>
      <c r="ED445" s="2">
        <v>1</v>
      </c>
    </row>
    <row r="446" spans="3:134" x14ac:dyDescent="0.25">
      <c r="C446" s="2" t="s">
        <v>382</v>
      </c>
      <c r="D446" s="2">
        <v>6490202522</v>
      </c>
      <c r="E446" s="5">
        <v>4</v>
      </c>
      <c r="F446" s="2">
        <v>1</v>
      </c>
      <c r="G446" s="2">
        <v>34</v>
      </c>
      <c r="H446" s="2">
        <v>-1.1613978242316061</v>
      </c>
      <c r="I446" s="2">
        <v>48</v>
      </c>
      <c r="J446" s="2">
        <v>-0.61614996855203885</v>
      </c>
      <c r="K446" s="5">
        <v>2760</v>
      </c>
      <c r="L446" s="2">
        <v>-1.0816161955033079</v>
      </c>
      <c r="M446" s="2">
        <v>-2.1149</v>
      </c>
      <c r="N446" s="2">
        <f t="shared" si="399"/>
        <v>-0.75015108788419704</v>
      </c>
      <c r="O446" s="2">
        <f t="shared" si="400"/>
        <v>-2.1149</v>
      </c>
      <c r="P446" s="2">
        <v>66</v>
      </c>
      <c r="Q446" s="2">
        <v>0.11</v>
      </c>
      <c r="R446" s="5">
        <f t="shared" si="401"/>
        <v>0.50307498427601938</v>
      </c>
      <c r="S446" s="5">
        <f t="shared" si="402"/>
        <v>0.11</v>
      </c>
      <c r="T446" s="1">
        <v>6100</v>
      </c>
      <c r="U446" s="2">
        <v>-1.48</v>
      </c>
      <c r="V446" s="2">
        <f t="shared" si="403"/>
        <v>-0.274191902248346</v>
      </c>
      <c r="W446" s="2">
        <f t="shared" si="404"/>
        <v>-1.48</v>
      </c>
      <c r="X446" s="2">
        <v>-2.6617000000000002</v>
      </c>
      <c r="Y446" s="76">
        <f t="shared" si="440"/>
        <v>-1.5003021757683941</v>
      </c>
      <c r="Z446" s="76">
        <f t="shared" si="441"/>
        <v>-2</v>
      </c>
      <c r="AA446" s="2">
        <f t="shared" si="405"/>
        <v>-1.46255</v>
      </c>
      <c r="AB446" s="2">
        <f t="shared" si="406"/>
        <v>-2.6617000000000002</v>
      </c>
      <c r="AC446" s="2">
        <v>75</v>
      </c>
      <c r="AD446" s="2">
        <v>0.39</v>
      </c>
      <c r="AE446" s="79">
        <f t="shared" si="442"/>
        <v>1.0061499685520388</v>
      </c>
      <c r="AF446" s="79">
        <f t="shared" si="443"/>
        <v>2</v>
      </c>
      <c r="AG446" s="2">
        <f t="shared" si="461"/>
        <v>-4.9999999999999975E-3</v>
      </c>
      <c r="AH446" s="2">
        <f t="shared" si="407"/>
        <v>0.39</v>
      </c>
      <c r="AI446" s="2">
        <v>7350</v>
      </c>
      <c r="AJ446" s="2">
        <v>-1.63</v>
      </c>
      <c r="AK446" s="76">
        <f t="shared" si="444"/>
        <v>-0.548383804496692</v>
      </c>
      <c r="AL446" s="76">
        <f t="shared" si="445"/>
        <v>-1</v>
      </c>
      <c r="AM446" s="2">
        <f t="shared" si="408"/>
        <v>-0.18500000000000005</v>
      </c>
      <c r="AN446" s="2">
        <f t="shared" si="409"/>
        <v>-1.63</v>
      </c>
      <c r="AO446" s="2">
        <v>-2.8151000000000002</v>
      </c>
      <c r="AP446" s="2" t="str">
        <f t="shared" si="410"/>
        <v/>
      </c>
      <c r="AQ446" s="2">
        <f t="shared" si="411"/>
        <v>-2.8151000000000002</v>
      </c>
      <c r="AR446" s="2">
        <v>81</v>
      </c>
      <c r="AS446" s="2">
        <v>0.1</v>
      </c>
      <c r="AT446" s="2" t="str">
        <f t="shared" si="412"/>
        <v/>
      </c>
      <c r="AU446" s="2">
        <f t="shared" si="413"/>
        <v>0.1</v>
      </c>
      <c r="AV446" s="2">
        <v>8200</v>
      </c>
      <c r="AW446" s="2">
        <v>-1.85</v>
      </c>
      <c r="AX446" s="2" t="str">
        <f t="shared" si="414"/>
        <v/>
      </c>
      <c r="AY446" s="2">
        <f t="shared" si="415"/>
        <v>-1.85</v>
      </c>
      <c r="BA446" s="78" t="e">
        <f t="shared" si="446"/>
        <v>#VALUE!</v>
      </c>
      <c r="BB446" s="78" t="e">
        <f t="shared" si="447"/>
        <v>#VALUE!</v>
      </c>
      <c r="BC446" s="2" t="str">
        <f t="shared" si="416"/>
        <v/>
      </c>
      <c r="BD446" s="2" t="e">
        <f t="shared" si="417"/>
        <v>#VALUE!</v>
      </c>
      <c r="BE446" s="67" t="e">
        <f t="shared" si="448"/>
        <v>#VALUE!</v>
      </c>
      <c r="BF446" s="2" t="s">
        <v>12</v>
      </c>
      <c r="BH446" s="2" t="str">
        <f t="shared" si="418"/>
        <v/>
      </c>
      <c r="BI446" s="2" t="e">
        <f t="shared" si="419"/>
        <v>#VALUE!</v>
      </c>
      <c r="BJ446" s="67" t="e">
        <f t="shared" si="420"/>
        <v>#VALUE!</v>
      </c>
      <c r="BK446" s="2" t="s">
        <v>12</v>
      </c>
      <c r="BM446" s="77" t="e">
        <f t="shared" si="449"/>
        <v>#VALUE!</v>
      </c>
      <c r="BN446" s="77" t="e">
        <f t="shared" si="450"/>
        <v>#VALUE!</v>
      </c>
      <c r="BO446" s="2" t="str">
        <f t="shared" si="421"/>
        <v/>
      </c>
      <c r="BP446" s="2" t="e">
        <f t="shared" si="422"/>
        <v>#VALUE!</v>
      </c>
      <c r="BQ446" s="67" t="e">
        <f t="shared" si="451"/>
        <v>#VALUE!</v>
      </c>
      <c r="BS446" s="75" t="str">
        <f t="shared" si="452"/>
        <v>UF</v>
      </c>
      <c r="BT446" s="75" t="str">
        <f t="shared" si="453"/>
        <v>UF</v>
      </c>
      <c r="BU446" s="5" t="str">
        <f t="shared" si="465"/>
        <v>UF</v>
      </c>
      <c r="BV446" s="5" t="str">
        <f t="shared" si="423"/>
        <v>UF</v>
      </c>
      <c r="BW446" s="69" t="str">
        <f t="shared" si="424"/>
        <v/>
      </c>
      <c r="BX446" s="2" t="s">
        <v>12</v>
      </c>
      <c r="BZ446" s="74" t="str">
        <f t="shared" si="454"/>
        <v>UF</v>
      </c>
      <c r="CA446" s="74" t="str">
        <f t="shared" si="455"/>
        <v>UF</v>
      </c>
      <c r="CB446" s="5" t="str">
        <f t="shared" si="425"/>
        <v>UF</v>
      </c>
      <c r="CC446" s="5" t="str">
        <f t="shared" si="426"/>
        <v>UF</v>
      </c>
      <c r="CD446" s="2" t="e">
        <f t="shared" si="427"/>
        <v>#VALUE!</v>
      </c>
      <c r="CE446" s="69" t="str">
        <f t="shared" si="428"/>
        <v/>
      </c>
      <c r="CF446" s="5" t="s">
        <v>12</v>
      </c>
      <c r="CH446" s="72" t="str">
        <f t="shared" si="456"/>
        <v>UF</v>
      </c>
      <c r="CI446" s="72" t="str">
        <f t="shared" si="457"/>
        <v>UF</v>
      </c>
      <c r="CJ446" s="5" t="str">
        <f t="shared" si="429"/>
        <v>UF</v>
      </c>
      <c r="CK446" s="5" t="str">
        <f t="shared" si="430"/>
        <v>UF</v>
      </c>
      <c r="CL446" s="69" t="str">
        <f t="shared" si="431"/>
        <v/>
      </c>
      <c r="CN446" s="70" t="str">
        <f t="shared" si="432"/>
        <v/>
      </c>
      <c r="CO446" s="5" t="str">
        <f t="shared" si="433"/>
        <v>UF</v>
      </c>
      <c r="CP446" s="5" t="str">
        <f>IF(G446&lt;48,"UF", IF(NOT(ISBLANK(CM:CM)), CM:CM, IF(BW:BW=1, BV:BV+Sheet2!B186, IF(Sheet1!BW:BW=2, Sheet1!BV:BV+Sheet2!B187, IF(Sheet1!BW:BW=7, Sheet1!BV:BV+Sheet2!B188,"")))))</f>
        <v>UF</v>
      </c>
      <c r="CQ446" s="69" t="str">
        <f t="shared" si="458"/>
        <v/>
      </c>
      <c r="CR446" s="5" t="s">
        <v>12</v>
      </c>
      <c r="CT446" s="5" t="str">
        <f t="shared" si="434"/>
        <v/>
      </c>
      <c r="CU446" s="80" t="str">
        <f t="shared" si="435"/>
        <v>UF</v>
      </c>
      <c r="CV446" s="80" t="str">
        <f t="shared" si="436"/>
        <v>UF</v>
      </c>
      <c r="CW446" s="20" t="str">
        <f>IF(G446&lt;48,"UF", IF(NOT(ISBLANK(CS446)), CS446, IF(CE446=5, CC446+Sheet2!B175, IF(CE446=6, CC446+Sheet2!B176, IF(CE446=7, CC446+Sheet2!B177,"")))))</f>
        <v>UF</v>
      </c>
      <c r="CX446" s="68" t="str">
        <f t="shared" si="459"/>
        <v/>
      </c>
      <c r="CY446" s="5" t="s">
        <v>12</v>
      </c>
      <c r="DA446" s="5" t="str">
        <f t="shared" si="437"/>
        <v>UF</v>
      </c>
      <c r="DB446" s="73" t="str">
        <f t="shared" si="438"/>
        <v>UF</v>
      </c>
      <c r="DC446" s="73" t="str">
        <f t="shared" si="439"/>
        <v>UF</v>
      </c>
      <c r="DD446" s="5" t="str">
        <f>IF(G446&lt;48,"UF", IF(NOT(ISBLANK(CZ:CZ)), CZ:CZ, IF(CL:CL=3, CK:CK+Sheet2!B180, IF(CL:CL=4, CK:CK+Sheet2!B181, IF(CL:CL=7, CK:CK+Sheet2!B182,"")))))</f>
        <v>UF</v>
      </c>
      <c r="DE446" s="69" t="str">
        <f t="shared" si="463"/>
        <v/>
      </c>
      <c r="DF446" s="2">
        <v>1</v>
      </c>
      <c r="DG446" s="2">
        <v>24</v>
      </c>
      <c r="DH446" s="2">
        <v>2</v>
      </c>
      <c r="DI446" s="2">
        <v>2</v>
      </c>
      <c r="DJ446" s="2">
        <v>2</v>
      </c>
      <c r="DK446" s="2">
        <v>91</v>
      </c>
      <c r="DL446" s="2">
        <v>48</v>
      </c>
      <c r="DM446" s="2">
        <v>83</v>
      </c>
      <c r="DN446" s="2">
        <v>52</v>
      </c>
      <c r="DO446" s="2">
        <v>108</v>
      </c>
      <c r="DP446" s="2">
        <v>50</v>
      </c>
      <c r="DQ446" s="2">
        <v>2</v>
      </c>
      <c r="DR446" s="2">
        <v>41</v>
      </c>
      <c r="DS446" s="2">
        <v>2</v>
      </c>
      <c r="DT446" s="2">
        <v>82</v>
      </c>
      <c r="DU446" s="2">
        <v>65</v>
      </c>
      <c r="DV446" s="2">
        <v>2</v>
      </c>
      <c r="DW446" s="2">
        <v>2</v>
      </c>
      <c r="DX446" s="2">
        <v>2</v>
      </c>
      <c r="DY446" s="2">
        <v>2</v>
      </c>
      <c r="DZ446" s="2">
        <v>33</v>
      </c>
      <c r="EA446" s="2">
        <v>33.5</v>
      </c>
      <c r="EB446" s="2">
        <v>42</v>
      </c>
      <c r="EC446" s="2">
        <v>1</v>
      </c>
      <c r="ED446" s="2">
        <v>1</v>
      </c>
    </row>
    <row r="447" spans="3:134" x14ac:dyDescent="0.25">
      <c r="C447" s="2" t="s">
        <v>113</v>
      </c>
      <c r="D447" s="2">
        <v>6490202761</v>
      </c>
      <c r="E447" s="5" t="s">
        <v>527</v>
      </c>
      <c r="F447" s="2">
        <v>2</v>
      </c>
      <c r="G447" s="2">
        <v>30</v>
      </c>
      <c r="H447" s="2">
        <v>-2.8674967381454981</v>
      </c>
      <c r="I447" s="2">
        <v>51</v>
      </c>
      <c r="J447" s="2">
        <v>0.58940135287155082</v>
      </c>
      <c r="K447" s="5">
        <v>2680</v>
      </c>
      <c r="L447" s="2">
        <v>-1.4634166609009831</v>
      </c>
      <c r="M447" s="2">
        <v>-2.0465</v>
      </c>
      <c r="N447" s="2">
        <f t="shared" si="399"/>
        <v>0.65629836907274908</v>
      </c>
      <c r="O447" s="2">
        <f t="shared" si="400"/>
        <v>-2.0465</v>
      </c>
      <c r="P447" s="2">
        <v>66</v>
      </c>
      <c r="Q447" s="2">
        <v>-0.77</v>
      </c>
      <c r="R447" s="5">
        <f t="shared" si="401"/>
        <v>-1.2897006764357755</v>
      </c>
      <c r="S447" s="5">
        <f t="shared" si="402"/>
        <v>-0.77</v>
      </c>
      <c r="T447" s="1">
        <v>6400</v>
      </c>
      <c r="U447" s="2">
        <v>-1.94</v>
      </c>
      <c r="V447" s="2">
        <f t="shared" si="403"/>
        <v>-0.40829166954950835</v>
      </c>
      <c r="W447" s="2">
        <f t="shared" si="404"/>
        <v>-1.94</v>
      </c>
      <c r="X447" s="2">
        <v>-1.5548999999999999</v>
      </c>
      <c r="Y447" s="76">
        <f t="shared" si="440"/>
        <v>1.3125967381454982</v>
      </c>
      <c r="Z447" s="76">
        <f t="shared" si="441"/>
        <v>2</v>
      </c>
      <c r="AA447" s="2">
        <f t="shared" si="405"/>
        <v>-0.3921</v>
      </c>
      <c r="AB447" s="2">
        <f t="shared" si="406"/>
        <v>-1.5548999999999999</v>
      </c>
      <c r="AC447" s="2">
        <v>71</v>
      </c>
      <c r="AD447" s="2">
        <v>-1.99</v>
      </c>
      <c r="AE447" s="79">
        <f t="shared" si="442"/>
        <v>-2.5794013528715509</v>
      </c>
      <c r="AF447" s="79">
        <f t="shared" si="443"/>
        <v>-2</v>
      </c>
      <c r="AG447" s="2">
        <f t="shared" si="461"/>
        <v>-0.59</v>
      </c>
      <c r="AH447" s="2">
        <f t="shared" si="407"/>
        <v>-1.99</v>
      </c>
      <c r="AI447" s="2">
        <v>7500</v>
      </c>
      <c r="AJ447" s="2">
        <v>-2.2799999999999998</v>
      </c>
      <c r="AK447" s="76">
        <f t="shared" si="444"/>
        <v>-0.8165833390990167</v>
      </c>
      <c r="AL447" s="76">
        <f t="shared" si="445"/>
        <v>-2</v>
      </c>
      <c r="AM447" s="2">
        <f t="shared" si="408"/>
        <v>-0.15999999999999992</v>
      </c>
      <c r="AN447" s="2">
        <f t="shared" si="409"/>
        <v>-2.2799999999999998</v>
      </c>
      <c r="AO447" s="2">
        <v>-1.5542</v>
      </c>
      <c r="AP447" s="2">
        <f t="shared" si="410"/>
        <v>-0.62085478526635263</v>
      </c>
      <c r="AQ447" s="2">
        <f t="shared" si="411"/>
        <v>-1.5542</v>
      </c>
      <c r="AR447" s="2">
        <v>77</v>
      </c>
      <c r="AS447" s="2">
        <v>-1.95</v>
      </c>
      <c r="AT447" s="2">
        <f t="shared" si="412"/>
        <v>0.58727626407577682</v>
      </c>
      <c r="AU447" s="2">
        <f t="shared" si="413"/>
        <v>-1.95</v>
      </c>
      <c r="AV447" s="2">
        <v>8500</v>
      </c>
      <c r="AW447" s="2">
        <v>-2.2599999999999998</v>
      </c>
      <c r="AX447" s="2">
        <f t="shared" si="414"/>
        <v>-0.15872308480501762</v>
      </c>
      <c r="AY447" s="2">
        <f t="shared" si="415"/>
        <v>-2.2599999999999998</v>
      </c>
      <c r="AZ447" s="2">
        <v>-2.7966095705327052</v>
      </c>
      <c r="BA447" s="78">
        <f t="shared" si="446"/>
        <v>-1.2417095705327053</v>
      </c>
      <c r="BB447" s="78">
        <f t="shared" si="447"/>
        <v>-2</v>
      </c>
      <c r="BC447" s="2" t="str">
        <f t="shared" si="416"/>
        <v/>
      </c>
      <c r="BD447" s="2">
        <f t="shared" si="417"/>
        <v>-2.7966095705327052</v>
      </c>
      <c r="BE447" s="67">
        <f t="shared" si="448"/>
        <v>2</v>
      </c>
      <c r="BF447" s="2">
        <v>84</v>
      </c>
      <c r="BG447" s="2">
        <v>-0.81544747184844635</v>
      </c>
      <c r="BH447" s="2" t="str">
        <f t="shared" si="418"/>
        <v/>
      </c>
      <c r="BI447" s="2">
        <f t="shared" si="419"/>
        <v>-0.81544747184844635</v>
      </c>
      <c r="BJ447" s="67">
        <f t="shared" si="420"/>
        <v>7</v>
      </c>
      <c r="BK447" s="2">
        <v>9700</v>
      </c>
      <c r="BL447" s="2">
        <v>-2.597446169610035</v>
      </c>
      <c r="BM447" s="77">
        <f t="shared" si="449"/>
        <v>-0.31744616961003524</v>
      </c>
      <c r="BN447" s="77">
        <f t="shared" si="450"/>
        <v>-1</v>
      </c>
      <c r="BO447" s="2" t="str">
        <f t="shared" si="421"/>
        <v/>
      </c>
      <c r="BP447" s="2">
        <f t="shared" si="422"/>
        <v>-2.597446169610035</v>
      </c>
      <c r="BQ447" s="67">
        <f t="shared" si="451"/>
        <v>4</v>
      </c>
      <c r="BS447" s="75" t="str">
        <f t="shared" si="452"/>
        <v>UF</v>
      </c>
      <c r="BT447" s="75" t="str">
        <f t="shared" si="453"/>
        <v>UF</v>
      </c>
      <c r="BU447" s="5" t="str">
        <f t="shared" si="465"/>
        <v>UF</v>
      </c>
      <c r="BV447" s="5" t="str">
        <f t="shared" si="423"/>
        <v>UF</v>
      </c>
      <c r="BW447" s="69" t="str">
        <f t="shared" si="424"/>
        <v/>
      </c>
      <c r="BX447" s="2" t="s">
        <v>12</v>
      </c>
      <c r="BZ447" s="74" t="str">
        <f t="shared" si="454"/>
        <v>UF</v>
      </c>
      <c r="CA447" s="74" t="str">
        <f t="shared" si="455"/>
        <v>UF</v>
      </c>
      <c r="CB447" s="5" t="str">
        <f t="shared" si="425"/>
        <v>UF</v>
      </c>
      <c r="CC447" s="5" t="str">
        <f t="shared" si="426"/>
        <v>UF</v>
      </c>
      <c r="CD447" s="2" t="e">
        <f t="shared" si="427"/>
        <v>#VALUE!</v>
      </c>
      <c r="CE447" s="69" t="str">
        <f t="shared" si="428"/>
        <v/>
      </c>
      <c r="CF447" s="5" t="s">
        <v>12</v>
      </c>
      <c r="CH447" s="72" t="str">
        <f t="shared" si="456"/>
        <v>UF</v>
      </c>
      <c r="CI447" s="72" t="str">
        <f t="shared" si="457"/>
        <v>UF</v>
      </c>
      <c r="CJ447" s="5" t="str">
        <f t="shared" si="429"/>
        <v>UF</v>
      </c>
      <c r="CK447" s="5" t="str">
        <f t="shared" si="430"/>
        <v>UF</v>
      </c>
      <c r="CL447" s="69" t="str">
        <f t="shared" si="431"/>
        <v/>
      </c>
      <c r="CN447" s="70" t="str">
        <f t="shared" si="432"/>
        <v/>
      </c>
      <c r="CO447" s="5" t="str">
        <f t="shared" si="433"/>
        <v>UF</v>
      </c>
      <c r="CP447" s="5" t="str">
        <f>IF(G447&lt;48,"UF", IF(NOT(ISBLANK(CM:CM)), CM:CM, IF(BW:BW=1, BV:BV+Sheet2!B141, IF(Sheet1!BW:BW=2, Sheet1!BV:BV+Sheet2!B142, IF(Sheet1!BW:BW=7, Sheet1!BV:BV+Sheet2!B143,"")))))</f>
        <v>UF</v>
      </c>
      <c r="CQ447" s="69" t="str">
        <f t="shared" si="458"/>
        <v/>
      </c>
      <c r="CR447" s="5" t="s">
        <v>12</v>
      </c>
      <c r="CT447" s="5" t="str">
        <f t="shared" si="434"/>
        <v/>
      </c>
      <c r="CU447" s="80" t="str">
        <f t="shared" si="435"/>
        <v>UF</v>
      </c>
      <c r="CV447" s="80" t="str">
        <f t="shared" si="436"/>
        <v>UF</v>
      </c>
      <c r="CW447" s="20" t="str">
        <f>IF(G447&lt;48,"UF", IF(NOT(ISBLANK(CS447)), CS447, IF(CE447=5, CC447+Sheet2!B130, IF(CE447=6, CC447+Sheet2!B131, IF(CE447=7, CC447+Sheet2!B132,"")))))</f>
        <v>UF</v>
      </c>
      <c r="CX447" s="68" t="str">
        <f t="shared" si="459"/>
        <v/>
      </c>
      <c r="CY447" s="5" t="s">
        <v>12</v>
      </c>
      <c r="DA447" s="5" t="str">
        <f t="shared" si="437"/>
        <v>UF</v>
      </c>
      <c r="DB447" s="73" t="str">
        <f t="shared" si="438"/>
        <v>UF</v>
      </c>
      <c r="DC447" s="73" t="str">
        <f t="shared" si="439"/>
        <v>UF</v>
      </c>
      <c r="DD447" s="5" t="str">
        <f>IF(G447&lt;48,"UF", IF(NOT(ISBLANK(CZ:CZ)), CZ:CZ, IF(CL:CL=3, CK:CK+Sheet2!B135, IF(CL:CL=4, CK:CK+Sheet2!B136, IF(CL:CL=7, CK:CK+Sheet2!B137,"")))))</f>
        <v>UF</v>
      </c>
      <c r="DE447" s="69" t="str">
        <f t="shared" si="463"/>
        <v/>
      </c>
      <c r="DF447" s="2">
        <v>2</v>
      </c>
      <c r="DG447" s="2">
        <v>29</v>
      </c>
      <c r="DH447" s="2">
        <v>1</v>
      </c>
      <c r="DI447" s="2">
        <v>1</v>
      </c>
      <c r="DJ447" s="2">
        <v>2</v>
      </c>
      <c r="DK447" s="2">
        <v>90</v>
      </c>
      <c r="DL447" s="2">
        <v>60</v>
      </c>
      <c r="DM447" s="2">
        <v>100</v>
      </c>
      <c r="DN447" s="2">
        <v>60</v>
      </c>
      <c r="DO447" s="2">
        <v>105</v>
      </c>
      <c r="DP447" s="2">
        <v>55</v>
      </c>
      <c r="DQ447" s="2">
        <v>1</v>
      </c>
      <c r="DR447" s="2">
        <v>38</v>
      </c>
      <c r="DS447" s="2">
        <v>2</v>
      </c>
      <c r="DT447" s="2">
        <v>88</v>
      </c>
      <c r="DU447" s="2">
        <v>80</v>
      </c>
      <c r="DV447" s="2">
        <v>2</v>
      </c>
      <c r="DW447" s="2">
        <v>2</v>
      </c>
      <c r="DX447" s="2">
        <v>2</v>
      </c>
      <c r="DY447" s="2">
        <v>2</v>
      </c>
      <c r="DZ447" s="2">
        <v>34</v>
      </c>
      <c r="EA447" s="2">
        <v>34</v>
      </c>
      <c r="EB447" s="2">
        <v>41.8</v>
      </c>
      <c r="EC447" s="2">
        <v>1</v>
      </c>
      <c r="ED447" s="2">
        <v>3</v>
      </c>
    </row>
    <row r="448" spans="3:134" x14ac:dyDescent="0.25">
      <c r="C448" s="2" t="s">
        <v>23</v>
      </c>
      <c r="D448" s="2">
        <v>6490203154</v>
      </c>
      <c r="E448" s="5">
        <v>2</v>
      </c>
      <c r="F448" s="2">
        <v>2</v>
      </c>
      <c r="G448" s="2">
        <v>29</v>
      </c>
      <c r="H448" s="2">
        <v>-2.7622253432096389</v>
      </c>
      <c r="I448" s="2">
        <v>50</v>
      </c>
      <c r="J448" s="2">
        <v>6.1168777667580831E-2</v>
      </c>
      <c r="K448" s="5">
        <v>2600</v>
      </c>
      <c r="L448" s="2">
        <v>-1.654483181853698</v>
      </c>
      <c r="M448" s="2">
        <v>-1.4748000000000001</v>
      </c>
      <c r="N448" s="2">
        <f t="shared" si="399"/>
        <v>0.35791267160481932</v>
      </c>
      <c r="O448" s="2">
        <f t="shared" si="400"/>
        <v>-1.4748000000000001</v>
      </c>
      <c r="P448" s="2">
        <v>64</v>
      </c>
      <c r="Q448" s="2">
        <v>-1.7</v>
      </c>
      <c r="R448" s="5">
        <f t="shared" si="401"/>
        <v>-0.39558438883379043</v>
      </c>
      <c r="S448" s="5">
        <f t="shared" si="402"/>
        <v>-1.7</v>
      </c>
      <c r="T448" s="1">
        <v>6300</v>
      </c>
      <c r="U448" s="2">
        <v>-2.08</v>
      </c>
      <c r="V448" s="2">
        <f t="shared" si="403"/>
        <v>-0.10775840907315104</v>
      </c>
      <c r="W448" s="2">
        <f t="shared" si="404"/>
        <v>-2.08</v>
      </c>
      <c r="X448" s="2">
        <v>-2.0464000000000002</v>
      </c>
      <c r="Y448" s="76">
        <f t="shared" si="440"/>
        <v>0.71582534320963864</v>
      </c>
      <c r="Z448" s="76">
        <f t="shared" si="441"/>
        <v>2</v>
      </c>
      <c r="AA448" s="2">
        <f t="shared" si="405"/>
        <v>-0.17414999999999992</v>
      </c>
      <c r="AB448" s="2">
        <f t="shared" si="406"/>
        <v>-2.0464000000000002</v>
      </c>
      <c r="AC448" s="2">
        <v>74</v>
      </c>
      <c r="AD448" s="2">
        <v>-0.73</v>
      </c>
      <c r="AE448" s="79">
        <f t="shared" si="442"/>
        <v>-0.79116877766758087</v>
      </c>
      <c r="AF448" s="79">
        <f t="shared" si="443"/>
        <v>-2</v>
      </c>
      <c r="AG448" s="2">
        <f t="shared" si="461"/>
        <v>0.43</v>
      </c>
      <c r="AH448" s="2">
        <f t="shared" si="407"/>
        <v>-0.73</v>
      </c>
      <c r="AI448" s="2">
        <v>7850</v>
      </c>
      <c r="AJ448" s="2">
        <v>-1.87</v>
      </c>
      <c r="AK448" s="76">
        <f t="shared" si="444"/>
        <v>-0.21551681814630208</v>
      </c>
      <c r="AL448" s="76">
        <f t="shared" si="445"/>
        <v>-1</v>
      </c>
      <c r="AM448" s="2">
        <f t="shared" si="408"/>
        <v>9.000000000000008E-2</v>
      </c>
      <c r="AN448" s="2">
        <f t="shared" si="409"/>
        <v>-1.87</v>
      </c>
      <c r="AO448" s="2">
        <v>-2.0482999999999998</v>
      </c>
      <c r="AP448" s="2" t="str">
        <f t="shared" si="410"/>
        <v/>
      </c>
      <c r="AQ448" s="2">
        <f t="shared" si="411"/>
        <v>-2.0482999999999998</v>
      </c>
      <c r="AR448" s="2">
        <v>80</v>
      </c>
      <c r="AS448" s="2">
        <v>-0.84</v>
      </c>
      <c r="AT448" s="2" t="str">
        <f t="shared" si="412"/>
        <v/>
      </c>
      <c r="AU448" s="2">
        <f t="shared" si="413"/>
        <v>-0.84</v>
      </c>
      <c r="AV448" s="2">
        <v>8850</v>
      </c>
      <c r="AW448" s="2">
        <v>-1.9</v>
      </c>
      <c r="AX448" s="2" t="str">
        <f t="shared" si="414"/>
        <v/>
      </c>
      <c r="AY448" s="2">
        <f t="shared" si="415"/>
        <v>-1.9</v>
      </c>
      <c r="BA448" s="78" t="e">
        <f t="shared" si="446"/>
        <v>#VALUE!</v>
      </c>
      <c r="BB448" s="78" t="e">
        <f t="shared" si="447"/>
        <v>#VALUE!</v>
      </c>
      <c r="BC448" s="2" t="str">
        <f t="shared" si="416"/>
        <v/>
      </c>
      <c r="BD448" s="2" t="e">
        <f t="shared" si="417"/>
        <v>#VALUE!</v>
      </c>
      <c r="BE448" s="67" t="e">
        <f t="shared" si="448"/>
        <v>#VALUE!</v>
      </c>
      <c r="BF448" s="2" t="s">
        <v>12</v>
      </c>
      <c r="BH448" s="2" t="str">
        <f t="shared" si="418"/>
        <v/>
      </c>
      <c r="BI448" s="2" t="e">
        <f t="shared" si="419"/>
        <v>#VALUE!</v>
      </c>
      <c r="BJ448" s="67" t="e">
        <f t="shared" si="420"/>
        <v>#VALUE!</v>
      </c>
      <c r="BK448" s="2" t="s">
        <v>12</v>
      </c>
      <c r="BM448" s="77" t="e">
        <f t="shared" si="449"/>
        <v>#VALUE!</v>
      </c>
      <c r="BN448" s="77" t="e">
        <f t="shared" si="450"/>
        <v>#VALUE!</v>
      </c>
      <c r="BO448" s="2" t="str">
        <f t="shared" si="421"/>
        <v/>
      </c>
      <c r="BP448" s="2" t="e">
        <f t="shared" si="422"/>
        <v>#VALUE!</v>
      </c>
      <c r="BQ448" s="67" t="e">
        <f t="shared" si="451"/>
        <v>#VALUE!</v>
      </c>
      <c r="BS448" s="75" t="str">
        <f t="shared" si="452"/>
        <v>UF</v>
      </c>
      <c r="BT448" s="75" t="str">
        <f t="shared" si="453"/>
        <v>UF</v>
      </c>
      <c r="BU448" s="5" t="str">
        <f t="shared" ref="BU448:BU453" si="466">IF(G457&gt;=36, IF(AND(NOT(ISBLANK(CM:CM)), NOT(ISBLANK(BD:BD))), (CM:CM-BD:BD)/2, ""), "UF")</f>
        <v>UF</v>
      </c>
      <c r="BV448" s="5" t="str">
        <f t="shared" si="423"/>
        <v>UF</v>
      </c>
      <c r="BW448" s="69" t="str">
        <f t="shared" si="424"/>
        <v/>
      </c>
      <c r="BX448" s="2" t="s">
        <v>12</v>
      </c>
      <c r="BZ448" s="74" t="str">
        <f t="shared" si="454"/>
        <v>UF</v>
      </c>
      <c r="CA448" s="74" t="str">
        <f t="shared" si="455"/>
        <v>UF</v>
      </c>
      <c r="CB448" s="5" t="str">
        <f t="shared" si="425"/>
        <v>UF</v>
      </c>
      <c r="CC448" s="5" t="str">
        <f t="shared" si="426"/>
        <v>UF</v>
      </c>
      <c r="CD448" s="2" t="e">
        <f t="shared" si="427"/>
        <v>#VALUE!</v>
      </c>
      <c r="CE448" s="69" t="str">
        <f t="shared" si="428"/>
        <v/>
      </c>
      <c r="CF448" s="5" t="s">
        <v>12</v>
      </c>
      <c r="CH448" s="72" t="str">
        <f t="shared" si="456"/>
        <v>UF</v>
      </c>
      <c r="CI448" s="72" t="str">
        <f t="shared" si="457"/>
        <v>UF</v>
      </c>
      <c r="CJ448" s="5" t="str">
        <f t="shared" si="429"/>
        <v>UF</v>
      </c>
      <c r="CK448" s="5" t="str">
        <f t="shared" si="430"/>
        <v>UF</v>
      </c>
      <c r="CL448" s="69" t="str">
        <f t="shared" si="431"/>
        <v/>
      </c>
      <c r="CN448" s="70" t="str">
        <f t="shared" si="432"/>
        <v/>
      </c>
      <c r="CO448" s="5" t="str">
        <f t="shared" si="433"/>
        <v>UF</v>
      </c>
      <c r="CP448" s="5" t="str">
        <f>IF(G448&lt;48,"UF", IF(NOT(ISBLANK(CM:CM)), CM:CM, IF(BW:BW=1, BV:BV+Sheet2!B45, IF(Sheet1!BW:BW=2, Sheet1!BV:BV+Sheet2!B46, IF(Sheet1!BW:BW=7, Sheet1!BV:BV+Sheet2!B47,"")))))</f>
        <v>UF</v>
      </c>
      <c r="CQ448" s="69" t="str">
        <f t="shared" si="458"/>
        <v/>
      </c>
      <c r="CR448" s="5" t="s">
        <v>12</v>
      </c>
      <c r="CT448" s="5" t="str">
        <f t="shared" si="434"/>
        <v/>
      </c>
      <c r="CU448" s="80" t="str">
        <f t="shared" si="435"/>
        <v>UF</v>
      </c>
      <c r="CV448" s="80" t="str">
        <f t="shared" si="436"/>
        <v>UF</v>
      </c>
      <c r="CW448" s="20" t="str">
        <f>IF(G448&lt;48,"UF", IF(NOT(ISBLANK(CS448)), CS448, IF(CE448=5, CC448+Sheet2!B34, IF(CE448=6, CC448+Sheet2!B35, IF(CE448=7, CC448+Sheet2!B36,"")))))</f>
        <v>UF</v>
      </c>
      <c r="CX448" s="68" t="str">
        <f t="shared" si="459"/>
        <v/>
      </c>
      <c r="CY448" s="5" t="s">
        <v>12</v>
      </c>
      <c r="DA448" s="5" t="str">
        <f t="shared" si="437"/>
        <v>UF</v>
      </c>
      <c r="DB448" s="73" t="str">
        <f t="shared" si="438"/>
        <v>UF</v>
      </c>
      <c r="DC448" s="73" t="str">
        <f t="shared" si="439"/>
        <v>UF</v>
      </c>
      <c r="DD448" s="5" t="str">
        <f>IF(G448&lt;48,"UF", IF(NOT(ISBLANK(CZ:CZ)), CZ:CZ, IF(CL:CL=3, CK:CK+Sheet2!B39, IF(CL:CL=4, CK:CK+Sheet2!B40, IF(CL:CL=7, CK:CK+Sheet2!B41,"")))))</f>
        <v>UF</v>
      </c>
      <c r="DE448" s="69" t="str">
        <f t="shared" si="463"/>
        <v/>
      </c>
      <c r="DF448" s="2">
        <v>3</v>
      </c>
      <c r="DG448" s="2">
        <v>36</v>
      </c>
      <c r="DH448" s="2">
        <v>1</v>
      </c>
      <c r="DI448" s="2">
        <v>1</v>
      </c>
      <c r="DJ448" s="2">
        <v>2</v>
      </c>
      <c r="DK448" s="2">
        <v>80</v>
      </c>
      <c r="DL448" s="2">
        <v>56</v>
      </c>
      <c r="DM448" s="2">
        <v>95</v>
      </c>
      <c r="DN448" s="2">
        <v>59</v>
      </c>
      <c r="DO448" s="2">
        <v>105</v>
      </c>
      <c r="DP448" s="2">
        <v>65</v>
      </c>
      <c r="DQ448" s="2">
        <v>2</v>
      </c>
      <c r="DR448" s="2">
        <v>38</v>
      </c>
      <c r="DS448" s="2">
        <v>2</v>
      </c>
      <c r="DT448" s="2">
        <v>75</v>
      </c>
      <c r="DU448" s="2">
        <v>78</v>
      </c>
      <c r="DV448" s="2">
        <v>3</v>
      </c>
      <c r="DW448" s="2">
        <v>2</v>
      </c>
      <c r="DX448" s="2">
        <v>2</v>
      </c>
      <c r="DY448" s="2">
        <v>1</v>
      </c>
      <c r="DZ448" s="2">
        <v>34</v>
      </c>
      <c r="EA448" s="2">
        <v>34.5</v>
      </c>
      <c r="EB448" s="2">
        <v>44.5</v>
      </c>
      <c r="EC448" s="2">
        <v>1</v>
      </c>
      <c r="ED448" s="2">
        <v>1</v>
      </c>
    </row>
    <row r="449" spans="3:134" x14ac:dyDescent="0.25">
      <c r="C449" s="5" t="s">
        <v>386</v>
      </c>
      <c r="D449" s="8">
        <v>6490203189</v>
      </c>
      <c r="E449" s="3">
        <v>7</v>
      </c>
      <c r="F449" s="2">
        <v>1</v>
      </c>
      <c r="G449" s="2">
        <v>32</v>
      </c>
      <c r="H449" s="2">
        <v>-9.1927970533471501E-2</v>
      </c>
      <c r="I449" s="2">
        <v>44</v>
      </c>
      <c r="J449" s="2">
        <v>-2.763572780344921</v>
      </c>
      <c r="K449" s="5">
        <v>2560</v>
      </c>
      <c r="L449" s="2">
        <v>-1.574358683241782</v>
      </c>
      <c r="M449" s="2">
        <v>0.41620000000000001</v>
      </c>
      <c r="N449" s="2">
        <f t="shared" si="399"/>
        <v>0.21896398526673574</v>
      </c>
      <c r="O449" s="2">
        <f t="shared" si="400"/>
        <v>0.41620000000000001</v>
      </c>
      <c r="P449" s="2">
        <v>67.5</v>
      </c>
      <c r="Q449" s="2">
        <v>0.77</v>
      </c>
      <c r="R449" s="5">
        <f t="shared" si="401"/>
        <v>1.9617863901724606</v>
      </c>
      <c r="S449" s="5">
        <f t="shared" si="402"/>
        <v>0.77</v>
      </c>
      <c r="T449" s="1">
        <v>8000</v>
      </c>
      <c r="U449" s="2">
        <v>0.75</v>
      </c>
      <c r="V449" s="2">
        <f t="shared" si="403"/>
        <v>1.2371793416208909</v>
      </c>
      <c r="W449" s="2">
        <f t="shared" si="404"/>
        <v>0.75</v>
      </c>
      <c r="X449" s="2">
        <v>0.34599999999999997</v>
      </c>
      <c r="Y449" s="76">
        <f t="shared" si="440"/>
        <v>0.43792797053347149</v>
      </c>
      <c r="Z449" s="76">
        <f t="shared" si="441"/>
        <v>1</v>
      </c>
      <c r="AA449" s="2">
        <f t="shared" si="405"/>
        <v>-0.45350000000000001</v>
      </c>
      <c r="AB449" s="2">
        <f t="shared" si="406"/>
        <v>0.34599999999999997</v>
      </c>
      <c r="AC449" s="2">
        <v>77</v>
      </c>
      <c r="AD449" s="2">
        <v>1.1599999999999999</v>
      </c>
      <c r="AE449" s="79">
        <f t="shared" si="442"/>
        <v>3.9235727803449212</v>
      </c>
      <c r="AF449" s="79">
        <f t="shared" si="443"/>
        <v>2</v>
      </c>
      <c r="AG449" s="2">
        <f t="shared" si="461"/>
        <v>-0.16500000000000001</v>
      </c>
      <c r="AH449" s="2">
        <f t="shared" si="407"/>
        <v>1.1599999999999999</v>
      </c>
      <c r="AI449" s="2">
        <v>10000</v>
      </c>
      <c r="AJ449" s="2">
        <v>0.9</v>
      </c>
      <c r="AK449" s="76">
        <f t="shared" si="444"/>
        <v>2.4743586832417819</v>
      </c>
      <c r="AL449" s="76">
        <f t="shared" si="445"/>
        <v>2</v>
      </c>
      <c r="AM449" s="2">
        <f t="shared" si="408"/>
        <v>-0.28999999999999998</v>
      </c>
      <c r="AN449" s="2">
        <f t="shared" si="409"/>
        <v>0.9</v>
      </c>
      <c r="AO449" s="2">
        <v>-0.13700000000000001</v>
      </c>
      <c r="AP449" s="2" t="str">
        <f t="shared" si="410"/>
        <v/>
      </c>
      <c r="AQ449" s="2">
        <f t="shared" si="411"/>
        <v>-0.13700000000000001</v>
      </c>
      <c r="AR449" s="2">
        <v>82</v>
      </c>
      <c r="AS449" s="2">
        <v>0.44</v>
      </c>
      <c r="AT449" s="2" t="str">
        <f t="shared" si="412"/>
        <v/>
      </c>
      <c r="AU449" s="2">
        <f t="shared" si="413"/>
        <v>0.44</v>
      </c>
      <c r="AV449" s="2">
        <v>10450</v>
      </c>
      <c r="AW449" s="2">
        <v>0.17</v>
      </c>
      <c r="AX449" s="2" t="str">
        <f t="shared" si="414"/>
        <v/>
      </c>
      <c r="AY449" s="2">
        <f t="shared" si="415"/>
        <v>0.17</v>
      </c>
      <c r="BA449" s="78" t="e">
        <f t="shared" si="446"/>
        <v>#VALUE!</v>
      </c>
      <c r="BB449" s="78" t="e">
        <f t="shared" si="447"/>
        <v>#VALUE!</v>
      </c>
      <c r="BC449" s="2" t="str">
        <f t="shared" si="416"/>
        <v/>
      </c>
      <c r="BD449" s="2" t="e">
        <f t="shared" si="417"/>
        <v>#VALUE!</v>
      </c>
      <c r="BE449" s="67" t="e">
        <f t="shared" si="448"/>
        <v>#VALUE!</v>
      </c>
      <c r="BF449" s="2" t="s">
        <v>12</v>
      </c>
      <c r="BH449" s="2" t="str">
        <f t="shared" si="418"/>
        <v/>
      </c>
      <c r="BI449" s="2" t="e">
        <f t="shared" si="419"/>
        <v>#VALUE!</v>
      </c>
      <c r="BJ449" s="67" t="e">
        <f t="shared" si="420"/>
        <v>#VALUE!</v>
      </c>
      <c r="BK449" s="2" t="s">
        <v>12</v>
      </c>
      <c r="BM449" s="77" t="e">
        <f t="shared" si="449"/>
        <v>#VALUE!</v>
      </c>
      <c r="BN449" s="77" t="e">
        <f t="shared" si="450"/>
        <v>#VALUE!</v>
      </c>
      <c r="BO449" s="2" t="str">
        <f t="shared" si="421"/>
        <v/>
      </c>
      <c r="BP449" s="2" t="e">
        <f t="shared" si="422"/>
        <v>#VALUE!</v>
      </c>
      <c r="BQ449" s="67" t="e">
        <f t="shared" si="451"/>
        <v>#VALUE!</v>
      </c>
      <c r="BS449" s="75" t="str">
        <f t="shared" si="452"/>
        <v>UF</v>
      </c>
      <c r="BT449" s="75" t="str">
        <f t="shared" si="453"/>
        <v>UF</v>
      </c>
      <c r="BU449" s="5" t="str">
        <f t="shared" si="466"/>
        <v/>
      </c>
      <c r="BV449" s="5" t="str">
        <f t="shared" si="423"/>
        <v>UF</v>
      </c>
      <c r="BW449" s="69" t="str">
        <f t="shared" si="424"/>
        <v/>
      </c>
      <c r="BX449" s="2" t="s">
        <v>12</v>
      </c>
      <c r="BZ449" s="74" t="str">
        <f t="shared" si="454"/>
        <v>UF</v>
      </c>
      <c r="CA449" s="74" t="str">
        <f t="shared" si="455"/>
        <v>UF</v>
      </c>
      <c r="CB449" s="5" t="str">
        <f t="shared" si="425"/>
        <v>UF</v>
      </c>
      <c r="CC449" s="5" t="str">
        <f t="shared" si="426"/>
        <v>UF</v>
      </c>
      <c r="CD449" s="2" t="e">
        <f t="shared" si="427"/>
        <v>#VALUE!</v>
      </c>
      <c r="CE449" s="69" t="str">
        <f t="shared" si="428"/>
        <v/>
      </c>
      <c r="CF449" s="5" t="s">
        <v>12</v>
      </c>
      <c r="CH449" s="72" t="str">
        <f t="shared" si="456"/>
        <v>UF</v>
      </c>
      <c r="CI449" s="72" t="str">
        <f t="shared" si="457"/>
        <v>UF</v>
      </c>
      <c r="CJ449" s="5" t="str">
        <f t="shared" si="429"/>
        <v>UF</v>
      </c>
      <c r="CK449" s="5" t="str">
        <f t="shared" si="430"/>
        <v>UF</v>
      </c>
      <c r="CL449" s="69" t="str">
        <f t="shared" si="431"/>
        <v/>
      </c>
      <c r="CN449" s="70" t="str">
        <f t="shared" si="432"/>
        <v/>
      </c>
      <c r="CO449" s="5" t="str">
        <f t="shared" si="433"/>
        <v>UF</v>
      </c>
      <c r="CP449" s="5" t="str">
        <f>IF(G449&lt;48,"UF", IF(NOT(ISBLANK(CM:CM)), CM:CM, IF(BW:BW=1, BV:BV+Sheet2!B602, IF(Sheet1!BW:BW=2, Sheet1!BV:BV+Sheet2!B603, IF(Sheet1!BW:BW=7, Sheet1!BV:BV+Sheet2!B604,"")))))</f>
        <v>UF</v>
      </c>
      <c r="CQ449" s="69" t="str">
        <f t="shared" si="458"/>
        <v/>
      </c>
      <c r="CR449" s="5" t="s">
        <v>12</v>
      </c>
      <c r="CT449" s="5" t="str">
        <f t="shared" si="434"/>
        <v/>
      </c>
      <c r="CU449" s="80" t="str">
        <f t="shared" si="435"/>
        <v>UF</v>
      </c>
      <c r="CV449" s="80" t="str">
        <f t="shared" si="436"/>
        <v>UF</v>
      </c>
      <c r="CW449" s="20" t="str">
        <f>IF(G449&lt;48,"UF", IF(NOT(ISBLANK(CS449)), CS449, IF(CE449=5, CC449+Sheet2!B591, IF(CE449=6, CC449+Sheet2!B592, IF(CE449=7, CC449+Sheet2!B593,"")))))</f>
        <v>UF</v>
      </c>
      <c r="CX449" s="68" t="str">
        <f t="shared" si="459"/>
        <v/>
      </c>
      <c r="CY449" s="5" t="s">
        <v>12</v>
      </c>
      <c r="DA449" s="5" t="str">
        <f t="shared" si="437"/>
        <v>UF</v>
      </c>
      <c r="DB449" s="73" t="str">
        <f t="shared" si="438"/>
        <v>UF</v>
      </c>
      <c r="DC449" s="73" t="str">
        <f t="shared" si="439"/>
        <v>UF</v>
      </c>
      <c r="DD449" s="5" t="str">
        <f>IF(G449&lt;48,"UF", IF(NOT(ISBLANK(CZ:CZ)), CZ:CZ, IF(CL:CL=3, CK:CK+Sheet2!B596, IF(CL:CL=4, CK:CK+Sheet2!B597, IF(CL:CL=7, CK:CK+Sheet2!B598,"")))))</f>
        <v>UF</v>
      </c>
      <c r="DE449" s="69" t="str">
        <f t="shared" si="463"/>
        <v/>
      </c>
      <c r="DF449" s="2">
        <v>3</v>
      </c>
      <c r="DG449" s="2">
        <v>40</v>
      </c>
      <c r="DH449" s="2">
        <v>1</v>
      </c>
      <c r="DI449" s="2">
        <v>2</v>
      </c>
      <c r="DJ449" s="2">
        <v>2</v>
      </c>
      <c r="DK449" s="2">
        <v>90</v>
      </c>
      <c r="DL449" s="2">
        <v>53</v>
      </c>
      <c r="DM449" s="2">
        <v>113</v>
      </c>
      <c r="DN449" s="2">
        <v>62</v>
      </c>
      <c r="DO449" s="2">
        <v>125</v>
      </c>
      <c r="DP449" s="2">
        <v>76</v>
      </c>
      <c r="DQ449" s="2">
        <v>1</v>
      </c>
      <c r="DR449" s="2">
        <v>37</v>
      </c>
      <c r="DS449" s="2">
        <v>1</v>
      </c>
      <c r="DT449" s="2">
        <v>98</v>
      </c>
      <c r="DU449" s="2">
        <v>88</v>
      </c>
      <c r="DV449" s="2">
        <v>2</v>
      </c>
      <c r="DW449" s="2">
        <v>3</v>
      </c>
      <c r="DX449" s="2">
        <v>2</v>
      </c>
      <c r="DY449" s="2">
        <v>1</v>
      </c>
      <c r="DZ449" s="2">
        <v>35</v>
      </c>
      <c r="EA449" s="2">
        <v>35</v>
      </c>
      <c r="EB449" s="2">
        <v>46.5</v>
      </c>
      <c r="EC449" s="2">
        <v>1</v>
      </c>
      <c r="ED449" s="2">
        <v>1</v>
      </c>
    </row>
    <row r="450" spans="3:134" x14ac:dyDescent="0.25">
      <c r="C450" s="2" t="s">
        <v>24</v>
      </c>
      <c r="D450" s="2">
        <v>6490203601</v>
      </c>
      <c r="E450" s="5">
        <v>2</v>
      </c>
      <c r="F450" s="2">
        <v>1</v>
      </c>
      <c r="G450" s="2">
        <v>28</v>
      </c>
      <c r="H450" s="2">
        <v>-1.0535596454097369</v>
      </c>
      <c r="I450" s="2">
        <v>45</v>
      </c>
      <c r="J450" s="2">
        <v>-2.2267170773967009</v>
      </c>
      <c r="K450" s="5">
        <v>2450</v>
      </c>
      <c r="L450" s="2">
        <v>-1.8555859596417541</v>
      </c>
      <c r="M450" s="2">
        <v>-2.5657999999999999</v>
      </c>
      <c r="N450" s="2">
        <f t="shared" ref="N450:N505" si="467">IF(AND(NOT(ISBLANK(H:H)), NOT(ISBLANK(X:X))), (X:X - H:H)/2, "")</f>
        <v>-0.1008201772951316</v>
      </c>
      <c r="O450" s="2">
        <f t="shared" ref="O450:O505" si="468">IF(NOT(ISBLANK(M:M)),M:M,IF(AND(NOT(ISBLANK(N:N)),NOT(ISBLANK(H:H))),H:H+N:N,""))</f>
        <v>-2.5657999999999999</v>
      </c>
      <c r="P450" s="2">
        <v>64.5</v>
      </c>
      <c r="Q450" s="2">
        <v>-0.55000000000000004</v>
      </c>
      <c r="R450" s="5">
        <f t="shared" ref="R450:R505" si="469">IF(AND(NOT(ISBLANK(J450)), NOT(ISBLANK(AD450))), (AD450 - J450)/2, "")</f>
        <v>0.52835853869835048</v>
      </c>
      <c r="S450" s="5">
        <f t="shared" ref="S450:S505" si="470">IF(NOT(ISBLANK(Q450)),Q450,IF(AND(NOT(ISBLANK(J450)),NOT(ISBLANK(R450))),J450+R450,""))</f>
        <v>-0.55000000000000004</v>
      </c>
      <c r="T450" s="1">
        <v>5600</v>
      </c>
      <c r="U450" s="2">
        <v>-2.2000000000000002</v>
      </c>
      <c r="V450" s="2">
        <f t="shared" ref="V450:V505" si="471">IF(AND(NOT(ISBLANK(L450)), NOT(ISBLANK(AJ450))), (AJ450 - L450)/2, "")</f>
        <v>0.13779297982087702</v>
      </c>
      <c r="W450" s="2">
        <f t="shared" ref="W450:W505" si="472">IF(NOT(ISBLANK(U450)), U450, IF(AND(NOT(ISBLANK(L450)), NOT(ISBLANK(V450))), L450 + V450, ""))</f>
        <v>-2.2000000000000002</v>
      </c>
      <c r="X450" s="2">
        <v>-1.2552000000000001</v>
      </c>
      <c r="Y450" s="76">
        <f t="shared" si="440"/>
        <v>-0.20164035459026319</v>
      </c>
      <c r="Z450" s="76">
        <f t="shared" si="441"/>
        <v>-1</v>
      </c>
      <c r="AA450" s="2">
        <f t="shared" ref="AA450:AA505" si="473">IF(AND(NOT(ISBLANK(S:S)), NOT(ISBLANK(AO:AO))), (AO:AO- S:S)/2, "")</f>
        <v>-0.41744999999999999</v>
      </c>
      <c r="AB450" s="2">
        <f t="shared" ref="AB450:AB505" si="474">IF(NOT(ISBLANK(X:X)),X:X,IF(AND(NOT(ISBLANK(O:O)),NOT(ISBLANK(AA:AA))),O:O+AA:AA,""))</f>
        <v>-1.2552000000000001</v>
      </c>
      <c r="AC450" s="2">
        <v>71</v>
      </c>
      <c r="AD450" s="2">
        <v>-1.17</v>
      </c>
      <c r="AE450" s="79">
        <f t="shared" si="442"/>
        <v>1.056717077396701</v>
      </c>
      <c r="AF450" s="79">
        <f t="shared" si="443"/>
        <v>2</v>
      </c>
      <c r="AG450" s="2">
        <f t="shared" si="461"/>
        <v>-0.36499999999999999</v>
      </c>
      <c r="AH450" s="2">
        <f t="shared" ref="AH450:AH505" si="475">IF(NOT(ISBLANK(AD450)), AD450, IF(AND(NOT(ISBLANK(S450)), NOT(ISBLANK(AG450))), S450 + AG450, ""))</f>
        <v>-1.17</v>
      </c>
      <c r="AI450" s="2">
        <v>7400</v>
      </c>
      <c r="AJ450" s="2">
        <v>-1.58</v>
      </c>
      <c r="AK450" s="76">
        <f t="shared" si="444"/>
        <v>0.27558595964175403</v>
      </c>
      <c r="AL450" s="76">
        <f t="shared" si="445"/>
        <v>1</v>
      </c>
      <c r="AM450" s="2">
        <f t="shared" ref="AM450:AM506" si="476">IF(AND(NOT(ISBLANK(W450)), NOT(ISBLANK(AW450))), (AW450 - W450)/2, "")</f>
        <v>0.22500000000000009</v>
      </c>
      <c r="AN450" s="2">
        <f t="shared" ref="AN450:AN505" si="477">IF(NOT(ISBLANK(AJ450)), AJ450, IF(AND(NOT(ISBLANK(W450)), NOT(ISBLANK(AM450))), W450 + AM450, ""))</f>
        <v>-1.58</v>
      </c>
      <c r="AO450" s="2">
        <v>-1.3849</v>
      </c>
      <c r="AP450" s="2">
        <f t="shared" ref="AP450:AP505" si="478">IF(AND(NOT(ISBLANK(AB:AB)), NOT(ISBLANK(AZ:AZ))), (AZ:AZ - AB:AB)/2, "")</f>
        <v>-0.5198486116510469</v>
      </c>
      <c r="AQ450" s="2">
        <f t="shared" ref="AQ450:AQ505" si="479">IF(NOT(ISBLANK(AO:AO)),AO:AO,IF(AND(NOT(ISBLANK(AB:AB)),NOT(ISBLANK(AP:AP))),AP:AP+AB:AB,""))</f>
        <v>-1.3849</v>
      </c>
      <c r="AR450" s="2">
        <v>77</v>
      </c>
      <c r="AS450" s="2">
        <v>-1.28</v>
      </c>
      <c r="AT450" s="2">
        <f t="shared" ref="AT450:AT505" si="480">IF(AND(NOT(ISBLANK(AH450)), NOT(ISBLANK(BG450))), (BG450 - AH450)/2, "")</f>
        <v>-4.4266785241711015E-2</v>
      </c>
      <c r="AU450" s="2">
        <f t="shared" ref="AU450:AU506" si="481">IF(NOT(ISBLANK(AS450)), AS450, IF(AND(NOT(ISBLANK(AH450)), NOT(ISBLANK(AT450))), AH450 + AT450, ""))</f>
        <v>-1.28</v>
      </c>
      <c r="AV450" s="2">
        <v>8300</v>
      </c>
      <c r="AW450" s="2">
        <v>-1.75</v>
      </c>
      <c r="AX450" s="2">
        <f t="shared" ref="AX450:AX506" si="482">IF(AND(NOT(ISBLANK(AN450)), NOT(ISBLANK(BL450))), (BL450 - AN450)/2, "")</f>
        <v>-0.76505147210149893</v>
      </c>
      <c r="AY450" s="2">
        <f t="shared" ref="AY450:AY506" si="483">IF(NOT(ISBLANK(AW450)), AW450, IF(AND(NOT(ISBLANK(AN450)), NOT(ISBLANK(AX450))),AN450 + AX450, ""))</f>
        <v>-1.75</v>
      </c>
      <c r="AZ450" s="2">
        <v>-2.2948972233020939</v>
      </c>
      <c r="BA450" s="78">
        <f t="shared" si="446"/>
        <v>-1.0396972233020938</v>
      </c>
      <c r="BB450" s="78">
        <f t="shared" si="447"/>
        <v>-2</v>
      </c>
      <c r="BC450" s="2" t="str">
        <f t="shared" ref="BC450:BC505" si="484">IF(AND(NOT(ISBLANK(AQ:AQ)), NOT(ISBLANK(BR:BR))), (BR:BR - AQ:AQ)/3, "")</f>
        <v/>
      </c>
      <c r="BD450" s="2">
        <f t="shared" ref="BD450:BD511" si="485">IF(NOT(ISBLANK(AZ:AZ)),AZ:AZ,IF(AND(NOT(ISBLANK(BC:BC)),NOT(ISBLANK(AQ:AQ))),AQ:AQ+BC:BC,""))</f>
        <v>-2.2948972233020939</v>
      </c>
      <c r="BE450" s="67">
        <f t="shared" si="448"/>
        <v>2</v>
      </c>
      <c r="BF450" s="2">
        <v>81</v>
      </c>
      <c r="BG450" s="2">
        <v>-1.258533570483422</v>
      </c>
      <c r="BH450" s="2" t="str">
        <f t="shared" ref="BH450:BH506" si="486">IF(AND(NOT(ISBLANK(AU450)), NOT(ISBLANK(BY450))), (BY450 - AU450)/3, "")</f>
        <v/>
      </c>
      <c r="BI450" s="2">
        <f t="shared" ref="BI450:BI505" si="487">IF(NOT(ISBLANK(BG450)), BG450, IF(AND(NOT(ISBLANK(AU450)), NOT(ISBLANK(BH450))),AU450 + BH450, ""))</f>
        <v>-1.258533570483422</v>
      </c>
      <c r="BJ450" s="67">
        <f t="shared" ref="BJ450:BJ505" si="488">IF(BI:BI&lt;-3,5,IF(AND(BI:BI&gt;=-3,BI:BI&lt;-2),6,IF(AND(BI:BI&gt;=-2,BI:BI&lt;=2),7,"")))</f>
        <v>7</v>
      </c>
      <c r="BK450" s="2">
        <v>9000</v>
      </c>
      <c r="BL450" s="2">
        <v>-3.1101029442029979</v>
      </c>
      <c r="BM450" s="77">
        <f t="shared" si="449"/>
        <v>-1.5301029442029979</v>
      </c>
      <c r="BN450" s="77">
        <f t="shared" si="450"/>
        <v>-2</v>
      </c>
      <c r="BO450" s="2" t="str">
        <f t="shared" ref="BO450:BO507" si="489">IF(AND(NOT(ISBLANK(AY450)), NOT(ISBLANK(CG450))), (CG450 - AY450)/3, "")</f>
        <v/>
      </c>
      <c r="BP450" s="2">
        <f t="shared" ref="BP450:BP505" si="490">IF(NOT(ISBLANK(BL450)), BL450, IF(AND(NOT(ISBLANK(AY450)), NOT(ISBLANK(BO450))),AY450 + BO450, ""))</f>
        <v>-3.1101029442029979</v>
      </c>
      <c r="BQ450" s="67">
        <f t="shared" si="451"/>
        <v>3</v>
      </c>
      <c r="BS450" s="75" t="str">
        <f t="shared" si="452"/>
        <v>UF</v>
      </c>
      <c r="BT450" s="75" t="str">
        <f t="shared" si="453"/>
        <v>UF</v>
      </c>
      <c r="BU450" s="5" t="str">
        <f t="shared" si="466"/>
        <v>UF</v>
      </c>
      <c r="BV450" s="5" t="str">
        <f t="shared" ref="BV450:BV505" si="491">IF(G450&gt;=36, IF(NOT(ISBLANK(BR:BR)), BR:BR, IF(AND(NOT(ISBLANK(BD:BD)), NOT(ISBLANK(BU:BU))),BD:BD + BU:BU, "")), "UF")</f>
        <v>UF</v>
      </c>
      <c r="BW450" s="69" t="str">
        <f t="shared" ref="BW450:BW505" si="492">IF(BV:BV&lt;-3,1,IF(AND(BV:BV&gt;=-3,BV:BV&lt;-2),2,IF(AND(BV:BV&gt;=-2,BV:BV&lt;=2),7,"")))</f>
        <v/>
      </c>
      <c r="BX450" s="2" t="s">
        <v>12</v>
      </c>
      <c r="BZ450" s="74" t="str">
        <f t="shared" si="454"/>
        <v>UF</v>
      </c>
      <c r="CA450" s="74" t="str">
        <f t="shared" si="455"/>
        <v>UF</v>
      </c>
      <c r="CB450" s="5" t="str">
        <f t="shared" ref="CB450:CB505" si="493">IF(G450&gt;=36, IF(AND(NOT(ISBLANK(BI450)), NOT(ISBLANK(CS450))), (CS450-BI450)/2, ""), "UF")</f>
        <v>UF</v>
      </c>
      <c r="CC450" s="5" t="str">
        <f t="shared" ref="CC450:CC505" si="494">IF(G450&gt;=36, IF(NOT(ISBLANK(BY450)), BY450, IF(AND(NOT(ISBLANK(CB450)), NOT(ISBLANK(BI450))),CB450 + BI450, "")), "UF")</f>
        <v>UF</v>
      </c>
      <c r="CD450" s="2" t="e">
        <f t="shared" ref="CD450:CD506" si="495">IF(AND(NOT(ISBLANK(BI:BI)), NOT(ISBLANK(CC:CC))), CC:CC-BI:BI, "")</f>
        <v>#VALUE!</v>
      </c>
      <c r="CE450" s="69" t="str">
        <f t="shared" ref="CE450:CE505" si="496">IF(CC450&lt;-3,5,IF(AND(CC450&gt;=-3,CC450&lt;-2),6,IF(AND(CC450&gt;=-2,CC450&lt;=2),7,"")))</f>
        <v/>
      </c>
      <c r="CF450" s="5" t="s">
        <v>12</v>
      </c>
      <c r="CH450" s="72" t="str">
        <f t="shared" si="456"/>
        <v>UF</v>
      </c>
      <c r="CI450" s="72" t="str">
        <f t="shared" si="457"/>
        <v>UF</v>
      </c>
      <c r="CJ450" s="5" t="str">
        <f t="shared" ref="CJ450:CJ505" si="497">IF(G450&gt;=36, IF(AND(NOT(ISBLANK(BP450)), NOT(ISBLANK(CZ450))), (CZ450-BP450)/2, ""), "UF")</f>
        <v>UF</v>
      </c>
      <c r="CK450" s="5" t="str">
        <f t="shared" ref="CK450:CK513" si="498">IF(G450&gt;=36, IF(NOT(ISBLANK(CG450)), CG450, IF(AND(NOT(ISBLANK(BP450)), NOT(ISBLANK(CJ450))),BP450 + CJ450, "")), "UF")</f>
        <v>UF</v>
      </c>
      <c r="CL450" s="69" t="str">
        <f t="shared" ref="CL450:CL505" si="499">IF(CK:CK&lt;-3,3,IF(AND(CK:CK&gt;=-3,CK:CK&lt;-2),4,IF(AND(CK:CK&gt;=-2,CK:CK&lt;=2),7,"")))</f>
        <v/>
      </c>
      <c r="CN450" s="70" t="str">
        <f t="shared" ref="CN450:CN513" si="500">IF(AND(NOT(ISBLANK(BV:BV)), NOT(ISBLANK(CM:CM))), CM:CM-BV:BV, "")</f>
        <v/>
      </c>
      <c r="CO450" s="5" t="str">
        <f t="shared" ref="CO450:CO513" si="501">IF(G450&lt;48,"UF",IF(AND(NOT(ISBLANK(BV:BV)),NOT(ISBLANK(CP:CP))),CP:CP-BV:BV,""))</f>
        <v>UF</v>
      </c>
      <c r="CP450" s="5" t="str">
        <f>IF(G450&lt;48,"UF", IF(NOT(ISBLANK(CM:CM)), CM:CM, IF(BW:BW=1, BV:BV+Sheet2!B46, IF(Sheet1!BW:BW=2, Sheet1!BV:BV+Sheet2!B47, IF(Sheet1!BW:BW=7, Sheet1!BV:BV+Sheet2!B48,"")))))</f>
        <v>UF</v>
      </c>
      <c r="CQ450" s="69" t="str">
        <f t="shared" si="458"/>
        <v/>
      </c>
      <c r="CR450" s="5" t="s">
        <v>12</v>
      </c>
      <c r="CT450" s="5" t="str">
        <f t="shared" ref="CT450:CT513" si="502">IF(AND(NOT(ISBLANK(CC450)), NOT(ISBLANK(CS450))), CS450-CC450, "")</f>
        <v/>
      </c>
      <c r="CU450" s="80" t="str">
        <f t="shared" ref="CU450:CU505" si="503">IF(G450&lt;48,"UF",IF(AND(NOT(ISBLANK(CW:CW)), NOT(ISBLANK(CC:CC))), CW:CW-CC:CC, ""))</f>
        <v>UF</v>
      </c>
      <c r="CV450" s="80" t="str">
        <f t="shared" ref="CV450:CV513" si="504">IF(CU:CU=""," ",IF(G450&lt;48,"UF",IF(CU:CU&gt;0.67,2,IF(AND(CU:CU&gt;0,CU:CU&lt;=0.67),1,IF(AND(CU:CU&gt;=-0.67,CU:CU&lt;=0),-1,IF(CU:CU&lt;-0.67,-2))))))</f>
        <v>UF</v>
      </c>
      <c r="CW450" s="20" t="str">
        <f>IF(G450&lt;48,"UF", IF(NOT(ISBLANK(CS450)), CS450, IF(CE450=5, CC450+Sheet2!B35, IF(CE450=6, CC450+Sheet2!B36, IF(CE450=7, CC450+Sheet2!B37,"")))))</f>
        <v>UF</v>
      </c>
      <c r="CX450" s="68" t="str">
        <f t="shared" si="459"/>
        <v/>
      </c>
      <c r="CY450" s="5" t="s">
        <v>12</v>
      </c>
      <c r="DA450" s="5" t="str">
        <f t="shared" ref="DA450:DA513" si="505">IF(G450&lt;48,"UF",IF(AND(NOT(ISBLANK(CZ:CZ)), NOT(ISBLANK(CK:CK))), CZ:CZ-CK:CK, ""))</f>
        <v>UF</v>
      </c>
      <c r="DB450" s="73" t="str">
        <f t="shared" ref="DB450:DB505" si="506">IF(G450&lt;48,"UF",IF(AND(NOT(ISBLANK(DD:DD)), NOT(ISBLANK(CK:CK))), DD:DD-CK:CK, ""))</f>
        <v>UF</v>
      </c>
      <c r="DC450" s="73" t="str">
        <f t="shared" ref="DC450:DC513" si="507">IF(DB:DB=""," ",IF(G450&lt;48,"UF",IF(DB:DB&gt;0.67,2,IF(AND(DB:DB&gt;0,DB:DB&lt;=0.67),1,IF(AND(DB:DB&gt;=-0.67,DB:DB&lt;=0),-1,IF(DB:DB&lt;-0.67,-2))))))</f>
        <v>UF</v>
      </c>
      <c r="DD450" s="5" t="str">
        <f>IF(G450&lt;48,"UF", IF(NOT(ISBLANK(CZ:CZ)), CZ:CZ, IF(CL:CL=3, CK:CK+Sheet2!B40, IF(CL:CL=4, CK:CK+Sheet2!B41, IF(CL:CL=7, CK:CK+Sheet2!B42,"")))))</f>
        <v>UF</v>
      </c>
      <c r="DE450" s="69" t="str">
        <f t="shared" si="463"/>
        <v/>
      </c>
      <c r="DF450" s="2">
        <v>1</v>
      </c>
      <c r="DG450" s="2">
        <v>36</v>
      </c>
      <c r="DH450" s="2">
        <v>1</v>
      </c>
      <c r="DI450" s="2">
        <v>2</v>
      </c>
      <c r="DJ450" s="2">
        <v>2</v>
      </c>
      <c r="DK450" s="2">
        <v>100</v>
      </c>
      <c r="DL450" s="2">
        <v>60</v>
      </c>
      <c r="DM450" s="2">
        <v>100</v>
      </c>
      <c r="DN450" s="2">
        <v>60</v>
      </c>
      <c r="DO450" s="2">
        <v>103</v>
      </c>
      <c r="DP450" s="2">
        <v>62</v>
      </c>
      <c r="DQ450" s="2">
        <v>2</v>
      </c>
      <c r="DR450" s="2">
        <v>38</v>
      </c>
      <c r="DS450" s="2">
        <v>1</v>
      </c>
      <c r="DT450" s="2">
        <v>98</v>
      </c>
      <c r="DU450" s="2">
        <v>78</v>
      </c>
      <c r="DV450" s="2">
        <v>2</v>
      </c>
      <c r="DW450" s="2">
        <v>2</v>
      </c>
      <c r="DX450" s="2">
        <v>2</v>
      </c>
      <c r="DY450" s="2">
        <v>2</v>
      </c>
      <c r="DZ450" s="2">
        <v>33</v>
      </c>
      <c r="EA450" s="2">
        <v>33.5</v>
      </c>
      <c r="EB450" s="2">
        <v>42</v>
      </c>
      <c r="EC450" s="2">
        <v>1</v>
      </c>
      <c r="ED450" s="2">
        <v>1</v>
      </c>
    </row>
    <row r="451" spans="3:134" x14ac:dyDescent="0.25">
      <c r="C451" s="5" t="s">
        <v>102</v>
      </c>
      <c r="D451" s="2">
        <v>6490203650</v>
      </c>
      <c r="E451" s="5">
        <v>2</v>
      </c>
      <c r="F451" s="2">
        <v>1</v>
      </c>
      <c r="G451" s="2">
        <v>31</v>
      </c>
      <c r="H451" s="2">
        <v>-2.325657434556847</v>
      </c>
      <c r="I451" s="2">
        <v>51</v>
      </c>
      <c r="J451" s="2">
        <v>0.99441714029262385</v>
      </c>
      <c r="K451" s="5">
        <v>2800</v>
      </c>
      <c r="L451" s="2">
        <v>-0.98574519678023331</v>
      </c>
      <c r="M451" s="2">
        <v>-1.0789</v>
      </c>
      <c r="N451" s="2">
        <f t="shared" si="467"/>
        <v>0.44897871727842353</v>
      </c>
      <c r="O451" s="2">
        <f t="shared" si="468"/>
        <v>-1.0789</v>
      </c>
      <c r="P451" s="2">
        <v>62</v>
      </c>
      <c r="Q451" s="2">
        <v>-1.65</v>
      </c>
      <c r="R451" s="5">
        <f t="shared" si="469"/>
        <v>-0.88720857014631194</v>
      </c>
      <c r="S451" s="5">
        <f t="shared" si="470"/>
        <v>-1.65</v>
      </c>
      <c r="T451" s="1">
        <v>5900</v>
      </c>
      <c r="U451" s="2">
        <v>-1.76</v>
      </c>
      <c r="V451" s="2">
        <f t="shared" si="471"/>
        <v>-0.23712740160988333</v>
      </c>
      <c r="W451" s="2">
        <f t="shared" si="472"/>
        <v>-1.76</v>
      </c>
      <c r="X451" s="2">
        <v>-1.4277</v>
      </c>
      <c r="Y451" s="76">
        <f t="shared" ref="Y451:Y505" si="508" xml:space="preserve"> IF(AND(NOT(ISBLANK(AB:AB)), NOT(ISBLANK(H:H))), (AB:AB-H:H), "")</f>
        <v>0.89795743455684707</v>
      </c>
      <c r="Z451" s="76">
        <f t="shared" ref="Z451:Z505" si="509">IF(Y:Y&gt;0.67,2,IF(AND(Y:Y&gt;0,Y:Y&lt;=0.67),1,IF(AND(Y:Y&gt;=-0.67,Y:Y&lt;=0),-1,IF(Y:Y&lt;-0.67,-2))))</f>
        <v>2</v>
      </c>
      <c r="AA451" s="2">
        <f t="shared" si="473"/>
        <v>0.46984999999999993</v>
      </c>
      <c r="AB451" s="2">
        <f t="shared" si="474"/>
        <v>-1.4277</v>
      </c>
      <c r="AC451" s="2">
        <v>72</v>
      </c>
      <c r="AD451" s="2">
        <v>-0.78</v>
      </c>
      <c r="AE451" s="79">
        <f t="shared" ref="AE451:AE505" si="510" xml:space="preserve"> IF(AND(NOT(ISBLANK(AH:AH)), NOT(ISBLANK(J:J))), (AH:AH-J:J), "")</f>
        <v>-1.7744171402926239</v>
      </c>
      <c r="AF451" s="79">
        <f t="shared" ref="AF451:AF505" si="511">IF(AE:AE&gt;0.67,2,IF(AND(AE:AE&gt;0,AE:AE&lt;=0.67),1,IF(AND(AE:AE&gt;=-0.67,AE:AE&lt;=0),-1,IF(AE:AE&lt;-0.67,-2))))</f>
        <v>-2</v>
      </c>
      <c r="AG451" s="2">
        <f t="shared" si="461"/>
        <v>1.4999999999999902E-2</v>
      </c>
      <c r="AH451" s="2">
        <f t="shared" si="475"/>
        <v>-0.78</v>
      </c>
      <c r="AI451" s="2">
        <v>7500</v>
      </c>
      <c r="AJ451" s="2">
        <v>-1.46</v>
      </c>
      <c r="AK451" s="76">
        <f t="shared" ref="AK451:AK505" si="512" xml:space="preserve"> IF(AND(NOT(ISBLANK(AN:AN)), NOT(ISBLANK(L:L))), (AN:AN-L:L), "")</f>
        <v>-0.47425480321976665</v>
      </c>
      <c r="AL451" s="76">
        <f t="shared" ref="AL451:AL505" si="513">IF(AK:AK&gt;0.67,2,IF(AND(AK:AK&gt;0,AK:AK&lt;=0.67),1,IF(AND(AK:AK&gt;=-0.67,AK:AK&lt;=0),-1,IF(AK:AK&lt;-0.67,-2))))</f>
        <v>-1</v>
      </c>
      <c r="AM451" s="2">
        <f t="shared" si="476"/>
        <v>0.13500000000000001</v>
      </c>
      <c r="AN451" s="2">
        <f t="shared" si="477"/>
        <v>-1.46</v>
      </c>
      <c r="AO451" s="2">
        <v>-0.71030000000000004</v>
      </c>
      <c r="AP451" s="2">
        <f t="shared" si="478"/>
        <v>-0.45169503947642597</v>
      </c>
      <c r="AQ451" s="2">
        <f t="shared" si="479"/>
        <v>-0.71030000000000004</v>
      </c>
      <c r="AR451" s="2">
        <v>76</v>
      </c>
      <c r="AS451" s="2">
        <v>-1.62</v>
      </c>
      <c r="AT451" s="2">
        <f t="shared" si="480"/>
        <v>-9.631485250612043E-2</v>
      </c>
      <c r="AU451" s="2">
        <f t="shared" si="481"/>
        <v>-1.62</v>
      </c>
      <c r="AV451" s="2">
        <v>8550</v>
      </c>
      <c r="AW451" s="2">
        <v>-1.49</v>
      </c>
      <c r="AX451" s="2">
        <f t="shared" si="482"/>
        <v>-0.69839276939604744</v>
      </c>
      <c r="AY451" s="2">
        <f t="shared" si="483"/>
        <v>-1.49</v>
      </c>
      <c r="AZ451" s="2">
        <v>-2.3310900789528519</v>
      </c>
      <c r="BA451" s="78">
        <f t="shared" ref="BA451:BA505" si="514" xml:space="preserve"> IF(AND(NOT(ISBLANK(BD:BD)), NOT(ISBLANK(AB:AB))), (BD:BD-AB:AB), "")</f>
        <v>-0.90339007895285195</v>
      </c>
      <c r="BB451" s="78">
        <f t="shared" ref="BB451:BB505" si="515">IF(BA:BA&gt;0.67,2,IF(AND(BA:BA&gt;0,BA:BA&lt;=0.67),1,IF(AND(BA:BA&gt;=-0.67,BA:BA&lt;=0),-1,IF(BA:BA&lt;-0.67,-2))))</f>
        <v>-2</v>
      </c>
      <c r="BC451" s="2" t="str">
        <f t="shared" si="484"/>
        <v/>
      </c>
      <c r="BD451" s="2">
        <f t="shared" si="485"/>
        <v>-2.3310900789528519</v>
      </c>
      <c r="BE451" s="67">
        <f t="shared" ref="BE451:BE505" si="516">IF(BD:BD&lt;-3,1,IF(AND(BD:BD&gt;=-3,BD:BD&lt;-2),2,IF(AND(BD:BD&gt;=-2,BD:BD&lt;=2),7,"")))</f>
        <v>2</v>
      </c>
      <c r="BF451" s="2">
        <v>82</v>
      </c>
      <c r="BG451" s="2">
        <v>-0.97262970501224089</v>
      </c>
      <c r="BH451" s="2" t="str">
        <f t="shared" si="486"/>
        <v/>
      </c>
      <c r="BI451" s="2">
        <f t="shared" si="487"/>
        <v>-0.97262970501224089</v>
      </c>
      <c r="BJ451" s="67">
        <f t="shared" si="488"/>
        <v>7</v>
      </c>
      <c r="BK451" s="2">
        <v>9200</v>
      </c>
      <c r="BL451" s="2">
        <v>-2.8567855387920948</v>
      </c>
      <c r="BM451" s="77">
        <f t="shared" ref="BM451:BM505" si="517" xml:space="preserve"> IF(AND(NOT(ISBLANK(BP:BP)), NOT(ISBLANK(AN:AN))), (BP:BP-AN:AN), "")</f>
        <v>-1.3967855387920949</v>
      </c>
      <c r="BN451" s="77">
        <f t="shared" ref="BN451:BN505" si="518">IF(BM:BM&gt;0.67,2,IF(AND(BM:BM&gt;0,BM:BM&lt;=0.67),1,IF(AND(BM:BM&gt;=-0.67,BM:BM&lt;=0),-1,IF(BM:BM&lt;-0.67,-2))))</f>
        <v>-2</v>
      </c>
      <c r="BO451" s="2" t="str">
        <f t="shared" si="489"/>
        <v/>
      </c>
      <c r="BP451" s="2">
        <f t="shared" si="490"/>
        <v>-2.8567855387920948</v>
      </c>
      <c r="BQ451" s="67">
        <f t="shared" ref="BQ451:BQ505" si="519">IF(BP:BP&lt;-3,3,IF(AND(BP:BP&gt;=-3,BP:BP&lt;-2),4,IF(AND(BP:BP&gt;=-2,BP:BP&lt;=2),7,"")))</f>
        <v>4</v>
      </c>
      <c r="BS451" s="75" t="str">
        <f t="shared" ref="BS451:BS505" si="520">IF(G451&gt;=36, IF(AND(NOT(ISBLANK(BV:BV)), NOT(ISBLANK(BD:BD))), (BV:BV-BD:BD), ""), "UF")</f>
        <v>UF</v>
      </c>
      <c r="BT451" s="75" t="str">
        <f t="shared" ref="BT451:BT505" si="521">IF(G451&lt;36,"UF",IF(BS:BS&gt;0.67,2,IF(AND(BS:BS&gt;0,BS:BS&lt;=0.67),1,IF(AND(BS:BS&gt;=-0.67,BS:BS&lt;=0),-1,IF(BS:BS&lt;-0.67,-2)))))</f>
        <v>UF</v>
      </c>
      <c r="BU451" s="5" t="str">
        <f t="shared" si="466"/>
        <v/>
      </c>
      <c r="BV451" s="5" t="str">
        <f t="shared" si="491"/>
        <v>UF</v>
      </c>
      <c r="BW451" s="69" t="str">
        <f t="shared" si="492"/>
        <v/>
      </c>
      <c r="BX451" s="2" t="s">
        <v>12</v>
      </c>
      <c r="BZ451" s="74" t="str">
        <f t="shared" ref="BZ451:BZ482" si="522">IF(G451&gt;=36, IF(AND(NOT(ISBLANK(CC:CC)), NOT(ISBLANK(BP:BP))), (CC:CC-BP:BP), ""), "UF")</f>
        <v>UF</v>
      </c>
      <c r="CA451" s="74" t="str">
        <f t="shared" ref="CA451:CA505" si="523">IF(G451&lt;36,"UF",IF(BZ:BZ&gt;0.67,2,IF(AND(BZ:BZ&gt;0,BZ:BZ&lt;=0.67),1,IF(AND(BZ:BZ&gt;=-0.67,BZ:BZ&lt;=0),-1,IF(BZ:BZ&lt;-0.67,-2)))))</f>
        <v>UF</v>
      </c>
      <c r="CB451" s="5" t="str">
        <f t="shared" si="493"/>
        <v>UF</v>
      </c>
      <c r="CC451" s="5" t="str">
        <f t="shared" si="494"/>
        <v>UF</v>
      </c>
      <c r="CD451" s="2" t="e">
        <f t="shared" si="495"/>
        <v>#VALUE!</v>
      </c>
      <c r="CE451" s="69" t="str">
        <f t="shared" si="496"/>
        <v/>
      </c>
      <c r="CF451" s="5" t="s">
        <v>12</v>
      </c>
      <c r="CH451" s="72" t="str">
        <f t="shared" ref="CH451:CH505" si="524">IF(G451&gt;=36, IF(AND(NOT(ISBLANK(CK:CK)), NOT(ISBLANK(BP:BP))), (CK:CK-BP:BP), ""), "UF")</f>
        <v>UF</v>
      </c>
      <c r="CI451" s="72" t="str">
        <f t="shared" ref="CI451:CI505" si="525">IF(G451&lt;36,"UF",IF(CH:CH&gt;0.67,2,IF(AND(CH:CH&gt;0,CH:CH&lt;=0.67),1,IF(AND(CH:CH&gt;=-0.67,CH:CH&lt;=0),-1,IF(CH:CH&lt;-0.67,-2)))))</f>
        <v>UF</v>
      </c>
      <c r="CJ451" s="5" t="str">
        <f t="shared" si="497"/>
        <v>UF</v>
      </c>
      <c r="CK451" s="5" t="str">
        <f t="shared" si="498"/>
        <v>UF</v>
      </c>
      <c r="CL451" s="69" t="str">
        <f t="shared" si="499"/>
        <v/>
      </c>
      <c r="CN451" s="70" t="str">
        <f t="shared" si="500"/>
        <v/>
      </c>
      <c r="CO451" s="5" t="str">
        <f t="shared" si="501"/>
        <v>UF</v>
      </c>
      <c r="CP451" s="5" t="str">
        <f>IF(G451&lt;48,"UF", IF(NOT(ISBLANK(CM:CM)), CM:CM, IF(BW:BW=1, BV:BV+Sheet2!B88, IF(Sheet1!BW:BW=2, Sheet1!BV:BV+Sheet2!B89, IF(Sheet1!BW:BW=7, Sheet1!BV:BV+Sheet2!B90,"")))))</f>
        <v>UF</v>
      </c>
      <c r="CQ451" s="69" t="str">
        <f t="shared" ref="CQ451:CQ505" si="526">IF(CP:CP&lt;-3,1,IF(AND(CP:CP&gt;=-3,CP:CP&lt;-2),2,IF(AND(CP:CP&gt;=-2,CP:CP&lt;=2),7,"")))</f>
        <v/>
      </c>
      <c r="CR451" s="5" t="s">
        <v>12</v>
      </c>
      <c r="CT451" s="5" t="str">
        <f t="shared" si="502"/>
        <v/>
      </c>
      <c r="CU451" s="80" t="str">
        <f t="shared" si="503"/>
        <v>UF</v>
      </c>
      <c r="CV451" s="80" t="str">
        <f t="shared" si="504"/>
        <v>UF</v>
      </c>
      <c r="CW451" s="20" t="str">
        <f>IF(G451&lt;48,"UF", IF(NOT(ISBLANK(CS451)), CS451, IF(CE451=5, CC451+Sheet2!B77, IF(CE451=6, CC451+Sheet2!B78, IF(CE451=7, CC451+Sheet2!B79,"")))))</f>
        <v>UF</v>
      </c>
      <c r="CX451" s="68" t="str">
        <f t="shared" ref="CX451:CX505" si="527">IF(CW:CW&lt;-3,5,IF(AND(CW:CW&gt;=-3,CW:CW&lt;-2),6,IF(AND(CW:CW&gt;=-2,CW:CW&lt;=2),7,"")))</f>
        <v/>
      </c>
      <c r="CY451" s="5" t="s">
        <v>12</v>
      </c>
      <c r="DA451" s="5" t="str">
        <f t="shared" si="505"/>
        <v>UF</v>
      </c>
      <c r="DB451" s="73" t="str">
        <f t="shared" si="506"/>
        <v>UF</v>
      </c>
      <c r="DC451" s="73" t="str">
        <f t="shared" si="507"/>
        <v>UF</v>
      </c>
      <c r="DD451" s="5" t="str">
        <f>IF(G451&lt;48,"UF", IF(NOT(ISBLANK(CZ:CZ)), CZ:CZ, IF(CL:CL=3, CK:CK+Sheet2!B82, IF(CL:CL=4, CK:CK+Sheet2!B83, IF(CL:CL=7, CK:CK+Sheet2!B84,"")))))</f>
        <v>UF</v>
      </c>
      <c r="DE451" s="69" t="str">
        <f t="shared" si="463"/>
        <v/>
      </c>
      <c r="DF451" s="2">
        <v>1</v>
      </c>
      <c r="DG451" s="2">
        <v>28</v>
      </c>
      <c r="DH451" s="2">
        <v>2</v>
      </c>
      <c r="DI451" s="2">
        <v>2</v>
      </c>
      <c r="DJ451" s="2">
        <v>2</v>
      </c>
      <c r="DK451" s="2">
        <v>95</v>
      </c>
      <c r="DL451" s="2">
        <v>60</v>
      </c>
      <c r="DM451" s="2">
        <v>109</v>
      </c>
      <c r="DN451" s="2">
        <v>62</v>
      </c>
      <c r="DO451" s="2">
        <v>121</v>
      </c>
      <c r="DP451" s="2">
        <v>75</v>
      </c>
      <c r="DQ451" s="2">
        <v>1</v>
      </c>
      <c r="DR451" s="2">
        <v>39</v>
      </c>
      <c r="DS451" s="2">
        <v>2</v>
      </c>
      <c r="DT451" s="2">
        <v>90</v>
      </c>
      <c r="DU451" s="2">
        <v>82</v>
      </c>
      <c r="DV451" s="2">
        <v>2</v>
      </c>
      <c r="DW451" s="2">
        <v>2</v>
      </c>
      <c r="DX451" s="2">
        <v>2</v>
      </c>
      <c r="DY451" s="2">
        <v>2</v>
      </c>
      <c r="DZ451" s="2">
        <v>34</v>
      </c>
      <c r="EA451" s="2">
        <v>35</v>
      </c>
      <c r="EB451" s="2">
        <v>44.5</v>
      </c>
      <c r="EC451" s="2">
        <v>1</v>
      </c>
      <c r="ED451" s="2">
        <v>1</v>
      </c>
    </row>
    <row r="452" spans="3:134" x14ac:dyDescent="0.25">
      <c r="C452" s="8" t="s">
        <v>201</v>
      </c>
      <c r="D452" s="4">
        <v>6490203898</v>
      </c>
      <c r="E452" s="5">
        <v>7</v>
      </c>
      <c r="F452" s="2">
        <v>2</v>
      </c>
      <c r="G452" s="2">
        <v>27</v>
      </c>
      <c r="H452" s="2">
        <v>0.13214452038686231</v>
      </c>
      <c r="I452" s="2">
        <v>49</v>
      </c>
      <c r="J452" s="2">
        <v>-0.46706379753639199</v>
      </c>
      <c r="K452" s="1">
        <v>3260</v>
      </c>
      <c r="L452" s="2">
        <v>-0.17832501205547949</v>
      </c>
      <c r="M452" s="2">
        <v>0.20860000000000001</v>
      </c>
      <c r="N452" s="2">
        <f t="shared" si="467"/>
        <v>0.41327773980656884</v>
      </c>
      <c r="O452" s="2">
        <f t="shared" si="468"/>
        <v>0.20860000000000001</v>
      </c>
      <c r="P452" s="2">
        <v>69</v>
      </c>
      <c r="Q452" s="2">
        <v>0.63</v>
      </c>
      <c r="R452" s="5">
        <f t="shared" si="469"/>
        <v>0.708531898768196</v>
      </c>
      <c r="S452" s="5">
        <f t="shared" si="470"/>
        <v>0.63</v>
      </c>
      <c r="T452" s="2">
        <v>8400</v>
      </c>
      <c r="U452" s="2">
        <v>0.52</v>
      </c>
      <c r="V452" s="2">
        <f t="shared" si="471"/>
        <v>0.71416250602773979</v>
      </c>
      <c r="W452" s="2">
        <f t="shared" si="472"/>
        <v>0.52</v>
      </c>
      <c r="X452" s="2">
        <v>0.9587</v>
      </c>
      <c r="Y452" s="76">
        <f t="shared" si="508"/>
        <v>0.82655547961313769</v>
      </c>
      <c r="Z452" s="76">
        <f t="shared" si="509"/>
        <v>2</v>
      </c>
      <c r="AA452" s="2">
        <f t="shared" si="473"/>
        <v>0.49620000000000003</v>
      </c>
      <c r="AB452" s="2">
        <f t="shared" si="474"/>
        <v>0.9587</v>
      </c>
      <c r="AC452" s="2">
        <v>78</v>
      </c>
      <c r="AD452" s="2">
        <v>0.95</v>
      </c>
      <c r="AE452" s="79">
        <f t="shared" si="510"/>
        <v>1.417063797536392</v>
      </c>
      <c r="AF452" s="79">
        <f t="shared" si="511"/>
        <v>2</v>
      </c>
      <c r="AG452" s="2">
        <f t="shared" si="461"/>
        <v>5.0000000000000044E-3</v>
      </c>
      <c r="AH452" s="2">
        <f t="shared" si="475"/>
        <v>0.95</v>
      </c>
      <c r="AI452" s="2">
        <v>11050</v>
      </c>
      <c r="AJ452" s="2">
        <v>1.25</v>
      </c>
      <c r="AK452" s="76">
        <f t="shared" si="512"/>
        <v>1.4283250120554796</v>
      </c>
      <c r="AL452" s="76">
        <f t="shared" si="513"/>
        <v>2</v>
      </c>
      <c r="AM452" s="2">
        <f t="shared" si="476"/>
        <v>0.51500000000000001</v>
      </c>
      <c r="AN452" s="2">
        <f t="shared" si="477"/>
        <v>1.25</v>
      </c>
      <c r="AO452" s="2">
        <v>1.6224000000000001</v>
      </c>
      <c r="AP452" s="2">
        <f t="shared" si="478"/>
        <v>0.21403179081428952</v>
      </c>
      <c r="AQ452" s="2">
        <f t="shared" si="479"/>
        <v>1.6224000000000001</v>
      </c>
      <c r="AR452" s="2">
        <v>84</v>
      </c>
      <c r="AS452" s="2">
        <v>0.64</v>
      </c>
      <c r="AT452" s="2">
        <f t="shared" si="480"/>
        <v>-0.45527953900144019</v>
      </c>
      <c r="AU452" s="2">
        <f t="shared" si="481"/>
        <v>0.64</v>
      </c>
      <c r="AV452" s="2">
        <v>13000</v>
      </c>
      <c r="AW452" s="2">
        <v>1.55</v>
      </c>
      <c r="AX452" s="2">
        <f t="shared" si="482"/>
        <v>-0.12986930601386126</v>
      </c>
      <c r="AY452" s="2">
        <f t="shared" si="483"/>
        <v>1.55</v>
      </c>
      <c r="AZ452" s="2">
        <v>1.386763581628579</v>
      </c>
      <c r="BA452" s="78">
        <f t="shared" si="514"/>
        <v>0.42806358162857905</v>
      </c>
      <c r="BB452" s="78">
        <f t="shared" si="515"/>
        <v>1</v>
      </c>
      <c r="BC452" s="2" t="str">
        <f t="shared" si="484"/>
        <v/>
      </c>
      <c r="BD452" s="2">
        <f t="shared" si="485"/>
        <v>1.386763581628579</v>
      </c>
      <c r="BE452" s="67">
        <f t="shared" si="516"/>
        <v>7</v>
      </c>
      <c r="BF452" s="2">
        <v>87</v>
      </c>
      <c r="BG452" s="2">
        <v>3.9440921997119571E-2</v>
      </c>
      <c r="BH452" s="2" t="str">
        <f t="shared" si="486"/>
        <v/>
      </c>
      <c r="BI452" s="2">
        <f t="shared" si="487"/>
        <v>3.9440921997119571E-2</v>
      </c>
      <c r="BJ452" s="67">
        <f t="shared" si="488"/>
        <v>7</v>
      </c>
      <c r="BK452" s="2">
        <v>14200</v>
      </c>
      <c r="BL452" s="2">
        <v>0.99026138797227747</v>
      </c>
      <c r="BM452" s="77">
        <f t="shared" si="517"/>
        <v>-0.25973861202772253</v>
      </c>
      <c r="BN452" s="77">
        <f t="shared" si="518"/>
        <v>-1</v>
      </c>
      <c r="BO452" s="2" t="str">
        <f t="shared" si="489"/>
        <v/>
      </c>
      <c r="BP452" s="2">
        <f t="shared" si="490"/>
        <v>0.99026138797227747</v>
      </c>
      <c r="BQ452" s="67">
        <f t="shared" si="519"/>
        <v>7</v>
      </c>
      <c r="BS452" s="75" t="str">
        <f t="shared" si="520"/>
        <v>UF</v>
      </c>
      <c r="BT452" s="75" t="str">
        <f t="shared" si="521"/>
        <v>UF</v>
      </c>
      <c r="BU452" s="5" t="str">
        <f t="shared" si="466"/>
        <v/>
      </c>
      <c r="BV452" s="5" t="str">
        <f t="shared" si="491"/>
        <v>UF</v>
      </c>
      <c r="BW452" s="69" t="str">
        <f t="shared" si="492"/>
        <v/>
      </c>
      <c r="BX452" s="2" t="s">
        <v>12</v>
      </c>
      <c r="BZ452" s="74" t="str">
        <f t="shared" si="522"/>
        <v>UF</v>
      </c>
      <c r="CA452" s="74" t="str">
        <f t="shared" si="523"/>
        <v>UF</v>
      </c>
      <c r="CB452" s="5" t="str">
        <f t="shared" si="493"/>
        <v>UF</v>
      </c>
      <c r="CC452" s="5" t="str">
        <f t="shared" si="494"/>
        <v>UF</v>
      </c>
      <c r="CD452" s="2" t="e">
        <f t="shared" si="495"/>
        <v>#VALUE!</v>
      </c>
      <c r="CE452" s="69" t="str">
        <f t="shared" si="496"/>
        <v/>
      </c>
      <c r="CF452" s="5" t="s">
        <v>12</v>
      </c>
      <c r="CH452" s="72" t="str">
        <f t="shared" si="524"/>
        <v>UF</v>
      </c>
      <c r="CI452" s="72" t="str">
        <f t="shared" si="525"/>
        <v>UF</v>
      </c>
      <c r="CJ452" s="5" t="str">
        <f t="shared" si="497"/>
        <v>UF</v>
      </c>
      <c r="CK452" s="5" t="str">
        <f t="shared" si="498"/>
        <v>UF</v>
      </c>
      <c r="CL452" s="69" t="str">
        <f t="shared" si="499"/>
        <v/>
      </c>
      <c r="CN452" s="70" t="str">
        <f t="shared" si="500"/>
        <v/>
      </c>
      <c r="CO452" s="5" t="str">
        <f t="shared" si="501"/>
        <v>UF</v>
      </c>
      <c r="CP452" s="5" t="str">
        <f>IF(G452&lt;48,"UF", IF(NOT(ISBLANK(CM:CM)), CM:CM, IF(BW:BW=1, BV:BV+Sheet2!B376, IF(Sheet1!BW:BW=2, Sheet1!BV:BV+Sheet2!B377, IF(Sheet1!BW:BW=7, Sheet1!BV:BV+Sheet2!B378,"")))))</f>
        <v>UF</v>
      </c>
      <c r="CQ452" s="69" t="str">
        <f t="shared" si="526"/>
        <v/>
      </c>
      <c r="CR452" s="5" t="s">
        <v>12</v>
      </c>
      <c r="CT452" s="5" t="str">
        <f t="shared" si="502"/>
        <v/>
      </c>
      <c r="CU452" s="80" t="str">
        <f t="shared" si="503"/>
        <v>UF</v>
      </c>
      <c r="CV452" s="80" t="str">
        <f t="shared" si="504"/>
        <v>UF</v>
      </c>
      <c r="CW452" s="20" t="str">
        <f>IF(G452&lt;48,"UF", IF(NOT(ISBLANK(CS452)), CS452, IF(CE452=5, CC452+Sheet2!B365, IF(CE452=6, CC452+Sheet2!B366, IF(CE452=7, CC452+Sheet2!B367,"")))))</f>
        <v>UF</v>
      </c>
      <c r="CX452" s="68" t="str">
        <f t="shared" si="527"/>
        <v/>
      </c>
      <c r="CY452" s="5" t="s">
        <v>12</v>
      </c>
      <c r="DA452" s="5" t="str">
        <f t="shared" si="505"/>
        <v>UF</v>
      </c>
      <c r="DB452" s="73" t="str">
        <f t="shared" si="506"/>
        <v>UF</v>
      </c>
      <c r="DC452" s="73" t="str">
        <f t="shared" si="507"/>
        <v>UF</v>
      </c>
      <c r="DD452" s="5" t="str">
        <f>IF(G452&lt;48,"UF", IF(NOT(ISBLANK(CZ:CZ)), CZ:CZ, IF(CL:CL=3, CK:CK+Sheet2!B370, IF(CL:CL=4, CK:CK+Sheet2!B371, IF(CL:CL=7, CK:CK+Sheet2!B372,"")))))</f>
        <v>UF</v>
      </c>
      <c r="DE452" s="69" t="str">
        <f t="shared" si="463"/>
        <v/>
      </c>
      <c r="DF452" s="2">
        <v>1</v>
      </c>
      <c r="DG452" s="2">
        <v>23</v>
      </c>
      <c r="DH452" s="2">
        <v>2</v>
      </c>
      <c r="DI452" s="2">
        <v>2</v>
      </c>
      <c r="DJ452" s="2">
        <v>2</v>
      </c>
      <c r="DK452" s="2">
        <v>120</v>
      </c>
      <c r="DL452" s="2">
        <v>70</v>
      </c>
      <c r="DM452" s="2">
        <v>124</v>
      </c>
      <c r="DN452" s="2">
        <v>55</v>
      </c>
      <c r="DO452" s="2">
        <v>116</v>
      </c>
      <c r="DP452" s="2">
        <v>59</v>
      </c>
      <c r="DQ452" s="2">
        <v>2</v>
      </c>
      <c r="DR452" s="2">
        <v>40</v>
      </c>
      <c r="DS452" s="2">
        <v>2</v>
      </c>
      <c r="DT452" s="2">
        <v>70</v>
      </c>
      <c r="DU452" s="2">
        <v>68</v>
      </c>
      <c r="DV452" s="2">
        <v>2</v>
      </c>
      <c r="DW452" s="2">
        <v>2</v>
      </c>
      <c r="DX452" s="2">
        <v>2</v>
      </c>
      <c r="DY452" s="2">
        <v>2</v>
      </c>
      <c r="DZ452" s="2">
        <v>34</v>
      </c>
      <c r="EA452" s="2">
        <v>35</v>
      </c>
      <c r="EB452" s="2">
        <v>47</v>
      </c>
      <c r="EC452" s="2">
        <v>1</v>
      </c>
      <c r="ED452" s="2">
        <v>1</v>
      </c>
    </row>
    <row r="453" spans="3:134" x14ac:dyDescent="0.25">
      <c r="C453" s="8" t="s">
        <v>385</v>
      </c>
      <c r="D453" s="8">
        <v>6490204487</v>
      </c>
      <c r="E453" s="3">
        <v>7</v>
      </c>
      <c r="F453" s="2">
        <v>2</v>
      </c>
      <c r="G453" s="2">
        <v>29</v>
      </c>
      <c r="H453" s="2">
        <v>-1.3482490807536791</v>
      </c>
      <c r="I453" s="2">
        <v>46</v>
      </c>
      <c r="J453" s="2">
        <v>-2.051761523148302</v>
      </c>
      <c r="K453" s="5">
        <v>2300</v>
      </c>
      <c r="L453" s="2">
        <v>-1.8987799312803511</v>
      </c>
      <c r="M453" s="2">
        <v>0.66790000000000005</v>
      </c>
      <c r="N453" s="2">
        <f t="shared" si="467"/>
        <v>1.3408245403768395</v>
      </c>
      <c r="O453" s="2">
        <f t="shared" si="468"/>
        <v>0.66790000000000005</v>
      </c>
      <c r="P453" s="2">
        <v>68.5</v>
      </c>
      <c r="Q453" s="2">
        <v>0.4</v>
      </c>
      <c r="R453" s="5">
        <f t="shared" si="469"/>
        <v>1.5008807615741508</v>
      </c>
      <c r="S453" s="5">
        <f t="shared" si="470"/>
        <v>0.4</v>
      </c>
      <c r="T453" s="2">
        <v>8600</v>
      </c>
      <c r="U453" s="2">
        <v>0.73</v>
      </c>
      <c r="V453" s="2">
        <f t="shared" si="471"/>
        <v>1.7193899656401754</v>
      </c>
      <c r="W453" s="2">
        <f t="shared" si="472"/>
        <v>0.73</v>
      </c>
      <c r="X453" s="2">
        <v>1.3333999999999999</v>
      </c>
      <c r="Y453" s="76">
        <f t="shared" si="508"/>
        <v>2.681649080753679</v>
      </c>
      <c r="Z453" s="76">
        <f t="shared" si="509"/>
        <v>2</v>
      </c>
      <c r="AA453" s="2">
        <f t="shared" si="473"/>
        <v>-0.49565000000000003</v>
      </c>
      <c r="AB453" s="2">
        <f t="shared" si="474"/>
        <v>1.3333999999999999</v>
      </c>
      <c r="AC453" s="2">
        <v>78</v>
      </c>
      <c r="AD453" s="2">
        <v>0.95</v>
      </c>
      <c r="AE453" s="79">
        <f t="shared" si="510"/>
        <v>3.0017615231483017</v>
      </c>
      <c r="AF453" s="79">
        <f t="shared" si="511"/>
        <v>2</v>
      </c>
      <c r="AG453" s="2">
        <f t="shared" si="461"/>
        <v>0.49499999999999994</v>
      </c>
      <c r="AH453" s="2">
        <f t="shared" si="475"/>
        <v>0.95</v>
      </c>
      <c r="AI453" s="2">
        <v>11400</v>
      </c>
      <c r="AJ453" s="2">
        <v>1.54</v>
      </c>
      <c r="AK453" s="76">
        <f t="shared" si="512"/>
        <v>3.4387799312803509</v>
      </c>
      <c r="AL453" s="76">
        <f t="shared" si="513"/>
        <v>2</v>
      </c>
      <c r="AM453" s="2">
        <f t="shared" si="476"/>
        <v>-0.18</v>
      </c>
      <c r="AN453" s="2">
        <f t="shared" si="477"/>
        <v>1.54</v>
      </c>
      <c r="AO453" s="2">
        <v>-0.59130000000000005</v>
      </c>
      <c r="AP453" s="2">
        <f t="shared" si="478"/>
        <v>-0.97720045006975553</v>
      </c>
      <c r="AQ453" s="2">
        <f t="shared" si="479"/>
        <v>-0.59130000000000005</v>
      </c>
      <c r="AR453" s="2">
        <v>86</v>
      </c>
      <c r="AS453" s="2">
        <v>1.39</v>
      </c>
      <c r="AT453" s="2">
        <f t="shared" si="480"/>
        <v>-0.17025747606636493</v>
      </c>
      <c r="AU453" s="2">
        <f t="shared" si="481"/>
        <v>1.39</v>
      </c>
      <c r="AV453" s="2">
        <v>11400</v>
      </c>
      <c r="AW453" s="2">
        <v>0.37</v>
      </c>
      <c r="AX453" s="2">
        <f t="shared" si="482"/>
        <v>-0.85865491619059231</v>
      </c>
      <c r="AY453" s="2">
        <f t="shared" si="483"/>
        <v>0.37</v>
      </c>
      <c r="AZ453" s="2">
        <v>-0.62100090013951126</v>
      </c>
      <c r="BA453" s="78">
        <f t="shared" si="514"/>
        <v>-1.9544009001395111</v>
      </c>
      <c r="BB453" s="78">
        <f t="shared" si="515"/>
        <v>-2</v>
      </c>
      <c r="BC453" s="2" t="str">
        <f t="shared" si="484"/>
        <v/>
      </c>
      <c r="BD453" s="2">
        <f t="shared" si="485"/>
        <v>-0.62100090013951126</v>
      </c>
      <c r="BE453" s="67">
        <f t="shared" si="516"/>
        <v>7</v>
      </c>
      <c r="BF453" s="2">
        <v>89</v>
      </c>
      <c r="BG453" s="2">
        <v>0.60948504786727009</v>
      </c>
      <c r="BH453" s="2" t="str">
        <f t="shared" si="486"/>
        <v/>
      </c>
      <c r="BI453" s="2">
        <f t="shared" si="487"/>
        <v>0.60948504786727009</v>
      </c>
      <c r="BJ453" s="67">
        <f t="shared" si="488"/>
        <v>7</v>
      </c>
      <c r="BK453" s="2">
        <v>12500</v>
      </c>
      <c r="BL453" s="2">
        <v>-0.1773098323811845</v>
      </c>
      <c r="BM453" s="77">
        <f t="shared" si="517"/>
        <v>-1.7173098323811846</v>
      </c>
      <c r="BN453" s="77">
        <f t="shared" si="518"/>
        <v>-2</v>
      </c>
      <c r="BO453" s="2" t="str">
        <f t="shared" si="489"/>
        <v/>
      </c>
      <c r="BP453" s="2">
        <f t="shared" si="490"/>
        <v>-0.1773098323811845</v>
      </c>
      <c r="BQ453" s="67">
        <f t="shared" si="519"/>
        <v>7</v>
      </c>
      <c r="BS453" s="75" t="str">
        <f t="shared" si="520"/>
        <v>UF</v>
      </c>
      <c r="BT453" s="75" t="str">
        <f t="shared" si="521"/>
        <v>UF</v>
      </c>
      <c r="BU453" s="5" t="str">
        <f t="shared" si="466"/>
        <v/>
      </c>
      <c r="BV453" s="5" t="str">
        <f t="shared" si="491"/>
        <v>UF</v>
      </c>
      <c r="BW453" s="69" t="str">
        <f t="shared" si="492"/>
        <v/>
      </c>
      <c r="BX453" s="2" t="s">
        <v>12</v>
      </c>
      <c r="BZ453" s="74" t="str">
        <f t="shared" si="522"/>
        <v>UF</v>
      </c>
      <c r="CA453" s="74" t="str">
        <f t="shared" si="523"/>
        <v>UF</v>
      </c>
      <c r="CB453" s="5" t="str">
        <f t="shared" si="493"/>
        <v>UF</v>
      </c>
      <c r="CC453" s="5" t="str">
        <f t="shared" si="494"/>
        <v>UF</v>
      </c>
      <c r="CD453" s="2" t="e">
        <f t="shared" si="495"/>
        <v>#VALUE!</v>
      </c>
      <c r="CE453" s="69" t="str">
        <f t="shared" si="496"/>
        <v/>
      </c>
      <c r="CF453" s="5" t="s">
        <v>12</v>
      </c>
      <c r="CH453" s="72" t="str">
        <f t="shared" si="524"/>
        <v>UF</v>
      </c>
      <c r="CI453" s="72" t="str">
        <f t="shared" si="525"/>
        <v>UF</v>
      </c>
      <c r="CJ453" s="5" t="str">
        <f t="shared" si="497"/>
        <v>UF</v>
      </c>
      <c r="CK453" s="5" t="str">
        <f t="shared" si="498"/>
        <v>UF</v>
      </c>
      <c r="CL453" s="69" t="str">
        <f t="shared" si="499"/>
        <v/>
      </c>
      <c r="CN453" s="70" t="str">
        <f t="shared" si="500"/>
        <v/>
      </c>
      <c r="CO453" s="5" t="str">
        <f t="shared" si="501"/>
        <v>UF</v>
      </c>
      <c r="CP453" s="5" t="str">
        <f>IF(G453&lt;48,"UF", IF(NOT(ISBLANK(CM:CM)), CM:CM, IF(BW:BW=1, BV:BV+Sheet2!B601, IF(Sheet1!BW:BW=2, Sheet1!BV:BV+Sheet2!B602, IF(Sheet1!BW:BW=7, Sheet1!BV:BV+Sheet2!B603,"")))))</f>
        <v>UF</v>
      </c>
      <c r="CQ453" s="69" t="str">
        <f t="shared" si="526"/>
        <v/>
      </c>
      <c r="CR453" s="5" t="s">
        <v>12</v>
      </c>
      <c r="CT453" s="5" t="str">
        <f t="shared" si="502"/>
        <v/>
      </c>
      <c r="CU453" s="80" t="str">
        <f t="shared" si="503"/>
        <v>UF</v>
      </c>
      <c r="CV453" s="80" t="str">
        <f t="shared" si="504"/>
        <v>UF</v>
      </c>
      <c r="CW453" s="20" t="str">
        <f>IF(G453&lt;48,"UF", IF(NOT(ISBLANK(CS453)), CS453, IF(CE453=5, CC453+Sheet2!B590, IF(CE453=6, CC453+Sheet2!B591, IF(CE453=7, CC453+Sheet2!B592,"")))))</f>
        <v>UF</v>
      </c>
      <c r="CX453" s="68" t="str">
        <f t="shared" si="527"/>
        <v/>
      </c>
      <c r="CY453" s="5" t="s">
        <v>12</v>
      </c>
      <c r="DA453" s="5" t="str">
        <f t="shared" si="505"/>
        <v>UF</v>
      </c>
      <c r="DB453" s="73" t="str">
        <f t="shared" si="506"/>
        <v>UF</v>
      </c>
      <c r="DC453" s="73" t="str">
        <f t="shared" si="507"/>
        <v>UF</v>
      </c>
      <c r="DD453" s="5" t="str">
        <f>IF(G453&lt;48,"UF", IF(NOT(ISBLANK(CZ:CZ)), CZ:CZ, IF(CL:CL=3, CK:CK+Sheet2!B595, IF(CL:CL=4, CK:CK+Sheet2!B596, IF(CL:CL=7, CK:CK+Sheet2!B597,"")))))</f>
        <v>UF</v>
      </c>
      <c r="DE453" s="69" t="str">
        <f t="shared" si="463"/>
        <v/>
      </c>
      <c r="DF453" s="2" t="s">
        <v>461</v>
      </c>
      <c r="DG453" s="2">
        <v>35</v>
      </c>
      <c r="DH453" s="2">
        <v>1</v>
      </c>
      <c r="DI453" s="2">
        <v>1</v>
      </c>
      <c r="DJ453" s="2">
        <v>2</v>
      </c>
      <c r="DK453" s="2" t="s">
        <v>12</v>
      </c>
      <c r="DL453" s="2" t="s">
        <v>12</v>
      </c>
      <c r="DM453" s="2">
        <v>100</v>
      </c>
      <c r="DN453" s="2">
        <v>60</v>
      </c>
      <c r="DO453" s="2">
        <v>110</v>
      </c>
      <c r="DP453" s="2">
        <v>60</v>
      </c>
      <c r="DQ453" s="2">
        <v>2</v>
      </c>
      <c r="DR453" s="2">
        <v>36</v>
      </c>
      <c r="DS453" s="2">
        <v>3</v>
      </c>
      <c r="DT453" s="2" t="s">
        <v>12</v>
      </c>
      <c r="DU453" s="2" t="s">
        <v>12</v>
      </c>
      <c r="DV453" s="2">
        <v>1</v>
      </c>
      <c r="DW453" s="2">
        <v>2</v>
      </c>
      <c r="DX453" s="2">
        <v>2</v>
      </c>
      <c r="DY453" s="2">
        <v>2</v>
      </c>
      <c r="DZ453" s="2">
        <v>34</v>
      </c>
      <c r="EA453" s="2">
        <v>35.299999999999997</v>
      </c>
      <c r="EB453" s="2">
        <v>47.5</v>
      </c>
      <c r="EC453" s="2">
        <v>1</v>
      </c>
      <c r="ED453" s="2">
        <v>1</v>
      </c>
    </row>
    <row r="454" spans="3:134" x14ac:dyDescent="0.25">
      <c r="C454" s="8" t="s">
        <v>168</v>
      </c>
      <c r="D454" s="8">
        <v>6490204746</v>
      </c>
      <c r="E454" s="3">
        <v>7</v>
      </c>
      <c r="F454" s="2">
        <v>2</v>
      </c>
      <c r="G454" s="2">
        <v>28</v>
      </c>
      <c r="H454" s="2">
        <v>-1.184009738571377</v>
      </c>
      <c r="I454" s="2">
        <v>49</v>
      </c>
      <c r="J454" s="2">
        <v>-0.46706379753639199</v>
      </c>
      <c r="K454" s="5">
        <v>2880</v>
      </c>
      <c r="L454" s="2">
        <v>-1.0014700630856399</v>
      </c>
      <c r="N454" s="2">
        <f t="shared" si="467"/>
        <v>0.28465486928568851</v>
      </c>
      <c r="O454" s="2">
        <f t="shared" si="468"/>
        <v>-0.89935486928568853</v>
      </c>
      <c r="P454" s="2" t="s">
        <v>12</v>
      </c>
      <c r="R454" s="5">
        <f t="shared" si="469"/>
        <v>7.8531898768195996E-2</v>
      </c>
      <c r="S454" s="5">
        <f t="shared" si="470"/>
        <v>-0.38853189876819599</v>
      </c>
      <c r="T454" s="2" t="s">
        <v>12</v>
      </c>
      <c r="V454" s="2">
        <f t="shared" si="471"/>
        <v>0.18573503154281995</v>
      </c>
      <c r="W454" s="2">
        <f t="shared" si="472"/>
        <v>-0.81573503154282001</v>
      </c>
      <c r="X454" s="2">
        <v>-0.61470000000000002</v>
      </c>
      <c r="Y454" s="76">
        <f t="shared" si="508"/>
        <v>0.56930973857137701</v>
      </c>
      <c r="Z454" s="76">
        <f t="shared" si="509"/>
        <v>1</v>
      </c>
      <c r="AA454" s="2">
        <f t="shared" si="473"/>
        <v>-1.3034050615902015E-2</v>
      </c>
      <c r="AB454" s="2">
        <f t="shared" si="474"/>
        <v>-0.61470000000000002</v>
      </c>
      <c r="AC454" s="2">
        <v>75</v>
      </c>
      <c r="AD454" s="2">
        <v>-0.31</v>
      </c>
      <c r="AE454" s="79">
        <f t="shared" si="510"/>
        <v>0.15706379753639199</v>
      </c>
      <c r="AF454" s="79">
        <f t="shared" si="511"/>
        <v>1</v>
      </c>
      <c r="AG454" s="2">
        <f t="shared" si="461"/>
        <v>-0.22573405061590199</v>
      </c>
      <c r="AH454" s="2">
        <f t="shared" si="475"/>
        <v>-0.31</v>
      </c>
      <c r="AI454" s="2">
        <v>9000</v>
      </c>
      <c r="AJ454" s="2">
        <v>-0.63</v>
      </c>
      <c r="AK454" s="76">
        <f t="shared" si="512"/>
        <v>0.3714700630856399</v>
      </c>
      <c r="AL454" s="76">
        <f t="shared" si="513"/>
        <v>1</v>
      </c>
      <c r="AM454" s="2">
        <f t="shared" si="476"/>
        <v>2.8675157714099786E-3</v>
      </c>
      <c r="AN454" s="2">
        <f t="shared" si="477"/>
        <v>-0.63</v>
      </c>
      <c r="AO454" s="2">
        <v>-0.41460000000000002</v>
      </c>
      <c r="AP454" s="2" t="str">
        <f t="shared" si="478"/>
        <v/>
      </c>
      <c r="AQ454" s="2">
        <f t="shared" si="479"/>
        <v>-0.41460000000000002</v>
      </c>
      <c r="AR454" s="2">
        <v>80</v>
      </c>
      <c r="AS454" s="2">
        <v>-0.84</v>
      </c>
      <c r="AT454" s="2" t="str">
        <f t="shared" si="480"/>
        <v/>
      </c>
      <c r="AU454" s="2">
        <f t="shared" si="481"/>
        <v>-0.84</v>
      </c>
      <c r="AV454" s="2">
        <v>10000</v>
      </c>
      <c r="AW454" s="2">
        <v>-0.81</v>
      </c>
      <c r="AX454" s="2" t="str">
        <f t="shared" si="482"/>
        <v/>
      </c>
      <c r="AY454" s="2">
        <f t="shared" si="483"/>
        <v>-0.81</v>
      </c>
      <c r="BA454" s="78" t="e">
        <f t="shared" si="514"/>
        <v>#VALUE!</v>
      </c>
      <c r="BB454" s="78" t="e">
        <f t="shared" si="515"/>
        <v>#VALUE!</v>
      </c>
      <c r="BC454" s="2" t="str">
        <f t="shared" si="484"/>
        <v/>
      </c>
      <c r="BD454" s="2" t="e">
        <f t="shared" si="485"/>
        <v>#VALUE!</v>
      </c>
      <c r="BE454" s="67" t="e">
        <f t="shared" si="516"/>
        <v>#VALUE!</v>
      </c>
      <c r="BF454" s="2" t="s">
        <v>12</v>
      </c>
      <c r="BH454" s="2" t="str">
        <f t="shared" si="486"/>
        <v/>
      </c>
      <c r="BI454" s="2" t="e">
        <f t="shared" si="487"/>
        <v>#VALUE!</v>
      </c>
      <c r="BJ454" s="67" t="e">
        <f t="shared" si="488"/>
        <v>#VALUE!</v>
      </c>
      <c r="BK454" s="2" t="s">
        <v>12</v>
      </c>
      <c r="BM454" s="77" t="e">
        <f t="shared" si="517"/>
        <v>#VALUE!</v>
      </c>
      <c r="BN454" s="77" t="e">
        <f t="shared" si="518"/>
        <v>#VALUE!</v>
      </c>
      <c r="BO454" s="2" t="str">
        <f t="shared" si="489"/>
        <v/>
      </c>
      <c r="BP454" s="2" t="e">
        <f t="shared" si="490"/>
        <v>#VALUE!</v>
      </c>
      <c r="BQ454" s="67" t="e">
        <f t="shared" si="519"/>
        <v>#VALUE!</v>
      </c>
      <c r="BS454" s="75" t="str">
        <f t="shared" si="520"/>
        <v>UF</v>
      </c>
      <c r="BT454" s="75" t="str">
        <f t="shared" si="521"/>
        <v>UF</v>
      </c>
      <c r="BU454" s="5" t="e">
        <f>IF(#REF!&gt;=36, IF(AND(NOT(ISBLANK(CM:CM)), NOT(ISBLANK(BD:BD))), (CM:CM-BD:BD)/2, ""), "UF")</f>
        <v>#REF!</v>
      </c>
      <c r="BV454" s="5" t="str">
        <f t="shared" si="491"/>
        <v>UF</v>
      </c>
      <c r="BW454" s="69" t="str">
        <f t="shared" si="492"/>
        <v/>
      </c>
      <c r="BX454" s="2" t="s">
        <v>12</v>
      </c>
      <c r="BZ454" s="74" t="str">
        <f t="shared" si="522"/>
        <v>UF</v>
      </c>
      <c r="CA454" s="74" t="str">
        <f t="shared" si="523"/>
        <v>UF</v>
      </c>
      <c r="CB454" s="5" t="str">
        <f t="shared" si="493"/>
        <v>UF</v>
      </c>
      <c r="CC454" s="5" t="str">
        <f t="shared" si="494"/>
        <v>UF</v>
      </c>
      <c r="CD454" s="2" t="e">
        <f t="shared" si="495"/>
        <v>#VALUE!</v>
      </c>
      <c r="CE454" s="69" t="str">
        <f t="shared" si="496"/>
        <v/>
      </c>
      <c r="CF454" s="5" t="s">
        <v>12</v>
      </c>
      <c r="CH454" s="72" t="str">
        <f t="shared" si="524"/>
        <v>UF</v>
      </c>
      <c r="CI454" s="72" t="str">
        <f t="shared" si="525"/>
        <v>UF</v>
      </c>
      <c r="CJ454" s="5" t="str">
        <f t="shared" si="497"/>
        <v>UF</v>
      </c>
      <c r="CK454" s="5" t="str">
        <f t="shared" si="498"/>
        <v>UF</v>
      </c>
      <c r="CL454" s="69" t="str">
        <f t="shared" si="499"/>
        <v/>
      </c>
      <c r="CN454" s="70" t="str">
        <f t="shared" si="500"/>
        <v/>
      </c>
      <c r="CO454" s="5" t="str">
        <f t="shared" si="501"/>
        <v>UF</v>
      </c>
      <c r="CP454" s="5" t="str">
        <f>IF(G454&lt;48,"UF", IF(NOT(ISBLANK(CM:CM)), CM:CM, IF(BW:BW=1, BV:BV+Sheet2!B600, IF(Sheet1!BW:BW=2, Sheet1!BV:BV+Sheet2!B601, IF(Sheet1!BW:BW=7, Sheet1!BV:BV+Sheet2!B602,"")))))</f>
        <v>UF</v>
      </c>
      <c r="CQ454" s="69" t="str">
        <f t="shared" si="526"/>
        <v/>
      </c>
      <c r="CR454" s="5" t="s">
        <v>12</v>
      </c>
      <c r="CT454" s="5" t="str">
        <f t="shared" si="502"/>
        <v/>
      </c>
      <c r="CU454" s="80" t="str">
        <f t="shared" si="503"/>
        <v>UF</v>
      </c>
      <c r="CV454" s="80" t="str">
        <f t="shared" si="504"/>
        <v>UF</v>
      </c>
      <c r="CW454" s="20" t="str">
        <f>IF(G454&lt;48,"UF", IF(NOT(ISBLANK(CS454)), CS454, IF(CE454=5, CC454+Sheet2!B589, IF(CE454=6, CC454+Sheet2!B590, IF(CE454=7, CC454+Sheet2!B591,"")))))</f>
        <v>UF</v>
      </c>
      <c r="CX454" s="68" t="str">
        <f t="shared" si="527"/>
        <v/>
      </c>
      <c r="CY454" s="5" t="s">
        <v>12</v>
      </c>
      <c r="DA454" s="5" t="str">
        <f t="shared" si="505"/>
        <v>UF</v>
      </c>
      <c r="DB454" s="73" t="str">
        <f t="shared" si="506"/>
        <v>UF</v>
      </c>
      <c r="DC454" s="73" t="str">
        <f t="shared" si="507"/>
        <v>UF</v>
      </c>
      <c r="DD454" s="5" t="str">
        <f>IF(G454&lt;48,"UF", IF(NOT(ISBLANK(CZ:CZ)), CZ:CZ, IF(CL:CL=3, CK:CK+Sheet2!B594, IF(CL:CL=4, CK:CK+Sheet2!B595, IF(CL:CL=7, CK:CK+Sheet2!B596,"")))))</f>
        <v>UF</v>
      </c>
      <c r="DE454" s="69" t="str">
        <f t="shared" si="463"/>
        <v/>
      </c>
      <c r="DF454" s="2">
        <v>2</v>
      </c>
      <c r="DG454" s="2">
        <v>22</v>
      </c>
      <c r="DH454" s="2">
        <v>2</v>
      </c>
      <c r="DI454" s="2">
        <v>2</v>
      </c>
      <c r="DJ454" s="2">
        <v>3</v>
      </c>
      <c r="DK454" s="2">
        <v>125</v>
      </c>
      <c r="DL454" s="2">
        <v>80</v>
      </c>
      <c r="DM454" s="2" t="s">
        <v>12</v>
      </c>
      <c r="DN454" s="2" t="s">
        <v>12</v>
      </c>
      <c r="DO454" s="2" t="s">
        <v>12</v>
      </c>
      <c r="DP454" s="2" t="s">
        <v>12</v>
      </c>
      <c r="DQ454" s="2">
        <v>2</v>
      </c>
      <c r="DR454" s="2">
        <v>38</v>
      </c>
      <c r="DS454" s="2">
        <v>2</v>
      </c>
      <c r="DT454" s="2">
        <v>80</v>
      </c>
      <c r="DU454" s="2">
        <v>82</v>
      </c>
      <c r="DV454" s="2">
        <v>2</v>
      </c>
      <c r="DW454" s="2">
        <v>2</v>
      </c>
      <c r="DX454" s="2">
        <v>2</v>
      </c>
      <c r="DY454" s="2">
        <v>2</v>
      </c>
      <c r="DZ454" s="2">
        <v>34</v>
      </c>
      <c r="EA454" s="2">
        <v>36</v>
      </c>
      <c r="EB454" s="2">
        <v>46</v>
      </c>
      <c r="EC454" s="2">
        <v>1</v>
      </c>
      <c r="ED454" s="2">
        <v>1</v>
      </c>
    </row>
    <row r="455" spans="3:134" x14ac:dyDescent="0.25">
      <c r="C455" s="8" t="s">
        <v>199</v>
      </c>
      <c r="D455" s="4">
        <v>6490204991</v>
      </c>
      <c r="E455" s="5">
        <v>7</v>
      </c>
      <c r="F455" s="2">
        <v>1</v>
      </c>
      <c r="G455" s="2">
        <v>24</v>
      </c>
      <c r="H455" s="2">
        <v>-3.5605785088077448</v>
      </c>
      <c r="I455" s="2">
        <v>49</v>
      </c>
      <c r="J455" s="2">
        <v>-7.9294265603816944E-2</v>
      </c>
      <c r="K455" s="1">
        <v>2300</v>
      </c>
      <c r="L455" s="2">
        <v>-2.251975271985406</v>
      </c>
      <c r="M455" s="2">
        <v>0.67620000000000002</v>
      </c>
      <c r="N455" s="2">
        <f t="shared" si="467"/>
        <v>2.0220892544038724</v>
      </c>
      <c r="O455" s="2">
        <f t="shared" si="468"/>
        <v>0.67620000000000002</v>
      </c>
      <c r="P455" s="2">
        <v>61.5</v>
      </c>
      <c r="Q455" s="2">
        <v>-1.88</v>
      </c>
      <c r="R455" s="5">
        <f t="shared" si="469"/>
        <v>3.9647132801908472E-2</v>
      </c>
      <c r="S455" s="5">
        <f t="shared" si="470"/>
        <v>-1.88</v>
      </c>
      <c r="T455" s="1">
        <v>6800</v>
      </c>
      <c r="U455" s="2">
        <v>-0.57999999999999996</v>
      </c>
      <c r="V455" s="2">
        <f t="shared" si="471"/>
        <v>1.305987635992703</v>
      </c>
      <c r="W455" s="2">
        <f t="shared" si="472"/>
        <v>-0.57999999999999996</v>
      </c>
      <c r="X455" s="2">
        <v>0.48359999999999997</v>
      </c>
      <c r="Y455" s="76">
        <f t="shared" si="508"/>
        <v>4.0441785088077449</v>
      </c>
      <c r="Z455" s="76">
        <f t="shared" si="509"/>
        <v>2</v>
      </c>
      <c r="AA455" s="2" t="str">
        <f t="shared" si="473"/>
        <v/>
      </c>
      <c r="AB455" s="2">
        <f t="shared" si="474"/>
        <v>0.48359999999999997</v>
      </c>
      <c r="AC455" s="2">
        <v>74</v>
      </c>
      <c r="AD455" s="2">
        <v>0</v>
      </c>
      <c r="AE455" s="79">
        <f t="shared" si="510"/>
        <v>7.9294265603816944E-2</v>
      </c>
      <c r="AF455" s="79">
        <f t="shared" si="511"/>
        <v>1</v>
      </c>
      <c r="AG455" s="2" t="str">
        <f t="shared" si="461"/>
        <v/>
      </c>
      <c r="AH455" s="2">
        <f t="shared" si="475"/>
        <v>0</v>
      </c>
      <c r="AI455" s="2">
        <v>9350</v>
      </c>
      <c r="AJ455" s="2">
        <v>0.36</v>
      </c>
      <c r="AK455" s="76">
        <f t="shared" si="512"/>
        <v>2.6119752719854059</v>
      </c>
      <c r="AL455" s="76">
        <f t="shared" si="513"/>
        <v>2</v>
      </c>
      <c r="AM455" s="2" t="str">
        <f t="shared" si="476"/>
        <v/>
      </c>
      <c r="AN455" s="2">
        <f t="shared" si="477"/>
        <v>0.36</v>
      </c>
      <c r="AP455" s="2" t="str">
        <f t="shared" si="478"/>
        <v/>
      </c>
      <c r="AQ455" s="2" t="e">
        <f t="shared" si="479"/>
        <v>#VALUE!</v>
      </c>
      <c r="AR455" s="2" t="s">
        <v>12</v>
      </c>
      <c r="AT455" s="2" t="str">
        <f t="shared" si="480"/>
        <v/>
      </c>
      <c r="AU455" s="2" t="e">
        <f t="shared" si="481"/>
        <v>#VALUE!</v>
      </c>
      <c r="AV455" s="2" t="s">
        <v>12</v>
      </c>
      <c r="AX455" s="2" t="str">
        <f t="shared" si="482"/>
        <v/>
      </c>
      <c r="AY455" s="2" t="e">
        <f t="shared" si="483"/>
        <v>#VALUE!</v>
      </c>
      <c r="BA455" s="78" t="e">
        <f t="shared" si="514"/>
        <v>#VALUE!</v>
      </c>
      <c r="BB455" s="78" t="e">
        <f t="shared" si="515"/>
        <v>#VALUE!</v>
      </c>
      <c r="BC455" s="2" t="str">
        <f t="shared" si="484"/>
        <v/>
      </c>
      <c r="BD455" s="2" t="e">
        <f t="shared" si="485"/>
        <v>#VALUE!</v>
      </c>
      <c r="BE455" s="67" t="e">
        <f t="shared" si="516"/>
        <v>#VALUE!</v>
      </c>
      <c r="BF455" s="2" t="s">
        <v>12</v>
      </c>
      <c r="BH455" s="2" t="str">
        <f t="shared" si="486"/>
        <v/>
      </c>
      <c r="BI455" s="2" t="e">
        <f t="shared" si="487"/>
        <v>#VALUE!</v>
      </c>
      <c r="BJ455" s="67" t="e">
        <f t="shared" si="488"/>
        <v>#VALUE!</v>
      </c>
      <c r="BK455" s="2" t="s">
        <v>12</v>
      </c>
      <c r="BM455" s="77" t="e">
        <f t="shared" si="517"/>
        <v>#VALUE!</v>
      </c>
      <c r="BN455" s="77" t="e">
        <f t="shared" si="518"/>
        <v>#VALUE!</v>
      </c>
      <c r="BO455" s="2" t="str">
        <f t="shared" si="489"/>
        <v/>
      </c>
      <c r="BP455" s="2" t="e">
        <f t="shared" si="490"/>
        <v>#VALUE!</v>
      </c>
      <c r="BQ455" s="67" t="e">
        <f t="shared" si="519"/>
        <v>#VALUE!</v>
      </c>
      <c r="BS455" s="75" t="str">
        <f t="shared" si="520"/>
        <v>UF</v>
      </c>
      <c r="BT455" s="75" t="str">
        <f t="shared" si="521"/>
        <v>UF</v>
      </c>
      <c r="BU455" s="5" t="str">
        <f>IF(G463&gt;=36, IF(AND(NOT(ISBLANK(CM:CM)), NOT(ISBLANK(BD:BD))), (CM:CM-BD:BD)/2, ""), "UF")</f>
        <v/>
      </c>
      <c r="BV455" s="5" t="str">
        <f t="shared" si="491"/>
        <v>UF</v>
      </c>
      <c r="BW455" s="69" t="str">
        <f t="shared" si="492"/>
        <v/>
      </c>
      <c r="BX455" s="2" t="s">
        <v>12</v>
      </c>
      <c r="BZ455" s="74" t="str">
        <f t="shared" si="522"/>
        <v>UF</v>
      </c>
      <c r="CA455" s="74" t="str">
        <f t="shared" si="523"/>
        <v>UF</v>
      </c>
      <c r="CB455" s="5" t="str">
        <f t="shared" si="493"/>
        <v>UF</v>
      </c>
      <c r="CC455" s="5" t="str">
        <f t="shared" si="494"/>
        <v>UF</v>
      </c>
      <c r="CD455" s="2" t="e">
        <f t="shared" si="495"/>
        <v>#VALUE!</v>
      </c>
      <c r="CE455" s="69" t="str">
        <f t="shared" si="496"/>
        <v/>
      </c>
      <c r="CF455" s="5" t="s">
        <v>12</v>
      </c>
      <c r="CH455" s="72" t="str">
        <f t="shared" si="524"/>
        <v>UF</v>
      </c>
      <c r="CI455" s="72" t="str">
        <f t="shared" si="525"/>
        <v>UF</v>
      </c>
      <c r="CJ455" s="5" t="str">
        <f t="shared" si="497"/>
        <v>UF</v>
      </c>
      <c r="CK455" s="5" t="str">
        <f t="shared" si="498"/>
        <v>UF</v>
      </c>
      <c r="CL455" s="69" t="str">
        <f t="shared" si="499"/>
        <v/>
      </c>
      <c r="CN455" s="70" t="str">
        <f t="shared" si="500"/>
        <v/>
      </c>
      <c r="CO455" s="5" t="str">
        <f t="shared" si="501"/>
        <v>UF</v>
      </c>
      <c r="CP455" s="5" t="str">
        <f>IF(G455&lt;48,"UF", IF(NOT(ISBLANK(CM:CM)), CM:CM, IF(BW:BW=1, BV:BV+Sheet2!B374, IF(Sheet1!BW:BW=2, Sheet1!BV:BV+Sheet2!B375, IF(Sheet1!BW:BW=7, Sheet1!BV:BV+Sheet2!B376,"")))))</f>
        <v>UF</v>
      </c>
      <c r="CQ455" s="69" t="str">
        <f t="shared" si="526"/>
        <v/>
      </c>
      <c r="CR455" s="5" t="s">
        <v>12</v>
      </c>
      <c r="CT455" s="5" t="str">
        <f t="shared" si="502"/>
        <v/>
      </c>
      <c r="CU455" s="80" t="str">
        <f t="shared" si="503"/>
        <v>UF</v>
      </c>
      <c r="CV455" s="80" t="str">
        <f t="shared" si="504"/>
        <v>UF</v>
      </c>
      <c r="CW455" s="20" t="str">
        <f>IF(G455&lt;48,"UF", IF(NOT(ISBLANK(CS455)), CS455, IF(CE455=5, CC455+Sheet2!B363, IF(CE455=6, CC455+Sheet2!B364, IF(CE455=7, CC455+Sheet2!B365,"")))))</f>
        <v>UF</v>
      </c>
      <c r="CX455" s="68" t="str">
        <f t="shared" si="527"/>
        <v/>
      </c>
      <c r="CY455" s="5" t="s">
        <v>12</v>
      </c>
      <c r="DA455" s="5" t="str">
        <f t="shared" si="505"/>
        <v>UF</v>
      </c>
      <c r="DB455" s="73" t="str">
        <f t="shared" si="506"/>
        <v>UF</v>
      </c>
      <c r="DC455" s="73" t="str">
        <f t="shared" si="507"/>
        <v>UF</v>
      </c>
      <c r="DD455" s="5" t="str">
        <f>IF(G455&lt;48,"UF", IF(NOT(ISBLANK(CZ:CZ)), CZ:CZ, IF(CL:CL=3, CK:CK+Sheet2!B368, IF(CL:CL=4, CK:CK+Sheet2!B369, IF(CL:CL=7, CK:CK+Sheet2!B370,"")))))</f>
        <v>UF</v>
      </c>
      <c r="DE455" s="69" t="str">
        <f t="shared" si="463"/>
        <v/>
      </c>
      <c r="DF455" s="2">
        <v>2</v>
      </c>
      <c r="DG455" s="2">
        <v>30</v>
      </c>
      <c r="DH455" s="2">
        <v>1</v>
      </c>
      <c r="DI455" s="2">
        <v>2</v>
      </c>
      <c r="DJ455" s="2">
        <v>2</v>
      </c>
      <c r="DK455" s="2">
        <v>90</v>
      </c>
      <c r="DL455" s="2">
        <v>59</v>
      </c>
      <c r="DM455" s="2">
        <v>99</v>
      </c>
      <c r="DN455" s="2">
        <v>53</v>
      </c>
      <c r="DO455" s="2" t="s">
        <v>12</v>
      </c>
      <c r="DP455" s="2" t="s">
        <v>12</v>
      </c>
      <c r="DQ455" s="2">
        <v>1</v>
      </c>
      <c r="DR455" s="2">
        <v>35</v>
      </c>
      <c r="DS455" s="2">
        <v>2</v>
      </c>
      <c r="DT455" s="2">
        <v>86</v>
      </c>
      <c r="DU455" s="2">
        <v>62</v>
      </c>
      <c r="DV455" s="2">
        <v>2</v>
      </c>
      <c r="DW455" s="2">
        <v>2</v>
      </c>
      <c r="DX455" s="2">
        <v>3</v>
      </c>
      <c r="DY455" s="2">
        <v>2</v>
      </c>
      <c r="DZ455" s="2">
        <v>33.5</v>
      </c>
      <c r="EA455" s="2">
        <v>33</v>
      </c>
      <c r="EB455" s="2">
        <v>46</v>
      </c>
      <c r="EC455" s="2">
        <v>1</v>
      </c>
      <c r="ED455" s="2">
        <v>1</v>
      </c>
    </row>
    <row r="456" spans="3:134" x14ac:dyDescent="0.25">
      <c r="C456" s="5" t="s">
        <v>118</v>
      </c>
      <c r="D456" s="2">
        <v>6490205092</v>
      </c>
      <c r="E456" s="5">
        <v>4</v>
      </c>
      <c r="F456" s="2">
        <v>1</v>
      </c>
      <c r="G456" s="2">
        <v>25</v>
      </c>
      <c r="H456" s="2">
        <v>-2.339816446382073</v>
      </c>
      <c r="I456" s="2">
        <v>53</v>
      </c>
      <c r="J456" s="2">
        <v>2.0681285461890671</v>
      </c>
      <c r="K456" s="5">
        <v>3020</v>
      </c>
      <c r="L456" s="2">
        <v>-0.47304686947550512</v>
      </c>
      <c r="N456" s="2" t="str">
        <f t="shared" si="467"/>
        <v/>
      </c>
      <c r="O456" s="2" t="e">
        <f t="shared" si="468"/>
        <v>#VALUE!</v>
      </c>
      <c r="P456" s="2" t="s">
        <v>12</v>
      </c>
      <c r="R456" s="5" t="str">
        <f t="shared" si="469"/>
        <v/>
      </c>
      <c r="S456" s="5" t="e">
        <f t="shared" si="470"/>
        <v>#VALUE!</v>
      </c>
      <c r="T456" s="1" t="s">
        <v>12</v>
      </c>
      <c r="V456" s="2" t="str">
        <f t="shared" si="471"/>
        <v/>
      </c>
      <c r="W456" s="2" t="e">
        <f t="shared" si="472"/>
        <v>#VALUE!</v>
      </c>
      <c r="Y456" s="76" t="e">
        <f t="shared" si="508"/>
        <v>#VALUE!</v>
      </c>
      <c r="Z456" s="76" t="e">
        <f t="shared" si="509"/>
        <v>#VALUE!</v>
      </c>
      <c r="AA456" s="2" t="str">
        <f t="shared" si="473"/>
        <v/>
      </c>
      <c r="AB456" s="2" t="e">
        <f t="shared" si="474"/>
        <v>#VALUE!</v>
      </c>
      <c r="AC456" s="2" t="s">
        <v>12</v>
      </c>
      <c r="AE456" s="79" t="e">
        <f t="shared" si="510"/>
        <v>#VALUE!</v>
      </c>
      <c r="AF456" s="79" t="e">
        <f t="shared" si="511"/>
        <v>#VALUE!</v>
      </c>
      <c r="AG456" s="2" t="str">
        <f t="shared" si="461"/>
        <v/>
      </c>
      <c r="AH456" s="2" t="e">
        <f t="shared" si="475"/>
        <v>#VALUE!</v>
      </c>
      <c r="AI456" s="2" t="s">
        <v>12</v>
      </c>
      <c r="AK456" s="76" t="e">
        <f t="shared" si="512"/>
        <v>#VALUE!</v>
      </c>
      <c r="AL456" s="76" t="e">
        <f t="shared" si="513"/>
        <v>#VALUE!</v>
      </c>
      <c r="AM456" s="2" t="str">
        <f t="shared" si="476"/>
        <v/>
      </c>
      <c r="AN456" s="2" t="e">
        <f t="shared" si="477"/>
        <v>#VALUE!</v>
      </c>
      <c r="AP456" s="2" t="e">
        <f t="shared" si="478"/>
        <v>#VALUE!</v>
      </c>
      <c r="AQ456" s="2" t="e">
        <f t="shared" si="479"/>
        <v>#VALUE!</v>
      </c>
      <c r="AR456" s="2" t="s">
        <v>12</v>
      </c>
      <c r="AT456" s="2" t="e">
        <f t="shared" si="480"/>
        <v>#VALUE!</v>
      </c>
      <c r="AU456" s="2" t="e">
        <f t="shared" si="481"/>
        <v>#VALUE!</v>
      </c>
      <c r="AV456" s="2" t="s">
        <v>12</v>
      </c>
      <c r="AX456" s="2" t="e">
        <f t="shared" si="482"/>
        <v>#VALUE!</v>
      </c>
      <c r="AY456" s="2" t="e">
        <f t="shared" si="483"/>
        <v>#VALUE!</v>
      </c>
      <c r="AZ456" s="2">
        <v>-2.0831220471835818</v>
      </c>
      <c r="BA456" s="78" t="e">
        <f t="shared" si="514"/>
        <v>#VALUE!</v>
      </c>
      <c r="BB456" s="78" t="e">
        <f t="shared" si="515"/>
        <v>#VALUE!</v>
      </c>
      <c r="BC456" s="2" t="str">
        <f t="shared" si="484"/>
        <v/>
      </c>
      <c r="BD456" s="2">
        <f t="shared" si="485"/>
        <v>-2.0831220471835818</v>
      </c>
      <c r="BE456" s="67">
        <f t="shared" si="516"/>
        <v>2</v>
      </c>
      <c r="BF456" s="2">
        <v>86</v>
      </c>
      <c r="BG456" s="2">
        <v>0.1727538443690157</v>
      </c>
      <c r="BH456" s="2" t="str">
        <f t="shared" si="486"/>
        <v/>
      </c>
      <c r="BI456" s="2">
        <f t="shared" si="487"/>
        <v>0.1727538443690157</v>
      </c>
      <c r="BJ456" s="67">
        <f t="shared" si="488"/>
        <v>7</v>
      </c>
      <c r="BK456" s="2">
        <v>10300</v>
      </c>
      <c r="BL456" s="2">
        <v>-1.6191399680881791</v>
      </c>
      <c r="BM456" s="77" t="e">
        <f t="shared" si="517"/>
        <v>#VALUE!</v>
      </c>
      <c r="BN456" s="77" t="e">
        <f t="shared" si="518"/>
        <v>#VALUE!</v>
      </c>
      <c r="BO456" s="2" t="str">
        <f t="shared" si="489"/>
        <v/>
      </c>
      <c r="BP456" s="2">
        <f t="shared" si="490"/>
        <v>-1.6191399680881791</v>
      </c>
      <c r="BQ456" s="67">
        <f t="shared" si="519"/>
        <v>7</v>
      </c>
      <c r="BS456" s="75" t="str">
        <f t="shared" si="520"/>
        <v>UF</v>
      </c>
      <c r="BT456" s="75" t="str">
        <f t="shared" si="521"/>
        <v>UF</v>
      </c>
      <c r="BU456" s="5" t="e">
        <f>IF(#REF!&gt;=36, IF(AND(NOT(ISBLANK(CM:CM)), NOT(ISBLANK(BD:BD))), (CM:CM-BD:BD)/2, ""), "UF")</f>
        <v>#REF!</v>
      </c>
      <c r="BV456" s="5" t="str">
        <f t="shared" si="491"/>
        <v>UF</v>
      </c>
      <c r="BW456" s="69" t="str">
        <f t="shared" si="492"/>
        <v/>
      </c>
      <c r="BX456" s="2" t="s">
        <v>12</v>
      </c>
      <c r="BZ456" s="74" t="str">
        <f t="shared" si="522"/>
        <v>UF</v>
      </c>
      <c r="CA456" s="74" t="str">
        <f t="shared" si="523"/>
        <v>UF</v>
      </c>
      <c r="CB456" s="5" t="str">
        <f t="shared" si="493"/>
        <v>UF</v>
      </c>
      <c r="CC456" s="5" t="str">
        <f t="shared" si="494"/>
        <v>UF</v>
      </c>
      <c r="CD456" s="2" t="e">
        <f t="shared" si="495"/>
        <v>#VALUE!</v>
      </c>
      <c r="CE456" s="69" t="str">
        <f t="shared" si="496"/>
        <v/>
      </c>
      <c r="CF456" s="5" t="s">
        <v>12</v>
      </c>
      <c r="CH456" s="72" t="str">
        <f t="shared" si="524"/>
        <v>UF</v>
      </c>
      <c r="CI456" s="72" t="str">
        <f t="shared" si="525"/>
        <v>UF</v>
      </c>
      <c r="CJ456" s="5" t="str">
        <f t="shared" si="497"/>
        <v>UF</v>
      </c>
      <c r="CK456" s="5" t="str">
        <f t="shared" si="498"/>
        <v>UF</v>
      </c>
      <c r="CL456" s="69" t="str">
        <f t="shared" si="499"/>
        <v/>
      </c>
      <c r="CN456" s="70" t="str">
        <f t="shared" si="500"/>
        <v/>
      </c>
      <c r="CO456" s="5" t="str">
        <f t="shared" si="501"/>
        <v>UF</v>
      </c>
      <c r="CP456" s="5" t="str">
        <f>IF(G456&lt;48,"UF", IF(NOT(ISBLANK(CM:CM)), CM:CM, IF(BW:BW=1, BV:BV+Sheet2!B154, IF(Sheet1!BW:BW=2, Sheet1!BV:BV+Sheet2!B155, IF(Sheet1!BW:BW=7, Sheet1!BV:BV+Sheet2!B156,"")))))</f>
        <v>UF</v>
      </c>
      <c r="CQ456" s="69" t="str">
        <f t="shared" si="526"/>
        <v/>
      </c>
      <c r="CR456" s="5" t="s">
        <v>12</v>
      </c>
      <c r="CT456" s="5" t="str">
        <f t="shared" si="502"/>
        <v/>
      </c>
      <c r="CU456" s="80" t="str">
        <f t="shared" si="503"/>
        <v>UF</v>
      </c>
      <c r="CV456" s="80" t="str">
        <f t="shared" si="504"/>
        <v>UF</v>
      </c>
      <c r="CW456" s="20" t="str">
        <f>IF(G456&lt;48,"UF", IF(NOT(ISBLANK(CS456)), CS456, IF(CE456=5, CC456+Sheet2!B143, IF(CE456=6, CC456+Sheet2!B144, IF(CE456=7, CC456+Sheet2!B145,"")))))</f>
        <v>UF</v>
      </c>
      <c r="CX456" s="68" t="str">
        <f t="shared" si="527"/>
        <v/>
      </c>
      <c r="CY456" s="5" t="s">
        <v>12</v>
      </c>
      <c r="DA456" s="5" t="str">
        <f t="shared" si="505"/>
        <v>UF</v>
      </c>
      <c r="DB456" s="73" t="str">
        <f t="shared" si="506"/>
        <v>UF</v>
      </c>
      <c r="DC456" s="73" t="str">
        <f t="shared" si="507"/>
        <v>UF</v>
      </c>
      <c r="DD456" s="5" t="str">
        <f>IF(G456&lt;48,"UF", IF(NOT(ISBLANK(CZ:CZ)), CZ:CZ, IF(CL:CL=3, CK:CK+Sheet2!B148, IF(CL:CL=4, CK:CK+Sheet2!B149, IF(CL:CL=7, CK:CK+Sheet2!B150,"")))))</f>
        <v>UF</v>
      </c>
      <c r="DE456" s="69" t="str">
        <f t="shared" si="463"/>
        <v/>
      </c>
      <c r="DF456" s="2">
        <v>3</v>
      </c>
      <c r="DG456" s="2">
        <v>34</v>
      </c>
      <c r="DH456" s="2">
        <v>2</v>
      </c>
      <c r="DI456" s="2">
        <v>2</v>
      </c>
      <c r="DJ456" s="2">
        <v>2</v>
      </c>
      <c r="DK456" s="2">
        <v>105</v>
      </c>
      <c r="DL456" s="2">
        <v>65</v>
      </c>
      <c r="DM456" s="2">
        <v>109</v>
      </c>
      <c r="DN456" s="2">
        <v>71</v>
      </c>
      <c r="DO456" s="2" t="s">
        <v>12</v>
      </c>
      <c r="DP456" s="2" t="s">
        <v>12</v>
      </c>
      <c r="DQ456" s="2">
        <v>2</v>
      </c>
      <c r="DR456" s="2">
        <v>39</v>
      </c>
      <c r="DS456" s="2">
        <v>2</v>
      </c>
      <c r="DT456" s="2">
        <v>87</v>
      </c>
      <c r="DU456" s="2">
        <v>89</v>
      </c>
      <c r="DV456" s="2">
        <v>2</v>
      </c>
      <c r="DW456" s="2">
        <v>2</v>
      </c>
      <c r="DX456" s="2">
        <v>3</v>
      </c>
      <c r="DY456" s="2">
        <v>2</v>
      </c>
      <c r="DZ456" s="2">
        <v>35</v>
      </c>
      <c r="EA456" s="2">
        <v>36.5</v>
      </c>
      <c r="EB456" s="2" t="s">
        <v>12</v>
      </c>
      <c r="EC456" s="2">
        <v>1</v>
      </c>
      <c r="ED456" s="2" t="s">
        <v>12</v>
      </c>
    </row>
    <row r="457" spans="3:134" x14ac:dyDescent="0.25">
      <c r="C457" s="8" t="s">
        <v>160</v>
      </c>
      <c r="D457" s="4">
        <v>6490205191</v>
      </c>
      <c r="E457" s="5">
        <v>7</v>
      </c>
      <c r="F457" s="2">
        <v>2</v>
      </c>
      <c r="G457" s="2">
        <v>24</v>
      </c>
      <c r="H457" s="2">
        <v>-1.072043675270268</v>
      </c>
      <c r="I457" s="2">
        <v>49</v>
      </c>
      <c r="J457" s="2">
        <v>-0.46706379753639199</v>
      </c>
      <c r="K457" s="1">
        <v>2910</v>
      </c>
      <c r="L457" s="2">
        <v>-0.93399877436889145</v>
      </c>
      <c r="M457" s="2">
        <v>-1.1516</v>
      </c>
      <c r="N457" s="2">
        <f t="shared" si="467"/>
        <v>0.29887183763513403</v>
      </c>
      <c r="O457" s="2">
        <f t="shared" si="468"/>
        <v>-1.1516</v>
      </c>
      <c r="P457" s="2">
        <v>68</v>
      </c>
      <c r="Q457" s="2">
        <v>0.17</v>
      </c>
      <c r="R457" s="5">
        <f t="shared" si="469"/>
        <v>7.8531898768195996E-2</v>
      </c>
      <c r="S457" s="5">
        <f t="shared" si="470"/>
        <v>0.17</v>
      </c>
      <c r="T457" s="1">
        <v>7300</v>
      </c>
      <c r="U457" s="2">
        <v>-0.76</v>
      </c>
      <c r="V457" s="2">
        <f t="shared" si="471"/>
        <v>0.20199938718444571</v>
      </c>
      <c r="W457" s="2">
        <f t="shared" si="472"/>
        <v>-0.76</v>
      </c>
      <c r="X457" s="2">
        <v>-0.4743</v>
      </c>
      <c r="Y457" s="76">
        <f t="shared" si="508"/>
        <v>0.59774367527026806</v>
      </c>
      <c r="Z457" s="76">
        <f t="shared" si="509"/>
        <v>1</v>
      </c>
      <c r="AA457" s="2" t="str">
        <f t="shared" si="473"/>
        <v/>
      </c>
      <c r="AB457" s="2">
        <f t="shared" si="474"/>
        <v>-0.4743</v>
      </c>
      <c r="AC457" s="2">
        <v>75</v>
      </c>
      <c r="AD457" s="2">
        <v>-0.31</v>
      </c>
      <c r="AE457" s="79">
        <f t="shared" si="510"/>
        <v>0.15706379753639199</v>
      </c>
      <c r="AF457" s="79">
        <f t="shared" si="511"/>
        <v>1</v>
      </c>
      <c r="AG457" s="2" t="str">
        <f t="shared" si="461"/>
        <v/>
      </c>
      <c r="AH457" s="2">
        <f t="shared" si="475"/>
        <v>-0.31</v>
      </c>
      <c r="AI457" s="2">
        <v>9100</v>
      </c>
      <c r="AJ457" s="2">
        <v>-0.53</v>
      </c>
      <c r="AK457" s="76">
        <f t="shared" si="512"/>
        <v>0.40399877436889142</v>
      </c>
      <c r="AL457" s="76">
        <f t="shared" si="513"/>
        <v>1</v>
      </c>
      <c r="AM457" s="2" t="str">
        <f t="shared" si="476"/>
        <v/>
      </c>
      <c r="AN457" s="2">
        <f t="shared" si="477"/>
        <v>-0.53</v>
      </c>
      <c r="AP457" s="2" t="str">
        <f t="shared" si="478"/>
        <v/>
      </c>
      <c r="AQ457" s="2" t="e">
        <f t="shared" si="479"/>
        <v>#VALUE!</v>
      </c>
      <c r="AR457" s="2" t="s">
        <v>12</v>
      </c>
      <c r="AT457" s="2" t="str">
        <f t="shared" si="480"/>
        <v/>
      </c>
      <c r="AU457" s="2" t="e">
        <f t="shared" si="481"/>
        <v>#VALUE!</v>
      </c>
      <c r="AV457" s="2" t="s">
        <v>12</v>
      </c>
      <c r="AX457" s="2" t="str">
        <f t="shared" si="482"/>
        <v/>
      </c>
      <c r="AY457" s="2" t="e">
        <f t="shared" si="483"/>
        <v>#VALUE!</v>
      </c>
      <c r="BA457" s="78" t="e">
        <f t="shared" si="514"/>
        <v>#VALUE!</v>
      </c>
      <c r="BB457" s="78" t="e">
        <f t="shared" si="515"/>
        <v>#VALUE!</v>
      </c>
      <c r="BC457" s="2" t="str">
        <f t="shared" si="484"/>
        <v/>
      </c>
      <c r="BD457" s="2" t="e">
        <f t="shared" si="485"/>
        <v>#VALUE!</v>
      </c>
      <c r="BE457" s="67" t="e">
        <f t="shared" si="516"/>
        <v>#VALUE!</v>
      </c>
      <c r="BF457" s="2" t="s">
        <v>12</v>
      </c>
      <c r="BH457" s="2" t="str">
        <f t="shared" si="486"/>
        <v/>
      </c>
      <c r="BI457" s="2" t="e">
        <f t="shared" si="487"/>
        <v>#VALUE!</v>
      </c>
      <c r="BJ457" s="67" t="e">
        <f t="shared" si="488"/>
        <v>#VALUE!</v>
      </c>
      <c r="BK457" s="2" t="s">
        <v>12</v>
      </c>
      <c r="BM457" s="77" t="e">
        <f t="shared" si="517"/>
        <v>#VALUE!</v>
      </c>
      <c r="BN457" s="77" t="e">
        <f t="shared" si="518"/>
        <v>#VALUE!</v>
      </c>
      <c r="BO457" s="2" t="str">
        <f t="shared" si="489"/>
        <v/>
      </c>
      <c r="BP457" s="2" t="e">
        <f t="shared" si="490"/>
        <v>#VALUE!</v>
      </c>
      <c r="BQ457" s="67" t="e">
        <f t="shared" si="519"/>
        <v>#VALUE!</v>
      </c>
      <c r="BS457" s="75" t="str">
        <f t="shared" si="520"/>
        <v>UF</v>
      </c>
      <c r="BT457" s="75" t="str">
        <f t="shared" si="521"/>
        <v>UF</v>
      </c>
      <c r="BU457" s="5" t="e">
        <f>IF(#REF!&gt;=36, IF(AND(NOT(ISBLANK(CM:CM)), NOT(ISBLANK(BD:BD))), (CM:CM-BD:BD)/2, ""), "UF")</f>
        <v>#REF!</v>
      </c>
      <c r="BV457" s="5" t="str">
        <f t="shared" si="491"/>
        <v>UF</v>
      </c>
      <c r="BW457" s="69" t="str">
        <f t="shared" si="492"/>
        <v/>
      </c>
      <c r="BX457" s="2" t="s">
        <v>12</v>
      </c>
      <c r="BZ457" s="74" t="str">
        <f t="shared" si="522"/>
        <v>UF</v>
      </c>
      <c r="CA457" s="74" t="str">
        <f t="shared" si="523"/>
        <v>UF</v>
      </c>
      <c r="CB457" s="5" t="str">
        <f t="shared" si="493"/>
        <v>UF</v>
      </c>
      <c r="CC457" s="5" t="str">
        <f t="shared" si="494"/>
        <v>UF</v>
      </c>
      <c r="CD457" s="2" t="e">
        <f t="shared" si="495"/>
        <v>#VALUE!</v>
      </c>
      <c r="CE457" s="69" t="str">
        <f t="shared" si="496"/>
        <v/>
      </c>
      <c r="CF457" s="5" t="s">
        <v>12</v>
      </c>
      <c r="CH457" s="72" t="str">
        <f t="shared" si="524"/>
        <v>UF</v>
      </c>
      <c r="CI457" s="72" t="str">
        <f t="shared" si="525"/>
        <v>UF</v>
      </c>
      <c r="CJ457" s="5" t="str">
        <f t="shared" si="497"/>
        <v>UF</v>
      </c>
      <c r="CK457" s="5" t="str">
        <f t="shared" si="498"/>
        <v>UF</v>
      </c>
      <c r="CL457" s="69" t="str">
        <f t="shared" si="499"/>
        <v/>
      </c>
      <c r="CN457" s="70" t="str">
        <f t="shared" si="500"/>
        <v/>
      </c>
      <c r="CO457" s="5" t="str">
        <f t="shared" si="501"/>
        <v>UF</v>
      </c>
      <c r="CP457" s="5" t="str">
        <f>IF(G457&lt;48,"UF", IF(NOT(ISBLANK(CM:CM)), CM:CM, IF(BW:BW=1, BV:BV+Sheet2!B373, IF(Sheet1!BW:BW=2, Sheet1!BV:BV+Sheet2!B374, IF(Sheet1!BW:BW=7, Sheet1!BV:BV+Sheet2!B375,"")))))</f>
        <v>UF</v>
      </c>
      <c r="CQ457" s="69" t="str">
        <f t="shared" si="526"/>
        <v/>
      </c>
      <c r="CR457" s="5" t="s">
        <v>12</v>
      </c>
      <c r="CT457" s="5" t="str">
        <f t="shared" si="502"/>
        <v/>
      </c>
      <c r="CU457" s="80" t="str">
        <f t="shared" si="503"/>
        <v>UF</v>
      </c>
      <c r="CV457" s="80" t="str">
        <f t="shared" si="504"/>
        <v>UF</v>
      </c>
      <c r="CW457" s="20" t="str">
        <f>IF(G457&lt;48,"UF", IF(NOT(ISBLANK(CS457)), CS457, IF(CE457=5, CC457+Sheet2!B362, IF(CE457=6, CC457+Sheet2!B363, IF(CE457=7, CC457+Sheet2!B364,"")))))</f>
        <v>UF</v>
      </c>
      <c r="CX457" s="68" t="str">
        <f t="shared" si="527"/>
        <v/>
      </c>
      <c r="CY457" s="5" t="s">
        <v>12</v>
      </c>
      <c r="DA457" s="5" t="str">
        <f t="shared" si="505"/>
        <v>UF</v>
      </c>
      <c r="DB457" s="73" t="str">
        <f t="shared" si="506"/>
        <v>UF</v>
      </c>
      <c r="DC457" s="73" t="str">
        <f t="shared" si="507"/>
        <v>UF</v>
      </c>
      <c r="DD457" s="5" t="str">
        <f>IF(G457&lt;48,"UF", IF(NOT(ISBLANK(CZ:CZ)), CZ:CZ, IF(CL:CL=3, CK:CK+Sheet2!B367, IF(CL:CL=4, CK:CK+Sheet2!B368, IF(CL:CL=7, CK:CK+Sheet2!B369,"")))))</f>
        <v>UF</v>
      </c>
      <c r="DE457" s="69" t="str">
        <f t="shared" si="463"/>
        <v/>
      </c>
      <c r="DF457" s="2">
        <v>1</v>
      </c>
      <c r="DG457" s="2">
        <v>35</v>
      </c>
      <c r="DH457" s="2">
        <v>2</v>
      </c>
      <c r="DI457" s="2">
        <v>2</v>
      </c>
      <c r="DJ457" s="2">
        <v>2</v>
      </c>
      <c r="DK457" s="2" t="s">
        <v>12</v>
      </c>
      <c r="DL457" s="2" t="s">
        <v>12</v>
      </c>
      <c r="DM457" s="2">
        <v>100</v>
      </c>
      <c r="DN457" s="2">
        <v>58</v>
      </c>
      <c r="DO457" s="2" t="s">
        <v>12</v>
      </c>
      <c r="DP457" s="2" t="s">
        <v>12</v>
      </c>
      <c r="DQ457" s="2">
        <v>2</v>
      </c>
      <c r="DR457" s="2">
        <v>39</v>
      </c>
      <c r="DS457" s="2">
        <v>2</v>
      </c>
      <c r="DT457" s="2">
        <v>90</v>
      </c>
      <c r="DU457" s="2">
        <v>73</v>
      </c>
      <c r="DV457" s="2">
        <v>2</v>
      </c>
      <c r="DW457" s="2">
        <v>3</v>
      </c>
      <c r="DX457" s="2">
        <v>3</v>
      </c>
      <c r="DY457" s="2">
        <v>2</v>
      </c>
      <c r="DZ457" s="2">
        <v>34.5</v>
      </c>
      <c r="EA457" s="2" t="s">
        <v>12</v>
      </c>
      <c r="EB457" s="2">
        <v>46.3</v>
      </c>
      <c r="EC457" s="2" t="s">
        <v>12</v>
      </c>
      <c r="ED457" s="2">
        <v>1</v>
      </c>
    </row>
    <row r="458" spans="3:134" x14ac:dyDescent="0.25">
      <c r="C458" s="2" t="s">
        <v>160</v>
      </c>
      <c r="D458" s="2">
        <v>6490205289</v>
      </c>
      <c r="E458" s="5">
        <v>6</v>
      </c>
      <c r="F458" s="2">
        <v>2</v>
      </c>
      <c r="G458" s="2">
        <v>48</v>
      </c>
      <c r="H458" s="2">
        <v>-3.194077944070072</v>
      </c>
      <c r="I458" s="2">
        <v>50</v>
      </c>
      <c r="J458" s="2">
        <v>6.1168777667580831E-2</v>
      </c>
      <c r="K458" s="5">
        <v>2500</v>
      </c>
      <c r="L458" s="2">
        <v>-1.8987799312803511</v>
      </c>
      <c r="M458" s="2">
        <v>-1.9000999999999999</v>
      </c>
      <c r="N458" s="2">
        <f t="shared" si="467"/>
        <v>1.2570389720350359</v>
      </c>
      <c r="O458" s="2">
        <f t="shared" si="468"/>
        <v>-1.9000999999999999</v>
      </c>
      <c r="P458" s="2">
        <v>63</v>
      </c>
      <c r="Q458" s="2">
        <v>-2.17</v>
      </c>
      <c r="R458" s="5">
        <f t="shared" si="469"/>
        <v>-1.2405843888337904</v>
      </c>
      <c r="S458" s="5">
        <f t="shared" si="470"/>
        <v>-2.17</v>
      </c>
      <c r="T458" s="1">
        <v>5900</v>
      </c>
      <c r="U458" s="2">
        <v>-2.66</v>
      </c>
      <c r="V458" s="2">
        <f t="shared" si="471"/>
        <v>-1.5610034359824443E-2</v>
      </c>
      <c r="W458" s="2">
        <f t="shared" si="472"/>
        <v>-2.66</v>
      </c>
      <c r="X458" s="2">
        <v>-0.68</v>
      </c>
      <c r="Y458" s="76">
        <f t="shared" si="508"/>
        <v>2.5140779440700718</v>
      </c>
      <c r="Z458" s="76">
        <f t="shared" si="509"/>
        <v>2</v>
      </c>
      <c r="AA458" s="2">
        <f t="shared" si="473"/>
        <v>-4.4599999999999973E-2</v>
      </c>
      <c r="AB458" s="2">
        <f t="shared" si="474"/>
        <v>-0.68</v>
      </c>
      <c r="AC458" s="2">
        <v>70</v>
      </c>
      <c r="AD458" s="2">
        <v>-2.42</v>
      </c>
      <c r="AE458" s="79">
        <f t="shared" si="510"/>
        <v>-2.4811687776675808</v>
      </c>
      <c r="AF458" s="79">
        <f t="shared" si="511"/>
        <v>-2</v>
      </c>
      <c r="AG458" s="2">
        <f t="shared" si="461"/>
        <v>0.48</v>
      </c>
      <c r="AH458" s="2">
        <f t="shared" si="475"/>
        <v>-2.42</v>
      </c>
      <c r="AI458" s="2">
        <v>7800</v>
      </c>
      <c r="AJ458" s="2">
        <v>-1.93</v>
      </c>
      <c r="AK458" s="76">
        <f t="shared" si="512"/>
        <v>-3.1220068719648886E-2</v>
      </c>
      <c r="AL458" s="76">
        <f t="shared" si="513"/>
        <v>-1</v>
      </c>
      <c r="AM458" s="2">
        <f t="shared" si="476"/>
        <v>0.20000000000000018</v>
      </c>
      <c r="AN458" s="2">
        <f t="shared" si="477"/>
        <v>-1.93</v>
      </c>
      <c r="AO458" s="2">
        <v>-2.2591999999999999</v>
      </c>
      <c r="AP458" s="2" t="str">
        <f t="shared" si="478"/>
        <v/>
      </c>
      <c r="AQ458" s="2">
        <f t="shared" si="479"/>
        <v>-2.2591999999999999</v>
      </c>
      <c r="AR458" s="2">
        <v>79</v>
      </c>
      <c r="AS458" s="2">
        <v>-1.21</v>
      </c>
      <c r="AT458" s="2" t="str">
        <f t="shared" si="480"/>
        <v/>
      </c>
      <c r="AU458" s="2">
        <f t="shared" si="481"/>
        <v>-1.21</v>
      </c>
      <c r="AV458" s="2">
        <v>8500</v>
      </c>
      <c r="AW458" s="2">
        <v>-2.2599999999999998</v>
      </c>
      <c r="AX458" s="2" t="str">
        <f t="shared" si="482"/>
        <v/>
      </c>
      <c r="AY458" s="2">
        <f t="shared" si="483"/>
        <v>-2.2599999999999998</v>
      </c>
      <c r="BA458" s="78" t="e">
        <f t="shared" si="514"/>
        <v>#VALUE!</v>
      </c>
      <c r="BB458" s="78" t="e">
        <f t="shared" si="515"/>
        <v>#VALUE!</v>
      </c>
      <c r="BC458" s="2" t="str">
        <f t="shared" si="484"/>
        <v/>
      </c>
      <c r="BD458" s="2" t="e">
        <f t="shared" si="485"/>
        <v>#VALUE!</v>
      </c>
      <c r="BE458" s="67" t="e">
        <f t="shared" si="516"/>
        <v>#VALUE!</v>
      </c>
      <c r="BF458" s="2" t="s">
        <v>12</v>
      </c>
      <c r="BH458" s="2" t="str">
        <f t="shared" si="486"/>
        <v/>
      </c>
      <c r="BI458" s="2" t="e">
        <f t="shared" si="487"/>
        <v>#VALUE!</v>
      </c>
      <c r="BJ458" s="67" t="e">
        <f t="shared" si="488"/>
        <v>#VALUE!</v>
      </c>
      <c r="BK458" s="2" t="s">
        <v>12</v>
      </c>
      <c r="BM458" s="77" t="e">
        <f t="shared" si="517"/>
        <v>#VALUE!</v>
      </c>
      <c r="BN458" s="77" t="e">
        <f t="shared" si="518"/>
        <v>#VALUE!</v>
      </c>
      <c r="BO458" s="2" t="str">
        <f t="shared" si="489"/>
        <v/>
      </c>
      <c r="BP458" s="2" t="e">
        <f t="shared" si="490"/>
        <v>#VALUE!</v>
      </c>
      <c r="BQ458" s="67" t="e">
        <f t="shared" si="519"/>
        <v>#VALUE!</v>
      </c>
      <c r="BS458" s="75" t="e">
        <f t="shared" si="520"/>
        <v>#VALUE!</v>
      </c>
      <c r="BT458" s="75" t="e">
        <f t="shared" si="521"/>
        <v>#VALUE!</v>
      </c>
      <c r="BU458" s="5" t="str">
        <f>IF(G464&gt;=36, IF(AND(NOT(ISBLANK(CM:CM)), NOT(ISBLANK(BD:BD))), (CM:CM-BD:BD)/2, ""), "UF")</f>
        <v/>
      </c>
      <c r="BV458" s="5" t="e">
        <f t="shared" si="491"/>
        <v>#VALUE!</v>
      </c>
      <c r="BW458" s="69" t="e">
        <f t="shared" si="492"/>
        <v>#VALUE!</v>
      </c>
      <c r="BX458" s="2" t="s">
        <v>12</v>
      </c>
      <c r="BZ458" s="74" t="e">
        <f t="shared" si="522"/>
        <v>#VALUE!</v>
      </c>
      <c r="CA458" s="74" t="e">
        <f t="shared" si="523"/>
        <v>#VALUE!</v>
      </c>
      <c r="CB458" s="5" t="str">
        <f t="shared" si="493"/>
        <v/>
      </c>
      <c r="CC458" s="5" t="e">
        <f t="shared" si="494"/>
        <v>#VALUE!</v>
      </c>
      <c r="CD458" s="2" t="e">
        <f t="shared" si="495"/>
        <v>#VALUE!</v>
      </c>
      <c r="CE458" s="69" t="e">
        <f t="shared" si="496"/>
        <v>#VALUE!</v>
      </c>
      <c r="CF458" s="5" t="s">
        <v>12</v>
      </c>
      <c r="CH458" s="72" t="e">
        <f t="shared" si="524"/>
        <v>#VALUE!</v>
      </c>
      <c r="CI458" s="72" t="e">
        <f t="shared" si="525"/>
        <v>#VALUE!</v>
      </c>
      <c r="CJ458" s="5" t="str">
        <f t="shared" si="497"/>
        <v/>
      </c>
      <c r="CK458" s="5" t="e">
        <f t="shared" si="498"/>
        <v>#VALUE!</v>
      </c>
      <c r="CL458" s="69" t="e">
        <f t="shared" si="499"/>
        <v>#VALUE!</v>
      </c>
      <c r="CN458" s="70" t="str">
        <f t="shared" si="500"/>
        <v/>
      </c>
      <c r="CO458" s="5" t="e">
        <f t="shared" si="501"/>
        <v>#VALUE!</v>
      </c>
      <c r="CP458" s="5" t="e">
        <f>IF(G458&lt;48,"UF", IF(NOT(ISBLANK(CM:CM)), CM:CM, IF(BW:BW=1, BV:BV+Sheet2!B308, IF(Sheet1!BW:BW=2, Sheet1!BV:BV+Sheet2!B309, IF(Sheet1!BW:BW=7, Sheet1!BV:BV+Sheet2!B310,"")))))</f>
        <v>#VALUE!</v>
      </c>
      <c r="CQ458" s="69" t="e">
        <f t="shared" si="526"/>
        <v>#VALUE!</v>
      </c>
      <c r="CR458" s="5" t="s">
        <v>12</v>
      </c>
      <c r="CT458" s="5" t="str">
        <f t="shared" si="502"/>
        <v/>
      </c>
      <c r="CU458" s="80" t="e">
        <f t="shared" si="503"/>
        <v>#VALUE!</v>
      </c>
      <c r="CV458" s="80" t="e">
        <f t="shared" si="504"/>
        <v>#VALUE!</v>
      </c>
      <c r="CW458" s="20" t="e">
        <f>IF(G458&lt;48,"UF", IF(NOT(ISBLANK(CS458)), CS458, IF(CE458=5, CC458+Sheet2!B297, IF(CE458=6, CC458+Sheet2!B298, IF(CE458=7, CC458+Sheet2!B299,"")))))</f>
        <v>#VALUE!</v>
      </c>
      <c r="CX458" s="68" t="e">
        <f t="shared" si="527"/>
        <v>#VALUE!</v>
      </c>
      <c r="CY458" s="5" t="s">
        <v>12</v>
      </c>
      <c r="DA458" s="5" t="str">
        <f t="shared" si="505"/>
        <v/>
      </c>
      <c r="DB458" s="73" t="e">
        <f t="shared" si="506"/>
        <v>#VALUE!</v>
      </c>
      <c r="DC458" s="73" t="e">
        <f t="shared" si="507"/>
        <v>#VALUE!</v>
      </c>
      <c r="DD458" s="5" t="e">
        <f>IF(G458&lt;48,"UF", IF(NOT(ISBLANK(CZ:CZ)), CZ:CZ, IF(CL:CL=3, CK:CK+Sheet2!B302, IF(CL:CL=4, CK:CK+Sheet2!B303, IF(CL:CL=7, CK:CK+Sheet2!B304,"")))))</f>
        <v>#VALUE!</v>
      </c>
      <c r="DE458" s="69" t="e">
        <f t="shared" si="463"/>
        <v>#VALUE!</v>
      </c>
      <c r="DF458" s="2">
        <v>1</v>
      </c>
      <c r="DG458" s="2">
        <v>33</v>
      </c>
      <c r="DH458" s="2">
        <v>1</v>
      </c>
      <c r="DI458" s="2">
        <v>2</v>
      </c>
      <c r="DJ458" s="2">
        <v>2</v>
      </c>
      <c r="DK458" s="2">
        <v>119</v>
      </c>
      <c r="DL458" s="2">
        <v>70</v>
      </c>
      <c r="DM458" s="2">
        <v>120</v>
      </c>
      <c r="DN458" s="2">
        <v>70</v>
      </c>
      <c r="DO458" s="2">
        <v>120</v>
      </c>
      <c r="DP458" s="2">
        <v>70</v>
      </c>
      <c r="DQ458" s="2">
        <v>1</v>
      </c>
      <c r="DR458" s="2">
        <v>39</v>
      </c>
      <c r="DS458" s="2">
        <v>1</v>
      </c>
      <c r="DT458" s="2">
        <v>110</v>
      </c>
      <c r="DU458" s="2">
        <v>120</v>
      </c>
      <c r="DV458" s="2">
        <v>2</v>
      </c>
      <c r="DW458" s="2">
        <v>2</v>
      </c>
      <c r="DX458" s="2">
        <v>2</v>
      </c>
      <c r="DY458" s="2">
        <v>1</v>
      </c>
      <c r="DZ458" s="2">
        <v>32</v>
      </c>
      <c r="EA458" s="2" t="s">
        <v>12</v>
      </c>
      <c r="EB458" s="2">
        <v>44</v>
      </c>
      <c r="EC458" s="2" t="s">
        <v>12</v>
      </c>
      <c r="ED458" s="2">
        <v>1</v>
      </c>
    </row>
    <row r="459" spans="3:134" x14ac:dyDescent="0.25">
      <c r="C459" s="8" t="s">
        <v>103</v>
      </c>
      <c r="D459" s="2">
        <v>6490206080</v>
      </c>
      <c r="E459" s="5">
        <v>2</v>
      </c>
      <c r="F459" s="2">
        <v>2</v>
      </c>
      <c r="G459" s="2">
        <v>25</v>
      </c>
      <c r="H459" s="2">
        <v>-2.229763716381775</v>
      </c>
      <c r="I459" s="2">
        <v>54</v>
      </c>
      <c r="J459" s="2">
        <v>2.1740990784834611</v>
      </c>
      <c r="K459" s="5">
        <v>3180</v>
      </c>
      <c r="L459" s="2">
        <v>-0.3462065132033082</v>
      </c>
      <c r="M459" s="2">
        <v>-2.3267000000000002</v>
      </c>
      <c r="N459" s="2">
        <f t="shared" si="467"/>
        <v>-8.1218141809112465E-2</v>
      </c>
      <c r="O459" s="2">
        <f t="shared" si="468"/>
        <v>-2.3267000000000002</v>
      </c>
      <c r="P459" s="2">
        <v>67</v>
      </c>
      <c r="Q459" s="2">
        <v>-0.3</v>
      </c>
      <c r="R459" s="5">
        <f t="shared" si="469"/>
        <v>-1.4520495392417305</v>
      </c>
      <c r="S459" s="5">
        <f t="shared" si="470"/>
        <v>-0.3</v>
      </c>
      <c r="T459" s="1">
        <v>6450</v>
      </c>
      <c r="U459" s="2">
        <v>-1.87</v>
      </c>
      <c r="V459" s="2">
        <f t="shared" si="471"/>
        <v>-0.88189674339834578</v>
      </c>
      <c r="W459" s="2">
        <f t="shared" si="472"/>
        <v>-1.87</v>
      </c>
      <c r="X459" s="2">
        <v>-2.3921999999999999</v>
      </c>
      <c r="Y459" s="76">
        <f t="shared" si="508"/>
        <v>-0.16243628361822493</v>
      </c>
      <c r="Z459" s="76">
        <f t="shared" si="509"/>
        <v>-1</v>
      </c>
      <c r="AA459" s="2">
        <f t="shared" si="473"/>
        <v>-1.2028500000000002</v>
      </c>
      <c r="AB459" s="2">
        <f t="shared" si="474"/>
        <v>-2.3921999999999999</v>
      </c>
      <c r="AC459" s="2">
        <v>74</v>
      </c>
      <c r="AD459" s="2">
        <v>-0.73</v>
      </c>
      <c r="AE459" s="79">
        <f t="shared" si="510"/>
        <v>-2.904099078483461</v>
      </c>
      <c r="AF459" s="79">
        <f t="shared" si="511"/>
        <v>-2</v>
      </c>
      <c r="AG459" s="2">
        <f t="shared" si="461"/>
        <v>-0.17500000000000002</v>
      </c>
      <c r="AH459" s="2">
        <f t="shared" si="475"/>
        <v>-0.73</v>
      </c>
      <c r="AI459" s="2">
        <v>7650</v>
      </c>
      <c r="AJ459" s="2">
        <v>-2.11</v>
      </c>
      <c r="AK459" s="76">
        <f t="shared" si="512"/>
        <v>-1.7637934867966916</v>
      </c>
      <c r="AL459" s="76">
        <f t="shared" si="513"/>
        <v>-2</v>
      </c>
      <c r="AM459" s="2">
        <f t="shared" si="476"/>
        <v>-0.16999999999999993</v>
      </c>
      <c r="AN459" s="2">
        <f t="shared" si="477"/>
        <v>-2.11</v>
      </c>
      <c r="AO459" s="2">
        <v>-2.7057000000000002</v>
      </c>
      <c r="AP459" s="2" t="str">
        <f t="shared" si="478"/>
        <v/>
      </c>
      <c r="AQ459" s="2">
        <f t="shared" si="479"/>
        <v>-2.7057000000000002</v>
      </c>
      <c r="AR459" s="2">
        <v>80.5</v>
      </c>
      <c r="AS459" s="2">
        <v>-0.65</v>
      </c>
      <c r="AT459" s="2" t="str">
        <f t="shared" si="480"/>
        <v/>
      </c>
      <c r="AU459" s="2">
        <f t="shared" si="481"/>
        <v>-0.65</v>
      </c>
      <c r="AV459" s="2">
        <v>8550</v>
      </c>
      <c r="AW459" s="2">
        <v>-2.21</v>
      </c>
      <c r="AX459" s="2" t="str">
        <f t="shared" si="482"/>
        <v/>
      </c>
      <c r="AY459" s="2">
        <f t="shared" si="483"/>
        <v>-2.21</v>
      </c>
      <c r="BA459" s="78" t="e">
        <f t="shared" si="514"/>
        <v>#VALUE!</v>
      </c>
      <c r="BB459" s="78" t="e">
        <f t="shared" si="515"/>
        <v>#VALUE!</v>
      </c>
      <c r="BC459" s="2" t="str">
        <f t="shared" si="484"/>
        <v/>
      </c>
      <c r="BD459" s="2" t="e">
        <f t="shared" si="485"/>
        <v>#VALUE!</v>
      </c>
      <c r="BE459" s="67" t="e">
        <f t="shared" si="516"/>
        <v>#VALUE!</v>
      </c>
      <c r="BF459" s="2" t="s">
        <v>12</v>
      </c>
      <c r="BH459" s="2" t="str">
        <f t="shared" si="486"/>
        <v/>
      </c>
      <c r="BI459" s="2" t="e">
        <f t="shared" si="487"/>
        <v>#VALUE!</v>
      </c>
      <c r="BJ459" s="67" t="e">
        <f t="shared" si="488"/>
        <v>#VALUE!</v>
      </c>
      <c r="BK459" s="2" t="s">
        <v>12</v>
      </c>
      <c r="BM459" s="77" t="e">
        <f t="shared" si="517"/>
        <v>#VALUE!</v>
      </c>
      <c r="BN459" s="77" t="e">
        <f t="shared" si="518"/>
        <v>#VALUE!</v>
      </c>
      <c r="BO459" s="2" t="str">
        <f t="shared" si="489"/>
        <v/>
      </c>
      <c r="BP459" s="2" t="e">
        <f t="shared" si="490"/>
        <v>#VALUE!</v>
      </c>
      <c r="BQ459" s="67" t="e">
        <f t="shared" si="519"/>
        <v>#VALUE!</v>
      </c>
      <c r="BS459" s="75" t="str">
        <f t="shared" si="520"/>
        <v>UF</v>
      </c>
      <c r="BT459" s="75" t="str">
        <f t="shared" si="521"/>
        <v>UF</v>
      </c>
      <c r="BU459" s="5" t="str">
        <f>IF(G465&gt;=36, IF(AND(NOT(ISBLANK(CM:CM)), NOT(ISBLANK(BD:BD))), (CM:CM-BD:BD)/2, ""), "UF")</f>
        <v/>
      </c>
      <c r="BV459" s="5" t="str">
        <f t="shared" si="491"/>
        <v>UF</v>
      </c>
      <c r="BW459" s="69" t="str">
        <f t="shared" si="492"/>
        <v/>
      </c>
      <c r="BX459" s="2" t="s">
        <v>12</v>
      </c>
      <c r="BZ459" s="74" t="str">
        <f t="shared" si="522"/>
        <v>UF</v>
      </c>
      <c r="CA459" s="74" t="str">
        <f t="shared" si="523"/>
        <v>UF</v>
      </c>
      <c r="CB459" s="5" t="str">
        <f t="shared" si="493"/>
        <v>UF</v>
      </c>
      <c r="CC459" s="5" t="str">
        <f t="shared" si="494"/>
        <v>UF</v>
      </c>
      <c r="CD459" s="2" t="e">
        <f t="shared" si="495"/>
        <v>#VALUE!</v>
      </c>
      <c r="CE459" s="69" t="str">
        <f t="shared" si="496"/>
        <v/>
      </c>
      <c r="CF459" s="5" t="s">
        <v>12</v>
      </c>
      <c r="CH459" s="72" t="str">
        <f t="shared" si="524"/>
        <v>UF</v>
      </c>
      <c r="CI459" s="72" t="str">
        <f t="shared" si="525"/>
        <v>UF</v>
      </c>
      <c r="CJ459" s="5" t="str">
        <f t="shared" si="497"/>
        <v>UF</v>
      </c>
      <c r="CK459" s="5" t="str">
        <f t="shared" si="498"/>
        <v>UF</v>
      </c>
      <c r="CL459" s="69" t="str">
        <f t="shared" si="499"/>
        <v/>
      </c>
      <c r="CN459" s="70" t="str">
        <f t="shared" si="500"/>
        <v/>
      </c>
      <c r="CO459" s="5" t="str">
        <f t="shared" si="501"/>
        <v>UF</v>
      </c>
      <c r="CP459" s="5" t="str">
        <f>IF(G459&lt;48,"UF", IF(NOT(ISBLANK(CM:CM)), CM:CM, IF(BW:BW=1, BV:BV+Sheet2!B82, IF(Sheet1!BW:BW=2, Sheet1!BV:BV+Sheet2!B83, IF(Sheet1!BW:BW=7, Sheet1!BV:BV+Sheet2!B84,"")))))</f>
        <v>UF</v>
      </c>
      <c r="CQ459" s="69" t="str">
        <f t="shared" si="526"/>
        <v/>
      </c>
      <c r="CR459" s="5" t="s">
        <v>12</v>
      </c>
      <c r="CT459" s="5" t="str">
        <f t="shared" si="502"/>
        <v/>
      </c>
      <c r="CU459" s="80" t="str">
        <f t="shared" si="503"/>
        <v>UF</v>
      </c>
      <c r="CV459" s="80" t="str">
        <f t="shared" si="504"/>
        <v>UF</v>
      </c>
      <c r="CW459" s="20" t="str">
        <f>IF(G459&lt;48,"UF", IF(NOT(ISBLANK(CS459)), CS459, IF(CE459=5, CC459+Sheet2!B71, IF(CE459=6, CC459+Sheet2!B72, IF(CE459=7, CC459+Sheet2!B73,"")))))</f>
        <v>UF</v>
      </c>
      <c r="CX459" s="68" t="str">
        <f t="shared" si="527"/>
        <v/>
      </c>
      <c r="CY459" s="5" t="s">
        <v>12</v>
      </c>
      <c r="DA459" s="5" t="str">
        <f t="shared" si="505"/>
        <v>UF</v>
      </c>
      <c r="DB459" s="73" t="str">
        <f t="shared" si="506"/>
        <v>UF</v>
      </c>
      <c r="DC459" s="73" t="str">
        <f t="shared" si="507"/>
        <v>UF</v>
      </c>
      <c r="DD459" s="5" t="str">
        <f>IF(G459&lt;48,"UF", IF(NOT(ISBLANK(CZ:CZ)), CZ:CZ, IF(CL:CL=3, CK:CK+Sheet2!B76, IF(CL:CL=4, CK:CK+Sheet2!B77, IF(CL:CL=7, CK:CK+Sheet2!B78,"")))))</f>
        <v>UF</v>
      </c>
      <c r="DE459" s="69" t="str">
        <f t="shared" si="463"/>
        <v/>
      </c>
      <c r="DF459" s="2">
        <v>2</v>
      </c>
      <c r="DG459" s="2">
        <v>25</v>
      </c>
      <c r="DH459" s="2">
        <v>2</v>
      </c>
      <c r="DI459" s="2">
        <v>2</v>
      </c>
      <c r="DJ459" s="2">
        <v>2</v>
      </c>
      <c r="DK459" s="2">
        <v>120</v>
      </c>
      <c r="DL459" s="2">
        <v>80</v>
      </c>
      <c r="DM459" s="2">
        <v>115</v>
      </c>
      <c r="DN459" s="2">
        <v>65</v>
      </c>
      <c r="DO459" s="2">
        <v>105</v>
      </c>
      <c r="DP459" s="2">
        <v>70</v>
      </c>
      <c r="DQ459" s="2">
        <v>2</v>
      </c>
      <c r="DR459" s="2">
        <v>40</v>
      </c>
      <c r="DS459" s="2">
        <v>2</v>
      </c>
      <c r="DT459" s="2">
        <v>81</v>
      </c>
      <c r="DU459" s="2">
        <v>74</v>
      </c>
      <c r="DV459" s="2">
        <v>2</v>
      </c>
      <c r="DW459" s="2">
        <v>2</v>
      </c>
      <c r="DX459" s="2">
        <v>2</v>
      </c>
      <c r="DY459" s="2">
        <v>2</v>
      </c>
      <c r="DZ459" s="2">
        <v>34</v>
      </c>
      <c r="EA459" s="2">
        <v>37</v>
      </c>
      <c r="EB459" s="2">
        <v>44.5</v>
      </c>
      <c r="EC459" s="2">
        <v>1</v>
      </c>
      <c r="ED459" s="2">
        <v>1</v>
      </c>
    </row>
    <row r="460" spans="3:134" x14ac:dyDescent="0.25">
      <c r="C460" s="5" t="s">
        <v>14</v>
      </c>
      <c r="D460" s="10">
        <v>6560206531</v>
      </c>
      <c r="E460" s="5">
        <v>2</v>
      </c>
      <c r="F460" s="5">
        <v>2</v>
      </c>
      <c r="G460" s="2">
        <v>59</v>
      </c>
      <c r="H460" s="2">
        <v>0.1001174742350862</v>
      </c>
      <c r="I460" s="2">
        <v>49</v>
      </c>
      <c r="J460" s="2">
        <v>-0.46706379753639199</v>
      </c>
      <c r="K460" s="5">
        <v>3250</v>
      </c>
      <c r="L460" s="2">
        <v>-0.19916239122279231</v>
      </c>
      <c r="M460" s="2">
        <v>-1.3043</v>
      </c>
      <c r="N460" s="2">
        <f t="shared" si="467"/>
        <v>-0.57485873711754309</v>
      </c>
      <c r="O460" s="2">
        <f t="shared" si="468"/>
        <v>-1.3043</v>
      </c>
      <c r="P460" s="2">
        <v>67</v>
      </c>
      <c r="Q460" s="2">
        <v>-0.3</v>
      </c>
      <c r="R460" s="5">
        <f t="shared" si="469"/>
        <v>7.8531898768195996E-2</v>
      </c>
      <c r="S460" s="5">
        <f t="shared" si="470"/>
        <v>-0.3</v>
      </c>
      <c r="T460" s="1">
        <v>7000</v>
      </c>
      <c r="U460" s="2">
        <v>-1.1399999999999999</v>
      </c>
      <c r="V460" s="2">
        <f t="shared" si="471"/>
        <v>-0.37041880438860381</v>
      </c>
      <c r="W460" s="2">
        <f t="shared" si="472"/>
        <v>-1.1399999999999999</v>
      </c>
      <c r="X460" s="2">
        <v>-1.0496000000000001</v>
      </c>
      <c r="Y460" s="76">
        <f t="shared" si="508"/>
        <v>-1.1497174742350862</v>
      </c>
      <c r="Z460" s="76">
        <f t="shared" si="509"/>
        <v>-2</v>
      </c>
      <c r="AA460" s="2">
        <f t="shared" si="473"/>
        <v>-0.77815000000000001</v>
      </c>
      <c r="AB460" s="2">
        <f t="shared" si="474"/>
        <v>-1.0496000000000001</v>
      </c>
      <c r="AC460" s="2">
        <v>75</v>
      </c>
      <c r="AD460" s="2">
        <v>-0.31</v>
      </c>
      <c r="AE460" s="79">
        <f t="shared" si="510"/>
        <v>0.15706379753639199</v>
      </c>
      <c r="AF460" s="79">
        <f t="shared" si="511"/>
        <v>1</v>
      </c>
      <c r="AG460" s="2">
        <f t="shared" si="461"/>
        <v>-8.4999999999999992E-2</v>
      </c>
      <c r="AH460" s="2">
        <f t="shared" si="475"/>
        <v>-0.31</v>
      </c>
      <c r="AI460" s="2">
        <v>8700</v>
      </c>
      <c r="AJ460" s="2">
        <v>-0.94</v>
      </c>
      <c r="AK460" s="76">
        <f t="shared" si="512"/>
        <v>-0.74083760877720761</v>
      </c>
      <c r="AL460" s="76">
        <f t="shared" si="513"/>
        <v>-2</v>
      </c>
      <c r="AM460" s="2">
        <f t="shared" si="476"/>
        <v>-0.20500000000000007</v>
      </c>
      <c r="AN460" s="2">
        <f t="shared" si="477"/>
        <v>-0.94</v>
      </c>
      <c r="AO460" s="2">
        <v>-1.8563000000000001</v>
      </c>
      <c r="AP460" s="2" t="str">
        <f t="shared" si="478"/>
        <v/>
      </c>
      <c r="AQ460" s="2">
        <f t="shared" si="479"/>
        <v>-1.8563000000000001</v>
      </c>
      <c r="AR460" s="2">
        <v>81</v>
      </c>
      <c r="AS460" s="2">
        <v>-0.47</v>
      </c>
      <c r="AT460" s="2" t="str">
        <f t="shared" si="480"/>
        <v/>
      </c>
      <c r="AU460" s="2">
        <f t="shared" si="481"/>
        <v>-0.47</v>
      </c>
      <c r="AV460" s="2">
        <v>9200</v>
      </c>
      <c r="AW460" s="2">
        <v>-1.55</v>
      </c>
      <c r="AX460" s="2" t="str">
        <f t="shared" si="482"/>
        <v/>
      </c>
      <c r="AY460" s="2">
        <f t="shared" si="483"/>
        <v>-1.55</v>
      </c>
      <c r="BA460" s="78" t="e">
        <f t="shared" si="514"/>
        <v>#VALUE!</v>
      </c>
      <c r="BB460" s="78" t="e">
        <f t="shared" si="515"/>
        <v>#VALUE!</v>
      </c>
      <c r="BC460" s="2" t="str">
        <f t="shared" si="484"/>
        <v/>
      </c>
      <c r="BD460" s="2" t="e">
        <f t="shared" si="485"/>
        <v>#VALUE!</v>
      </c>
      <c r="BE460" s="67" t="e">
        <f t="shared" si="516"/>
        <v>#VALUE!</v>
      </c>
      <c r="BF460" s="2" t="s">
        <v>12</v>
      </c>
      <c r="BH460" s="2" t="str">
        <f t="shared" si="486"/>
        <v/>
      </c>
      <c r="BI460" s="2" t="e">
        <f t="shared" si="487"/>
        <v>#VALUE!</v>
      </c>
      <c r="BJ460" s="67" t="e">
        <f t="shared" si="488"/>
        <v>#VALUE!</v>
      </c>
      <c r="BK460" s="2" t="s">
        <v>12</v>
      </c>
      <c r="BM460" s="77" t="e">
        <f t="shared" si="517"/>
        <v>#VALUE!</v>
      </c>
      <c r="BN460" s="77" t="e">
        <f t="shared" si="518"/>
        <v>#VALUE!</v>
      </c>
      <c r="BO460" s="2" t="str">
        <f t="shared" si="489"/>
        <v/>
      </c>
      <c r="BP460" s="2" t="e">
        <f t="shared" si="490"/>
        <v>#VALUE!</v>
      </c>
      <c r="BQ460" s="67" t="e">
        <f t="shared" si="519"/>
        <v>#VALUE!</v>
      </c>
      <c r="BS460" s="75" t="e">
        <f t="shared" si="520"/>
        <v>#VALUE!</v>
      </c>
      <c r="BT460" s="75" t="e">
        <f t="shared" si="521"/>
        <v>#VALUE!</v>
      </c>
      <c r="BU460" s="5" t="e">
        <f>IF(#REF!&gt;=36, IF(AND(NOT(ISBLANK(CM:CM)), NOT(ISBLANK(BD:BD))), (CM:CM-BD:BD)/2, ""), "UF")</f>
        <v>#REF!</v>
      </c>
      <c r="BV460" s="5" t="e">
        <f t="shared" si="491"/>
        <v>#VALUE!</v>
      </c>
      <c r="BW460" s="69" t="e">
        <f t="shared" si="492"/>
        <v>#VALUE!</v>
      </c>
      <c r="BX460" s="2" t="s">
        <v>12</v>
      </c>
      <c r="BZ460" s="74" t="e">
        <f t="shared" si="522"/>
        <v>#VALUE!</v>
      </c>
      <c r="CA460" s="74" t="e">
        <f t="shared" si="523"/>
        <v>#VALUE!</v>
      </c>
      <c r="CB460" s="5" t="e">
        <f t="shared" si="493"/>
        <v>#VALUE!</v>
      </c>
      <c r="CC460" s="5" t="e">
        <f t="shared" si="494"/>
        <v>#VALUE!</v>
      </c>
      <c r="CD460" s="2" t="e">
        <f t="shared" si="495"/>
        <v>#VALUE!</v>
      </c>
      <c r="CE460" s="69" t="e">
        <f t="shared" si="496"/>
        <v>#VALUE!</v>
      </c>
      <c r="CF460" s="5" t="s">
        <v>12</v>
      </c>
      <c r="CH460" s="72" t="e">
        <f t="shared" si="524"/>
        <v>#VALUE!</v>
      </c>
      <c r="CI460" s="72" t="e">
        <f t="shared" si="525"/>
        <v>#VALUE!</v>
      </c>
      <c r="CJ460" s="5" t="e">
        <f t="shared" si="497"/>
        <v>#VALUE!</v>
      </c>
      <c r="CK460" s="5" t="e">
        <f t="shared" si="498"/>
        <v>#VALUE!</v>
      </c>
      <c r="CL460" s="69" t="e">
        <f t="shared" si="499"/>
        <v>#VALUE!</v>
      </c>
      <c r="CM460" s="5">
        <v>-4.1985594541447506</v>
      </c>
      <c r="CN460" s="70" t="e">
        <f t="shared" si="500"/>
        <v>#VALUE!</v>
      </c>
      <c r="CO460" s="5" t="e">
        <f t="shared" si="501"/>
        <v>#VALUE!</v>
      </c>
      <c r="CP460" s="5">
        <f>IF(G460&lt;48,"UF", IF(NOT(ISBLANK(CM:CM)), CM:CM, IF(BW:BW=1, BV:BV+Sheet2!B35, IF(Sheet1!BW:BW=2, Sheet1!BV:BV+Sheet2!B36, IF(Sheet1!BW:BW=7, Sheet1!BV:BV+Sheet2!B37,"")))))</f>
        <v>-4.1985594541447506</v>
      </c>
      <c r="CQ460" s="69">
        <f t="shared" si="526"/>
        <v>1</v>
      </c>
      <c r="CR460" s="5">
        <v>103</v>
      </c>
      <c r="CS460" s="5">
        <v>0.1154554232759944</v>
      </c>
      <c r="CT460" s="5" t="e">
        <f t="shared" si="502"/>
        <v>#VALUE!</v>
      </c>
      <c r="CU460" s="80" t="e">
        <f t="shared" si="503"/>
        <v>#VALUE!</v>
      </c>
      <c r="CV460" s="80" t="e">
        <f t="shared" si="504"/>
        <v>#VALUE!</v>
      </c>
      <c r="CW460" s="20">
        <f>IF(G460&lt;48,"UF", IF(NOT(ISBLANK(CS460)), CS460, IF(CE460=5, CC460+Sheet2!B24, IF(CE460=6, CC460+Sheet2!B25, IF(CE460=7, CC460+Sheet2!B26,"")))))</f>
        <v>0.1154554232759944</v>
      </c>
      <c r="CX460" s="68">
        <f t="shared" si="527"/>
        <v>7</v>
      </c>
      <c r="CY460" s="5">
        <v>13000</v>
      </c>
      <c r="CZ460" s="5">
        <v>-2.10580486320853</v>
      </c>
      <c r="DA460" s="5" t="e">
        <f t="shared" si="505"/>
        <v>#VALUE!</v>
      </c>
      <c r="DB460" s="73" t="e">
        <f t="shared" si="506"/>
        <v>#VALUE!</v>
      </c>
      <c r="DC460" s="73" t="e">
        <f t="shared" si="507"/>
        <v>#VALUE!</v>
      </c>
      <c r="DD460" s="5">
        <f>IF(G460&lt;48,"UF", IF(NOT(ISBLANK(CZ:CZ)), CZ:CZ, IF(CL:CL=3, CK:CK+Sheet2!B29, IF(CL:CL=4, CK:CK+Sheet2!B30, IF(CL:CL=7, CK:CK+Sheet2!B31,"")))))</f>
        <v>-2.10580486320853</v>
      </c>
      <c r="DE460" s="69">
        <f t="shared" si="463"/>
        <v>4</v>
      </c>
      <c r="DF460" s="2">
        <v>1</v>
      </c>
      <c r="DG460" s="2">
        <v>22</v>
      </c>
      <c r="DH460" s="2">
        <v>2</v>
      </c>
      <c r="DI460" s="2">
        <v>2</v>
      </c>
      <c r="DJ460" s="2">
        <v>2</v>
      </c>
      <c r="DK460" s="2">
        <v>90</v>
      </c>
      <c r="DL460" s="2">
        <v>60</v>
      </c>
      <c r="DM460" s="2">
        <v>90</v>
      </c>
      <c r="DN460" s="2">
        <v>60</v>
      </c>
      <c r="DO460" s="2">
        <v>106</v>
      </c>
      <c r="DP460" s="2">
        <v>53</v>
      </c>
      <c r="DQ460" s="2">
        <v>2</v>
      </c>
      <c r="DR460" s="2">
        <v>41</v>
      </c>
      <c r="DS460" s="2">
        <v>1</v>
      </c>
      <c r="DT460" s="2">
        <v>99</v>
      </c>
      <c r="DU460" s="2">
        <v>103</v>
      </c>
      <c r="DV460" s="2">
        <v>2</v>
      </c>
      <c r="DW460" s="2">
        <v>2</v>
      </c>
      <c r="DX460" s="2">
        <v>2</v>
      </c>
      <c r="DY460" s="2">
        <v>2</v>
      </c>
      <c r="DZ460" s="2">
        <v>34</v>
      </c>
      <c r="EA460" s="2" t="s">
        <v>12</v>
      </c>
      <c r="EB460" s="2">
        <v>46.5</v>
      </c>
      <c r="EC460" s="2" t="s">
        <v>12</v>
      </c>
      <c r="ED460" s="2">
        <v>1</v>
      </c>
    </row>
    <row r="461" spans="3:134" x14ac:dyDescent="0.25">
      <c r="C461" s="5" t="s">
        <v>121</v>
      </c>
      <c r="D461" s="4">
        <v>6560207668</v>
      </c>
      <c r="E461" s="2">
        <v>4</v>
      </c>
      <c r="F461" s="2">
        <v>1</v>
      </c>
      <c r="G461" s="2">
        <v>57</v>
      </c>
      <c r="H461" s="2">
        <v>-1.5730730422209309</v>
      </c>
      <c r="I461" s="2">
        <v>51</v>
      </c>
      <c r="J461" s="2">
        <v>0.99441714029262385</v>
      </c>
      <c r="K461" s="5">
        <v>3000</v>
      </c>
      <c r="L461" s="2">
        <v>-0.51868017376649433</v>
      </c>
      <c r="M461" s="2">
        <v>-0.63939999999999997</v>
      </c>
      <c r="N461" s="2">
        <f t="shared" si="467"/>
        <v>1.7052365211104654</v>
      </c>
      <c r="O461" s="2">
        <f t="shared" si="468"/>
        <v>-0.63939999999999997</v>
      </c>
      <c r="P461" s="2">
        <v>66</v>
      </c>
      <c r="Q461" s="2">
        <v>0.11</v>
      </c>
      <c r="R461" s="5">
        <f t="shared" si="469"/>
        <v>-1.4672085701463118</v>
      </c>
      <c r="S461" s="5">
        <f t="shared" si="470"/>
        <v>0.11</v>
      </c>
      <c r="T461" s="1" t="s">
        <v>12</v>
      </c>
      <c r="V461" s="2">
        <f t="shared" si="471"/>
        <v>0.37434008688324716</v>
      </c>
      <c r="W461" s="2">
        <f t="shared" si="472"/>
        <v>-0.14434008688324718</v>
      </c>
      <c r="X461" s="2">
        <v>1.8373999999999999</v>
      </c>
      <c r="Y461" s="76">
        <f t="shared" si="508"/>
        <v>3.4104730422209308</v>
      </c>
      <c r="Z461" s="76">
        <f t="shared" si="509"/>
        <v>2</v>
      </c>
      <c r="AA461" s="2">
        <f t="shared" si="473"/>
        <v>0.19764999999999999</v>
      </c>
      <c r="AB461" s="2">
        <f t="shared" si="474"/>
        <v>1.8373999999999999</v>
      </c>
      <c r="AC461" s="2">
        <v>69</v>
      </c>
      <c r="AD461" s="2">
        <v>-1.94</v>
      </c>
      <c r="AE461" s="79">
        <f t="shared" si="510"/>
        <v>-2.9344171402926236</v>
      </c>
      <c r="AF461" s="79">
        <f t="shared" si="511"/>
        <v>-2</v>
      </c>
      <c r="AG461" s="2">
        <f t="shared" si="461"/>
        <v>-0.52</v>
      </c>
      <c r="AH461" s="2">
        <f t="shared" si="475"/>
        <v>-1.94</v>
      </c>
      <c r="AI461" s="2">
        <v>9200</v>
      </c>
      <c r="AJ461" s="2">
        <v>0.23</v>
      </c>
      <c r="AK461" s="76">
        <f t="shared" si="512"/>
        <v>0.74868017376649432</v>
      </c>
      <c r="AL461" s="76">
        <f t="shared" si="513"/>
        <v>2</v>
      </c>
      <c r="AM461" s="2">
        <f t="shared" si="476"/>
        <v>-2.2829956558376413E-2</v>
      </c>
      <c r="AN461" s="2">
        <f t="shared" si="477"/>
        <v>0.23</v>
      </c>
      <c r="AO461" s="2">
        <v>0.50529999999999997</v>
      </c>
      <c r="AP461" s="2">
        <f t="shared" si="478"/>
        <v>-1.2097197343945505</v>
      </c>
      <c r="AQ461" s="2">
        <f t="shared" si="479"/>
        <v>0.50529999999999997</v>
      </c>
      <c r="AR461" s="2">
        <v>78</v>
      </c>
      <c r="AS461" s="2">
        <v>-0.93</v>
      </c>
      <c r="AT461" s="2">
        <f t="shared" si="480"/>
        <v>0.48368514749387953</v>
      </c>
      <c r="AU461" s="2">
        <f t="shared" si="481"/>
        <v>-0.93</v>
      </c>
      <c r="AV461" s="2">
        <v>10000</v>
      </c>
      <c r="AW461" s="2">
        <v>-0.19</v>
      </c>
      <c r="AX461" s="2">
        <f t="shared" si="482"/>
        <v>-0.82433685583615346</v>
      </c>
      <c r="AY461" s="2">
        <f t="shared" si="483"/>
        <v>-0.19</v>
      </c>
      <c r="AZ461" s="2">
        <v>-0.58203946878910107</v>
      </c>
      <c r="BA461" s="78">
        <f t="shared" si="514"/>
        <v>-2.419439468789101</v>
      </c>
      <c r="BB461" s="78">
        <f t="shared" si="515"/>
        <v>-2</v>
      </c>
      <c r="BC461" s="2">
        <f t="shared" si="484"/>
        <v>-0.22169698227440074</v>
      </c>
      <c r="BD461" s="2">
        <f t="shared" si="485"/>
        <v>-0.58203946878910107</v>
      </c>
      <c r="BE461" s="67">
        <f t="shared" si="516"/>
        <v>7</v>
      </c>
      <c r="BF461" s="2">
        <v>82</v>
      </c>
      <c r="BG461" s="2">
        <v>-0.97262970501224089</v>
      </c>
      <c r="BH461" s="2">
        <f t="shared" si="486"/>
        <v>8.5450520066454885E-2</v>
      </c>
      <c r="BI461" s="2">
        <f t="shared" si="487"/>
        <v>-0.97262970501224089</v>
      </c>
      <c r="BJ461" s="67">
        <f t="shared" si="488"/>
        <v>7</v>
      </c>
      <c r="BK461" s="2">
        <v>10500</v>
      </c>
      <c r="BL461" s="2">
        <v>-1.4186737116723069</v>
      </c>
      <c r="BM461" s="77">
        <f t="shared" si="517"/>
        <v>-1.6486737116723069</v>
      </c>
      <c r="BN461" s="77">
        <f t="shared" si="518"/>
        <v>-2</v>
      </c>
      <c r="BO461" s="2">
        <f t="shared" si="489"/>
        <v>-0.13878309304188224</v>
      </c>
      <c r="BP461" s="2">
        <f t="shared" si="490"/>
        <v>-1.4186737116723069</v>
      </c>
      <c r="BQ461" s="67">
        <f t="shared" si="519"/>
        <v>7</v>
      </c>
      <c r="BR461" s="5">
        <v>-0.1597909468232023</v>
      </c>
      <c r="BS461" s="75">
        <f t="shared" si="520"/>
        <v>0.42224852196589879</v>
      </c>
      <c r="BT461" s="75">
        <f t="shared" si="521"/>
        <v>1</v>
      </c>
      <c r="BU461" s="5" t="e">
        <f>IF(#REF!&gt;=36, IF(AND(NOT(ISBLANK(CM:CM)), NOT(ISBLANK(BD:BD))), (CM:CM-BD:BD)/2, ""), "UF")</f>
        <v>#REF!</v>
      </c>
      <c r="BV461" s="5">
        <f t="shared" si="491"/>
        <v>-0.1597909468232023</v>
      </c>
      <c r="BW461" s="69">
        <f t="shared" si="492"/>
        <v>7</v>
      </c>
      <c r="BX461" s="2">
        <v>90</v>
      </c>
      <c r="BY461" s="5">
        <v>-0.67364843980063538</v>
      </c>
      <c r="BZ461" s="74">
        <f t="shared" si="522"/>
        <v>0.74502527187167156</v>
      </c>
      <c r="CA461" s="74">
        <f t="shared" si="523"/>
        <v>2</v>
      </c>
      <c r="CB461" s="5" t="str">
        <f t="shared" si="493"/>
        <v/>
      </c>
      <c r="CC461" s="5">
        <f t="shared" si="494"/>
        <v>-0.67364843980063538</v>
      </c>
      <c r="CD461" s="2">
        <f t="shared" si="495"/>
        <v>0.29898126521160551</v>
      </c>
      <c r="CE461" s="69">
        <f t="shared" si="496"/>
        <v>7</v>
      </c>
      <c r="CF461" s="5">
        <v>13000</v>
      </c>
      <c r="CG461" s="5">
        <v>-0.60634927912564673</v>
      </c>
      <c r="CH461" s="72">
        <f t="shared" si="524"/>
        <v>0.8123244325466602</v>
      </c>
      <c r="CI461" s="72">
        <f t="shared" si="525"/>
        <v>2</v>
      </c>
      <c r="CJ461" s="5" t="str">
        <f t="shared" si="497"/>
        <v/>
      </c>
      <c r="CK461" s="5">
        <f t="shared" si="498"/>
        <v>-0.60634927912564673</v>
      </c>
      <c r="CL461" s="69">
        <f t="shared" si="499"/>
        <v>7</v>
      </c>
      <c r="CN461" s="70" t="str">
        <f t="shared" si="500"/>
        <v/>
      </c>
      <c r="CO461" s="5">
        <f t="shared" si="501"/>
        <v>0</v>
      </c>
      <c r="CP461" s="5">
        <f>IF(G461&lt;48,"UF", IF(NOT(ISBLANK(CM:CM)), CM:CM, IF(BW:BW=1, BV:BV+Sheet2!B164, IF(Sheet1!BW:BW=2, Sheet1!BV:BV+Sheet2!B165, IF(Sheet1!BW:BW=7, Sheet1!BV:BV+Sheet2!B166,"")))))</f>
        <v>-0.1597909468232023</v>
      </c>
      <c r="CQ461" s="69">
        <f t="shared" si="526"/>
        <v>7</v>
      </c>
      <c r="CR461" s="5" t="s">
        <v>12</v>
      </c>
      <c r="CT461" s="5" t="str">
        <f t="shared" si="502"/>
        <v/>
      </c>
      <c r="CU461" s="80">
        <f t="shared" si="503"/>
        <v>0</v>
      </c>
      <c r="CV461" s="80">
        <f t="shared" si="504"/>
        <v>-1</v>
      </c>
      <c r="CW461" s="20">
        <f>IF(G461&lt;48,"UF", IF(NOT(ISBLANK(CS461)), CS461, IF(CE461=5, CC461+Sheet2!B153, IF(CE461=6, CC461+Sheet2!B154, IF(CE461=7, CC461+Sheet2!B155,"")))))</f>
        <v>-0.67364843980063538</v>
      </c>
      <c r="CX461" s="68">
        <f t="shared" si="527"/>
        <v>7</v>
      </c>
      <c r="CY461" s="5" t="s">
        <v>12</v>
      </c>
      <c r="DA461" s="5" t="str">
        <f t="shared" si="505"/>
        <v/>
      </c>
      <c r="DB461" s="73">
        <f t="shared" si="506"/>
        <v>0</v>
      </c>
      <c r="DC461" s="73">
        <f t="shared" si="507"/>
        <v>-1</v>
      </c>
      <c r="DD461" s="5">
        <f>IF(G461&lt;48,"UF", IF(NOT(ISBLANK(CZ:CZ)), CZ:CZ, IF(CL:CL=3, CK:CK+Sheet2!B158, IF(CL:CL=4, CK:CK+Sheet2!B159, IF(CL:CL=7, CK:CK+Sheet2!B160,"")))))</f>
        <v>-0.60634927912564673</v>
      </c>
      <c r="DE461" s="69">
        <f t="shared" si="463"/>
        <v>7</v>
      </c>
      <c r="DF461" s="2">
        <v>3</v>
      </c>
      <c r="DG461" s="2">
        <v>25</v>
      </c>
      <c r="DH461" s="2">
        <v>2</v>
      </c>
      <c r="DI461" s="2">
        <v>2</v>
      </c>
      <c r="DJ461" s="2">
        <v>2</v>
      </c>
      <c r="DK461" s="2">
        <v>110</v>
      </c>
      <c r="DL461" s="2">
        <v>60</v>
      </c>
      <c r="DM461" s="2">
        <v>90</v>
      </c>
      <c r="DN461" s="2">
        <v>60</v>
      </c>
      <c r="DO461" s="2">
        <v>90</v>
      </c>
      <c r="DP461" s="2">
        <v>60</v>
      </c>
      <c r="DQ461" s="2">
        <v>2</v>
      </c>
      <c r="DR461" s="2">
        <v>39</v>
      </c>
      <c r="DS461" s="2">
        <v>2</v>
      </c>
      <c r="DT461" s="2">
        <v>73</v>
      </c>
      <c r="DU461" s="2">
        <v>70</v>
      </c>
      <c r="DV461" s="2">
        <v>2</v>
      </c>
      <c r="DW461" s="2">
        <v>2</v>
      </c>
      <c r="DX461" s="2">
        <v>2</v>
      </c>
      <c r="DY461" s="2">
        <v>3</v>
      </c>
      <c r="DZ461" s="2">
        <v>34</v>
      </c>
      <c r="EA461" s="2">
        <v>36</v>
      </c>
      <c r="EB461" s="2">
        <v>45.5</v>
      </c>
      <c r="EC461" s="2">
        <v>1</v>
      </c>
      <c r="ED461" s="2">
        <v>1</v>
      </c>
    </row>
    <row r="462" spans="3:134" x14ac:dyDescent="0.25">
      <c r="C462" s="5" t="s">
        <v>41</v>
      </c>
      <c r="D462" s="2">
        <v>6560209253</v>
      </c>
      <c r="E462" s="5" t="s">
        <v>535</v>
      </c>
      <c r="F462" s="2">
        <v>2</v>
      </c>
      <c r="G462" s="2">
        <v>50</v>
      </c>
      <c r="H462" s="2">
        <v>-3.6032096918296301</v>
      </c>
      <c r="I462" s="2">
        <v>51</v>
      </c>
      <c r="J462" s="2">
        <v>0.58940135287155082</v>
      </c>
      <c r="K462" s="5">
        <v>2500</v>
      </c>
      <c r="L462" s="2">
        <v>-1.8987799312803511</v>
      </c>
      <c r="M462" s="2">
        <v>-2.9000000000000001E-2</v>
      </c>
      <c r="N462" s="2">
        <f t="shared" si="467"/>
        <v>1.1553048459148152</v>
      </c>
      <c r="O462" s="2">
        <f t="shared" si="468"/>
        <v>-2.9000000000000001E-2</v>
      </c>
      <c r="P462" s="2">
        <v>68</v>
      </c>
      <c r="Q462" s="2">
        <v>0.17</v>
      </c>
      <c r="R462" s="5">
        <f t="shared" si="469"/>
        <v>-2.9700676435775397E-2</v>
      </c>
      <c r="S462" s="5">
        <f t="shared" si="470"/>
        <v>0.17</v>
      </c>
      <c r="T462" s="1">
        <v>8000</v>
      </c>
      <c r="U462" s="2">
        <v>7.0000000000000007E-2</v>
      </c>
      <c r="V462" s="2">
        <f t="shared" si="471"/>
        <v>0.63438996564017547</v>
      </c>
      <c r="W462" s="2">
        <f t="shared" si="472"/>
        <v>7.0000000000000007E-2</v>
      </c>
      <c r="X462" s="2">
        <v>-1.2926</v>
      </c>
      <c r="Y462" s="76">
        <f t="shared" si="508"/>
        <v>2.3106096918296304</v>
      </c>
      <c r="Z462" s="76">
        <f t="shared" si="509"/>
        <v>2</v>
      </c>
      <c r="AA462" s="2">
        <f t="shared" si="473"/>
        <v>-0.56735000000000002</v>
      </c>
      <c r="AB462" s="2">
        <f t="shared" si="474"/>
        <v>-1.2926</v>
      </c>
      <c r="AC462" s="2">
        <v>77</v>
      </c>
      <c r="AD462" s="2">
        <v>0.53</v>
      </c>
      <c r="AE462" s="79">
        <f t="shared" si="510"/>
        <v>-5.9401352871550794E-2</v>
      </c>
      <c r="AF462" s="79">
        <f t="shared" si="511"/>
        <v>-1</v>
      </c>
      <c r="AG462" s="2">
        <f t="shared" si="461"/>
        <v>-0.19</v>
      </c>
      <c r="AH462" s="2">
        <f t="shared" si="475"/>
        <v>0.53</v>
      </c>
      <c r="AI462" s="2">
        <v>9000</v>
      </c>
      <c r="AJ462" s="2">
        <v>-0.63</v>
      </c>
      <c r="AK462" s="76">
        <f t="shared" si="512"/>
        <v>1.2687799312803509</v>
      </c>
      <c r="AL462" s="76">
        <f t="shared" si="513"/>
        <v>2</v>
      </c>
      <c r="AM462" s="2">
        <f t="shared" si="476"/>
        <v>-0.44000000000000006</v>
      </c>
      <c r="AN462" s="2">
        <f t="shared" si="477"/>
        <v>-0.63</v>
      </c>
      <c r="AO462" s="2">
        <v>-0.9647</v>
      </c>
      <c r="AP462" s="2">
        <f t="shared" si="478"/>
        <v>0.11993769195895398</v>
      </c>
      <c r="AQ462" s="2">
        <f t="shared" si="479"/>
        <v>-0.9647</v>
      </c>
      <c r="AR462" s="2">
        <v>81.7</v>
      </c>
      <c r="AS462" s="2">
        <v>-0.21</v>
      </c>
      <c r="AT462" s="2">
        <f t="shared" si="480"/>
        <v>-0.67272373592422319</v>
      </c>
      <c r="AU462" s="2">
        <f t="shared" si="481"/>
        <v>-0.21</v>
      </c>
      <c r="AV462" s="2">
        <v>10000</v>
      </c>
      <c r="AW462" s="2">
        <v>-0.81</v>
      </c>
      <c r="AX462" s="2">
        <f t="shared" si="482"/>
        <v>-0.46304454287500502</v>
      </c>
      <c r="AY462" s="2">
        <f t="shared" si="483"/>
        <v>-0.81</v>
      </c>
      <c r="AZ462" s="2">
        <v>-1.052724616082092</v>
      </c>
      <c r="BA462" s="78">
        <f t="shared" si="514"/>
        <v>0.23987538391790797</v>
      </c>
      <c r="BB462" s="78">
        <f t="shared" si="515"/>
        <v>1</v>
      </c>
      <c r="BC462" s="2">
        <f t="shared" si="484"/>
        <v>2.1544239643446168E-2</v>
      </c>
      <c r="BD462" s="2">
        <f t="shared" si="485"/>
        <v>-1.052724616082092</v>
      </c>
      <c r="BE462" s="67">
        <f t="shared" si="516"/>
        <v>7</v>
      </c>
      <c r="BF462" s="2">
        <v>84</v>
      </c>
      <c r="BG462" s="2">
        <v>-0.81544747184844635</v>
      </c>
      <c r="BH462" s="2">
        <f t="shared" si="486"/>
        <v>-0.12956480417525063</v>
      </c>
      <c r="BI462" s="2">
        <f t="shared" si="487"/>
        <v>-0.81544747184844635</v>
      </c>
      <c r="BJ462" s="67">
        <f t="shared" si="488"/>
        <v>7</v>
      </c>
      <c r="BK462" s="2">
        <v>10800</v>
      </c>
      <c r="BL462" s="2">
        <v>-1.55608908575001</v>
      </c>
      <c r="BM462" s="77">
        <f t="shared" si="517"/>
        <v>-0.92608908575001003</v>
      </c>
      <c r="BN462" s="77">
        <f t="shared" si="518"/>
        <v>-2</v>
      </c>
      <c r="BO462" s="2">
        <f t="shared" si="489"/>
        <v>-4.5213367580838937E-2</v>
      </c>
      <c r="BP462" s="2">
        <f t="shared" si="490"/>
        <v>-1.55608908575001</v>
      </c>
      <c r="BQ462" s="67">
        <f t="shared" si="519"/>
        <v>7</v>
      </c>
      <c r="BR462" s="5">
        <v>-0.9000672810696615</v>
      </c>
      <c r="BS462" s="75">
        <f t="shared" si="520"/>
        <v>0.15265733501243051</v>
      </c>
      <c r="BT462" s="75">
        <f t="shared" si="521"/>
        <v>1</v>
      </c>
      <c r="BU462" s="5">
        <f>IF(G466&gt;=36, IF(AND(NOT(ISBLANK(CM:CM)), NOT(ISBLANK(BD:BD))), (CM:CM-BD:BD)/2, ""), "UF")</f>
        <v>0.12575942547677232</v>
      </c>
      <c r="BV462" s="5">
        <f t="shared" si="491"/>
        <v>-0.9000672810696615</v>
      </c>
      <c r="BW462" s="69">
        <f t="shared" si="492"/>
        <v>7</v>
      </c>
      <c r="BX462" s="2">
        <v>93</v>
      </c>
      <c r="BY462" s="5">
        <v>-0.59869441252575184</v>
      </c>
      <c r="BZ462" s="74">
        <f t="shared" si="522"/>
        <v>0.9573946732242582</v>
      </c>
      <c r="CA462" s="74">
        <f t="shared" si="523"/>
        <v>2</v>
      </c>
      <c r="CB462" s="5">
        <f t="shared" si="493"/>
        <v>0.58323042949109349</v>
      </c>
      <c r="CC462" s="5">
        <f t="shared" si="494"/>
        <v>-0.59869441252575184</v>
      </c>
      <c r="CD462" s="2">
        <f t="shared" si="495"/>
        <v>0.21675305932269451</v>
      </c>
      <c r="CE462" s="69">
        <f t="shared" si="496"/>
        <v>7</v>
      </c>
      <c r="CF462" s="5">
        <v>13000</v>
      </c>
      <c r="CG462" s="5">
        <v>-0.94564010274251686</v>
      </c>
      <c r="CH462" s="72">
        <f t="shared" si="524"/>
        <v>0.61044898300749317</v>
      </c>
      <c r="CI462" s="72">
        <f t="shared" si="525"/>
        <v>1</v>
      </c>
      <c r="CJ462" s="5">
        <f t="shared" si="497"/>
        <v>0.69559108785584944</v>
      </c>
      <c r="CK462" s="5">
        <f t="shared" si="498"/>
        <v>-0.94564010274251686</v>
      </c>
      <c r="CL462" s="69">
        <f t="shared" si="499"/>
        <v>7</v>
      </c>
      <c r="CM462" s="5">
        <v>-0.80120576512854735</v>
      </c>
      <c r="CN462" s="70">
        <f t="shared" si="500"/>
        <v>9.8861515941114142E-2</v>
      </c>
      <c r="CO462" s="5">
        <f t="shared" si="501"/>
        <v>9.8861515941114142E-2</v>
      </c>
      <c r="CP462" s="5">
        <f>IF(G462&lt;48,"UF", IF(NOT(ISBLANK(CM:CM)), CM:CM, IF(BW:BW=1, BV:BV+Sheet2!B23, IF(Sheet1!BW:BW=2, Sheet1!BV:BV+Sheet2!B24, IF(Sheet1!BW:BW=7, Sheet1!BV:BV+Sheet2!B25,"")))))</f>
        <v>-0.80120576512854735</v>
      </c>
      <c r="CQ462" s="69">
        <f t="shared" si="526"/>
        <v>7</v>
      </c>
      <c r="CR462" s="5">
        <v>104</v>
      </c>
      <c r="CS462" s="5">
        <v>0.35101338713374058</v>
      </c>
      <c r="CT462" s="5">
        <f t="shared" si="502"/>
        <v>0.94970779965949248</v>
      </c>
      <c r="CU462" s="80">
        <f t="shared" si="503"/>
        <v>0.94970779965949248</v>
      </c>
      <c r="CV462" s="80">
        <f t="shared" si="504"/>
        <v>2</v>
      </c>
      <c r="CW462" s="20">
        <f>IF(G462&lt;48,"UF", IF(NOT(ISBLANK(CS462)), CS462, IF(CE462=5, CC462+Sheet2!B12, IF(CE462=6, CC462+Sheet2!B13, IF(CE462=7, CC462+Sheet2!B14,"")))))</f>
        <v>0.35101338713374058</v>
      </c>
      <c r="CX462" s="68">
        <f t="shared" si="527"/>
        <v>7</v>
      </c>
      <c r="CY462" s="5">
        <v>16000</v>
      </c>
      <c r="CZ462" s="5">
        <v>-0.16490691003831121</v>
      </c>
      <c r="DA462" s="5">
        <f t="shared" si="505"/>
        <v>0.7807331927042056</v>
      </c>
      <c r="DB462" s="73">
        <f t="shared" si="506"/>
        <v>0.7807331927042056</v>
      </c>
      <c r="DC462" s="73">
        <f t="shared" si="507"/>
        <v>2</v>
      </c>
      <c r="DD462" s="5">
        <f>IF(G462&lt;48,"UF", IF(NOT(ISBLANK(CZ:CZ)), CZ:CZ, IF(CL:CL=3, CK:CK+Sheet2!B17, IF(CL:CL=4, CK:CK+Sheet2!B18, IF(CL:CL=7, CK:CK+Sheet2!B19,"")))))</f>
        <v>-0.16490691003831121</v>
      </c>
      <c r="DE462" s="69">
        <f t="shared" si="463"/>
        <v>7</v>
      </c>
      <c r="DF462" s="2">
        <v>1</v>
      </c>
      <c r="DG462" s="2">
        <v>28</v>
      </c>
      <c r="DH462" s="2">
        <v>1</v>
      </c>
      <c r="DI462" s="2">
        <v>2</v>
      </c>
      <c r="DJ462" s="2">
        <v>3</v>
      </c>
      <c r="DK462" s="2" t="s">
        <v>12</v>
      </c>
      <c r="DL462" s="2" t="s">
        <v>12</v>
      </c>
      <c r="DM462" s="2">
        <v>100</v>
      </c>
      <c r="DN462" s="2">
        <v>60</v>
      </c>
      <c r="DO462" s="2">
        <v>105</v>
      </c>
      <c r="DP462" s="2">
        <v>65</v>
      </c>
      <c r="DQ462" s="2">
        <v>2</v>
      </c>
      <c r="DR462" s="2">
        <v>38</v>
      </c>
      <c r="DS462" s="2">
        <v>1</v>
      </c>
      <c r="DT462" s="2">
        <v>97</v>
      </c>
      <c r="DU462" s="2">
        <v>87</v>
      </c>
      <c r="DV462" s="2">
        <v>2</v>
      </c>
      <c r="DW462" s="2">
        <v>2</v>
      </c>
      <c r="DX462" s="2">
        <v>2</v>
      </c>
      <c r="DY462" s="2">
        <v>2</v>
      </c>
      <c r="DZ462" s="2">
        <v>35</v>
      </c>
      <c r="EA462" s="2">
        <v>36</v>
      </c>
      <c r="EB462" s="2">
        <v>47</v>
      </c>
      <c r="EC462" s="2">
        <v>1</v>
      </c>
      <c r="ED462" s="2">
        <v>1</v>
      </c>
    </row>
    <row r="463" spans="3:134" x14ac:dyDescent="0.25">
      <c r="C463" s="5" t="s">
        <v>367</v>
      </c>
      <c r="D463" s="8">
        <v>6560211551</v>
      </c>
      <c r="E463" s="2" t="s">
        <v>529</v>
      </c>
      <c r="F463" s="5">
        <v>2</v>
      </c>
      <c r="G463" s="2">
        <v>52</v>
      </c>
      <c r="H463" s="2">
        <v>-3.8567016159902461</v>
      </c>
      <c r="I463" s="2">
        <v>49</v>
      </c>
      <c r="J463" s="2">
        <v>-0.46706379753639199</v>
      </c>
      <c r="K463" s="5">
        <v>2250</v>
      </c>
      <c r="L463" s="2">
        <v>-2.538740990998142</v>
      </c>
      <c r="M463" s="2">
        <v>2.5815000000000001</v>
      </c>
      <c r="N463" s="2" t="str">
        <f t="shared" si="467"/>
        <v/>
      </c>
      <c r="O463" s="2">
        <f t="shared" si="468"/>
        <v>2.5815000000000001</v>
      </c>
      <c r="P463" s="2">
        <v>57</v>
      </c>
      <c r="Q463" s="2">
        <v>-4.97</v>
      </c>
      <c r="R463" s="5" t="str">
        <f t="shared" si="469"/>
        <v/>
      </c>
      <c r="S463" s="5">
        <f t="shared" si="470"/>
        <v>-4.97</v>
      </c>
      <c r="T463" s="1">
        <v>7000</v>
      </c>
      <c r="U463" s="2">
        <v>-1.1399999999999999</v>
      </c>
      <c r="V463" s="2" t="str">
        <f t="shared" si="471"/>
        <v/>
      </c>
      <c r="W463" s="2">
        <f t="shared" si="472"/>
        <v>-1.1399999999999999</v>
      </c>
      <c r="Y463" s="76">
        <f t="shared" si="508"/>
        <v>8.9597016159902463</v>
      </c>
      <c r="Z463" s="76">
        <f t="shared" si="509"/>
        <v>2</v>
      </c>
      <c r="AA463" s="2">
        <f t="shared" si="473"/>
        <v>2.5215000000000001</v>
      </c>
      <c r="AB463" s="2">
        <f t="shared" si="474"/>
        <v>5.1029999999999998</v>
      </c>
      <c r="AC463" s="2" t="s">
        <v>12</v>
      </c>
      <c r="AE463" s="79">
        <f t="shared" si="510"/>
        <v>-3.7329362024636081</v>
      </c>
      <c r="AF463" s="79">
        <f t="shared" si="511"/>
        <v>-2</v>
      </c>
      <c r="AG463" s="2">
        <f t="shared" si="461"/>
        <v>0.7699999999999998</v>
      </c>
      <c r="AH463" s="2">
        <f t="shared" si="475"/>
        <v>-4.2</v>
      </c>
      <c r="AI463" s="2" t="s">
        <v>12</v>
      </c>
      <c r="AK463" s="76">
        <f t="shared" si="512"/>
        <v>0.91374099099814199</v>
      </c>
      <c r="AL463" s="76">
        <f t="shared" si="513"/>
        <v>2</v>
      </c>
      <c r="AM463" s="2">
        <f t="shared" si="476"/>
        <v>-0.48499999999999999</v>
      </c>
      <c r="AN463" s="2">
        <f t="shared" si="477"/>
        <v>-1.625</v>
      </c>
      <c r="AO463" s="2">
        <v>7.2999999999999995E-2</v>
      </c>
      <c r="AP463" s="2">
        <f t="shared" si="478"/>
        <v>-3.2782912558054154</v>
      </c>
      <c r="AQ463" s="2">
        <f t="shared" si="479"/>
        <v>7.2999999999999995E-2</v>
      </c>
      <c r="AR463" s="2">
        <v>73</v>
      </c>
      <c r="AS463" s="2">
        <v>-3.43</v>
      </c>
      <c r="AT463" s="2">
        <f t="shared" si="480"/>
        <v>0.98011580360900363</v>
      </c>
      <c r="AU463" s="2">
        <f t="shared" si="481"/>
        <v>-3.43</v>
      </c>
      <c r="AV463" s="2">
        <v>8650</v>
      </c>
      <c r="AW463" s="2">
        <v>-2.11</v>
      </c>
      <c r="AX463" s="2">
        <f t="shared" si="482"/>
        <v>-0.69366938110834409</v>
      </c>
      <c r="AY463" s="2">
        <f t="shared" si="483"/>
        <v>-2.11</v>
      </c>
      <c r="AZ463" s="2">
        <v>-1.453582511610831</v>
      </c>
      <c r="BA463" s="78">
        <f t="shared" si="514"/>
        <v>-6.5565825116108307</v>
      </c>
      <c r="BB463" s="78">
        <f t="shared" si="515"/>
        <v>-2</v>
      </c>
      <c r="BC463" s="2">
        <f t="shared" si="484"/>
        <v>-0.25643159794443454</v>
      </c>
      <c r="BD463" s="2">
        <f t="shared" si="485"/>
        <v>-1.453582511610831</v>
      </c>
      <c r="BE463" s="67">
        <f t="shared" si="516"/>
        <v>7</v>
      </c>
      <c r="BF463" s="2">
        <v>79</v>
      </c>
      <c r="BG463" s="2">
        <v>-2.2397683927819929</v>
      </c>
      <c r="BH463" s="2">
        <f t="shared" si="486"/>
        <v>0.48001201807715138</v>
      </c>
      <c r="BI463" s="2">
        <f t="shared" si="487"/>
        <v>-2.2397683927819929</v>
      </c>
      <c r="BJ463" s="67">
        <f t="shared" si="488"/>
        <v>6</v>
      </c>
      <c r="BK463" s="2">
        <v>9300</v>
      </c>
      <c r="BL463" s="2">
        <v>-3.0123387622166882</v>
      </c>
      <c r="BM463" s="77">
        <f t="shared" si="517"/>
        <v>-1.3873387622166882</v>
      </c>
      <c r="BN463" s="77">
        <f t="shared" si="518"/>
        <v>-2</v>
      </c>
      <c r="BO463" s="2">
        <f t="shared" si="489"/>
        <v>7.114392177863893E-2</v>
      </c>
      <c r="BP463" s="2">
        <f t="shared" si="490"/>
        <v>-3.0123387622166882</v>
      </c>
      <c r="BQ463" s="67">
        <f t="shared" si="519"/>
        <v>3</v>
      </c>
      <c r="BR463" s="5">
        <v>-0.69629479383330362</v>
      </c>
      <c r="BS463" s="75">
        <f t="shared" si="520"/>
        <v>0.75728771777752735</v>
      </c>
      <c r="BT463" s="75">
        <f t="shared" si="521"/>
        <v>2</v>
      </c>
      <c r="BU463" s="5">
        <f>IF(G468&gt;=36, IF(AND(NOT(ISBLANK(CM:CM)), NOT(ISBLANK(BD:BD))), (CM:CM-BD:BD)/2, ""), "UF")</f>
        <v>-0.37781865630100708</v>
      </c>
      <c r="BV463" s="5">
        <f t="shared" si="491"/>
        <v>-0.69629479383330362</v>
      </c>
      <c r="BW463" s="69">
        <f t="shared" si="492"/>
        <v>7</v>
      </c>
      <c r="BX463" s="2">
        <v>88</v>
      </c>
      <c r="BY463" s="5">
        <v>-1.9899639457685461</v>
      </c>
      <c r="BZ463" s="74">
        <f t="shared" si="522"/>
        <v>1.0223748164481421</v>
      </c>
      <c r="CA463" s="74">
        <f t="shared" si="523"/>
        <v>2</v>
      </c>
      <c r="CB463" s="5">
        <f t="shared" si="493"/>
        <v>-0.37234404670615162</v>
      </c>
      <c r="CC463" s="5">
        <f t="shared" si="494"/>
        <v>-1.9899639457685461</v>
      </c>
      <c r="CD463" s="2">
        <f t="shared" si="495"/>
        <v>0.24980444701344684</v>
      </c>
      <c r="CE463" s="69">
        <f t="shared" si="496"/>
        <v>7</v>
      </c>
      <c r="CF463" s="5">
        <v>11800</v>
      </c>
      <c r="CG463" s="5">
        <v>-1.8965682346640831</v>
      </c>
      <c r="CH463" s="72">
        <f t="shared" si="524"/>
        <v>1.1157705275526051</v>
      </c>
      <c r="CI463" s="72">
        <f t="shared" si="525"/>
        <v>2</v>
      </c>
      <c r="CJ463" s="5">
        <f t="shared" si="497"/>
        <v>-0.47304467370154391</v>
      </c>
      <c r="CK463" s="5">
        <f t="shared" si="498"/>
        <v>-1.8965682346640831</v>
      </c>
      <c r="CL463" s="69">
        <f t="shared" si="499"/>
        <v>7</v>
      </c>
      <c r="CM463" s="5">
        <v>-2.2092198242128451</v>
      </c>
      <c r="CN463" s="70">
        <f t="shared" si="500"/>
        <v>-1.5129250303795416</v>
      </c>
      <c r="CO463" s="5">
        <f t="shared" si="501"/>
        <v>-1.5129250303795416</v>
      </c>
      <c r="CP463" s="5">
        <f>IF(G463&lt;48,"UF", IF(NOT(ISBLANK(CM:CM)), CM:CM, IF(BW:BW=1, BV:BV+Sheet2!B111, IF(Sheet1!BW:BW=2, Sheet1!BV:BV+Sheet2!B112, IF(Sheet1!BW:BW=7, Sheet1!BV:BV+Sheet2!B113,"")))))</f>
        <v>-2.2092198242128451</v>
      </c>
      <c r="CQ463" s="69">
        <f t="shared" si="526"/>
        <v>2</v>
      </c>
      <c r="CR463" s="5">
        <v>90</v>
      </c>
      <c r="CS463" s="5">
        <v>-2.9844564861942962</v>
      </c>
      <c r="CT463" s="5">
        <f t="shared" si="502"/>
        <v>-0.99449254042575008</v>
      </c>
      <c r="CU463" s="80">
        <f t="shared" si="503"/>
        <v>-0.99449254042575008</v>
      </c>
      <c r="CV463" s="80">
        <f t="shared" si="504"/>
        <v>-2</v>
      </c>
      <c r="CW463" s="20">
        <f>IF(G463&lt;48,"UF", IF(NOT(ISBLANK(CS463)), CS463, IF(CE463=5, CC463+Sheet2!B100, IF(CE463=6, CC463+Sheet2!B101, IF(CE463=7, CC463+Sheet2!B102,"")))))</f>
        <v>-2.9844564861942962</v>
      </c>
      <c r="CX463" s="68">
        <f t="shared" si="527"/>
        <v>6</v>
      </c>
      <c r="CY463" s="5">
        <v>11000</v>
      </c>
      <c r="CZ463" s="5">
        <v>-3.958428109619776</v>
      </c>
      <c r="DA463" s="5">
        <f t="shared" si="505"/>
        <v>-2.0618598749556929</v>
      </c>
      <c r="DB463" s="73">
        <f t="shared" si="506"/>
        <v>-2.0618598749556929</v>
      </c>
      <c r="DC463" s="73">
        <f t="shared" si="507"/>
        <v>-2</v>
      </c>
      <c r="DD463" s="5">
        <f>IF(G463&lt;48,"UF", IF(NOT(ISBLANK(CZ:CZ)), CZ:CZ, IF(CL:CL=3, CK:CK+Sheet2!B105, IF(CL:CL=4, CK:CK+Sheet2!B106, IF(CL:CL=7, CK:CK+Sheet2!B107,"")))))</f>
        <v>-3.958428109619776</v>
      </c>
      <c r="DE463" s="69">
        <f t="shared" si="463"/>
        <v>3</v>
      </c>
      <c r="DF463" s="2">
        <v>3</v>
      </c>
      <c r="DG463" s="2">
        <v>33</v>
      </c>
      <c r="DH463" s="2">
        <v>1</v>
      </c>
      <c r="DI463" s="2">
        <v>2</v>
      </c>
      <c r="DJ463" s="2">
        <v>2</v>
      </c>
      <c r="DK463" s="2" t="s">
        <v>12</v>
      </c>
      <c r="DL463" s="2" t="s">
        <v>12</v>
      </c>
      <c r="DM463" s="2">
        <v>110</v>
      </c>
      <c r="DN463" s="2">
        <v>60</v>
      </c>
      <c r="DO463" s="2">
        <v>110</v>
      </c>
      <c r="DP463" s="2">
        <v>60</v>
      </c>
      <c r="DQ463" s="2">
        <v>1</v>
      </c>
      <c r="DR463" s="2">
        <v>39</v>
      </c>
      <c r="DS463" s="2">
        <v>2</v>
      </c>
      <c r="DT463" s="2">
        <v>91</v>
      </c>
      <c r="DU463" s="2">
        <v>87</v>
      </c>
      <c r="DV463" s="2">
        <v>2</v>
      </c>
      <c r="DW463" s="2">
        <v>2</v>
      </c>
      <c r="DX463" s="2">
        <v>2</v>
      </c>
      <c r="DY463" s="2">
        <v>3</v>
      </c>
      <c r="DZ463" s="2">
        <v>32</v>
      </c>
      <c r="EA463" s="2">
        <v>32.5</v>
      </c>
      <c r="EB463" s="2" t="s">
        <v>12</v>
      </c>
      <c r="EC463" s="2">
        <v>4</v>
      </c>
      <c r="ED463" s="2" t="s">
        <v>12</v>
      </c>
    </row>
    <row r="464" spans="3:134" x14ac:dyDescent="0.25">
      <c r="C464" s="10" t="s">
        <v>19</v>
      </c>
      <c r="D464" s="14">
        <v>6560212033</v>
      </c>
      <c r="E464" s="5">
        <v>2</v>
      </c>
      <c r="F464" s="2">
        <v>1</v>
      </c>
      <c r="G464" s="2">
        <v>51</v>
      </c>
      <c r="H464" s="2">
        <v>-6.8923665528016322E-3</v>
      </c>
      <c r="I464" s="2">
        <v>49</v>
      </c>
      <c r="J464" s="2">
        <v>-7.9294265603816944E-2</v>
      </c>
      <c r="K464" s="5">
        <v>3200</v>
      </c>
      <c r="L464" s="2">
        <v>-7.0518060756779827E-2</v>
      </c>
      <c r="M464" s="2">
        <v>-1.1392</v>
      </c>
      <c r="N464" s="2">
        <f t="shared" si="467"/>
        <v>3.0296183276400816E-2</v>
      </c>
      <c r="O464" s="2">
        <f t="shared" si="468"/>
        <v>-1.1392</v>
      </c>
      <c r="P464" s="2">
        <v>66</v>
      </c>
      <c r="Q464" s="2">
        <v>0.11</v>
      </c>
      <c r="R464" s="5">
        <f t="shared" si="469"/>
        <v>3.9647132801908472E-2</v>
      </c>
      <c r="S464" s="5">
        <f t="shared" si="470"/>
        <v>0.11</v>
      </c>
      <c r="T464" s="1">
        <v>6650</v>
      </c>
      <c r="U464" s="2">
        <v>-0.77</v>
      </c>
      <c r="V464" s="2">
        <f t="shared" si="471"/>
        <v>6.0259030378389915E-2</v>
      </c>
      <c r="W464" s="2">
        <f t="shared" si="472"/>
        <v>-0.77</v>
      </c>
      <c r="X464" s="2">
        <v>5.3699999999999998E-2</v>
      </c>
      <c r="Y464" s="76">
        <f t="shared" si="508"/>
        <v>6.0592366552801633E-2</v>
      </c>
      <c r="Z464" s="76">
        <f t="shared" si="509"/>
        <v>1</v>
      </c>
      <c r="AA464" s="2">
        <f t="shared" si="473"/>
        <v>-0.67225000000000001</v>
      </c>
      <c r="AB464" s="2">
        <f t="shared" si="474"/>
        <v>5.3699999999999998E-2</v>
      </c>
      <c r="AC464" s="2">
        <v>74</v>
      </c>
      <c r="AD464" s="2">
        <v>0</v>
      </c>
      <c r="AE464" s="79">
        <f t="shared" si="510"/>
        <v>7.9294265603816944E-2</v>
      </c>
      <c r="AF464" s="79">
        <f t="shared" si="511"/>
        <v>1</v>
      </c>
      <c r="AG464" s="2">
        <f t="shared" si="461"/>
        <v>0.5099999999999999</v>
      </c>
      <c r="AH464" s="2">
        <f t="shared" si="475"/>
        <v>0</v>
      </c>
      <c r="AI464" s="2">
        <v>9000</v>
      </c>
      <c r="AJ464" s="2">
        <v>0.05</v>
      </c>
      <c r="AK464" s="76">
        <f t="shared" si="512"/>
        <v>0.12051806075677983</v>
      </c>
      <c r="AL464" s="76">
        <f t="shared" si="513"/>
        <v>1</v>
      </c>
      <c r="AM464" s="2">
        <f t="shared" si="476"/>
        <v>0.29000000000000004</v>
      </c>
      <c r="AN464" s="2">
        <f t="shared" si="477"/>
        <v>0.05</v>
      </c>
      <c r="AO464" s="2">
        <v>-1.2344999999999999</v>
      </c>
      <c r="AP464" s="2">
        <f t="shared" si="478"/>
        <v>-2.0924562407860465</v>
      </c>
      <c r="AQ464" s="2">
        <f t="shared" si="479"/>
        <v>-1.2344999999999999</v>
      </c>
      <c r="AR464" s="2">
        <v>84</v>
      </c>
      <c r="AS464" s="2">
        <v>1.1299999999999999</v>
      </c>
      <c r="AT464" s="2">
        <f t="shared" si="480"/>
        <v>1.0918439927657051</v>
      </c>
      <c r="AU464" s="2">
        <f t="shared" si="481"/>
        <v>1.1299999999999999</v>
      </c>
      <c r="AV464" s="2">
        <v>10000</v>
      </c>
      <c r="AW464" s="2">
        <v>-0.19</v>
      </c>
      <c r="AX464" s="2">
        <f t="shared" si="482"/>
        <v>-0.73433685583615349</v>
      </c>
      <c r="AY464" s="2">
        <f t="shared" si="483"/>
        <v>-0.19</v>
      </c>
      <c r="AZ464" s="2">
        <v>-4.131212481572093</v>
      </c>
      <c r="BA464" s="78">
        <f t="shared" si="514"/>
        <v>-4.1849124815720931</v>
      </c>
      <c r="BB464" s="78">
        <f t="shared" si="515"/>
        <v>-2</v>
      </c>
      <c r="BC464" s="2">
        <f t="shared" si="484"/>
        <v>-1.1348987969958724</v>
      </c>
      <c r="BD464" s="2">
        <f t="shared" si="485"/>
        <v>-4.131212481572093</v>
      </c>
      <c r="BE464" s="67">
        <f t="shared" si="516"/>
        <v>1</v>
      </c>
      <c r="BF464" s="2">
        <v>93</v>
      </c>
      <c r="BG464" s="2">
        <v>2.1836879855314102</v>
      </c>
      <c r="BH464" s="2">
        <f t="shared" si="486"/>
        <v>-6.0692705272705538E-2</v>
      </c>
      <c r="BI464" s="2">
        <f t="shared" si="487"/>
        <v>2.1836879855314102</v>
      </c>
      <c r="BJ464" s="67" t="str">
        <f t="shared" si="488"/>
        <v/>
      </c>
      <c r="BK464" s="2">
        <v>10500</v>
      </c>
      <c r="BL464" s="2">
        <v>-1.4186737116723069</v>
      </c>
      <c r="BM464" s="77">
        <f t="shared" si="517"/>
        <v>-1.468673711672307</v>
      </c>
      <c r="BN464" s="77">
        <f t="shared" si="518"/>
        <v>-2</v>
      </c>
      <c r="BO464" s="2">
        <f t="shared" si="489"/>
        <v>-0.53025035915913066</v>
      </c>
      <c r="BP464" s="2">
        <f t="shared" si="490"/>
        <v>-1.4186737116723069</v>
      </c>
      <c r="BQ464" s="67">
        <f t="shared" si="519"/>
        <v>7</v>
      </c>
      <c r="BR464" s="5">
        <v>-4.6391963909876166</v>
      </c>
      <c r="BS464" s="75">
        <f t="shared" si="520"/>
        <v>-0.50798390941552363</v>
      </c>
      <c r="BT464" s="75">
        <f t="shared" si="521"/>
        <v>-1</v>
      </c>
      <c r="BU464" s="5">
        <f>IF(G470&gt;=36, IF(AND(NOT(ISBLANK(CM:CM)), NOT(ISBLANK(BD:BD))), (CM:CM-BD:BD)/2, ""), "UF")</f>
        <v>-0.72023974578636452</v>
      </c>
      <c r="BV464" s="5">
        <f t="shared" si="491"/>
        <v>-4.6391963909876166</v>
      </c>
      <c r="BW464" s="69">
        <f t="shared" si="492"/>
        <v>1</v>
      </c>
      <c r="BX464" s="2">
        <v>98</v>
      </c>
      <c r="BY464" s="5">
        <v>0.94792188418188328</v>
      </c>
      <c r="BZ464" s="74">
        <f t="shared" si="522"/>
        <v>2.3665955958541902</v>
      </c>
      <c r="CA464" s="74">
        <f t="shared" si="523"/>
        <v>2</v>
      </c>
      <c r="CB464" s="5">
        <f t="shared" si="493"/>
        <v>-0.53424351684104665</v>
      </c>
      <c r="CC464" s="5">
        <f t="shared" si="494"/>
        <v>0.94792188418188328</v>
      </c>
      <c r="CD464" s="2">
        <f t="shared" si="495"/>
        <v>-1.2357661013495269</v>
      </c>
      <c r="CE464" s="69">
        <f t="shared" si="496"/>
        <v>7</v>
      </c>
      <c r="CF464" s="5">
        <v>11500</v>
      </c>
      <c r="CG464" s="5">
        <v>-1.780751077477392</v>
      </c>
      <c r="CH464" s="72">
        <f t="shared" si="524"/>
        <v>-0.36207736580508509</v>
      </c>
      <c r="CI464" s="72">
        <f t="shared" si="525"/>
        <v>-1</v>
      </c>
      <c r="CJ464" s="5">
        <f t="shared" si="497"/>
        <v>-0.14611898556588898</v>
      </c>
      <c r="CK464" s="5">
        <f t="shared" si="498"/>
        <v>-1.780751077477392</v>
      </c>
      <c r="CL464" s="69">
        <f t="shared" si="499"/>
        <v>7</v>
      </c>
      <c r="CM464" s="5">
        <v>-5.571691973144822</v>
      </c>
      <c r="CN464" s="70">
        <f t="shared" si="500"/>
        <v>-0.9324955821572054</v>
      </c>
      <c r="CO464" s="5">
        <f t="shared" si="501"/>
        <v>-0.9324955821572054</v>
      </c>
      <c r="CP464" s="5">
        <f>IF(G464&lt;48,"UF", IF(NOT(ISBLANK(CM:CM)), CM:CM, IF(BW:BW=1, BV:BV+Sheet2!B36, IF(Sheet1!BW:BW=2, Sheet1!BV:BV+Sheet2!B37, IF(Sheet1!BW:BW=7, Sheet1!BV:BV+Sheet2!B38,"")))))</f>
        <v>-5.571691973144822</v>
      </c>
      <c r="CQ464" s="69">
        <f t="shared" si="526"/>
        <v>1</v>
      </c>
      <c r="CR464" s="5">
        <v>106</v>
      </c>
      <c r="CS464" s="5">
        <v>1.1152009518493169</v>
      </c>
      <c r="CT464" s="5">
        <f t="shared" si="502"/>
        <v>0.16727906766743361</v>
      </c>
      <c r="CU464" s="80">
        <f t="shared" si="503"/>
        <v>0.16727906766743361</v>
      </c>
      <c r="CV464" s="80">
        <f t="shared" si="504"/>
        <v>1</v>
      </c>
      <c r="CW464" s="20">
        <f>IF(G464&lt;48,"UF", IF(NOT(ISBLANK(CS464)), CS464, IF(CE464=5, CC464+Sheet2!B25, IF(CE464=6, CC464+Sheet2!B26, IF(CE464=7, CC464+Sheet2!B27,"")))))</f>
        <v>1.1152009518493169</v>
      </c>
      <c r="CX464" s="68">
        <f t="shared" si="527"/>
        <v>7</v>
      </c>
      <c r="CY464" s="5">
        <v>13000</v>
      </c>
      <c r="CZ464" s="5">
        <v>-1.7109116828040849</v>
      </c>
      <c r="DA464" s="5">
        <f t="shared" si="505"/>
        <v>6.9839394673307131E-2</v>
      </c>
      <c r="DB464" s="73">
        <f t="shared" si="506"/>
        <v>6.9839394673307131E-2</v>
      </c>
      <c r="DC464" s="73">
        <f t="shared" si="507"/>
        <v>1</v>
      </c>
      <c r="DD464" s="5">
        <f>IF(G464&lt;48,"UF", IF(NOT(ISBLANK(CZ:CZ)), CZ:CZ, IF(CL:CL=3, CK:CK+Sheet2!B30, IF(CL:CL=4, CK:CK+Sheet2!B31, IF(CL:CL=7, CK:CK+Sheet2!B32,"")))))</f>
        <v>-1.7109116828040849</v>
      </c>
      <c r="DE464" s="69">
        <f t="shared" si="463"/>
        <v>7</v>
      </c>
      <c r="DF464" s="2">
        <v>3</v>
      </c>
      <c r="DG464" s="2">
        <v>36</v>
      </c>
      <c r="DH464" s="2">
        <v>2</v>
      </c>
      <c r="DI464" s="2">
        <v>2</v>
      </c>
      <c r="DJ464" s="2">
        <v>2</v>
      </c>
      <c r="DK464" s="2">
        <v>95</v>
      </c>
      <c r="DL464" s="2">
        <v>60</v>
      </c>
      <c r="DM464" s="2">
        <v>100</v>
      </c>
      <c r="DN464" s="2">
        <v>60</v>
      </c>
      <c r="DO464" s="2">
        <v>90</v>
      </c>
      <c r="DP464" s="2">
        <v>60</v>
      </c>
      <c r="DQ464" s="2">
        <v>2</v>
      </c>
      <c r="DR464" s="2">
        <v>40</v>
      </c>
      <c r="DS464" s="2">
        <v>2</v>
      </c>
      <c r="DT464" s="2">
        <v>86</v>
      </c>
      <c r="DU464" s="2">
        <v>73</v>
      </c>
      <c r="DV464" s="2">
        <v>4</v>
      </c>
      <c r="DW464" s="2">
        <v>2</v>
      </c>
      <c r="DX464" s="2">
        <v>4</v>
      </c>
      <c r="DY464" s="2">
        <v>1</v>
      </c>
      <c r="DZ464" s="2">
        <v>34</v>
      </c>
      <c r="EA464" s="2">
        <v>35</v>
      </c>
      <c r="EB464" s="2">
        <v>43</v>
      </c>
      <c r="EC464" s="2">
        <v>1</v>
      </c>
      <c r="ED464" s="2">
        <v>1</v>
      </c>
    </row>
    <row r="465" spans="2:134" x14ac:dyDescent="0.25">
      <c r="C465" s="2" t="s">
        <v>104</v>
      </c>
      <c r="D465" s="2">
        <v>6560213056</v>
      </c>
      <c r="E465" s="5" t="s">
        <v>532</v>
      </c>
      <c r="F465" s="2">
        <v>1</v>
      </c>
      <c r="G465" s="2">
        <v>52</v>
      </c>
      <c r="H465" s="2">
        <v>-1.603589179933959</v>
      </c>
      <c r="I465" s="2">
        <v>48</v>
      </c>
      <c r="J465" s="2">
        <v>-0.61614996855203885</v>
      </c>
      <c r="K465" s="5">
        <v>2650</v>
      </c>
      <c r="L465" s="2">
        <v>-1.349779635002901</v>
      </c>
      <c r="M465" s="2">
        <v>-3.6358000000000001</v>
      </c>
      <c r="N465" s="2">
        <f t="shared" si="467"/>
        <v>8.8094589966979497E-2</v>
      </c>
      <c r="O465" s="2">
        <f t="shared" si="468"/>
        <v>-3.6358000000000001</v>
      </c>
      <c r="P465" s="2">
        <v>64</v>
      </c>
      <c r="Q465" s="2">
        <v>-0.77</v>
      </c>
      <c r="R465" s="5">
        <f t="shared" si="469"/>
        <v>-0.85692501572398061</v>
      </c>
      <c r="S465" s="5">
        <f t="shared" si="470"/>
        <v>-0.77</v>
      </c>
      <c r="T465" s="1">
        <v>5000</v>
      </c>
      <c r="U465" s="2">
        <v>-3.14</v>
      </c>
      <c r="V465" s="2">
        <f t="shared" si="471"/>
        <v>-0.54511018249854948</v>
      </c>
      <c r="W465" s="2">
        <f t="shared" si="472"/>
        <v>-3.14</v>
      </c>
      <c r="X465" s="2">
        <v>-1.4274</v>
      </c>
      <c r="Y465" s="76">
        <f t="shared" si="508"/>
        <v>0.17618917993395899</v>
      </c>
      <c r="Z465" s="76">
        <f t="shared" si="509"/>
        <v>1</v>
      </c>
      <c r="AA465" s="2">
        <f t="shared" si="473"/>
        <v>-1.1618999999999999</v>
      </c>
      <c r="AB465" s="2">
        <f t="shared" si="474"/>
        <v>-1.4274</v>
      </c>
      <c r="AC465" s="2">
        <v>68</v>
      </c>
      <c r="AD465" s="2">
        <v>-2.33</v>
      </c>
      <c r="AE465" s="79">
        <f t="shared" si="510"/>
        <v>-1.7138500314479612</v>
      </c>
      <c r="AF465" s="79">
        <f t="shared" si="511"/>
        <v>-2</v>
      </c>
      <c r="AG465" s="2">
        <f t="shared" si="461"/>
        <v>-0.255</v>
      </c>
      <c r="AH465" s="2">
        <f t="shared" si="475"/>
        <v>-2.33</v>
      </c>
      <c r="AI465" s="2">
        <v>6690</v>
      </c>
      <c r="AJ465" s="2">
        <v>-2.44</v>
      </c>
      <c r="AK465" s="76">
        <f t="shared" si="512"/>
        <v>-1.090220364997099</v>
      </c>
      <c r="AL465" s="76">
        <f t="shared" si="513"/>
        <v>-2</v>
      </c>
      <c r="AM465" s="2">
        <f t="shared" si="476"/>
        <v>0.10499999999999998</v>
      </c>
      <c r="AN465" s="2">
        <f t="shared" si="477"/>
        <v>-2.44</v>
      </c>
      <c r="AO465" s="2">
        <v>-3.0937999999999999</v>
      </c>
      <c r="AP465" s="2">
        <f t="shared" si="478"/>
        <v>-1.9254407439670385</v>
      </c>
      <c r="AQ465" s="2">
        <f t="shared" si="479"/>
        <v>-3.0937999999999999</v>
      </c>
      <c r="AR465" s="2">
        <v>77</v>
      </c>
      <c r="AS465" s="2">
        <v>-1.28</v>
      </c>
      <c r="AT465" s="2">
        <f t="shared" si="480"/>
        <v>0.96990754229357423</v>
      </c>
      <c r="AU465" s="2">
        <f t="shared" si="481"/>
        <v>-1.28</v>
      </c>
      <c r="AV465" s="2">
        <v>7250</v>
      </c>
      <c r="AW465" s="2">
        <v>-2.93</v>
      </c>
      <c r="AX465" s="2">
        <f t="shared" si="482"/>
        <v>-1.0506631770033545</v>
      </c>
      <c r="AY465" s="2">
        <f t="shared" si="483"/>
        <v>-2.93</v>
      </c>
      <c r="AZ465" s="2">
        <v>-5.2782814879340769</v>
      </c>
      <c r="BA465" s="78">
        <f t="shared" si="514"/>
        <v>-3.8508814879340769</v>
      </c>
      <c r="BB465" s="78">
        <f t="shared" si="515"/>
        <v>-2</v>
      </c>
      <c r="BC465" s="2" t="str">
        <f t="shared" si="484"/>
        <v/>
      </c>
      <c r="BD465" s="2">
        <f t="shared" si="485"/>
        <v>-5.2782814879340769</v>
      </c>
      <c r="BE465" s="67">
        <f t="shared" si="516"/>
        <v>1</v>
      </c>
      <c r="BF465" s="2">
        <v>82</v>
      </c>
      <c r="BG465" s="2">
        <v>-0.39018491541285161</v>
      </c>
      <c r="BH465" s="2" t="str">
        <f t="shared" si="486"/>
        <v/>
      </c>
      <c r="BI465" s="2">
        <f t="shared" si="487"/>
        <v>-0.39018491541285161</v>
      </c>
      <c r="BJ465" s="67">
        <f t="shared" si="488"/>
        <v>7</v>
      </c>
      <c r="BK465" s="2">
        <v>8000</v>
      </c>
      <c r="BL465" s="2">
        <v>-4.541326354006709</v>
      </c>
      <c r="BM465" s="77">
        <f t="shared" si="517"/>
        <v>-2.1013263540067091</v>
      </c>
      <c r="BN465" s="77">
        <f t="shared" si="518"/>
        <v>-2</v>
      </c>
      <c r="BO465" s="2" t="str">
        <f t="shared" si="489"/>
        <v/>
      </c>
      <c r="BP465" s="2">
        <f t="shared" si="490"/>
        <v>-4.541326354006709</v>
      </c>
      <c r="BQ465" s="67">
        <f t="shared" si="519"/>
        <v>3</v>
      </c>
      <c r="BS465" s="75">
        <f t="shared" si="520"/>
        <v>5.6158971302551208E-2</v>
      </c>
      <c r="BT465" s="75">
        <f t="shared" si="521"/>
        <v>1</v>
      </c>
      <c r="BU465" s="5">
        <f>IF(G471&gt;=36, IF(AND(NOT(ISBLANK(CM:CM)), NOT(ISBLANK(BD:BD))), (CM:CM-BD:BD)/2, ""), "UF")</f>
        <v>5.6158971302551652E-2</v>
      </c>
      <c r="BV465" s="5">
        <f t="shared" si="491"/>
        <v>-5.2221225166315257</v>
      </c>
      <c r="BW465" s="69">
        <f t="shared" si="492"/>
        <v>1</v>
      </c>
      <c r="BX465" s="2" t="s">
        <v>12</v>
      </c>
      <c r="BZ465" s="74">
        <f t="shared" si="522"/>
        <v>4.1117220717025083</v>
      </c>
      <c r="CA465" s="74">
        <f t="shared" si="523"/>
        <v>2</v>
      </c>
      <c r="CB465" s="5">
        <f t="shared" si="493"/>
        <v>-3.9419366891349034E-2</v>
      </c>
      <c r="CC465" s="5">
        <f t="shared" si="494"/>
        <v>-0.42960428230420067</v>
      </c>
      <c r="CD465" s="2">
        <f t="shared" si="495"/>
        <v>-3.9419366891349061E-2</v>
      </c>
      <c r="CE465" s="69">
        <f t="shared" si="496"/>
        <v>7</v>
      </c>
      <c r="CF465" s="5" t="s">
        <v>12</v>
      </c>
      <c r="CH465" s="72">
        <f t="shared" si="524"/>
        <v>0.78207546036508058</v>
      </c>
      <c r="CI465" s="72">
        <f t="shared" si="525"/>
        <v>2</v>
      </c>
      <c r="CJ465" s="5">
        <f t="shared" si="497"/>
        <v>0.78207546036508058</v>
      </c>
      <c r="CK465" s="5">
        <f t="shared" si="498"/>
        <v>-3.7592508936416285</v>
      </c>
      <c r="CL465" s="69">
        <f t="shared" si="499"/>
        <v>3</v>
      </c>
      <c r="CM465" s="5">
        <v>-5.1659635453289736</v>
      </c>
      <c r="CN465" s="70">
        <f t="shared" si="500"/>
        <v>5.6158971302552096E-2</v>
      </c>
      <c r="CO465" s="5">
        <f t="shared" si="501"/>
        <v>5.6158971302552096E-2</v>
      </c>
      <c r="CP465" s="5">
        <f>IF(G465&lt;48,"UF", IF(NOT(ISBLANK(CM:CM)), CM:CM, IF(BW:BW=1, BV:BV+Sheet2!B29, IF(Sheet1!BW:BW=2, Sheet1!BV:BV+Sheet2!B30, IF(Sheet1!BW:BW=7, Sheet1!BV:BV+Sheet2!B31,"")))))</f>
        <v>-5.1659635453289736</v>
      </c>
      <c r="CQ465" s="69">
        <f t="shared" si="526"/>
        <v>1</v>
      </c>
      <c r="CR465" s="5">
        <v>99</v>
      </c>
      <c r="CS465" s="5">
        <v>-0.46902364919554967</v>
      </c>
      <c r="CT465" s="5">
        <f t="shared" si="502"/>
        <v>-3.9419366891349006E-2</v>
      </c>
      <c r="CU465" s="80">
        <f t="shared" si="503"/>
        <v>-3.9419366891349006E-2</v>
      </c>
      <c r="CV465" s="80">
        <f t="shared" si="504"/>
        <v>-1</v>
      </c>
      <c r="CW465" s="20">
        <f>IF(G465&lt;48,"UF", IF(NOT(ISBLANK(CS465)), CS465, IF(CE465=5, CC465+Sheet2!B18, IF(CE465=6, CC465+Sheet2!B19, IF(CE465=7, CC465+Sheet2!B20,"")))))</f>
        <v>-0.46902364919554967</v>
      </c>
      <c r="CX465" s="68">
        <f t="shared" si="527"/>
        <v>7</v>
      </c>
      <c r="CY465" s="5">
        <v>11500</v>
      </c>
      <c r="CZ465" s="5">
        <v>-2.9771754332765479</v>
      </c>
      <c r="DA465" s="5">
        <f t="shared" si="505"/>
        <v>0.78207546036508058</v>
      </c>
      <c r="DB465" s="73">
        <f t="shared" si="506"/>
        <v>0.78207546036508058</v>
      </c>
      <c r="DC465" s="73">
        <f t="shared" si="507"/>
        <v>2</v>
      </c>
      <c r="DD465" s="5">
        <f>IF(G465&lt;48,"UF", IF(NOT(ISBLANK(CZ:CZ)), CZ:CZ, IF(CL:CL=3, CK:CK+Sheet2!B23, IF(CL:CL=4, CK:CK+Sheet2!B24, IF(CL:CL=7, CK:CK+Sheet2!B25,"")))))</f>
        <v>-2.9771754332765479</v>
      </c>
      <c r="DE465" s="69">
        <f t="shared" si="463"/>
        <v>4</v>
      </c>
      <c r="DF465" s="2">
        <v>2</v>
      </c>
      <c r="DG465" s="2">
        <v>33</v>
      </c>
      <c r="DH465" s="2">
        <v>1</v>
      </c>
      <c r="DI465" s="2">
        <v>2</v>
      </c>
      <c r="DJ465" s="2">
        <v>2</v>
      </c>
      <c r="DK465" s="2">
        <v>90</v>
      </c>
      <c r="DL465" s="2">
        <v>60</v>
      </c>
      <c r="DM465" s="2">
        <v>100</v>
      </c>
      <c r="DN465" s="2">
        <v>60</v>
      </c>
      <c r="DO465" s="2">
        <v>110</v>
      </c>
      <c r="DP465" s="2">
        <v>70</v>
      </c>
      <c r="DQ465" s="2">
        <v>1</v>
      </c>
      <c r="DR465" s="2">
        <v>39</v>
      </c>
      <c r="DS465" s="2">
        <v>2</v>
      </c>
      <c r="DT465" s="2">
        <v>84</v>
      </c>
      <c r="DU465" s="2" t="s">
        <v>12</v>
      </c>
      <c r="DV465" s="2">
        <v>2</v>
      </c>
      <c r="DW465" s="2">
        <v>2</v>
      </c>
      <c r="DX465" s="2">
        <v>2</v>
      </c>
      <c r="DY465" s="2">
        <v>2</v>
      </c>
      <c r="DZ465" s="2">
        <v>33</v>
      </c>
      <c r="EA465" s="2">
        <v>35</v>
      </c>
      <c r="EB465" s="2">
        <v>45</v>
      </c>
      <c r="EC465" s="2">
        <v>1</v>
      </c>
      <c r="ED465" s="2">
        <v>1</v>
      </c>
    </row>
    <row r="466" spans="2:134" x14ac:dyDescent="0.25">
      <c r="C466" s="8" t="s">
        <v>350</v>
      </c>
      <c r="D466" s="2">
        <v>6560213234</v>
      </c>
      <c r="E466" s="5">
        <v>7</v>
      </c>
      <c r="F466" s="2">
        <v>1</v>
      </c>
      <c r="G466" s="2">
        <v>52</v>
      </c>
      <c r="H466" s="2">
        <v>9.6634039386135184E-2</v>
      </c>
      <c r="I466" s="2">
        <v>51</v>
      </c>
      <c r="J466" s="2">
        <v>0.99441714029262385</v>
      </c>
      <c r="K466" s="2">
        <v>3500</v>
      </c>
      <c r="L466" s="2">
        <v>0.57031252552855893</v>
      </c>
      <c r="M466" s="2">
        <v>0.57969999999999999</v>
      </c>
      <c r="N466" s="2">
        <f t="shared" si="467"/>
        <v>0.19988298030693241</v>
      </c>
      <c r="O466" s="2">
        <f t="shared" si="468"/>
        <v>0.57969999999999999</v>
      </c>
      <c r="P466" s="2">
        <v>67</v>
      </c>
      <c r="Q466" s="2">
        <v>0.55000000000000004</v>
      </c>
      <c r="R466" s="5">
        <f t="shared" si="469"/>
        <v>0.2777914298536881</v>
      </c>
      <c r="S466" s="5">
        <f t="shared" si="470"/>
        <v>0.55000000000000004</v>
      </c>
      <c r="T466" s="2">
        <v>8000</v>
      </c>
      <c r="U466" s="2">
        <v>0.75</v>
      </c>
      <c r="V466" s="2">
        <f t="shared" si="471"/>
        <v>0.31984373723572052</v>
      </c>
      <c r="W466" s="2">
        <f t="shared" si="472"/>
        <v>0.75</v>
      </c>
      <c r="X466" s="2">
        <v>0.49640000000000001</v>
      </c>
      <c r="Y466" s="76">
        <f t="shared" si="508"/>
        <v>0.39976596061386482</v>
      </c>
      <c r="Z466" s="76">
        <f t="shared" si="509"/>
        <v>1</v>
      </c>
      <c r="AA466" s="2">
        <f t="shared" si="473"/>
        <v>1.1907000000000001</v>
      </c>
      <c r="AB466" s="2">
        <f t="shared" si="474"/>
        <v>0.49640000000000001</v>
      </c>
      <c r="AC466" s="2">
        <v>78</v>
      </c>
      <c r="AD466" s="2">
        <v>1.55</v>
      </c>
      <c r="AE466" s="79">
        <f t="shared" si="510"/>
        <v>0.5555828597073762</v>
      </c>
      <c r="AF466" s="79">
        <f t="shared" si="511"/>
        <v>1</v>
      </c>
      <c r="AG466" s="2">
        <f t="shared" si="461"/>
        <v>-0.14000000000000001</v>
      </c>
      <c r="AH466" s="2">
        <f t="shared" si="475"/>
        <v>1.55</v>
      </c>
      <c r="AI466" s="2">
        <v>10400</v>
      </c>
      <c r="AJ466" s="2">
        <v>1.21</v>
      </c>
      <c r="AK466" s="76">
        <f t="shared" si="512"/>
        <v>0.63968747447144103</v>
      </c>
      <c r="AL466" s="76">
        <f t="shared" si="513"/>
        <v>1</v>
      </c>
      <c r="AM466" s="2">
        <f t="shared" si="476"/>
        <v>0.7649999999999999</v>
      </c>
      <c r="AN466" s="2">
        <f t="shared" si="477"/>
        <v>1.21</v>
      </c>
      <c r="AO466" s="2">
        <v>2.9314</v>
      </c>
      <c r="AP466" s="2">
        <f t="shared" si="478"/>
        <v>-0.44631271376573667</v>
      </c>
      <c r="AQ466" s="2">
        <f t="shared" si="479"/>
        <v>2.9314</v>
      </c>
      <c r="AR466" s="2">
        <v>81.5</v>
      </c>
      <c r="AS466" s="2">
        <v>0.27</v>
      </c>
      <c r="AT466" s="2">
        <f t="shared" si="480"/>
        <v>-0.54523406100756888</v>
      </c>
      <c r="AU466" s="2">
        <f t="shared" si="481"/>
        <v>0.27</v>
      </c>
      <c r="AV466" s="2">
        <v>13700</v>
      </c>
      <c r="AW466" s="2">
        <v>2.2799999999999998</v>
      </c>
      <c r="AX466" s="2">
        <f t="shared" si="482"/>
        <v>-0.65696489070164366</v>
      </c>
      <c r="AY466" s="2">
        <f t="shared" si="483"/>
        <v>2.2799999999999998</v>
      </c>
      <c r="AZ466" s="2">
        <v>-0.39622542753147327</v>
      </c>
      <c r="BA466" s="78">
        <f t="shared" si="514"/>
        <v>-0.89262542753147334</v>
      </c>
      <c r="BB466" s="78">
        <f t="shared" si="515"/>
        <v>-2</v>
      </c>
      <c r="BC466" s="2">
        <f t="shared" si="484"/>
        <v>-0.82976988937256202</v>
      </c>
      <c r="BD466" s="2">
        <f t="shared" si="485"/>
        <v>-0.39622542753147327</v>
      </c>
      <c r="BE466" s="67">
        <f t="shared" si="516"/>
        <v>7</v>
      </c>
      <c r="BF466" s="2">
        <v>87</v>
      </c>
      <c r="BG466" s="2">
        <v>0.45953187798486228</v>
      </c>
      <c r="BH466" s="2">
        <f t="shared" si="486"/>
        <v>5.9796194966493299E-2</v>
      </c>
      <c r="BI466" s="2">
        <f t="shared" si="487"/>
        <v>0.45953187798486228</v>
      </c>
      <c r="BJ466" s="67">
        <f t="shared" si="488"/>
        <v>7</v>
      </c>
      <c r="BK466" s="2">
        <v>12000</v>
      </c>
      <c r="BL466" s="2">
        <v>-0.10392978140328731</v>
      </c>
      <c r="BM466" s="77">
        <f t="shared" si="517"/>
        <v>-1.3139297814032873</v>
      </c>
      <c r="BN466" s="77">
        <f t="shared" si="518"/>
        <v>-2</v>
      </c>
      <c r="BO466" s="2">
        <f t="shared" si="489"/>
        <v>-0.56324425414118773</v>
      </c>
      <c r="BP466" s="2">
        <f t="shared" si="490"/>
        <v>-0.10392978140328731</v>
      </c>
      <c r="BQ466" s="67">
        <f t="shared" si="519"/>
        <v>7</v>
      </c>
      <c r="BR466" s="5">
        <v>0.44209033188231373</v>
      </c>
      <c r="BS466" s="75">
        <f t="shared" si="520"/>
        <v>0.838315759413787</v>
      </c>
      <c r="BT466" s="75">
        <f t="shared" si="521"/>
        <v>2</v>
      </c>
      <c r="BU466" s="5" t="str">
        <f>IF(G474&gt;=36, IF(AND(NOT(ISBLANK(CM:CM)), NOT(ISBLANK(BD:BD))), (CM:CM-BD:BD)/2, ""), "UF")</f>
        <v>UF</v>
      </c>
      <c r="BV466" s="5">
        <f t="shared" si="491"/>
        <v>0.44209033188231373</v>
      </c>
      <c r="BW466" s="69">
        <f t="shared" si="492"/>
        <v>7</v>
      </c>
      <c r="BX466" s="2">
        <v>96</v>
      </c>
      <c r="BY466" s="5">
        <v>0.44938858489947991</v>
      </c>
      <c r="BZ466" s="74">
        <f t="shared" si="522"/>
        <v>0.55331836630276721</v>
      </c>
      <c r="CA466" s="74">
        <f t="shared" si="523"/>
        <v>1</v>
      </c>
      <c r="CB466" s="5">
        <f t="shared" si="493"/>
        <v>0.10575506820182701</v>
      </c>
      <c r="CC466" s="5">
        <f t="shared" si="494"/>
        <v>0.44938858489947991</v>
      </c>
      <c r="CD466" s="2">
        <f t="shared" si="495"/>
        <v>-1.0143293085382366E-2</v>
      </c>
      <c r="CE466" s="69">
        <f t="shared" si="496"/>
        <v>7</v>
      </c>
      <c r="CF466" s="5">
        <v>15000</v>
      </c>
      <c r="CG466" s="5">
        <v>0.59026723757643662</v>
      </c>
      <c r="CH466" s="72">
        <f t="shared" si="524"/>
        <v>0.69419701897972397</v>
      </c>
      <c r="CI466" s="72">
        <f t="shared" si="525"/>
        <v>2</v>
      </c>
      <c r="CJ466" s="5">
        <f t="shared" si="497"/>
        <v>0.30079792097748026</v>
      </c>
      <c r="CK466" s="5">
        <f t="shared" si="498"/>
        <v>0.59026723757643662</v>
      </c>
      <c r="CL466" s="69">
        <f t="shared" si="499"/>
        <v>7</v>
      </c>
      <c r="CM466" s="5">
        <v>0.32957420356995171</v>
      </c>
      <c r="CN466" s="70">
        <f t="shared" si="500"/>
        <v>-0.11251612831236202</v>
      </c>
      <c r="CO466" s="5">
        <f t="shared" si="501"/>
        <v>-0.11251612831236202</v>
      </c>
      <c r="CP466" s="5">
        <f>IF(G466&lt;48,"UF", IF(NOT(ISBLANK(CM:CM)), CM:CM, IF(BW:BW=1, BV:BV+Sheet2!B583, IF(Sheet1!BW:BW=2, Sheet1!BV:BV+Sheet2!B584, IF(Sheet1!BW:BW=7, Sheet1!BV:BV+Sheet2!B585,"")))))</f>
        <v>0.32957420356995171</v>
      </c>
      <c r="CQ466" s="69">
        <f t="shared" si="526"/>
        <v>7</v>
      </c>
      <c r="CR466" s="5">
        <v>104</v>
      </c>
      <c r="CS466" s="5">
        <v>0.67104201438851629</v>
      </c>
      <c r="CT466" s="5">
        <f t="shared" si="502"/>
        <v>0.22165342948903638</v>
      </c>
      <c r="CU466" s="80">
        <f t="shared" si="503"/>
        <v>0.22165342948903638</v>
      </c>
      <c r="CV466" s="80">
        <f t="shared" si="504"/>
        <v>1</v>
      </c>
      <c r="CW466" s="20">
        <f>IF(G466&lt;48,"UF", IF(NOT(ISBLANK(CS466)), CS466, IF(CE466=5, CC466+Sheet2!B572, IF(CE466=6, CC466+Sheet2!B573, IF(CE466=7, CC466+Sheet2!B574,"")))))</f>
        <v>0.67104201438851629</v>
      </c>
      <c r="CX466" s="68">
        <f t="shared" si="527"/>
        <v>7</v>
      </c>
      <c r="CY466" s="5">
        <v>17000</v>
      </c>
      <c r="CZ466" s="5">
        <v>0.49766606055167317</v>
      </c>
      <c r="DA466" s="5">
        <f t="shared" si="505"/>
        <v>-9.2601177024763448E-2</v>
      </c>
      <c r="DB466" s="73">
        <f t="shared" si="506"/>
        <v>-9.2601177024763448E-2</v>
      </c>
      <c r="DC466" s="73">
        <f t="shared" si="507"/>
        <v>-1</v>
      </c>
      <c r="DD466" s="5">
        <f>IF(G466&lt;48,"UF", IF(NOT(ISBLANK(CZ:CZ)), CZ:CZ, IF(CL:CL=3, CK:CK+Sheet2!B577, IF(CL:CL=4, CK:CK+Sheet2!B578, IF(CL:CL=7, CK:CK+Sheet2!B579,"")))))</f>
        <v>0.49766606055167317</v>
      </c>
      <c r="DE466" s="69">
        <f t="shared" si="463"/>
        <v>7</v>
      </c>
      <c r="DF466" s="2">
        <v>2</v>
      </c>
      <c r="DG466" s="2">
        <v>37</v>
      </c>
      <c r="DH466" s="2">
        <v>2</v>
      </c>
      <c r="DI466" s="2">
        <v>2</v>
      </c>
      <c r="DJ466" s="2">
        <v>2</v>
      </c>
      <c r="DK466" s="2">
        <v>113</v>
      </c>
      <c r="DL466" s="2">
        <v>60</v>
      </c>
      <c r="DM466" s="2">
        <v>112</v>
      </c>
      <c r="DN466" s="2">
        <v>60</v>
      </c>
      <c r="DO466" s="2">
        <v>110</v>
      </c>
      <c r="DP466" s="2">
        <v>70</v>
      </c>
      <c r="DQ466" s="2">
        <v>1</v>
      </c>
      <c r="DR466" s="2">
        <v>40</v>
      </c>
      <c r="DS466" s="2">
        <v>2</v>
      </c>
      <c r="DT466" s="2">
        <v>80</v>
      </c>
      <c r="DU466" s="2">
        <v>70</v>
      </c>
      <c r="DV466" s="2">
        <v>2</v>
      </c>
      <c r="DW466" s="2">
        <v>2</v>
      </c>
      <c r="DX466" s="2">
        <v>2</v>
      </c>
      <c r="DY466" s="2">
        <v>2</v>
      </c>
      <c r="DZ466" s="2">
        <v>35</v>
      </c>
      <c r="EA466" s="2" t="s">
        <v>12</v>
      </c>
      <c r="EB466" s="2">
        <v>45.5</v>
      </c>
      <c r="EC466" s="2" t="s">
        <v>12</v>
      </c>
      <c r="ED466" s="2">
        <v>1</v>
      </c>
    </row>
    <row r="467" spans="2:134" x14ac:dyDescent="0.25">
      <c r="D467" s="2">
        <v>6560213455</v>
      </c>
      <c r="E467" s="5">
        <v>7</v>
      </c>
      <c r="F467" s="2">
        <v>2</v>
      </c>
      <c r="G467" s="2">
        <v>51</v>
      </c>
      <c r="H467" s="2">
        <v>1.923417583385195</v>
      </c>
      <c r="I467" s="2">
        <v>50</v>
      </c>
      <c r="J467" s="2">
        <v>6.1168777667580831E-2</v>
      </c>
      <c r="K467" s="2">
        <v>4050</v>
      </c>
      <c r="L467" s="2">
        <v>1.351350549888245</v>
      </c>
      <c r="M467" s="2">
        <v>-0.60909999999999997</v>
      </c>
      <c r="N467" s="2">
        <f t="shared" si="467"/>
        <v>-0.67825879169259751</v>
      </c>
      <c r="O467" s="2">
        <f t="shared" si="468"/>
        <v>-0.60909999999999997</v>
      </c>
      <c r="P467" s="2">
        <v>70.5</v>
      </c>
      <c r="Q467" s="2">
        <v>1.33</v>
      </c>
      <c r="R467" s="5">
        <f t="shared" si="469"/>
        <v>0.44441561116620953</v>
      </c>
      <c r="S467" s="5">
        <f t="shared" si="470"/>
        <v>1.33</v>
      </c>
      <c r="T467" s="2">
        <v>8200</v>
      </c>
      <c r="U467" s="2">
        <v>0.3</v>
      </c>
      <c r="V467" s="2">
        <f t="shared" si="471"/>
        <v>-0.20067527494412252</v>
      </c>
      <c r="W467" s="2">
        <f t="shared" si="472"/>
        <v>0.3</v>
      </c>
      <c r="X467" s="2">
        <v>0.56689999999999996</v>
      </c>
      <c r="Y467" s="76">
        <f t="shared" si="508"/>
        <v>-1.356517583385195</v>
      </c>
      <c r="Z467" s="76">
        <f t="shared" si="509"/>
        <v>-2</v>
      </c>
      <c r="AA467" s="2">
        <f t="shared" si="473"/>
        <v>-0.33705000000000002</v>
      </c>
      <c r="AB467" s="2">
        <f t="shared" si="474"/>
        <v>0.56689999999999996</v>
      </c>
      <c r="AC467" s="2">
        <v>78</v>
      </c>
      <c r="AD467" s="2">
        <v>0.95</v>
      </c>
      <c r="AE467" s="79">
        <f t="shared" si="510"/>
        <v>0.88883122233241907</v>
      </c>
      <c r="AF467" s="79">
        <f t="shared" si="511"/>
        <v>2</v>
      </c>
      <c r="AG467" s="2">
        <f t="shared" si="461"/>
        <v>-0.34500000000000003</v>
      </c>
      <c r="AH467" s="2">
        <f t="shared" si="475"/>
        <v>0.95</v>
      </c>
      <c r="AI467" s="2">
        <v>10700</v>
      </c>
      <c r="AJ467" s="2">
        <v>0.95</v>
      </c>
      <c r="AK467" s="76">
        <f t="shared" si="512"/>
        <v>-0.40135054988824503</v>
      </c>
      <c r="AL467" s="76">
        <f t="shared" si="513"/>
        <v>-1</v>
      </c>
      <c r="AM467" s="2">
        <f t="shared" si="476"/>
        <v>0.26500000000000001</v>
      </c>
      <c r="AN467" s="2">
        <f t="shared" si="477"/>
        <v>0.95</v>
      </c>
      <c r="AO467" s="2">
        <v>0.65590000000000004</v>
      </c>
      <c r="AP467" s="2" t="str">
        <f t="shared" si="478"/>
        <v/>
      </c>
      <c r="AQ467" s="2">
        <f t="shared" si="479"/>
        <v>0.65590000000000004</v>
      </c>
      <c r="AR467" s="2">
        <v>84</v>
      </c>
      <c r="AS467" s="2">
        <v>0.64</v>
      </c>
      <c r="AT467" s="2" t="str">
        <f t="shared" si="480"/>
        <v/>
      </c>
      <c r="AU467" s="2">
        <f t="shared" si="481"/>
        <v>0.64</v>
      </c>
      <c r="AV467" s="2">
        <v>12000</v>
      </c>
      <c r="AW467" s="2">
        <v>0.83</v>
      </c>
      <c r="AX467" s="2" t="str">
        <f t="shared" si="482"/>
        <v/>
      </c>
      <c r="AY467" s="2">
        <f t="shared" si="483"/>
        <v>0.83</v>
      </c>
      <c r="BA467" s="78">
        <f t="shared" si="514"/>
        <v>-0.76290743277619799</v>
      </c>
      <c r="BB467" s="78">
        <f t="shared" si="515"/>
        <v>-2</v>
      </c>
      <c r="BC467" s="2">
        <f t="shared" si="484"/>
        <v>-0.85190743277619807</v>
      </c>
      <c r="BD467" s="2">
        <f t="shared" si="485"/>
        <v>-0.19600743277619803</v>
      </c>
      <c r="BE467" s="67">
        <f t="shared" si="516"/>
        <v>7</v>
      </c>
      <c r="BF467" s="2" t="s">
        <v>12</v>
      </c>
      <c r="BH467" s="2">
        <f t="shared" si="486"/>
        <v>-0.1509639216337606</v>
      </c>
      <c r="BI467" s="2">
        <f t="shared" si="487"/>
        <v>0.48903607836623941</v>
      </c>
      <c r="BJ467" s="67">
        <f t="shared" si="488"/>
        <v>7</v>
      </c>
      <c r="BK467" s="2" t="s">
        <v>12</v>
      </c>
      <c r="BM467" s="77">
        <f t="shared" si="517"/>
        <v>-0.71188003424750557</v>
      </c>
      <c r="BN467" s="77">
        <f t="shared" si="518"/>
        <v>-2</v>
      </c>
      <c r="BO467" s="2">
        <f t="shared" si="489"/>
        <v>-0.59188003424750557</v>
      </c>
      <c r="BP467" s="2">
        <f t="shared" si="490"/>
        <v>0.23811996575249439</v>
      </c>
      <c r="BQ467" s="67">
        <f t="shared" si="519"/>
        <v>7</v>
      </c>
      <c r="BR467" s="5">
        <v>-1.899822298328594</v>
      </c>
      <c r="BS467" s="75">
        <f t="shared" si="520"/>
        <v>-1.7038148655523959</v>
      </c>
      <c r="BT467" s="75">
        <f t="shared" si="521"/>
        <v>-2</v>
      </c>
      <c r="BU467" s="5" t="str">
        <f>IF(G475&gt;=36, IF(AND(NOT(ISBLANK(CM:CM)), NOT(ISBLANK(BD:BD))), (CM:CM-BD:BD)/2, ""), "UF")</f>
        <v>UF</v>
      </c>
      <c r="BV467" s="5">
        <f t="shared" si="491"/>
        <v>-1.899822298328594</v>
      </c>
      <c r="BW467" s="69">
        <f t="shared" si="492"/>
        <v>7</v>
      </c>
      <c r="BX467" s="2">
        <v>96</v>
      </c>
      <c r="BY467" s="5">
        <v>0.18710823509871821</v>
      </c>
      <c r="BZ467" s="74">
        <f t="shared" si="522"/>
        <v>-5.1011730653776177E-2</v>
      </c>
      <c r="CA467" s="74">
        <f t="shared" si="523"/>
        <v>-1</v>
      </c>
      <c r="CB467" s="5">
        <f t="shared" si="493"/>
        <v>4.8572595008328501E-2</v>
      </c>
      <c r="CC467" s="5">
        <f t="shared" si="494"/>
        <v>0.18710823509871821</v>
      </c>
      <c r="CD467" s="2">
        <f t="shared" si="495"/>
        <v>-0.3019278432675212</v>
      </c>
      <c r="CE467" s="69">
        <f t="shared" si="496"/>
        <v>7</v>
      </c>
      <c r="CF467" s="5">
        <v>13000</v>
      </c>
      <c r="CG467" s="5">
        <v>-0.94564010274251686</v>
      </c>
      <c r="CH467" s="72">
        <f t="shared" si="524"/>
        <v>-1.1837600684950114</v>
      </c>
      <c r="CI467" s="72">
        <f t="shared" si="525"/>
        <v>-2</v>
      </c>
      <c r="CJ467" s="5">
        <f t="shared" si="497"/>
        <v>-0.2015134378954028</v>
      </c>
      <c r="CK467" s="5">
        <f t="shared" si="498"/>
        <v>-0.94564010274251686</v>
      </c>
      <c r="CL467" s="69">
        <f t="shared" si="499"/>
        <v>7</v>
      </c>
      <c r="CM467" s="5">
        <v>-1.098583012335506</v>
      </c>
      <c r="CN467" s="70">
        <f t="shared" si="500"/>
        <v>0.80123928599308791</v>
      </c>
      <c r="CO467" s="5">
        <f t="shared" si="501"/>
        <v>0.80123928599308791</v>
      </c>
      <c r="CP467" s="5">
        <f>IF(G467&lt;48,"UF", IF(NOT(ISBLANK(CM:CM)), CM:CM, IF(BW:BW=1, BV:BV+Sheet2!B585, IF(Sheet1!BW:BW=2, Sheet1!BV:BV+Sheet2!B586, IF(Sheet1!BW:BW=7, Sheet1!BV:BV+Sheet2!B587,"")))))</f>
        <v>-1.098583012335506</v>
      </c>
      <c r="CQ467" s="69">
        <f t="shared" si="526"/>
        <v>7</v>
      </c>
      <c r="CR467" s="5">
        <v>105</v>
      </c>
      <c r="CS467" s="5">
        <v>0.58618126838289641</v>
      </c>
      <c r="CT467" s="5">
        <f t="shared" si="502"/>
        <v>0.3990730332841782</v>
      </c>
      <c r="CU467" s="80">
        <f t="shared" si="503"/>
        <v>0.3990730332841782</v>
      </c>
      <c r="CV467" s="80">
        <f t="shared" si="504"/>
        <v>1</v>
      </c>
      <c r="CW467" s="20">
        <f>IF(G467&lt;48,"UF", IF(NOT(ISBLANK(CS467)), CS467, IF(CE467=5, CC467+Sheet2!B574, IF(CE467=6, CC467+Sheet2!B575, IF(CE467=7, CC467+Sheet2!B576,"")))))</f>
        <v>0.58618126838289641</v>
      </c>
      <c r="CX467" s="68">
        <f t="shared" si="527"/>
        <v>7</v>
      </c>
      <c r="CY467" s="5">
        <v>16000</v>
      </c>
      <c r="CZ467" s="5">
        <v>-0.16490691003831121</v>
      </c>
      <c r="DA467" s="5">
        <f t="shared" si="505"/>
        <v>0.7807331927042056</v>
      </c>
      <c r="DB467" s="73">
        <f t="shared" si="506"/>
        <v>0.7807331927042056</v>
      </c>
      <c r="DC467" s="73">
        <f t="shared" si="507"/>
        <v>2</v>
      </c>
      <c r="DD467" s="5">
        <f>IF(G467&lt;48,"UF", IF(NOT(ISBLANK(CZ:CZ)), CZ:CZ, IF(CL:CL=3, CK:CK+Sheet2!B579, IF(CL:CL=4, CK:CK+Sheet2!B580, IF(CL:CL=7, CK:CK+Sheet2!B581,"")))))</f>
        <v>-0.16490691003831121</v>
      </c>
      <c r="DE467" s="69">
        <f t="shared" si="463"/>
        <v>7</v>
      </c>
      <c r="DF467" s="2">
        <v>2</v>
      </c>
      <c r="DG467" s="2">
        <v>35</v>
      </c>
      <c r="DH467" s="2">
        <v>1</v>
      </c>
      <c r="DI467" s="2">
        <v>2</v>
      </c>
      <c r="DJ467" s="2">
        <v>2</v>
      </c>
      <c r="DK467" s="2">
        <v>117</v>
      </c>
      <c r="DL467" s="2">
        <v>64</v>
      </c>
      <c r="DM467" s="2">
        <v>100</v>
      </c>
      <c r="DN467" s="2">
        <v>60</v>
      </c>
      <c r="DO467" s="2">
        <v>110</v>
      </c>
      <c r="DP467" s="2">
        <v>70</v>
      </c>
      <c r="DQ467" s="2">
        <v>2</v>
      </c>
      <c r="DR467" s="2">
        <v>38</v>
      </c>
      <c r="DS467" s="2">
        <v>2</v>
      </c>
      <c r="DT467" s="2">
        <v>85</v>
      </c>
      <c r="DU467" s="2">
        <v>87</v>
      </c>
      <c r="DV467" s="2">
        <v>2</v>
      </c>
      <c r="DW467" s="2">
        <v>2</v>
      </c>
      <c r="DX467" s="2">
        <v>2</v>
      </c>
      <c r="DY467" s="2">
        <v>2</v>
      </c>
      <c r="DZ467" s="2">
        <v>34</v>
      </c>
      <c r="EA467" s="2" t="s">
        <v>12</v>
      </c>
      <c r="EB467" s="2">
        <v>46</v>
      </c>
      <c r="EC467" s="2" t="s">
        <v>12</v>
      </c>
      <c r="ED467" s="2">
        <v>1</v>
      </c>
    </row>
    <row r="468" spans="2:134" x14ac:dyDescent="0.25">
      <c r="C468" s="8" t="s">
        <v>107</v>
      </c>
      <c r="D468" s="8">
        <v>6560213560</v>
      </c>
      <c r="E468" s="3">
        <v>7</v>
      </c>
      <c r="F468" s="2">
        <v>1</v>
      </c>
      <c r="G468" s="2">
        <v>51</v>
      </c>
      <c r="H468" s="2">
        <v>-1.140049087283403</v>
      </c>
      <c r="I468" s="2">
        <v>54</v>
      </c>
      <c r="J468" s="2">
        <v>2.604984249137289</v>
      </c>
      <c r="K468" s="5">
        <v>3500</v>
      </c>
      <c r="L468" s="2">
        <v>0.57031252552855893</v>
      </c>
      <c r="M468" s="2">
        <v>-1.4139999999999999</v>
      </c>
      <c r="N468" s="2">
        <f t="shared" si="467"/>
        <v>0.24832454364170153</v>
      </c>
      <c r="O468" s="2">
        <f t="shared" si="468"/>
        <v>-1.4139999999999999</v>
      </c>
      <c r="P468" s="2">
        <v>70</v>
      </c>
      <c r="Q468" s="2">
        <v>1.87</v>
      </c>
      <c r="R468" s="5">
        <f t="shared" si="469"/>
        <v>-1.1074921245686444</v>
      </c>
      <c r="S468" s="5">
        <f t="shared" si="470"/>
        <v>1.87</v>
      </c>
      <c r="T468" s="1">
        <v>7300</v>
      </c>
      <c r="U468" s="2">
        <v>0</v>
      </c>
      <c r="V468" s="2">
        <f t="shared" si="471"/>
        <v>-0.40015626276427946</v>
      </c>
      <c r="W468" s="2">
        <f t="shared" si="472"/>
        <v>0</v>
      </c>
      <c r="X468" s="2">
        <v>-0.64339999999999997</v>
      </c>
      <c r="Y468" s="76">
        <f t="shared" si="508"/>
        <v>0.49664908728340307</v>
      </c>
      <c r="Z468" s="76">
        <f t="shared" si="509"/>
        <v>1</v>
      </c>
      <c r="AA468" s="2">
        <f t="shared" si="473"/>
        <v>-1.4537</v>
      </c>
      <c r="AB468" s="2">
        <f t="shared" si="474"/>
        <v>-0.64339999999999997</v>
      </c>
      <c r="AC468" s="2">
        <v>75</v>
      </c>
      <c r="AD468" s="2">
        <v>0.39</v>
      </c>
      <c r="AE468" s="79">
        <f t="shared" si="510"/>
        <v>-2.2149842491372889</v>
      </c>
      <c r="AF468" s="79">
        <f t="shared" si="511"/>
        <v>-2</v>
      </c>
      <c r="AG468" s="2">
        <f t="shared" si="461"/>
        <v>-0.88500000000000001</v>
      </c>
      <c r="AH468" s="2">
        <f t="shared" si="475"/>
        <v>0.39</v>
      </c>
      <c r="AI468" s="2">
        <v>8700</v>
      </c>
      <c r="AJ468" s="2">
        <v>-0.23</v>
      </c>
      <c r="AK468" s="76">
        <f t="shared" si="512"/>
        <v>-0.80031252552855892</v>
      </c>
      <c r="AL468" s="76">
        <f t="shared" si="513"/>
        <v>-2</v>
      </c>
      <c r="AM468" s="2">
        <f t="shared" si="476"/>
        <v>-0.32500000000000001</v>
      </c>
      <c r="AN468" s="2">
        <f t="shared" si="477"/>
        <v>-0.23</v>
      </c>
      <c r="AO468" s="2">
        <v>-1.0374000000000001</v>
      </c>
      <c r="AP468" s="2">
        <f t="shared" si="478"/>
        <v>-0.96478352109308207</v>
      </c>
      <c r="AQ468" s="2">
        <f t="shared" si="479"/>
        <v>-1.0374000000000001</v>
      </c>
      <c r="AR468" s="2">
        <v>81</v>
      </c>
      <c r="AS468" s="2">
        <v>0.1</v>
      </c>
      <c r="AT468" s="2">
        <f t="shared" si="480"/>
        <v>-0.39009245770642581</v>
      </c>
      <c r="AU468" s="2">
        <f t="shared" si="481"/>
        <v>0.1</v>
      </c>
      <c r="AV468" s="2">
        <v>9500</v>
      </c>
      <c r="AW468" s="2">
        <v>-0.65</v>
      </c>
      <c r="AX468" s="2">
        <f t="shared" si="482"/>
        <v>-1.1321961315523634</v>
      </c>
      <c r="AY468" s="2">
        <f t="shared" si="483"/>
        <v>-0.65</v>
      </c>
      <c r="AZ468" s="2">
        <v>-2.5729670421861641</v>
      </c>
      <c r="BA468" s="78">
        <f t="shared" si="514"/>
        <v>-1.9295670421861641</v>
      </c>
      <c r="BB468" s="78">
        <f t="shared" si="515"/>
        <v>-2</v>
      </c>
      <c r="BC468" s="2">
        <f t="shared" si="484"/>
        <v>2.9606432085574636E-2</v>
      </c>
      <c r="BD468" s="2">
        <f t="shared" si="485"/>
        <v>-2.5729670421861641</v>
      </c>
      <c r="BE468" s="67">
        <f t="shared" si="516"/>
        <v>2</v>
      </c>
      <c r="BF468" s="2">
        <v>85</v>
      </c>
      <c r="BG468" s="2">
        <v>-0.39018491541285161</v>
      </c>
      <c r="BH468" s="2">
        <f t="shared" si="486"/>
        <v>0.11646286163315996</v>
      </c>
      <c r="BI468" s="2">
        <f t="shared" si="487"/>
        <v>-0.39018491541285161</v>
      </c>
      <c r="BJ468" s="67">
        <f t="shared" si="488"/>
        <v>7</v>
      </c>
      <c r="BK468" s="2">
        <v>9500</v>
      </c>
      <c r="BL468" s="2">
        <v>-2.4943922631047268</v>
      </c>
      <c r="BM468" s="77">
        <f t="shared" si="517"/>
        <v>-2.2643922631047269</v>
      </c>
      <c r="BN468" s="77">
        <f t="shared" si="518"/>
        <v>-2</v>
      </c>
      <c r="BO468" s="2">
        <f t="shared" si="489"/>
        <v>0.12548663172934643</v>
      </c>
      <c r="BP468" s="2">
        <f t="shared" si="490"/>
        <v>-2.4943922631047268</v>
      </c>
      <c r="BQ468" s="67">
        <f t="shared" si="519"/>
        <v>4</v>
      </c>
      <c r="BR468" s="5">
        <v>-0.94858070374327619</v>
      </c>
      <c r="BS468" s="75">
        <f t="shared" si="520"/>
        <v>1.6243863384428878</v>
      </c>
      <c r="BT468" s="75">
        <f t="shared" si="521"/>
        <v>2</v>
      </c>
      <c r="BU468" s="5" t="str">
        <f>IF(G476&gt;=36, IF(AND(NOT(ISBLANK(CM:CM)), NOT(ISBLANK(BD:BD))), (CM:CM-BD:BD)/2, ""), "UF")</f>
        <v>UF</v>
      </c>
      <c r="BV468" s="5">
        <f t="shared" si="491"/>
        <v>-0.94858070374327619</v>
      </c>
      <c r="BW468" s="69">
        <f t="shared" si="492"/>
        <v>7</v>
      </c>
      <c r="BX468" s="2">
        <v>96</v>
      </c>
      <c r="BY468" s="5">
        <v>0.44938858489947991</v>
      </c>
      <c r="BZ468" s="74">
        <f t="shared" si="522"/>
        <v>2.9437808480042067</v>
      </c>
      <c r="CA468" s="74">
        <f t="shared" si="523"/>
        <v>2</v>
      </c>
      <c r="CB468" s="5">
        <f t="shared" si="493"/>
        <v>0.19121078319936599</v>
      </c>
      <c r="CC468" s="5">
        <f t="shared" si="494"/>
        <v>0.44938858489947991</v>
      </c>
      <c r="CD468" s="2">
        <f t="shared" si="495"/>
        <v>0.83957350031233147</v>
      </c>
      <c r="CE468" s="69">
        <f t="shared" si="496"/>
        <v>7</v>
      </c>
      <c r="CF468" s="5">
        <v>13500</v>
      </c>
      <c r="CG468" s="5">
        <v>-0.27354010481196073</v>
      </c>
      <c r="CH468" s="72">
        <f t="shared" si="524"/>
        <v>2.2208521582927663</v>
      </c>
      <c r="CI468" s="72">
        <f t="shared" si="525"/>
        <v>2</v>
      </c>
      <c r="CJ468" s="5">
        <f t="shared" si="497"/>
        <v>1.0239532728839804</v>
      </c>
      <c r="CK468" s="5">
        <f t="shared" si="498"/>
        <v>-0.27354010481196073</v>
      </c>
      <c r="CL468" s="69">
        <f t="shared" si="499"/>
        <v>7</v>
      </c>
      <c r="CM468" s="5">
        <v>-0.53451522265946516</v>
      </c>
      <c r="CN468" s="70">
        <f t="shared" si="500"/>
        <v>0.41406548108381103</v>
      </c>
      <c r="CO468" s="5">
        <f t="shared" si="501"/>
        <v>0.41406548108381103</v>
      </c>
      <c r="CP468" s="5">
        <f>IF(G468&lt;48,"UF", IF(NOT(ISBLANK(CM:CM)), CM:CM, IF(BW:BW=1, BV:BV+Sheet2!B610, IF(Sheet1!BW:BW=2, Sheet1!BV:BV+Sheet2!B611, IF(Sheet1!BW:BW=7, Sheet1!BV:BV+Sheet2!B612,"")))))</f>
        <v>-0.53451522265946516</v>
      </c>
      <c r="CQ468" s="69">
        <f t="shared" si="526"/>
        <v>7</v>
      </c>
      <c r="CR468" s="5">
        <v>101</v>
      </c>
      <c r="CS468" s="5">
        <v>-7.7633490141196491E-3</v>
      </c>
      <c r="CT468" s="5">
        <f t="shared" si="502"/>
        <v>-0.45715193391359954</v>
      </c>
      <c r="CU468" s="80">
        <f t="shared" si="503"/>
        <v>-0.45715193391359954</v>
      </c>
      <c r="CV468" s="80">
        <f t="shared" si="504"/>
        <v>-1</v>
      </c>
      <c r="CW468" s="20">
        <f>IF(G468&lt;48,"UF", IF(NOT(ISBLANK(CS468)), CS468, IF(CE468=5, CC468+Sheet2!B599, IF(CE468=6, CC468+Sheet2!B600, IF(CE468=7, CC468+Sheet2!B601,"")))))</f>
        <v>-7.7633490141196491E-3</v>
      </c>
      <c r="CX468" s="68">
        <f t="shared" si="527"/>
        <v>7</v>
      </c>
      <c r="CY468" s="5">
        <v>15000</v>
      </c>
      <c r="CZ468" s="5">
        <v>-0.44648571733676612</v>
      </c>
      <c r="DA468" s="5">
        <f t="shared" si="505"/>
        <v>-0.17294561252480539</v>
      </c>
      <c r="DB468" s="73">
        <f t="shared" si="506"/>
        <v>-0.17294561252480539</v>
      </c>
      <c r="DC468" s="73">
        <f t="shared" si="507"/>
        <v>-1</v>
      </c>
      <c r="DD468" s="5">
        <f>IF(G468&lt;48,"UF", IF(NOT(ISBLANK(CZ:CZ)), CZ:CZ, IF(CL:CL=3, CK:CK+Sheet2!B604, IF(CL:CL=4, CK:CK+Sheet2!B605, IF(CL:CL=7, CK:CK+Sheet2!B606,"")))))</f>
        <v>-0.44648571733676612</v>
      </c>
      <c r="DE468" s="69">
        <f t="shared" si="463"/>
        <v>7</v>
      </c>
      <c r="DF468" s="2">
        <v>1</v>
      </c>
      <c r="DG468" s="2">
        <v>20</v>
      </c>
      <c r="DH468" s="2">
        <v>1</v>
      </c>
      <c r="DI468" s="2">
        <v>2</v>
      </c>
      <c r="DJ468" s="2">
        <v>2</v>
      </c>
      <c r="DK468" s="2">
        <v>112</v>
      </c>
      <c r="DL468" s="2">
        <v>60</v>
      </c>
      <c r="DM468" s="2">
        <v>112</v>
      </c>
      <c r="DN468" s="2">
        <v>80</v>
      </c>
      <c r="DO468" s="2">
        <v>112</v>
      </c>
      <c r="DP468" s="2">
        <v>70</v>
      </c>
      <c r="DQ468" s="2">
        <v>2</v>
      </c>
      <c r="DR468" s="2">
        <v>39</v>
      </c>
      <c r="DS468" s="2">
        <v>2</v>
      </c>
      <c r="DT468" s="2">
        <v>91</v>
      </c>
      <c r="DU468" s="2">
        <v>70</v>
      </c>
      <c r="DV468" s="2">
        <v>2</v>
      </c>
      <c r="DW468" s="2">
        <v>3</v>
      </c>
      <c r="DX468" s="2">
        <v>2</v>
      </c>
      <c r="DY468" s="2">
        <v>2</v>
      </c>
      <c r="DZ468" s="2">
        <v>34</v>
      </c>
      <c r="EA468" s="2">
        <v>36</v>
      </c>
      <c r="EB468" s="2">
        <v>47</v>
      </c>
      <c r="EC468" s="2">
        <v>1</v>
      </c>
      <c r="ED468" s="2">
        <v>1</v>
      </c>
    </row>
    <row r="469" spans="2:134" x14ac:dyDescent="0.25">
      <c r="C469" s="8" t="s">
        <v>363</v>
      </c>
      <c r="D469" s="2">
        <v>6560213897</v>
      </c>
      <c r="E469" s="5" t="s">
        <v>527</v>
      </c>
      <c r="F469" s="2">
        <v>1</v>
      </c>
      <c r="G469" s="2">
        <v>51</v>
      </c>
      <c r="H469" s="2">
        <v>-5.9725676927508928</v>
      </c>
      <c r="I469" s="2">
        <v>47</v>
      </c>
      <c r="J469" s="2">
        <v>-1.153005671500261</v>
      </c>
      <c r="K469" s="5">
        <v>1600</v>
      </c>
      <c r="L469" s="2">
        <v>-4.1955469607614377</v>
      </c>
      <c r="M469" s="2">
        <v>-0.3463</v>
      </c>
      <c r="N469" s="2">
        <f t="shared" si="467"/>
        <v>3.0058338463754466</v>
      </c>
      <c r="O469" s="2">
        <f t="shared" si="468"/>
        <v>-0.3463</v>
      </c>
      <c r="P469" s="2">
        <v>60</v>
      </c>
      <c r="Q469" s="2">
        <v>-2.54</v>
      </c>
      <c r="R469" s="5">
        <f t="shared" si="469"/>
        <v>-0.97849716424986943</v>
      </c>
      <c r="S469" s="5">
        <f t="shared" si="470"/>
        <v>-2.54</v>
      </c>
      <c r="T469" s="1">
        <v>5900</v>
      </c>
      <c r="U469" s="2">
        <v>-1.76</v>
      </c>
      <c r="V469" s="2">
        <f t="shared" si="471"/>
        <v>1.1627734803807188</v>
      </c>
      <c r="W469" s="2">
        <f t="shared" si="472"/>
        <v>-1.76</v>
      </c>
      <c r="X469" s="2">
        <v>3.9100000000000003E-2</v>
      </c>
      <c r="Y469" s="76">
        <f t="shared" si="508"/>
        <v>6.0116676927508932</v>
      </c>
      <c r="Z469" s="76">
        <f t="shared" si="509"/>
        <v>2</v>
      </c>
      <c r="AA469" s="2">
        <f t="shared" si="473"/>
        <v>1.0023</v>
      </c>
      <c r="AB469" s="2">
        <f t="shared" si="474"/>
        <v>3.9100000000000003E-2</v>
      </c>
      <c r="AC469" s="2">
        <v>66</v>
      </c>
      <c r="AD469" s="2">
        <v>-3.11</v>
      </c>
      <c r="AE469" s="79">
        <f t="shared" si="510"/>
        <v>-1.9569943284997389</v>
      </c>
      <c r="AF469" s="79">
        <f t="shared" si="511"/>
        <v>-2</v>
      </c>
      <c r="AG469" s="2">
        <f t="shared" si="461"/>
        <v>0.28500000000000003</v>
      </c>
      <c r="AH469" s="2">
        <f t="shared" si="475"/>
        <v>-3.11</v>
      </c>
      <c r="AI469" s="2">
        <v>7150</v>
      </c>
      <c r="AJ469" s="2">
        <v>-1.87</v>
      </c>
      <c r="AK469" s="76">
        <f t="shared" si="512"/>
        <v>2.3255469607614376</v>
      </c>
      <c r="AL469" s="76">
        <f t="shared" si="513"/>
        <v>2</v>
      </c>
      <c r="AM469" s="2">
        <f t="shared" si="476"/>
        <v>8.4999999999999964E-2</v>
      </c>
      <c r="AN469" s="2">
        <f t="shared" si="477"/>
        <v>-1.87</v>
      </c>
      <c r="AO469" s="2">
        <v>-0.53539999999999999</v>
      </c>
      <c r="AP469" s="2">
        <f t="shared" si="478"/>
        <v>-0.46482538820050961</v>
      </c>
      <c r="AQ469" s="2">
        <f t="shared" si="479"/>
        <v>-0.53539999999999999</v>
      </c>
      <c r="AR469" s="2">
        <v>75</v>
      </c>
      <c r="AS469" s="2">
        <v>-1.97</v>
      </c>
      <c r="AT469" s="2">
        <f t="shared" si="480"/>
        <v>0.21235233439773538</v>
      </c>
      <c r="AU469" s="2">
        <f t="shared" si="481"/>
        <v>-1.97</v>
      </c>
      <c r="AV469" s="2">
        <v>8450</v>
      </c>
      <c r="AW469" s="2">
        <v>-1.59</v>
      </c>
      <c r="AX469" s="2">
        <f t="shared" si="482"/>
        <v>-0.75174006973812846</v>
      </c>
      <c r="AY469" s="2">
        <f t="shared" si="483"/>
        <v>-1.59</v>
      </c>
      <c r="AZ469" s="2">
        <v>-0.89055077640101921</v>
      </c>
      <c r="BA469" s="78">
        <f t="shared" si="514"/>
        <v>-0.92965077640101923</v>
      </c>
      <c r="BB469" s="78">
        <f t="shared" si="515"/>
        <v>-2</v>
      </c>
      <c r="BC469" s="2">
        <f t="shared" si="484"/>
        <v>-0.4330230868422727</v>
      </c>
      <c r="BD469" s="2">
        <f t="shared" si="485"/>
        <v>-0.89055077640101921</v>
      </c>
      <c r="BE469" s="67">
        <f t="shared" si="516"/>
        <v>7</v>
      </c>
      <c r="BF469" s="2">
        <v>76</v>
      </c>
      <c r="BG469" s="2">
        <v>-2.6852953312045291</v>
      </c>
      <c r="BH469" s="2">
        <f t="shared" si="486"/>
        <v>-0.13739418224470801</v>
      </c>
      <c r="BI469" s="2">
        <f t="shared" si="487"/>
        <v>-2.6852953312045291</v>
      </c>
      <c r="BJ469" s="67">
        <f t="shared" si="488"/>
        <v>6</v>
      </c>
      <c r="BK469" s="2">
        <v>8800</v>
      </c>
      <c r="BL469" s="2">
        <v>-3.373480139476257</v>
      </c>
      <c r="BM469" s="77">
        <f t="shared" si="517"/>
        <v>-1.5034801394762569</v>
      </c>
      <c r="BN469" s="77">
        <f t="shared" si="518"/>
        <v>-2</v>
      </c>
      <c r="BO469" s="2">
        <f t="shared" si="489"/>
        <v>-0.57413219718684527</v>
      </c>
      <c r="BP469" s="2">
        <f t="shared" si="490"/>
        <v>-3.373480139476257</v>
      </c>
      <c r="BQ469" s="67">
        <f t="shared" si="519"/>
        <v>3</v>
      </c>
      <c r="BR469" s="5">
        <v>-1.834469260526818</v>
      </c>
      <c r="BS469" s="75">
        <f t="shared" si="520"/>
        <v>-0.94391848412579882</v>
      </c>
      <c r="BT469" s="75">
        <f t="shared" si="521"/>
        <v>-2</v>
      </c>
      <c r="BU469" s="5" t="e">
        <f>IF(#REF!&gt;=36, IF(AND(NOT(ISBLANK(CM:CM)), NOT(ISBLANK(BD:BD))), (CM:CM-BD:BD)/2, ""), "UF")</f>
        <v>#REF!</v>
      </c>
      <c r="BV469" s="5">
        <f t="shared" si="491"/>
        <v>-1.834469260526818</v>
      </c>
      <c r="BW469" s="69">
        <f t="shared" si="492"/>
        <v>7</v>
      </c>
      <c r="BX469" s="2">
        <v>85</v>
      </c>
      <c r="BY469" s="5">
        <v>-2.382182546734124</v>
      </c>
      <c r="BZ469" s="74">
        <f t="shared" si="522"/>
        <v>0.99129759274213303</v>
      </c>
      <c r="CA469" s="74">
        <f t="shared" si="523"/>
        <v>2</v>
      </c>
      <c r="CB469" s="5">
        <f t="shared" si="493"/>
        <v>0.27139476389309602</v>
      </c>
      <c r="CC469" s="5">
        <f t="shared" si="494"/>
        <v>-2.382182546734124</v>
      </c>
      <c r="CD469" s="2">
        <f t="shared" si="495"/>
        <v>0.30311278447040513</v>
      </c>
      <c r="CE469" s="69">
        <f t="shared" si="496"/>
        <v>6</v>
      </c>
      <c r="CF469" s="5">
        <v>10000</v>
      </c>
      <c r="CG469" s="5">
        <v>-3.3123965915605358</v>
      </c>
      <c r="CH469" s="72">
        <f t="shared" si="524"/>
        <v>6.1083547915721237E-2</v>
      </c>
      <c r="CI469" s="72">
        <f t="shared" si="525"/>
        <v>1</v>
      </c>
      <c r="CJ469" s="5">
        <f t="shared" si="497"/>
        <v>0.42836004517354742</v>
      </c>
      <c r="CK469" s="5">
        <f t="shared" si="498"/>
        <v>-3.3123965915605358</v>
      </c>
      <c r="CL469" s="69">
        <f t="shared" si="499"/>
        <v>3</v>
      </c>
      <c r="CM469" s="5">
        <v>-1.086665068132622</v>
      </c>
      <c r="CN469" s="70">
        <f t="shared" si="500"/>
        <v>0.74780419239419604</v>
      </c>
      <c r="CO469" s="5">
        <f t="shared" si="501"/>
        <v>0.74780419239419604</v>
      </c>
      <c r="CP469" s="5">
        <f>IF(G469&lt;48,"UF", IF(NOT(ISBLANK(CM:CM)), CM:CM, IF(BW:BW=1, BV:BV+Sheet2!B228, IF(Sheet1!BW:BW=2, Sheet1!BV:BV+Sheet2!B229, IF(Sheet1!BW:BW=7, Sheet1!BV:BV+Sheet2!B230,"")))))</f>
        <v>-1.086665068132622</v>
      </c>
      <c r="CQ469" s="69">
        <f t="shared" si="526"/>
        <v>7</v>
      </c>
      <c r="CR469" s="5">
        <v>92</v>
      </c>
      <c r="CS469" s="5">
        <v>-2.1425058034183371</v>
      </c>
      <c r="CT469" s="5">
        <f t="shared" si="502"/>
        <v>0.23967674331578692</v>
      </c>
      <c r="CU469" s="80">
        <f t="shared" si="503"/>
        <v>0.23967674331578692</v>
      </c>
      <c r="CV469" s="80">
        <f t="shared" si="504"/>
        <v>1</v>
      </c>
      <c r="CW469" s="20">
        <f>IF(G469&lt;48,"UF", IF(NOT(ISBLANK(CS469)), CS469, IF(CE469=5, CC469+Sheet2!B217, IF(CE469=6, CC469+Sheet2!B218, IF(CE469=7, CC469+Sheet2!B219,"")))))</f>
        <v>-2.1425058034183371</v>
      </c>
      <c r="CX469" s="68">
        <f t="shared" si="527"/>
        <v>6</v>
      </c>
      <c r="CY469" s="5">
        <v>12000</v>
      </c>
      <c r="CZ469" s="5">
        <v>-2.5167600491291622</v>
      </c>
      <c r="DA469" s="5">
        <f t="shared" si="505"/>
        <v>0.79563654243137361</v>
      </c>
      <c r="DB469" s="73">
        <f t="shared" si="506"/>
        <v>0.79563654243137361</v>
      </c>
      <c r="DC469" s="73">
        <f t="shared" si="507"/>
        <v>2</v>
      </c>
      <c r="DD469" s="5">
        <f>IF(G469&lt;48,"UF", IF(NOT(ISBLANK(CZ:CZ)), CZ:CZ, IF(CL:CL=3, CK:CK+Sheet2!B222, IF(CL:CL=4, CK:CK+Sheet2!B223, IF(CL:CL=7, CK:CK+Sheet2!B224,"")))))</f>
        <v>-2.5167600491291622</v>
      </c>
      <c r="DE469" s="69">
        <f t="shared" si="463"/>
        <v>4</v>
      </c>
      <c r="DF469" s="2">
        <v>1</v>
      </c>
      <c r="DG469" s="2">
        <v>31</v>
      </c>
      <c r="DH469" s="2">
        <v>1</v>
      </c>
      <c r="DI469" s="2">
        <v>2</v>
      </c>
      <c r="DJ469" s="2">
        <v>2</v>
      </c>
      <c r="DK469" s="2">
        <v>110</v>
      </c>
      <c r="DL469" s="2">
        <v>60</v>
      </c>
      <c r="DM469" s="2">
        <v>120</v>
      </c>
      <c r="DN469" s="2">
        <v>80</v>
      </c>
      <c r="DO469" s="2" t="s">
        <v>12</v>
      </c>
      <c r="DP469" s="2" t="s">
        <v>12</v>
      </c>
      <c r="DQ469" s="2">
        <v>2</v>
      </c>
      <c r="DR469" s="2">
        <v>36</v>
      </c>
      <c r="DS469" s="2">
        <v>1</v>
      </c>
      <c r="DT469" s="2">
        <v>95</v>
      </c>
      <c r="DU469" s="2">
        <v>78</v>
      </c>
      <c r="DV469" s="2">
        <v>4</v>
      </c>
      <c r="DW469" s="2">
        <v>2</v>
      </c>
      <c r="DX469" s="2">
        <v>4</v>
      </c>
      <c r="DY469" s="2">
        <v>2</v>
      </c>
      <c r="DZ469" s="2">
        <v>33</v>
      </c>
      <c r="EA469" s="2">
        <v>31.5</v>
      </c>
      <c r="EB469" s="2">
        <v>43</v>
      </c>
      <c r="EC469" s="2">
        <v>3</v>
      </c>
      <c r="ED469" s="2">
        <v>1</v>
      </c>
    </row>
    <row r="470" spans="2:134" x14ac:dyDescent="0.25">
      <c r="C470" t="s">
        <v>417</v>
      </c>
      <c r="D470" s="3">
        <v>6560216391</v>
      </c>
      <c r="E470" s="3">
        <v>7</v>
      </c>
      <c r="F470" s="2">
        <v>1</v>
      </c>
      <c r="G470" s="2">
        <v>46</v>
      </c>
      <c r="H470">
        <v>6.5789855563100144E-2</v>
      </c>
      <c r="I470" s="2">
        <v>51</v>
      </c>
      <c r="J470">
        <v>0.99441714029262385</v>
      </c>
      <c r="K470" s="2">
        <v>3490</v>
      </c>
      <c r="L470" s="2">
        <v>0.54951155316609124</v>
      </c>
      <c r="M470" s="2">
        <v>0.16022394048415531</v>
      </c>
      <c r="N470" s="2">
        <f t="shared" si="467"/>
        <v>0.50949228280010439</v>
      </c>
      <c r="O470" s="2">
        <f t="shared" si="468"/>
        <v>0.16022394048415531</v>
      </c>
      <c r="P470" s="2">
        <v>65</v>
      </c>
      <c r="Q470" s="2">
        <v>-0.6464953990346044</v>
      </c>
      <c r="R470" s="5">
        <f t="shared" si="469"/>
        <v>-0.70915232430526054</v>
      </c>
      <c r="S470" s="5">
        <f t="shared" si="470"/>
        <v>-0.6464953990346044</v>
      </c>
      <c r="T470" s="2">
        <v>7250</v>
      </c>
      <c r="U470" s="2">
        <v>-0.24086152550324491</v>
      </c>
      <c r="V470" s="2">
        <f t="shared" si="471"/>
        <v>2.9186583176198377E-3</v>
      </c>
      <c r="W470" s="2">
        <f t="shared" si="472"/>
        <v>-0.24086152550324491</v>
      </c>
      <c r="X470" s="2">
        <v>1.084774421163309</v>
      </c>
      <c r="Y470" s="76">
        <f t="shared" si="508"/>
        <v>1.0189845656002088</v>
      </c>
      <c r="Z470" s="76">
        <f t="shared" si="509"/>
        <v>2</v>
      </c>
      <c r="AA470" s="2">
        <f t="shared" si="473"/>
        <v>1.1278449202202507</v>
      </c>
      <c r="AB470" s="2">
        <f t="shared" si="474"/>
        <v>1.084774421163309</v>
      </c>
      <c r="AC470" s="2">
        <v>73.5</v>
      </c>
      <c r="AD470" s="2">
        <v>-0.42388750831789718</v>
      </c>
      <c r="AE470" s="79">
        <f t="shared" si="510"/>
        <v>-1.4183046486105211</v>
      </c>
      <c r="AF470" s="79">
        <f t="shared" si="511"/>
        <v>-2</v>
      </c>
      <c r="AG470" s="2">
        <f t="shared" si="461"/>
        <v>0.12182863096507029</v>
      </c>
      <c r="AH470" s="2">
        <f t="shared" si="475"/>
        <v>-0.42388750831789718</v>
      </c>
      <c r="AI470" s="2">
        <v>9700</v>
      </c>
      <c r="AJ470" s="2">
        <v>0.55534886980133091</v>
      </c>
      <c r="AK470" s="76">
        <f t="shared" si="512"/>
        <v>5.8373166352396755E-3</v>
      </c>
      <c r="AL470" s="76">
        <f t="shared" si="513"/>
        <v>1</v>
      </c>
      <c r="AM470" s="2">
        <f t="shared" si="476"/>
        <v>0.58483644458896844</v>
      </c>
      <c r="AN470" s="2">
        <f t="shared" si="477"/>
        <v>0.55534886980133091</v>
      </c>
      <c r="AO470" s="2">
        <v>1.609194441405897</v>
      </c>
      <c r="AP470" s="2">
        <f t="shared" si="478"/>
        <v>-1.370822352542264</v>
      </c>
      <c r="AQ470" s="2">
        <f t="shared" si="479"/>
        <v>1.609194441405897</v>
      </c>
      <c r="AR470" s="2">
        <v>80</v>
      </c>
      <c r="AS470" s="2">
        <v>-0.40283813710446381</v>
      </c>
      <c r="AT470" s="2">
        <f t="shared" si="480"/>
        <v>0.51343595856561852</v>
      </c>
      <c r="AU470" s="2">
        <f t="shared" si="481"/>
        <v>-0.40283813710446381</v>
      </c>
      <c r="AV470" s="2">
        <v>11600</v>
      </c>
      <c r="AW470" s="2">
        <v>0.92881136367469186</v>
      </c>
      <c r="AX470" s="2">
        <f t="shared" si="482"/>
        <v>-0.75046308196525469</v>
      </c>
      <c r="AY470" s="2">
        <f t="shared" si="483"/>
        <v>0.92881136367469186</v>
      </c>
      <c r="AZ470" s="2">
        <v>-1.656870283921219</v>
      </c>
      <c r="BA470" s="78">
        <f t="shared" si="514"/>
        <v>-2.7416447050845281</v>
      </c>
      <c r="BB470" s="78">
        <f t="shared" si="515"/>
        <v>-2</v>
      </c>
      <c r="BC470" s="2">
        <f t="shared" si="484"/>
        <v>-0.82645908774324994</v>
      </c>
      <c r="BD470" s="2">
        <f t="shared" si="485"/>
        <v>-1.656870283921219</v>
      </c>
      <c r="BE470" s="67">
        <f t="shared" si="516"/>
        <v>7</v>
      </c>
      <c r="BF470" s="2">
        <v>87.5</v>
      </c>
      <c r="BG470" s="2">
        <v>0.60298440881333992</v>
      </c>
      <c r="BH470" s="2">
        <f t="shared" si="486"/>
        <v>0.40885565916835026</v>
      </c>
      <c r="BI470" s="2">
        <f t="shared" si="487"/>
        <v>0.60298440881333992</v>
      </c>
      <c r="BJ470" s="67">
        <f t="shared" si="488"/>
        <v>7</v>
      </c>
      <c r="BK470" s="2">
        <v>11000</v>
      </c>
      <c r="BL470" s="2">
        <v>-0.94557729412917846</v>
      </c>
      <c r="BM470" s="77">
        <f t="shared" si="517"/>
        <v>-1.5009261639305094</v>
      </c>
      <c r="BN470" s="77">
        <f t="shared" si="518"/>
        <v>-2</v>
      </c>
      <c r="BO470" s="2">
        <f t="shared" si="489"/>
        <v>-0.297864845950636</v>
      </c>
      <c r="BP470" s="2">
        <f t="shared" si="490"/>
        <v>-0.94557729412917846</v>
      </c>
      <c r="BQ470" s="67">
        <f t="shared" si="519"/>
        <v>7</v>
      </c>
      <c r="BR470" s="2">
        <v>-0.87018282182385287</v>
      </c>
      <c r="BS470" s="75">
        <f t="shared" si="520"/>
        <v>0.78668746209736617</v>
      </c>
      <c r="BT470" s="75">
        <f t="shared" si="521"/>
        <v>2</v>
      </c>
      <c r="BU470" s="5" t="str">
        <f t="shared" ref="BU470:BU476" si="528">IF(G477&gt;=36, IF(AND(NOT(ISBLANK(CM:CM)), NOT(ISBLANK(BD:BD))), (CM:CM-BD:BD)/2, ""), "UF")</f>
        <v>UF</v>
      </c>
      <c r="BV470" s="5">
        <f t="shared" si="491"/>
        <v>-0.87018282182385287</v>
      </c>
      <c r="BW470" s="69">
        <f t="shared" si="492"/>
        <v>7</v>
      </c>
      <c r="BX470" s="2">
        <v>97.5</v>
      </c>
      <c r="BY470" s="2">
        <v>0.8237288404005868</v>
      </c>
      <c r="BZ470" s="74">
        <f t="shared" si="522"/>
        <v>1.7693061345297654</v>
      </c>
      <c r="CA470" s="74">
        <f t="shared" si="523"/>
        <v>2</v>
      </c>
      <c r="CB470" s="5" t="str">
        <f t="shared" si="493"/>
        <v/>
      </c>
      <c r="CC470" s="5">
        <f t="shared" si="494"/>
        <v>0.8237288404005868</v>
      </c>
      <c r="CD470" s="2">
        <f t="shared" si="495"/>
        <v>0.22074443158724688</v>
      </c>
      <c r="CE470" s="69">
        <f t="shared" si="496"/>
        <v>7</v>
      </c>
      <c r="CF470" s="5">
        <v>14000</v>
      </c>
      <c r="CG470" s="2">
        <v>3.5216825822783827E-2</v>
      </c>
      <c r="CH470" s="72">
        <f t="shared" si="524"/>
        <v>0.98079411995196231</v>
      </c>
      <c r="CI470" s="72">
        <f t="shared" si="525"/>
        <v>2</v>
      </c>
      <c r="CJ470" s="5" t="str">
        <f t="shared" si="497"/>
        <v/>
      </c>
      <c r="CK470" s="5">
        <f t="shared" si="498"/>
        <v>3.5216825822783827E-2</v>
      </c>
      <c r="CL470" s="69">
        <f t="shared" si="499"/>
        <v>7</v>
      </c>
      <c r="CM470" s="2"/>
      <c r="CN470" s="70" t="str">
        <f t="shared" si="500"/>
        <v/>
      </c>
      <c r="CO470" s="5" t="str">
        <f t="shared" si="501"/>
        <v>UF</v>
      </c>
      <c r="CP470" s="5" t="str">
        <f>IF(G470&lt;48,"UF", IF(NOT(ISBLANK(CM:CM)), CM:CM, IF(BW:BW=1, BV:BV+Sheet2!B645, IF(Sheet1!BW:BW=2, Sheet1!BV:BV+Sheet2!B646, IF(Sheet1!BW:BW=7, Sheet1!BV:BV+Sheet2!B647,"")))))</f>
        <v>UF</v>
      </c>
      <c r="CQ470" s="69" t="str">
        <f t="shared" si="526"/>
        <v/>
      </c>
      <c r="CR470" s="5" t="s">
        <v>12</v>
      </c>
      <c r="CS470" s="2"/>
      <c r="CT470" s="5" t="str">
        <f t="shared" si="502"/>
        <v/>
      </c>
      <c r="CU470" s="80" t="str">
        <f t="shared" si="503"/>
        <v>UF</v>
      </c>
      <c r="CV470" s="80" t="str">
        <f t="shared" si="504"/>
        <v>UF</v>
      </c>
      <c r="CW470" s="20" t="str">
        <f>IF(G470&lt;48,"UF", IF(NOT(ISBLANK(CS470)), CS470, IF(CE470=5, CC470+Sheet2!B634, IF(CE470=6, CC470+Sheet2!B635, IF(CE470=7, CC470+Sheet2!B636,"")))))</f>
        <v>UF</v>
      </c>
      <c r="CX470" s="68" t="str">
        <f t="shared" si="527"/>
        <v/>
      </c>
      <c r="CY470" s="5" t="s">
        <v>12</v>
      </c>
      <c r="DA470" s="5" t="str">
        <f t="shared" si="505"/>
        <v>UF</v>
      </c>
      <c r="DB470" s="73" t="str">
        <f t="shared" si="506"/>
        <v>UF</v>
      </c>
      <c r="DC470" s="73" t="str">
        <f t="shared" si="507"/>
        <v>UF</v>
      </c>
      <c r="DD470" s="5" t="str">
        <f>IF(G470&lt;48,"UF", IF(NOT(ISBLANK(CZ:CZ)), CZ:CZ, IF(CL:CL=3, CK:CK+Sheet2!B639, IF(CL:CL=4, CK:CK+Sheet2!B640, IF(CL:CL=7, CK:CK+Sheet2!B641,"")))))</f>
        <v>UF</v>
      </c>
      <c r="DE470" s="69" t="str">
        <f t="shared" si="463"/>
        <v/>
      </c>
      <c r="DF470" s="2">
        <v>2</v>
      </c>
      <c r="DG470" s="2">
        <v>35</v>
      </c>
      <c r="DH470" s="2">
        <v>2</v>
      </c>
      <c r="DI470" s="2">
        <v>2</v>
      </c>
      <c r="DJ470" s="2">
        <v>2</v>
      </c>
      <c r="DK470" s="2">
        <v>85</v>
      </c>
      <c r="DL470" s="2">
        <v>60</v>
      </c>
      <c r="DM470" s="2">
        <v>100</v>
      </c>
      <c r="DN470" s="2">
        <v>60</v>
      </c>
      <c r="DO470" s="2">
        <v>100</v>
      </c>
      <c r="DP470" s="2">
        <v>60</v>
      </c>
      <c r="DQ470" s="2">
        <v>2</v>
      </c>
      <c r="DR470" s="2">
        <v>37</v>
      </c>
      <c r="DS470" s="2">
        <v>2</v>
      </c>
      <c r="DT470" s="2">
        <v>82</v>
      </c>
      <c r="DU470" s="2">
        <v>81.5</v>
      </c>
      <c r="DV470" s="2">
        <v>2</v>
      </c>
      <c r="DW470" s="2">
        <v>2</v>
      </c>
      <c r="DX470" s="2">
        <v>2</v>
      </c>
      <c r="DY470" s="2">
        <v>2</v>
      </c>
      <c r="DZ470" s="2">
        <v>34</v>
      </c>
      <c r="EA470" s="2">
        <v>36</v>
      </c>
      <c r="EB470" s="2">
        <v>45</v>
      </c>
      <c r="EC470" s="2">
        <v>1</v>
      </c>
      <c r="ED470" s="2">
        <v>1</v>
      </c>
    </row>
    <row r="471" spans="2:134" x14ac:dyDescent="0.25">
      <c r="C471" s="8" t="s">
        <v>299</v>
      </c>
      <c r="D471" s="8">
        <v>6560217000</v>
      </c>
      <c r="E471" s="5">
        <v>7</v>
      </c>
      <c r="F471" s="2">
        <v>1</v>
      </c>
      <c r="G471" s="2">
        <v>43</v>
      </c>
      <c r="H471" s="2">
        <v>-3.2116063080169521</v>
      </c>
      <c r="I471" s="2">
        <v>55</v>
      </c>
      <c r="J471" s="2">
        <v>3.141839952085506</v>
      </c>
      <c r="K471" s="2">
        <v>3000</v>
      </c>
      <c r="L471" s="2">
        <v>-0.51868017376649433</v>
      </c>
      <c r="M471" s="2">
        <v>-1.7279</v>
      </c>
      <c r="N471" s="2">
        <f t="shared" si="467"/>
        <v>1.023603154008476</v>
      </c>
      <c r="O471" s="2">
        <f t="shared" si="468"/>
        <v>-1.7279</v>
      </c>
      <c r="P471" s="2">
        <v>68</v>
      </c>
      <c r="Q471" s="2">
        <v>0.99</v>
      </c>
      <c r="R471" s="5">
        <f t="shared" si="469"/>
        <v>-0.795919976042753</v>
      </c>
      <c r="S471" s="5">
        <f t="shared" si="470"/>
        <v>0.99</v>
      </c>
      <c r="T471" s="2">
        <v>6700</v>
      </c>
      <c r="U471" s="2">
        <v>-0.71</v>
      </c>
      <c r="V471" s="2">
        <f t="shared" si="471"/>
        <v>0.28434008688324719</v>
      </c>
      <c r="W471" s="2">
        <f t="shared" si="472"/>
        <v>-0.71</v>
      </c>
      <c r="X471" s="2">
        <v>-1.1644000000000001</v>
      </c>
      <c r="Y471" s="76">
        <f t="shared" si="508"/>
        <v>2.047206308016952</v>
      </c>
      <c r="Z471" s="76">
        <f t="shared" si="509"/>
        <v>2</v>
      </c>
      <c r="AA471" s="2">
        <f t="shared" si="473"/>
        <v>-0.87575000000000003</v>
      </c>
      <c r="AB471" s="2">
        <f t="shared" si="474"/>
        <v>-1.1644000000000001</v>
      </c>
      <c r="AC471" s="2">
        <v>78</v>
      </c>
      <c r="AD471" s="2">
        <v>1.55</v>
      </c>
      <c r="AE471" s="79">
        <f t="shared" si="510"/>
        <v>-1.591839952085506</v>
      </c>
      <c r="AF471" s="79">
        <f t="shared" si="511"/>
        <v>-2</v>
      </c>
      <c r="AG471" s="2">
        <f t="shared" si="461"/>
        <v>6.9999999999999951E-2</v>
      </c>
      <c r="AH471" s="2">
        <f t="shared" si="475"/>
        <v>1.55</v>
      </c>
      <c r="AI471" s="2">
        <v>9000</v>
      </c>
      <c r="AJ471" s="2">
        <v>0.05</v>
      </c>
      <c r="AK471" s="76">
        <f t="shared" si="512"/>
        <v>0.56868017376649438</v>
      </c>
      <c r="AL471" s="76">
        <f t="shared" si="513"/>
        <v>1</v>
      </c>
      <c r="AM471" s="2">
        <f t="shared" si="476"/>
        <v>0.42</v>
      </c>
      <c r="AN471" s="2">
        <f t="shared" si="477"/>
        <v>0.05</v>
      </c>
      <c r="AO471" s="2">
        <v>-0.76149999999999995</v>
      </c>
      <c r="AP471" s="2">
        <f t="shared" si="478"/>
        <v>-0.34325632037654596</v>
      </c>
      <c r="AQ471" s="2">
        <f t="shared" si="479"/>
        <v>-0.76149999999999995</v>
      </c>
      <c r="AR471" s="2">
        <v>84</v>
      </c>
      <c r="AS471" s="2">
        <v>1.1299999999999999</v>
      </c>
      <c r="AT471" s="2">
        <f t="shared" si="480"/>
        <v>-4.2712745184938505E-2</v>
      </c>
      <c r="AU471" s="2">
        <f t="shared" si="481"/>
        <v>1.1299999999999999</v>
      </c>
      <c r="AV471" s="2">
        <v>10400</v>
      </c>
      <c r="AW471" s="2">
        <v>0.13</v>
      </c>
      <c r="AX471" s="2">
        <f t="shared" si="482"/>
        <v>-0.23766016289383005</v>
      </c>
      <c r="AY471" s="2">
        <f t="shared" si="483"/>
        <v>0.13</v>
      </c>
      <c r="AZ471" s="2">
        <v>-1.850912640753092</v>
      </c>
      <c r="BA471" s="78">
        <f t="shared" si="514"/>
        <v>-0.68651264075309193</v>
      </c>
      <c r="BB471" s="78">
        <f t="shared" si="515"/>
        <v>-2</v>
      </c>
      <c r="BC471" s="2">
        <f t="shared" si="484"/>
        <v>0.31499641669060474</v>
      </c>
      <c r="BD471" s="2">
        <f t="shared" si="485"/>
        <v>-1.850912640753092</v>
      </c>
      <c r="BE471" s="67">
        <f t="shared" si="516"/>
        <v>7</v>
      </c>
      <c r="BF471" s="2">
        <v>90.5</v>
      </c>
      <c r="BG471" s="2">
        <v>1.464574509630123</v>
      </c>
      <c r="BH471" s="2">
        <f t="shared" si="486"/>
        <v>-6.0692705272705538E-2</v>
      </c>
      <c r="BI471" s="2">
        <f t="shared" si="487"/>
        <v>1.464574509630123</v>
      </c>
      <c r="BJ471" s="67">
        <f t="shared" si="488"/>
        <v>7</v>
      </c>
      <c r="BK471" s="2">
        <v>11600</v>
      </c>
      <c r="BL471" s="2">
        <v>-0.4253203257876601</v>
      </c>
      <c r="BM471" s="77">
        <f t="shared" si="517"/>
        <v>-0.47532032578766009</v>
      </c>
      <c r="BN471" s="77">
        <f t="shared" si="518"/>
        <v>-1</v>
      </c>
      <c r="BO471" s="2">
        <f t="shared" si="489"/>
        <v>0.2041557310410137</v>
      </c>
      <c r="BP471" s="2">
        <f t="shared" si="490"/>
        <v>-0.4253203257876601</v>
      </c>
      <c r="BQ471" s="67">
        <f t="shared" si="519"/>
        <v>7</v>
      </c>
      <c r="BR471" s="5">
        <v>0.18348925007181421</v>
      </c>
      <c r="BS471" s="75">
        <f t="shared" si="520"/>
        <v>2.0344018908249062</v>
      </c>
      <c r="BT471" s="75">
        <f t="shared" si="521"/>
        <v>2</v>
      </c>
      <c r="BU471" s="5" t="str">
        <f t="shared" si="528"/>
        <v>UF</v>
      </c>
      <c r="BV471" s="5">
        <f t="shared" si="491"/>
        <v>0.18348925007181421</v>
      </c>
      <c r="BW471" s="69">
        <f t="shared" si="492"/>
        <v>7</v>
      </c>
      <c r="BX471" s="2">
        <v>98</v>
      </c>
      <c r="BY471" s="5">
        <v>0.94792188418188328</v>
      </c>
      <c r="BZ471" s="74">
        <f t="shared" si="522"/>
        <v>1.3732422099695434</v>
      </c>
      <c r="CA471" s="74">
        <f t="shared" si="523"/>
        <v>2</v>
      </c>
      <c r="CB471" s="5" t="str">
        <f t="shared" si="493"/>
        <v/>
      </c>
      <c r="CC471" s="5">
        <f t="shared" si="494"/>
        <v>0.94792188418188328</v>
      </c>
      <c r="CD471" s="2">
        <f t="shared" si="495"/>
        <v>-0.51665262544823976</v>
      </c>
      <c r="CE471" s="69">
        <f t="shared" si="496"/>
        <v>7</v>
      </c>
      <c r="CF471" s="5">
        <v>15300</v>
      </c>
      <c r="CG471" s="5">
        <v>0.7424671931230411</v>
      </c>
      <c r="CH471" s="72">
        <f t="shared" si="524"/>
        <v>1.1677875189107012</v>
      </c>
      <c r="CI471" s="72">
        <f t="shared" si="525"/>
        <v>2</v>
      </c>
      <c r="CJ471" s="5" t="str">
        <f t="shared" si="497"/>
        <v/>
      </c>
      <c r="CK471" s="5">
        <f t="shared" si="498"/>
        <v>0.7424671931230411</v>
      </c>
      <c r="CL471" s="69">
        <f t="shared" si="499"/>
        <v>7</v>
      </c>
      <c r="CN471" s="70" t="str">
        <f t="shared" si="500"/>
        <v/>
      </c>
      <c r="CO471" s="5" t="str">
        <f t="shared" si="501"/>
        <v>UF</v>
      </c>
      <c r="CP471" s="5" t="str">
        <f>IF(G471&lt;48,"UF", IF(NOT(ISBLANK(CM:CM)), CM:CM, IF(BW:BW=1, BV:BV+Sheet2!B511, IF(Sheet1!BW:BW=2, Sheet1!BV:BV+Sheet2!B512, IF(Sheet1!BW:BW=7, Sheet1!BV:BV+Sheet2!B513,"")))))</f>
        <v>UF</v>
      </c>
      <c r="CQ471" s="69" t="str">
        <f t="shared" si="526"/>
        <v/>
      </c>
      <c r="CR471" s="5" t="s">
        <v>12</v>
      </c>
      <c r="CT471" s="5" t="str">
        <f t="shared" si="502"/>
        <v/>
      </c>
      <c r="CU471" s="80" t="str">
        <f t="shared" si="503"/>
        <v>UF</v>
      </c>
      <c r="CV471" s="80" t="str">
        <f t="shared" si="504"/>
        <v>UF</v>
      </c>
      <c r="CW471" s="20" t="str">
        <f>IF(G471&lt;48,"UF", IF(NOT(ISBLANK(CS471)), CS471, IF(CE471=5, CC471+Sheet2!B500, IF(CE471=6, CC471+Sheet2!B501, IF(CE471=7, CC471+Sheet2!B502,"")))))</f>
        <v>UF</v>
      </c>
      <c r="CX471" s="68" t="str">
        <f t="shared" si="527"/>
        <v/>
      </c>
      <c r="CY471" s="5" t="s">
        <v>12</v>
      </c>
      <c r="DA471" s="5" t="str">
        <f t="shared" si="505"/>
        <v>UF</v>
      </c>
      <c r="DB471" s="73" t="str">
        <f t="shared" si="506"/>
        <v>UF</v>
      </c>
      <c r="DC471" s="73" t="str">
        <f t="shared" si="507"/>
        <v>UF</v>
      </c>
      <c r="DD471" s="5" t="str">
        <f>IF(G471&lt;48,"UF", IF(NOT(ISBLANK(CZ:CZ)), CZ:CZ, IF(CL:CL=3, CK:CK+Sheet2!B505, IF(CL:CL=4, CK:CK+Sheet2!B506, IF(CL:CL=7, CK:CK+Sheet2!B507,"")))))</f>
        <v>UF</v>
      </c>
      <c r="DE471" s="69" t="str">
        <f t="shared" si="463"/>
        <v/>
      </c>
      <c r="DF471" s="2">
        <v>2</v>
      </c>
      <c r="DG471" s="2">
        <v>29</v>
      </c>
      <c r="DH471" s="2">
        <v>2</v>
      </c>
      <c r="DI471" s="2">
        <v>2</v>
      </c>
      <c r="DJ471" s="2">
        <v>2</v>
      </c>
      <c r="DK471" s="2">
        <v>114</v>
      </c>
      <c r="DL471" s="2">
        <v>64</v>
      </c>
      <c r="DM471" s="2">
        <v>100</v>
      </c>
      <c r="DN471" s="2">
        <v>60</v>
      </c>
      <c r="DO471" s="2">
        <v>116</v>
      </c>
      <c r="DP471" s="2">
        <v>70</v>
      </c>
      <c r="DQ471" s="2">
        <v>2</v>
      </c>
      <c r="DR471" s="2">
        <v>39</v>
      </c>
      <c r="DS471" s="2">
        <v>2</v>
      </c>
      <c r="DT471" s="2">
        <v>84</v>
      </c>
      <c r="DU471" s="2">
        <v>71</v>
      </c>
      <c r="DV471" s="2">
        <v>3</v>
      </c>
      <c r="DW471" s="2">
        <v>2</v>
      </c>
      <c r="DX471" s="2">
        <v>2</v>
      </c>
      <c r="DY471" s="2">
        <v>3</v>
      </c>
      <c r="DZ471" s="2">
        <v>35</v>
      </c>
      <c r="EA471" s="2" t="s">
        <v>12</v>
      </c>
      <c r="EB471" s="2">
        <v>44.2</v>
      </c>
      <c r="EC471" s="2" t="s">
        <v>12</v>
      </c>
      <c r="ED471" s="2">
        <v>1</v>
      </c>
    </row>
    <row r="472" spans="2:134" x14ac:dyDescent="0.25">
      <c r="C472" s="8" t="s">
        <v>374</v>
      </c>
      <c r="D472" s="4">
        <v>6560218058</v>
      </c>
      <c r="E472" s="2">
        <v>4</v>
      </c>
      <c r="F472" s="2">
        <v>1</v>
      </c>
      <c r="G472" s="2">
        <v>40</v>
      </c>
      <c r="H472" s="2">
        <v>-1.142531010896926</v>
      </c>
      <c r="I472" s="2">
        <v>50</v>
      </c>
      <c r="J472" s="2">
        <v>0.45756143734440202</v>
      </c>
      <c r="K472" s="5">
        <v>3000</v>
      </c>
      <c r="L472" s="2">
        <v>-0.51868017376649433</v>
      </c>
      <c r="M472" s="2">
        <v>-2.5186000000000002</v>
      </c>
      <c r="N472" s="2">
        <f t="shared" si="467"/>
        <v>0.18891550544846297</v>
      </c>
      <c r="O472" s="2">
        <f t="shared" si="468"/>
        <v>-2.5186000000000002</v>
      </c>
      <c r="P472" s="2">
        <v>68</v>
      </c>
      <c r="Q472" s="2">
        <v>0.99</v>
      </c>
      <c r="R472" s="5">
        <f t="shared" si="469"/>
        <v>-1.0087807186722011</v>
      </c>
      <c r="S472" s="5">
        <f t="shared" si="470"/>
        <v>0.99</v>
      </c>
      <c r="T472" s="1">
        <v>6250</v>
      </c>
      <c r="U472" s="2">
        <v>-1.28</v>
      </c>
      <c r="V472" s="2">
        <f t="shared" si="471"/>
        <v>-0.47065991311675281</v>
      </c>
      <c r="W472" s="2">
        <f t="shared" si="472"/>
        <v>-1.28</v>
      </c>
      <c r="X472" s="2">
        <v>-0.76470000000000005</v>
      </c>
      <c r="Y472" s="76">
        <f t="shared" si="508"/>
        <v>0.37783101089692595</v>
      </c>
      <c r="Z472" s="76">
        <f t="shared" si="509"/>
        <v>1</v>
      </c>
      <c r="AA472" s="2">
        <f t="shared" si="473"/>
        <v>-1.5142500000000001</v>
      </c>
      <c r="AB472" s="2">
        <f t="shared" si="474"/>
        <v>-0.76470000000000005</v>
      </c>
      <c r="AC472" s="2">
        <v>70</v>
      </c>
      <c r="AD472" s="2">
        <v>-1.56</v>
      </c>
      <c r="AE472" s="79">
        <f t="shared" si="510"/>
        <v>-2.0175614373444022</v>
      </c>
      <c r="AF472" s="79">
        <f t="shared" si="511"/>
        <v>-2</v>
      </c>
      <c r="AG472" s="2">
        <f t="shared" si="461"/>
        <v>-0.62</v>
      </c>
      <c r="AH472" s="2">
        <f t="shared" si="475"/>
        <v>-1.56</v>
      </c>
      <c r="AI472" s="2">
        <v>7500</v>
      </c>
      <c r="AJ472" s="2">
        <v>-1.46</v>
      </c>
      <c r="AK472" s="76">
        <f t="shared" si="512"/>
        <v>-0.94131982623350563</v>
      </c>
      <c r="AL472" s="76">
        <f t="shared" si="513"/>
        <v>-2</v>
      </c>
      <c r="AM472" s="2">
        <f t="shared" si="476"/>
        <v>-0.13</v>
      </c>
      <c r="AN472" s="2">
        <f t="shared" si="477"/>
        <v>-1.46</v>
      </c>
      <c r="AO472" s="2">
        <v>-2.0385</v>
      </c>
      <c r="AP472" s="2">
        <f t="shared" si="478"/>
        <v>-1.070406934239853</v>
      </c>
      <c r="AQ472" s="2">
        <f t="shared" si="479"/>
        <v>-2.0385</v>
      </c>
      <c r="AR472" s="2">
        <v>80</v>
      </c>
      <c r="AS472" s="2">
        <v>-0.25</v>
      </c>
      <c r="AT472" s="2">
        <f t="shared" si="480"/>
        <v>0.72307336982547998</v>
      </c>
      <c r="AU472" s="2">
        <f t="shared" si="481"/>
        <v>-0.25</v>
      </c>
      <c r="AV472" s="2">
        <v>8500</v>
      </c>
      <c r="AW472" s="2">
        <v>-1.54</v>
      </c>
      <c r="AX472" s="2">
        <f t="shared" si="482"/>
        <v>-0.51719613155236344</v>
      </c>
      <c r="AY472" s="2">
        <f t="shared" si="483"/>
        <v>-1.54</v>
      </c>
      <c r="AZ472" s="2">
        <v>-2.9055138684797059</v>
      </c>
      <c r="BA472" s="78">
        <f t="shared" si="514"/>
        <v>-2.140813868479706</v>
      </c>
      <c r="BB472" s="78">
        <f t="shared" si="515"/>
        <v>-2</v>
      </c>
      <c r="BC472" s="2">
        <f t="shared" si="484"/>
        <v>-0.44313149290753406</v>
      </c>
      <c r="BD472" s="2">
        <f t="shared" si="485"/>
        <v>-2.9055138684797059</v>
      </c>
      <c r="BE472" s="67">
        <f t="shared" si="516"/>
        <v>2</v>
      </c>
      <c r="BF472" s="2">
        <v>85</v>
      </c>
      <c r="BG472" s="2">
        <v>-0.11385326034904</v>
      </c>
      <c r="BH472" s="2">
        <f t="shared" si="486"/>
        <v>-1.9140189177672701E-2</v>
      </c>
      <c r="BI472" s="2">
        <f t="shared" si="487"/>
        <v>-0.11385326034904</v>
      </c>
      <c r="BJ472" s="67">
        <f t="shared" si="488"/>
        <v>7</v>
      </c>
      <c r="BK472" s="2">
        <v>9500</v>
      </c>
      <c r="BL472" s="2">
        <v>-2.4943922631047268</v>
      </c>
      <c r="BM472" s="77">
        <f t="shared" si="517"/>
        <v>-1.0343922631047269</v>
      </c>
      <c r="BN472" s="77">
        <f t="shared" si="518"/>
        <v>-2</v>
      </c>
      <c r="BO472" s="2">
        <f t="shared" si="489"/>
        <v>-0.23477611216316566</v>
      </c>
      <c r="BP472" s="2">
        <f t="shared" si="490"/>
        <v>-2.4943922631047268</v>
      </c>
      <c r="BQ472" s="67">
        <f t="shared" si="519"/>
        <v>4</v>
      </c>
      <c r="BR472" s="5">
        <v>-3.3678944787226022</v>
      </c>
      <c r="BS472" s="75">
        <f t="shared" si="520"/>
        <v>-0.46238061024289623</v>
      </c>
      <c r="BT472" s="75">
        <f t="shared" si="521"/>
        <v>-1</v>
      </c>
      <c r="BU472" s="5" t="str">
        <f t="shared" si="528"/>
        <v>UF</v>
      </c>
      <c r="BV472" s="5">
        <f t="shared" si="491"/>
        <v>-3.3678944787226022</v>
      </c>
      <c r="BW472" s="69">
        <f t="shared" si="492"/>
        <v>1</v>
      </c>
      <c r="BX472" s="2">
        <v>93</v>
      </c>
      <c r="BY472" s="5">
        <v>-0.30742056753301811</v>
      </c>
      <c r="BZ472" s="74">
        <f t="shared" si="522"/>
        <v>2.1869716955717089</v>
      </c>
      <c r="CA472" s="74">
        <f t="shared" si="523"/>
        <v>2</v>
      </c>
      <c r="CB472" s="5" t="str">
        <f t="shared" si="493"/>
        <v/>
      </c>
      <c r="CC472" s="5">
        <f t="shared" si="494"/>
        <v>-0.30742056753301811</v>
      </c>
      <c r="CD472" s="2">
        <f t="shared" si="495"/>
        <v>-0.1935673071839781</v>
      </c>
      <c r="CE472" s="69">
        <f t="shared" si="496"/>
        <v>7</v>
      </c>
      <c r="CF472" s="5">
        <v>11000</v>
      </c>
      <c r="CG472" s="5">
        <v>-2.244328336489497</v>
      </c>
      <c r="CH472" s="72">
        <f t="shared" si="524"/>
        <v>0.2500639266152298</v>
      </c>
      <c r="CI472" s="72">
        <f t="shared" si="525"/>
        <v>1</v>
      </c>
      <c r="CJ472" s="5" t="str">
        <f t="shared" si="497"/>
        <v/>
      </c>
      <c r="CK472" s="5">
        <f t="shared" si="498"/>
        <v>-2.244328336489497</v>
      </c>
      <c r="CL472" s="69">
        <f t="shared" si="499"/>
        <v>4</v>
      </c>
      <c r="CN472" s="70" t="str">
        <f t="shared" si="500"/>
        <v/>
      </c>
      <c r="CO472" s="5" t="str">
        <f t="shared" si="501"/>
        <v>UF</v>
      </c>
      <c r="CP472" s="5" t="str">
        <f>IF(G472&lt;48,"UF", IF(NOT(ISBLANK(CM:CM)), CM:CM, IF(BW:BW=1, BV:BV+Sheet2!B218, IF(Sheet1!BW:BW=2, Sheet1!BV:BV+Sheet2!B219, IF(Sheet1!BW:BW=7, Sheet1!BV:BV+Sheet2!B220,"")))))</f>
        <v>UF</v>
      </c>
      <c r="CQ472" s="69" t="str">
        <f t="shared" si="526"/>
        <v/>
      </c>
      <c r="CR472" s="5" t="s">
        <v>12</v>
      </c>
      <c r="CT472" s="5" t="str">
        <f t="shared" si="502"/>
        <v/>
      </c>
      <c r="CU472" s="80" t="str">
        <f t="shared" si="503"/>
        <v>UF</v>
      </c>
      <c r="CV472" s="80" t="str">
        <f t="shared" si="504"/>
        <v>UF</v>
      </c>
      <c r="CW472" s="20" t="str">
        <f>IF(G472&lt;48,"UF", IF(NOT(ISBLANK(CS472)), CS472, IF(CE472=5, CC472+Sheet2!B207, IF(CE472=6, CC472+Sheet2!B208, IF(CE472=7, CC472+Sheet2!B209,"")))))</f>
        <v>UF</v>
      </c>
      <c r="CX472" s="68" t="str">
        <f t="shared" si="527"/>
        <v/>
      </c>
      <c r="CY472" s="5" t="s">
        <v>12</v>
      </c>
      <c r="DA472" s="5" t="str">
        <f t="shared" si="505"/>
        <v>UF</v>
      </c>
      <c r="DB472" s="73" t="str">
        <f t="shared" si="506"/>
        <v>UF</v>
      </c>
      <c r="DC472" s="73" t="str">
        <f t="shared" si="507"/>
        <v>UF</v>
      </c>
      <c r="DD472" s="5" t="str">
        <f>IF(G472&lt;48,"UF", IF(NOT(ISBLANK(CZ:CZ)), CZ:CZ, IF(CL:CL=3, CK:CK+Sheet2!B212, IF(CL:CL=4, CK:CK+Sheet2!B213, IF(CL:CL=7, CK:CK+Sheet2!B214,"")))))</f>
        <v>UF</v>
      </c>
      <c r="DE472" s="69" t="str">
        <f t="shared" si="463"/>
        <v/>
      </c>
      <c r="DF472" s="2">
        <v>2</v>
      </c>
      <c r="DG472" s="2">
        <v>22</v>
      </c>
      <c r="DH472" s="2">
        <v>2</v>
      </c>
      <c r="DI472" s="2">
        <v>2</v>
      </c>
      <c r="DJ472" s="2">
        <v>2</v>
      </c>
      <c r="DK472" s="2">
        <v>110</v>
      </c>
      <c r="DL472" s="2">
        <v>56</v>
      </c>
      <c r="DM472" s="2">
        <v>100</v>
      </c>
      <c r="DN472" s="2">
        <v>60</v>
      </c>
      <c r="DO472" s="2">
        <v>100</v>
      </c>
      <c r="DP472" s="2">
        <v>60</v>
      </c>
      <c r="DQ472" s="2">
        <v>2</v>
      </c>
      <c r="DR472" s="2">
        <v>41</v>
      </c>
      <c r="DS472" s="2">
        <v>2</v>
      </c>
      <c r="DT472" s="2">
        <v>79</v>
      </c>
      <c r="DU472" s="2">
        <v>76</v>
      </c>
      <c r="DV472" s="2">
        <v>2</v>
      </c>
      <c r="DW472" s="2">
        <v>2</v>
      </c>
      <c r="DX472" s="2">
        <v>2</v>
      </c>
      <c r="DY472" s="2">
        <v>3</v>
      </c>
      <c r="DZ472" s="2">
        <v>35</v>
      </c>
      <c r="EA472" s="2">
        <v>35.5</v>
      </c>
      <c r="EB472" s="2">
        <v>45</v>
      </c>
      <c r="EC472" s="2">
        <v>1</v>
      </c>
      <c r="ED472" s="2">
        <v>1</v>
      </c>
    </row>
    <row r="473" spans="2:134" x14ac:dyDescent="0.25">
      <c r="C473" s="8" t="s">
        <v>250</v>
      </c>
      <c r="D473" s="8">
        <v>6560223221</v>
      </c>
      <c r="E473" s="5">
        <v>7</v>
      </c>
      <c r="F473" s="2">
        <v>1</v>
      </c>
      <c r="G473" s="2">
        <v>30</v>
      </c>
      <c r="H473" s="2">
        <v>-6.8923665528016322E-3</v>
      </c>
      <c r="I473" s="2">
        <v>49</v>
      </c>
      <c r="J473" s="2">
        <v>-7.9294265603816944E-2</v>
      </c>
      <c r="K473" s="2">
        <v>3200</v>
      </c>
      <c r="L473" s="2">
        <v>-7.0518060756779827E-2</v>
      </c>
      <c r="M473" s="2">
        <v>-0.57540000000000002</v>
      </c>
      <c r="N473" s="2">
        <f t="shared" si="467"/>
        <v>-2.8353816723599184E-2</v>
      </c>
      <c r="O473" s="2">
        <f t="shared" si="468"/>
        <v>-0.57540000000000002</v>
      </c>
      <c r="P473" s="2">
        <v>66.5</v>
      </c>
      <c r="Q473" s="2">
        <v>0.33</v>
      </c>
      <c r="R473" s="5">
        <f t="shared" si="469"/>
        <v>0.23464713280190846</v>
      </c>
      <c r="S473" s="5">
        <f t="shared" si="470"/>
        <v>0.33</v>
      </c>
      <c r="T473" s="2">
        <v>7100</v>
      </c>
      <c r="U473" s="2">
        <v>-0.23</v>
      </c>
      <c r="V473" s="2">
        <f t="shared" si="471"/>
        <v>0.12525903037838992</v>
      </c>
      <c r="W473" s="2">
        <f t="shared" si="472"/>
        <v>-0.23</v>
      </c>
      <c r="X473" s="2">
        <v>-6.3600000000000004E-2</v>
      </c>
      <c r="Y473" s="76">
        <f t="shared" si="508"/>
        <v>-5.6707633447198369E-2</v>
      </c>
      <c r="Z473" s="76">
        <f t="shared" si="509"/>
        <v>-1</v>
      </c>
      <c r="AA473" s="2" t="str">
        <f t="shared" si="473"/>
        <v/>
      </c>
      <c r="AB473" s="2">
        <f t="shared" si="474"/>
        <v>-6.3600000000000004E-2</v>
      </c>
      <c r="AC473" s="2">
        <v>75</v>
      </c>
      <c r="AD473" s="2">
        <v>0.39</v>
      </c>
      <c r="AE473" s="79">
        <f t="shared" si="510"/>
        <v>0.46929426560381693</v>
      </c>
      <c r="AF473" s="79">
        <f t="shared" si="511"/>
        <v>1</v>
      </c>
      <c r="AG473" s="2" t="str">
        <f t="shared" si="461"/>
        <v/>
      </c>
      <c r="AH473" s="2">
        <f t="shared" si="475"/>
        <v>0.39</v>
      </c>
      <c r="AI473" s="2">
        <v>9150</v>
      </c>
      <c r="AJ473" s="2">
        <v>0.18</v>
      </c>
      <c r="AK473" s="76">
        <f t="shared" si="512"/>
        <v>0.25051806075677985</v>
      </c>
      <c r="AL473" s="76">
        <f t="shared" si="513"/>
        <v>1</v>
      </c>
      <c r="AM473" s="2" t="str">
        <f t="shared" si="476"/>
        <v/>
      </c>
      <c r="AN473" s="2">
        <f t="shared" si="477"/>
        <v>0.18</v>
      </c>
      <c r="AP473" s="2">
        <f t="shared" si="478"/>
        <v>-0.27477877734430778</v>
      </c>
      <c r="AQ473" s="2">
        <f t="shared" si="479"/>
        <v>-0.33837877734430777</v>
      </c>
      <c r="AR473" s="2" t="s">
        <v>12</v>
      </c>
      <c r="AT473" s="2">
        <f t="shared" si="480"/>
        <v>-0.39009245770642581</v>
      </c>
      <c r="AU473" s="2">
        <f t="shared" si="481"/>
        <v>-9.2457706425796982E-5</v>
      </c>
      <c r="AV473" s="2" t="s">
        <v>12</v>
      </c>
      <c r="AX473" s="2">
        <f t="shared" si="482"/>
        <v>-0.5627886470645892</v>
      </c>
      <c r="AY473" s="2">
        <f t="shared" si="483"/>
        <v>-0.3827886470645892</v>
      </c>
      <c r="AZ473" s="2">
        <v>-0.61315755468861555</v>
      </c>
      <c r="BA473" s="78">
        <f t="shared" si="514"/>
        <v>-0.54955755468861556</v>
      </c>
      <c r="BB473" s="78">
        <f t="shared" si="515"/>
        <v>-1</v>
      </c>
      <c r="BC473" s="2" t="str">
        <f t="shared" si="484"/>
        <v/>
      </c>
      <c r="BD473" s="2">
        <f t="shared" si="485"/>
        <v>-0.61315755468861555</v>
      </c>
      <c r="BE473" s="67">
        <f t="shared" si="516"/>
        <v>7</v>
      </c>
      <c r="BF473" s="2">
        <v>85</v>
      </c>
      <c r="BG473" s="2">
        <v>-0.39018491541285161</v>
      </c>
      <c r="BH473" s="2" t="str">
        <f t="shared" si="486"/>
        <v/>
      </c>
      <c r="BI473" s="2">
        <f t="shared" si="487"/>
        <v>-0.39018491541285161</v>
      </c>
      <c r="BJ473" s="67">
        <f t="shared" si="488"/>
        <v>7</v>
      </c>
      <c r="BK473" s="2">
        <v>11000</v>
      </c>
      <c r="BL473" s="2">
        <v>-0.94557729412917846</v>
      </c>
      <c r="BM473" s="77">
        <f t="shared" si="517"/>
        <v>-1.1255772941291784</v>
      </c>
      <c r="BN473" s="77">
        <f t="shared" si="518"/>
        <v>-2</v>
      </c>
      <c r="BO473" s="2" t="str">
        <f t="shared" si="489"/>
        <v/>
      </c>
      <c r="BP473" s="2">
        <f t="shared" si="490"/>
        <v>-0.94557729412917846</v>
      </c>
      <c r="BQ473" s="67">
        <f t="shared" si="519"/>
        <v>7</v>
      </c>
      <c r="BS473" s="75" t="str">
        <f t="shared" si="520"/>
        <v>UF</v>
      </c>
      <c r="BT473" s="75" t="str">
        <f t="shared" si="521"/>
        <v>UF</v>
      </c>
      <c r="BU473" s="5" t="str">
        <f t="shared" si="528"/>
        <v/>
      </c>
      <c r="BV473" s="5" t="str">
        <f t="shared" si="491"/>
        <v>UF</v>
      </c>
      <c r="BW473" s="69" t="str">
        <f t="shared" si="492"/>
        <v/>
      </c>
      <c r="BX473" s="2" t="s">
        <v>12</v>
      </c>
      <c r="BZ473" s="74" t="str">
        <f t="shared" si="522"/>
        <v>UF</v>
      </c>
      <c r="CA473" s="74" t="str">
        <f t="shared" si="523"/>
        <v>UF</v>
      </c>
      <c r="CB473" s="5" t="str">
        <f t="shared" si="493"/>
        <v>UF</v>
      </c>
      <c r="CC473" s="5" t="str">
        <f t="shared" si="494"/>
        <v>UF</v>
      </c>
      <c r="CD473" s="2" t="e">
        <f t="shared" si="495"/>
        <v>#VALUE!</v>
      </c>
      <c r="CE473" s="69" t="str">
        <f t="shared" si="496"/>
        <v/>
      </c>
      <c r="CF473" s="5" t="s">
        <v>12</v>
      </c>
      <c r="CH473" s="72" t="str">
        <f t="shared" si="524"/>
        <v>UF</v>
      </c>
      <c r="CI473" s="72" t="str">
        <f t="shared" si="525"/>
        <v>UF</v>
      </c>
      <c r="CJ473" s="5" t="str">
        <f t="shared" si="497"/>
        <v>UF</v>
      </c>
      <c r="CK473" s="5" t="str">
        <f t="shared" si="498"/>
        <v>UF</v>
      </c>
      <c r="CL473" s="69" t="str">
        <f t="shared" si="499"/>
        <v/>
      </c>
      <c r="CN473" s="70" t="str">
        <f t="shared" si="500"/>
        <v/>
      </c>
      <c r="CO473" s="5" t="str">
        <f t="shared" si="501"/>
        <v>UF</v>
      </c>
      <c r="CP473" s="5" t="str">
        <f>IF(G473&lt;48,"UF", IF(NOT(ISBLANK(CM:CM)), CM:CM, IF(BW:BW=1, BV:BV+Sheet2!B443, IF(Sheet1!BW:BW=2, Sheet1!BV:BV+Sheet2!B444, IF(Sheet1!BW:BW=7, Sheet1!BV:BV+Sheet2!B445,"")))))</f>
        <v>UF</v>
      </c>
      <c r="CQ473" s="69" t="str">
        <f t="shared" si="526"/>
        <v/>
      </c>
      <c r="CR473" s="5" t="s">
        <v>12</v>
      </c>
      <c r="CT473" s="5" t="str">
        <f t="shared" si="502"/>
        <v/>
      </c>
      <c r="CU473" s="80" t="str">
        <f t="shared" si="503"/>
        <v>UF</v>
      </c>
      <c r="CV473" s="80" t="str">
        <f t="shared" si="504"/>
        <v>UF</v>
      </c>
      <c r="CW473" s="20" t="str">
        <f>IF(G473&lt;48,"UF", IF(NOT(ISBLANK(CS473)), CS473, IF(CE473=5, CC473+Sheet2!B432, IF(CE473=6, CC473+Sheet2!B433, IF(CE473=7, CC473+Sheet2!B434,"")))))</f>
        <v>UF</v>
      </c>
      <c r="CX473" s="68" t="str">
        <f t="shared" si="527"/>
        <v/>
      </c>
      <c r="CY473" s="5" t="s">
        <v>12</v>
      </c>
      <c r="DA473" s="5" t="str">
        <f t="shared" si="505"/>
        <v>UF</v>
      </c>
      <c r="DB473" s="73" t="str">
        <f t="shared" si="506"/>
        <v>UF</v>
      </c>
      <c r="DC473" s="73" t="str">
        <f t="shared" si="507"/>
        <v>UF</v>
      </c>
      <c r="DD473" s="5" t="str">
        <f>IF(G473&lt;48,"UF", IF(NOT(ISBLANK(CZ:CZ)), CZ:CZ, IF(CL:CL=3, CK:CK+Sheet2!B437, IF(CL:CL=4, CK:CK+Sheet2!B438, IF(CL:CL=7, CK:CK+Sheet2!B439,"")))))</f>
        <v>UF</v>
      </c>
      <c r="DE473" s="69" t="str">
        <f t="shared" si="463"/>
        <v/>
      </c>
      <c r="DF473" s="2">
        <v>2</v>
      </c>
      <c r="DG473" s="2">
        <v>31</v>
      </c>
      <c r="DH473" s="2">
        <v>1</v>
      </c>
      <c r="DI473" s="2">
        <v>2</v>
      </c>
      <c r="DJ473" s="2">
        <v>2</v>
      </c>
      <c r="DK473" s="2">
        <v>110</v>
      </c>
      <c r="DL473" s="2">
        <v>60</v>
      </c>
      <c r="DM473" s="2">
        <v>100</v>
      </c>
      <c r="DN473" s="2">
        <v>60</v>
      </c>
      <c r="DO473" s="2">
        <v>106</v>
      </c>
      <c r="DP473" s="2">
        <v>66</v>
      </c>
      <c r="DQ473" s="2">
        <v>2</v>
      </c>
      <c r="DR473" s="2">
        <v>39</v>
      </c>
      <c r="DS473" s="2">
        <v>2</v>
      </c>
      <c r="DT473" s="2">
        <v>81</v>
      </c>
      <c r="DU473" s="2">
        <v>83</v>
      </c>
      <c r="DV473" s="2">
        <v>2</v>
      </c>
      <c r="DW473" s="2">
        <v>2</v>
      </c>
      <c r="DX473" s="2">
        <v>2</v>
      </c>
      <c r="DY473" s="2">
        <v>2</v>
      </c>
      <c r="DZ473" s="2">
        <v>33</v>
      </c>
      <c r="EA473" s="2">
        <v>34</v>
      </c>
      <c r="EB473" s="2">
        <v>44.5</v>
      </c>
      <c r="EC473" s="2">
        <v>1</v>
      </c>
      <c r="ED473" s="2">
        <v>1</v>
      </c>
    </row>
    <row r="474" spans="2:134" x14ac:dyDescent="0.25">
      <c r="B474" s="2"/>
      <c r="C474" s="2" t="s">
        <v>407</v>
      </c>
      <c r="D474" s="2">
        <v>6560224163</v>
      </c>
      <c r="E474" s="5">
        <v>2</v>
      </c>
      <c r="F474" s="2">
        <v>2</v>
      </c>
      <c r="G474" s="2">
        <v>33</v>
      </c>
      <c r="H474">
        <v>-2.339298111696706</v>
      </c>
      <c r="I474" s="2">
        <v>52</v>
      </c>
      <c r="J474">
        <v>1.117633928075521</v>
      </c>
      <c r="K474" s="5">
        <v>2920</v>
      </c>
      <c r="L474" s="2">
        <v>-0.91160906230240757</v>
      </c>
      <c r="M474" s="2">
        <v>-3.4038129266965669</v>
      </c>
      <c r="N474" s="2">
        <f t="shared" si="467"/>
        <v>-0.18946678242057047</v>
      </c>
      <c r="O474" s="2">
        <f t="shared" si="468"/>
        <v>-3.4038129266965669</v>
      </c>
      <c r="P474" s="2">
        <v>68</v>
      </c>
      <c r="Q474" s="2">
        <v>-0.17099953273877919</v>
      </c>
      <c r="R474" s="5">
        <f t="shared" si="469"/>
        <v>-0.72977608842174613</v>
      </c>
      <c r="S474" s="5">
        <f t="shared" si="470"/>
        <v>-0.17099953273877919</v>
      </c>
      <c r="T474" s="1">
        <v>6100</v>
      </c>
      <c r="U474" s="2">
        <v>-2.565193184855628</v>
      </c>
      <c r="V474" s="2">
        <f t="shared" si="471"/>
        <v>-0.59063442401258026</v>
      </c>
      <c r="W474" s="2">
        <f t="shared" si="472"/>
        <v>-2.565193184855628</v>
      </c>
      <c r="X474" s="2">
        <v>-2.7182316765378469</v>
      </c>
      <c r="Y474" s="76">
        <f t="shared" si="508"/>
        <v>-0.37893356484114094</v>
      </c>
      <c r="Z474" s="76">
        <f t="shared" si="509"/>
        <v>-1</v>
      </c>
      <c r="AA474" s="2">
        <f t="shared" si="473"/>
        <v>-0.85204175540267335</v>
      </c>
      <c r="AB474" s="2">
        <f t="shared" si="474"/>
        <v>-2.7182316765378469</v>
      </c>
      <c r="AC474" s="2">
        <v>75.5</v>
      </c>
      <c r="AD474" s="2">
        <v>-0.34191824876797139</v>
      </c>
      <c r="AE474" s="79">
        <f t="shared" si="510"/>
        <v>-1.4595521768434923</v>
      </c>
      <c r="AF474" s="79">
        <f t="shared" si="511"/>
        <v>-2</v>
      </c>
      <c r="AG474" s="2">
        <f t="shared" si="461"/>
        <v>-0.78057140490923393</v>
      </c>
      <c r="AH474" s="2">
        <f t="shared" si="475"/>
        <v>-0.34191824876797139</v>
      </c>
      <c r="AI474" s="2">
        <v>7750</v>
      </c>
      <c r="AJ474" s="2">
        <v>-2.0928779103275681</v>
      </c>
      <c r="AK474" s="76">
        <f t="shared" si="512"/>
        <v>-1.1812688480251605</v>
      </c>
      <c r="AL474" s="76">
        <f t="shared" si="513"/>
        <v>-2</v>
      </c>
      <c r="AM474" s="2">
        <f t="shared" si="476"/>
        <v>0.11434079852897039</v>
      </c>
      <c r="AN474" s="2">
        <f t="shared" si="477"/>
        <v>-2.0928779103275681</v>
      </c>
      <c r="AO474" s="2">
        <v>-1.8750830435441259</v>
      </c>
      <c r="AP474" s="2">
        <f t="shared" si="478"/>
        <v>-0.47282868209807161</v>
      </c>
      <c r="AQ474" s="2">
        <f t="shared" si="479"/>
        <v>-1.8750830435441259</v>
      </c>
      <c r="AR474" s="2">
        <v>78</v>
      </c>
      <c r="AS474" s="2">
        <v>-1.7321423425572471</v>
      </c>
      <c r="AT474" s="2">
        <f t="shared" si="480"/>
        <v>0.47570164831762074</v>
      </c>
      <c r="AU474" s="2">
        <f t="shared" si="481"/>
        <v>-1.7321423425572471</v>
      </c>
      <c r="AV474" s="2">
        <v>8500</v>
      </c>
      <c r="AW474" s="2">
        <v>-2.3365115877976872</v>
      </c>
      <c r="AX474" s="2">
        <f t="shared" si="482"/>
        <v>8.6840847537446586E-2</v>
      </c>
      <c r="AY474" s="2">
        <f t="shared" si="483"/>
        <v>-2.3365115877976872</v>
      </c>
      <c r="AZ474" s="2">
        <v>-3.6638890407339901</v>
      </c>
      <c r="BA474" s="78">
        <f t="shared" si="514"/>
        <v>-0.94565736419614321</v>
      </c>
      <c r="BB474" s="78">
        <f t="shared" si="515"/>
        <v>-2</v>
      </c>
      <c r="BC474" s="2" t="str">
        <f t="shared" si="484"/>
        <v/>
      </c>
      <c r="BD474" s="2">
        <f t="shared" si="485"/>
        <v>-3.6638890407339901</v>
      </c>
      <c r="BE474" s="67">
        <f t="shared" si="516"/>
        <v>1</v>
      </c>
      <c r="BF474" s="2">
        <v>89</v>
      </c>
      <c r="BG474" s="2">
        <v>0.60948504786727009</v>
      </c>
      <c r="BH474" s="2" t="str">
        <f t="shared" si="486"/>
        <v/>
      </c>
      <c r="BI474" s="2">
        <f t="shared" si="487"/>
        <v>0.60948504786727009</v>
      </c>
      <c r="BJ474" s="67">
        <f t="shared" si="488"/>
        <v>7</v>
      </c>
      <c r="BK474" s="2">
        <v>10400</v>
      </c>
      <c r="BL474" s="2">
        <v>-1.9191962152526749</v>
      </c>
      <c r="BM474" s="77">
        <f t="shared" si="517"/>
        <v>0.17368169507489317</v>
      </c>
      <c r="BN474" s="77">
        <f t="shared" si="518"/>
        <v>1</v>
      </c>
      <c r="BO474" s="2" t="str">
        <f t="shared" si="489"/>
        <v/>
      </c>
      <c r="BP474" s="2">
        <f t="shared" si="490"/>
        <v>-1.9191962152526749</v>
      </c>
      <c r="BQ474" s="67">
        <f t="shared" si="519"/>
        <v>7</v>
      </c>
      <c r="BR474" s="2"/>
      <c r="BS474" s="75" t="str">
        <f t="shared" si="520"/>
        <v>UF</v>
      </c>
      <c r="BT474" s="75" t="str">
        <f t="shared" si="521"/>
        <v>UF</v>
      </c>
      <c r="BU474" s="5" t="str">
        <f t="shared" si="528"/>
        <v/>
      </c>
      <c r="BV474" s="5" t="str">
        <f t="shared" si="491"/>
        <v>UF</v>
      </c>
      <c r="BW474" s="69" t="str">
        <f t="shared" si="492"/>
        <v/>
      </c>
      <c r="BX474" s="2" t="s">
        <v>12</v>
      </c>
      <c r="BY474" s="2"/>
      <c r="BZ474" s="74" t="str">
        <f t="shared" si="522"/>
        <v>UF</v>
      </c>
      <c r="CA474" s="74" t="str">
        <f t="shared" si="523"/>
        <v>UF</v>
      </c>
      <c r="CB474" s="5" t="str">
        <f t="shared" si="493"/>
        <v>UF</v>
      </c>
      <c r="CC474" s="5" t="str">
        <f t="shared" si="494"/>
        <v>UF</v>
      </c>
      <c r="CD474" s="2" t="e">
        <f t="shared" si="495"/>
        <v>#VALUE!</v>
      </c>
      <c r="CE474" s="69" t="str">
        <f t="shared" si="496"/>
        <v/>
      </c>
      <c r="CF474" s="5" t="s">
        <v>12</v>
      </c>
      <c r="CG474" s="2"/>
      <c r="CH474" s="72" t="str">
        <f t="shared" si="524"/>
        <v>UF</v>
      </c>
      <c r="CI474" s="72" t="str">
        <f t="shared" si="525"/>
        <v>UF</v>
      </c>
      <c r="CJ474" s="5" t="str">
        <f t="shared" si="497"/>
        <v>UF</v>
      </c>
      <c r="CK474" s="5" t="str">
        <f t="shared" si="498"/>
        <v>UF</v>
      </c>
      <c r="CL474" s="69" t="str">
        <f t="shared" si="499"/>
        <v/>
      </c>
      <c r="CM474" s="2"/>
      <c r="CN474" s="70" t="str">
        <f t="shared" si="500"/>
        <v/>
      </c>
      <c r="CO474" s="5" t="str">
        <f t="shared" si="501"/>
        <v>UF</v>
      </c>
      <c r="CP474" s="5" t="str">
        <f>IF(G474&lt;48,"UF", IF(NOT(ISBLANK(CM:CM)), CM:CM, IF(BW:BW=1, BV:BV+Sheet2!B614, IF(Sheet1!BW:BW=2, Sheet1!BV:BV+Sheet2!B615, IF(Sheet1!BW:BW=7, Sheet1!BV:BV+Sheet2!B616,"")))))</f>
        <v>UF</v>
      </c>
      <c r="CQ474" s="69" t="str">
        <f t="shared" si="526"/>
        <v/>
      </c>
      <c r="CR474" s="5" t="s">
        <v>12</v>
      </c>
      <c r="CS474" s="2"/>
      <c r="CT474" s="5" t="str">
        <f t="shared" si="502"/>
        <v/>
      </c>
      <c r="CU474" s="80" t="str">
        <f t="shared" si="503"/>
        <v>UF</v>
      </c>
      <c r="CV474" s="80" t="str">
        <f t="shared" si="504"/>
        <v>UF</v>
      </c>
      <c r="CW474" s="20" t="str">
        <f>IF(G474&lt;48,"UF", IF(NOT(ISBLANK(CS474)), CS474, IF(CE474=5, CC474+Sheet2!B603, IF(CE474=6, CC474+Sheet2!B604, IF(CE474=7, CC474+Sheet2!B605,"")))))</f>
        <v>UF</v>
      </c>
      <c r="CX474" s="68" t="str">
        <f t="shared" si="527"/>
        <v/>
      </c>
      <c r="CY474" s="5" t="s">
        <v>12</v>
      </c>
      <c r="DA474" s="5" t="str">
        <f t="shared" si="505"/>
        <v>UF</v>
      </c>
      <c r="DB474" s="73" t="str">
        <f t="shared" si="506"/>
        <v>UF</v>
      </c>
      <c r="DC474" s="73" t="str">
        <f t="shared" si="507"/>
        <v>UF</v>
      </c>
      <c r="DD474" s="5" t="str">
        <f>IF(G474&lt;48,"UF", IF(NOT(ISBLANK(CZ:CZ)), CZ:CZ, IF(CL:CL=3, CK:CK+Sheet2!B608, IF(CL:CL=4, CK:CK+Sheet2!B609, IF(CL:CL=7, CK:CK+Sheet2!B610,"")))))</f>
        <v>UF</v>
      </c>
      <c r="DE474" s="69" t="str">
        <f t="shared" si="463"/>
        <v/>
      </c>
      <c r="DF474" s="2">
        <v>3</v>
      </c>
      <c r="DG474" s="2">
        <v>33</v>
      </c>
      <c r="DH474" s="2">
        <v>1</v>
      </c>
      <c r="DI474" s="2">
        <v>2</v>
      </c>
      <c r="DJ474" s="2">
        <v>2</v>
      </c>
      <c r="DK474" s="2">
        <v>100</v>
      </c>
      <c r="DL474" s="2">
        <v>60</v>
      </c>
      <c r="DM474" s="2">
        <v>100</v>
      </c>
      <c r="DN474" s="2">
        <v>60</v>
      </c>
      <c r="DO474" s="2" t="s">
        <v>12</v>
      </c>
      <c r="DP474" s="2" t="s">
        <v>12</v>
      </c>
      <c r="DQ474" s="2">
        <v>2</v>
      </c>
      <c r="DR474" s="2">
        <v>37</v>
      </c>
      <c r="DS474" s="2">
        <v>2</v>
      </c>
      <c r="DT474" s="2">
        <v>85</v>
      </c>
      <c r="DU474" s="2">
        <v>85</v>
      </c>
      <c r="DV474" s="2">
        <v>2</v>
      </c>
      <c r="DW474" s="2">
        <v>3</v>
      </c>
      <c r="DX474" s="2">
        <v>2</v>
      </c>
      <c r="DY474" s="2">
        <v>3</v>
      </c>
      <c r="DZ474" s="2">
        <v>36</v>
      </c>
      <c r="EA474" s="2" t="s">
        <v>12</v>
      </c>
      <c r="EB474" s="2">
        <v>43.8</v>
      </c>
      <c r="EC474" s="2" t="s">
        <v>12</v>
      </c>
      <c r="ED474" s="2">
        <v>1</v>
      </c>
    </row>
    <row r="475" spans="2:134" x14ac:dyDescent="0.25">
      <c r="C475" t="s">
        <v>144</v>
      </c>
      <c r="D475" s="3">
        <v>6560225356</v>
      </c>
      <c r="E475" s="3">
        <v>7</v>
      </c>
      <c r="F475" s="2">
        <v>2</v>
      </c>
      <c r="G475" s="2">
        <v>30</v>
      </c>
      <c r="H475">
        <v>-0.26572167397563101</v>
      </c>
      <c r="I475" s="2">
        <v>51</v>
      </c>
      <c r="J475">
        <v>0.58940135287155082</v>
      </c>
      <c r="K475" s="2">
        <v>3400</v>
      </c>
      <c r="L475" s="2">
        <v>0.1091247039083435</v>
      </c>
      <c r="M475" s="2">
        <v>0.56009665601827774</v>
      </c>
      <c r="N475" s="2">
        <f t="shared" si="467"/>
        <v>0.76940288986578143</v>
      </c>
      <c r="O475" s="2">
        <f t="shared" si="468"/>
        <v>0.56009665601827774</v>
      </c>
      <c r="P475" s="2">
        <v>70</v>
      </c>
      <c r="Q475" s="2">
        <v>0.75708538465813213</v>
      </c>
      <c r="R475" s="5">
        <f t="shared" si="469"/>
        <v>5.511146539645434E-2</v>
      </c>
      <c r="S475" s="5">
        <f t="shared" si="470"/>
        <v>0.75708538465813213</v>
      </c>
      <c r="T475" s="2">
        <v>8900</v>
      </c>
      <c r="U475" s="2">
        <v>0.85330034505589947</v>
      </c>
      <c r="V475" s="2">
        <f t="shared" si="471"/>
        <v>0.61883591873984378</v>
      </c>
      <c r="W475" s="2">
        <f t="shared" si="472"/>
        <v>0.85330034505589947</v>
      </c>
      <c r="X475" s="2">
        <v>1.2730841057559319</v>
      </c>
      <c r="Y475" s="76">
        <f t="shared" si="508"/>
        <v>1.5388057797315629</v>
      </c>
      <c r="Z475" s="76">
        <f t="shared" si="509"/>
        <v>2</v>
      </c>
      <c r="AA475" s="2">
        <f t="shared" si="473"/>
        <v>-0.18161439403854712</v>
      </c>
      <c r="AB475" s="2">
        <f t="shared" si="474"/>
        <v>1.2730841057559319</v>
      </c>
      <c r="AC475" s="2">
        <v>78</v>
      </c>
      <c r="AD475" s="2">
        <v>0.6996242836644595</v>
      </c>
      <c r="AE475" s="79">
        <f t="shared" si="510"/>
        <v>0.11022293079290868</v>
      </c>
      <c r="AF475" s="79">
        <f t="shared" si="511"/>
        <v>1</v>
      </c>
      <c r="AG475" s="2">
        <f t="shared" si="461"/>
        <v>4.0303545698568533E-2</v>
      </c>
      <c r="AH475" s="2">
        <f t="shared" si="475"/>
        <v>0.6996242836644595</v>
      </c>
      <c r="AI475" s="2">
        <v>11300</v>
      </c>
      <c r="AJ475" s="2">
        <v>1.346796541388031</v>
      </c>
      <c r="AK475" s="76">
        <f t="shared" si="512"/>
        <v>1.2376718374796876</v>
      </c>
      <c r="AL475" s="76">
        <f t="shared" si="513"/>
        <v>2</v>
      </c>
      <c r="AM475" s="2">
        <f t="shared" si="476"/>
        <v>-4.9482879653428791E-2</v>
      </c>
      <c r="AN475" s="2">
        <f t="shared" si="477"/>
        <v>1.346796541388031</v>
      </c>
      <c r="AO475" s="2">
        <v>0.39385659658103789</v>
      </c>
      <c r="AP475" s="2">
        <f t="shared" si="478"/>
        <v>-0.81067557760656184</v>
      </c>
      <c r="AQ475" s="2">
        <f t="shared" si="479"/>
        <v>0.39385659658103789</v>
      </c>
      <c r="AR475" s="2">
        <v>85</v>
      </c>
      <c r="AS475" s="2">
        <v>0.8376924760552692</v>
      </c>
      <c r="AT475" s="2">
        <f t="shared" si="480"/>
        <v>2.6193152846165024E-2</v>
      </c>
      <c r="AU475" s="2">
        <f t="shared" si="481"/>
        <v>0.8376924760552692</v>
      </c>
      <c r="AV475" s="2">
        <v>12000</v>
      </c>
      <c r="AW475" s="2">
        <v>0.75433458574904189</v>
      </c>
      <c r="AX475" s="2">
        <f t="shared" si="482"/>
        <v>-0.61634264941905348</v>
      </c>
      <c r="AY475" s="2">
        <f t="shared" si="483"/>
        <v>0.75433458574904189</v>
      </c>
      <c r="AZ475" s="2">
        <v>-0.34826704945719172</v>
      </c>
      <c r="BA475" s="78">
        <f t="shared" si="514"/>
        <v>-1.6213511552131237</v>
      </c>
      <c r="BB475" s="78">
        <f t="shared" si="515"/>
        <v>-2</v>
      </c>
      <c r="BC475" s="2" t="str">
        <f t="shared" si="484"/>
        <v/>
      </c>
      <c r="BD475" s="2">
        <f t="shared" si="485"/>
        <v>-0.34826704945719172</v>
      </c>
      <c r="BE475" s="67">
        <f t="shared" si="516"/>
        <v>7</v>
      </c>
      <c r="BF475" s="2">
        <v>89.5</v>
      </c>
      <c r="BG475" s="2">
        <v>0.75201058935678955</v>
      </c>
      <c r="BH475" s="2" t="str">
        <f t="shared" si="486"/>
        <v/>
      </c>
      <c r="BI475" s="2">
        <f t="shared" si="487"/>
        <v>0.75201058935678955</v>
      </c>
      <c r="BJ475" s="67">
        <f t="shared" si="488"/>
        <v>7</v>
      </c>
      <c r="BK475" s="2">
        <v>12900</v>
      </c>
      <c r="BL475" s="2">
        <v>0.11411124254992409</v>
      </c>
      <c r="BM475" s="77">
        <f t="shared" si="517"/>
        <v>-1.232685298838107</v>
      </c>
      <c r="BN475" s="77">
        <f t="shared" si="518"/>
        <v>-2</v>
      </c>
      <c r="BO475" s="2" t="str">
        <f t="shared" si="489"/>
        <v/>
      </c>
      <c r="BP475" s="2">
        <f t="shared" si="490"/>
        <v>0.11411124254992409</v>
      </c>
      <c r="BQ475" s="67">
        <f t="shared" si="519"/>
        <v>7</v>
      </c>
      <c r="BR475" s="2"/>
      <c r="BS475" s="75" t="str">
        <f t="shared" si="520"/>
        <v>UF</v>
      </c>
      <c r="BT475" s="75" t="str">
        <f t="shared" si="521"/>
        <v>UF</v>
      </c>
      <c r="BU475" s="5" t="str">
        <f t="shared" si="528"/>
        <v/>
      </c>
      <c r="BV475" s="5" t="str">
        <f t="shared" si="491"/>
        <v>UF</v>
      </c>
      <c r="BW475" s="69" t="str">
        <f t="shared" si="492"/>
        <v/>
      </c>
      <c r="BX475" s="2" t="s">
        <v>12</v>
      </c>
      <c r="BY475" s="2"/>
      <c r="BZ475" s="74" t="str">
        <f t="shared" si="522"/>
        <v>UF</v>
      </c>
      <c r="CA475" s="74" t="str">
        <f t="shared" si="523"/>
        <v>UF</v>
      </c>
      <c r="CB475" s="5" t="str">
        <f t="shared" si="493"/>
        <v>UF</v>
      </c>
      <c r="CC475" s="5" t="str">
        <f t="shared" si="494"/>
        <v>UF</v>
      </c>
      <c r="CD475" s="2" t="e">
        <f t="shared" si="495"/>
        <v>#VALUE!</v>
      </c>
      <c r="CE475" s="69" t="str">
        <f t="shared" si="496"/>
        <v/>
      </c>
      <c r="CF475" s="5" t="s">
        <v>12</v>
      </c>
      <c r="CG475" s="2"/>
      <c r="CH475" s="72" t="str">
        <f t="shared" si="524"/>
        <v>UF</v>
      </c>
      <c r="CI475" s="72" t="str">
        <f t="shared" si="525"/>
        <v>UF</v>
      </c>
      <c r="CJ475" s="5" t="str">
        <f t="shared" si="497"/>
        <v>UF</v>
      </c>
      <c r="CK475" s="5" t="str">
        <f t="shared" si="498"/>
        <v>UF</v>
      </c>
      <c r="CL475" s="69" t="str">
        <f t="shared" si="499"/>
        <v/>
      </c>
      <c r="CM475" s="2"/>
      <c r="CN475" s="70" t="str">
        <f t="shared" si="500"/>
        <v/>
      </c>
      <c r="CO475" s="5" t="str">
        <f t="shared" si="501"/>
        <v>UF</v>
      </c>
      <c r="CP475" s="5" t="str">
        <f>IF(G475&lt;48,"UF", IF(NOT(ISBLANK(CM:CM)), CM:CM, IF(BW:BW=1, BV:BV+Sheet2!B647, IF(Sheet1!BW:BW=2, Sheet1!BV:BV+Sheet2!B648, IF(Sheet1!BW:BW=7, Sheet1!BV:BV+Sheet2!B649,"")))))</f>
        <v>UF</v>
      </c>
      <c r="CQ475" s="69" t="str">
        <f t="shared" si="526"/>
        <v/>
      </c>
      <c r="CR475" s="5" t="s">
        <v>12</v>
      </c>
      <c r="CS475" s="2"/>
      <c r="CT475" s="5" t="str">
        <f t="shared" si="502"/>
        <v/>
      </c>
      <c r="CU475" s="80" t="str">
        <f t="shared" si="503"/>
        <v>UF</v>
      </c>
      <c r="CV475" s="80" t="str">
        <f t="shared" si="504"/>
        <v>UF</v>
      </c>
      <c r="CW475" s="20" t="str">
        <f>IF(G475&lt;48,"UF", IF(NOT(ISBLANK(CS475)), CS475, IF(CE475=5, CC475+Sheet2!B636, IF(CE475=6, CC475+Sheet2!B637, IF(CE475=7, CC475+Sheet2!B638,"")))))</f>
        <v>UF</v>
      </c>
      <c r="CX475" s="68" t="str">
        <f t="shared" si="527"/>
        <v/>
      </c>
      <c r="CY475" s="5" t="s">
        <v>12</v>
      </c>
      <c r="DA475" s="5" t="str">
        <f t="shared" si="505"/>
        <v>UF</v>
      </c>
      <c r="DB475" s="73" t="str">
        <f t="shared" si="506"/>
        <v>UF</v>
      </c>
      <c r="DC475" s="73" t="str">
        <f t="shared" si="507"/>
        <v>UF</v>
      </c>
      <c r="DD475" s="5" t="str">
        <f>IF(G475&lt;48,"UF", IF(NOT(ISBLANK(CZ:CZ)), CZ:CZ, IF(CL:CL=3, CK:CK+Sheet2!B641, IF(CL:CL=4, CK:CK+Sheet2!B642, IF(CL:CL=7, CK:CK+Sheet2!B643,"")))))</f>
        <v>UF</v>
      </c>
      <c r="DE475" s="69" t="str">
        <f t="shared" si="463"/>
        <v/>
      </c>
      <c r="DF475" s="2">
        <v>1</v>
      </c>
      <c r="DG475" s="2">
        <v>23</v>
      </c>
      <c r="DH475" s="2">
        <v>2</v>
      </c>
      <c r="DI475" s="2">
        <v>1</v>
      </c>
      <c r="DJ475" s="2">
        <v>2</v>
      </c>
      <c r="DK475" s="2">
        <v>110</v>
      </c>
      <c r="DL475" s="2">
        <v>60</v>
      </c>
      <c r="DM475" s="2">
        <v>115</v>
      </c>
      <c r="DN475" s="2">
        <v>60</v>
      </c>
      <c r="DO475" s="2">
        <v>115</v>
      </c>
      <c r="DP475" s="2">
        <v>70</v>
      </c>
      <c r="DQ475" s="2">
        <v>2</v>
      </c>
      <c r="DR475" s="2">
        <v>39</v>
      </c>
      <c r="DS475" s="2">
        <v>2</v>
      </c>
      <c r="DT475" s="2">
        <v>79.5</v>
      </c>
      <c r="DU475" s="2">
        <v>71.5</v>
      </c>
      <c r="DV475" s="2">
        <v>2</v>
      </c>
      <c r="DW475" s="2">
        <v>2</v>
      </c>
      <c r="DX475" s="2">
        <v>2</v>
      </c>
      <c r="DY475" s="2">
        <v>2</v>
      </c>
      <c r="DZ475" s="2">
        <v>34</v>
      </c>
      <c r="EA475" s="2">
        <v>34.5</v>
      </c>
      <c r="EB475" s="2">
        <v>45.5</v>
      </c>
      <c r="EC475" s="2">
        <v>1</v>
      </c>
      <c r="ED475" s="2">
        <v>1</v>
      </c>
    </row>
    <row r="476" spans="2:134" x14ac:dyDescent="0.25">
      <c r="C476" s="8" t="s">
        <v>106</v>
      </c>
      <c r="D476" s="2">
        <v>6560226204</v>
      </c>
      <c r="E476" s="5" t="s">
        <v>534</v>
      </c>
      <c r="F476" s="2">
        <v>1</v>
      </c>
      <c r="G476" s="2">
        <v>28</v>
      </c>
      <c r="H476" s="2">
        <v>-1.142531010896926</v>
      </c>
      <c r="I476" s="2">
        <v>50</v>
      </c>
      <c r="J476" s="2">
        <v>0.45756143734440202</v>
      </c>
      <c r="K476" s="5">
        <v>3000</v>
      </c>
      <c r="L476" s="2">
        <v>-0.51868017376649433</v>
      </c>
      <c r="M476" s="2">
        <v>-2.9586999999999999</v>
      </c>
      <c r="N476" s="2" t="str">
        <f t="shared" si="467"/>
        <v/>
      </c>
      <c r="O476" s="2">
        <f t="shared" si="468"/>
        <v>-2.9586999999999999</v>
      </c>
      <c r="P476" s="2">
        <v>62</v>
      </c>
      <c r="Q476" s="2">
        <v>-1.65</v>
      </c>
      <c r="R476" s="5" t="str">
        <f t="shared" si="469"/>
        <v/>
      </c>
      <c r="S476" s="5">
        <f t="shared" si="470"/>
        <v>-1.65</v>
      </c>
      <c r="T476" s="1">
        <v>5000</v>
      </c>
      <c r="U476" s="2">
        <v>-3.14</v>
      </c>
      <c r="V476" s="2" t="str">
        <f t="shared" si="471"/>
        <v/>
      </c>
      <c r="W476" s="2">
        <f t="shared" si="472"/>
        <v>-3.14</v>
      </c>
      <c r="Y476" s="76">
        <f t="shared" si="508"/>
        <v>-1.821668989103074</v>
      </c>
      <c r="Z476" s="76">
        <f t="shared" si="509"/>
        <v>-2</v>
      </c>
      <c r="AA476" s="2">
        <f t="shared" si="473"/>
        <v>-5.5000000000000604E-3</v>
      </c>
      <c r="AB476" s="2">
        <f t="shared" si="474"/>
        <v>-2.9641999999999999</v>
      </c>
      <c r="AC476" s="2" t="s">
        <v>12</v>
      </c>
      <c r="AE476" s="79">
        <f t="shared" si="510"/>
        <v>-2.2675614373444022</v>
      </c>
      <c r="AF476" s="79">
        <f t="shared" si="511"/>
        <v>-2</v>
      </c>
      <c r="AG476" s="2">
        <f t="shared" si="461"/>
        <v>-0.16000000000000003</v>
      </c>
      <c r="AH476" s="2">
        <f t="shared" si="475"/>
        <v>-1.81</v>
      </c>
      <c r="AI476" s="2" t="s">
        <v>12</v>
      </c>
      <c r="AK476" s="76">
        <f t="shared" si="512"/>
        <v>-2.2513198262335057</v>
      </c>
      <c r="AL476" s="76">
        <f t="shared" si="513"/>
        <v>-2</v>
      </c>
      <c r="AM476" s="2">
        <f t="shared" si="476"/>
        <v>0.37000000000000011</v>
      </c>
      <c r="AN476" s="2">
        <f t="shared" si="477"/>
        <v>-2.77</v>
      </c>
      <c r="AO476" s="2">
        <v>-1.661</v>
      </c>
      <c r="AP476" s="2">
        <f t="shared" si="478"/>
        <v>0.39935633514644442</v>
      </c>
      <c r="AQ476" s="2">
        <f t="shared" si="479"/>
        <v>-1.661</v>
      </c>
      <c r="AR476" s="2">
        <v>75</v>
      </c>
      <c r="AS476" s="2">
        <v>-1.97</v>
      </c>
      <c r="AT476" s="2">
        <f t="shared" si="480"/>
        <v>6.1475266085459057E-2</v>
      </c>
      <c r="AU476" s="2">
        <f t="shared" si="481"/>
        <v>-1.97</v>
      </c>
      <c r="AV476" s="2">
        <v>7700</v>
      </c>
      <c r="AW476" s="2">
        <v>-2.4</v>
      </c>
      <c r="AX476" s="2">
        <f t="shared" si="482"/>
        <v>-0.33548515593339356</v>
      </c>
      <c r="AY476" s="2">
        <f t="shared" si="483"/>
        <v>-2.4</v>
      </c>
      <c r="AZ476" s="2">
        <v>-2.1654873297071111</v>
      </c>
      <c r="BA476" s="78">
        <f t="shared" si="514"/>
        <v>0.79871267029288884</v>
      </c>
      <c r="BB476" s="78">
        <f t="shared" si="515"/>
        <v>2</v>
      </c>
      <c r="BC476" s="2" t="str">
        <f t="shared" si="484"/>
        <v/>
      </c>
      <c r="BD476" s="2">
        <f t="shared" si="485"/>
        <v>-2.1654873297071111</v>
      </c>
      <c r="BE476" s="67">
        <f t="shared" si="516"/>
        <v>2</v>
      </c>
      <c r="BF476" s="2">
        <v>79.5</v>
      </c>
      <c r="BG476" s="2">
        <v>-1.6870494678290819</v>
      </c>
      <c r="BH476" s="2" t="str">
        <f t="shared" si="486"/>
        <v/>
      </c>
      <c r="BI476" s="2">
        <f t="shared" si="487"/>
        <v>-1.6870494678290819</v>
      </c>
      <c r="BJ476" s="67">
        <f t="shared" si="488"/>
        <v>7</v>
      </c>
      <c r="BK476" s="2">
        <v>8750</v>
      </c>
      <c r="BL476" s="2">
        <v>-3.4409703118667871</v>
      </c>
      <c r="BM476" s="77">
        <f t="shared" si="517"/>
        <v>-0.67097031186678713</v>
      </c>
      <c r="BN476" s="77">
        <f t="shared" si="518"/>
        <v>-2</v>
      </c>
      <c r="BO476" s="2" t="str">
        <f t="shared" si="489"/>
        <v/>
      </c>
      <c r="BP476" s="2">
        <f t="shared" si="490"/>
        <v>-3.4409703118667871</v>
      </c>
      <c r="BQ476" s="67">
        <f t="shared" si="519"/>
        <v>3</v>
      </c>
      <c r="BS476" s="75" t="str">
        <f t="shared" si="520"/>
        <v>UF</v>
      </c>
      <c r="BT476" s="75" t="str">
        <f t="shared" si="521"/>
        <v>UF</v>
      </c>
      <c r="BU476" s="5" t="str">
        <f t="shared" si="528"/>
        <v/>
      </c>
      <c r="BV476" s="5" t="str">
        <f t="shared" si="491"/>
        <v>UF</v>
      </c>
      <c r="BW476" s="69" t="str">
        <f t="shared" si="492"/>
        <v/>
      </c>
      <c r="BX476" s="2" t="s">
        <v>12</v>
      </c>
      <c r="BZ476" s="74" t="str">
        <f t="shared" si="522"/>
        <v>UF</v>
      </c>
      <c r="CA476" s="74" t="str">
        <f t="shared" si="523"/>
        <v>UF</v>
      </c>
      <c r="CB476" s="5" t="str">
        <f t="shared" si="493"/>
        <v>UF</v>
      </c>
      <c r="CC476" s="5" t="str">
        <f t="shared" si="494"/>
        <v>UF</v>
      </c>
      <c r="CD476" s="2" t="e">
        <f t="shared" si="495"/>
        <v>#VALUE!</v>
      </c>
      <c r="CE476" s="69" t="str">
        <f t="shared" si="496"/>
        <v/>
      </c>
      <c r="CF476" s="5" t="s">
        <v>12</v>
      </c>
      <c r="CH476" s="72" t="str">
        <f t="shared" si="524"/>
        <v>UF</v>
      </c>
      <c r="CI476" s="72" t="str">
        <f t="shared" si="525"/>
        <v>UF</v>
      </c>
      <c r="CJ476" s="5" t="str">
        <f t="shared" si="497"/>
        <v>UF</v>
      </c>
      <c r="CK476" s="5" t="str">
        <f t="shared" si="498"/>
        <v>UF</v>
      </c>
      <c r="CL476" s="69" t="str">
        <f t="shared" si="499"/>
        <v/>
      </c>
      <c r="CN476" s="70" t="str">
        <f t="shared" si="500"/>
        <v/>
      </c>
      <c r="CO476" s="5" t="str">
        <f t="shared" si="501"/>
        <v>UF</v>
      </c>
      <c r="CP476" s="5" t="str">
        <f>IF(G476&lt;48,"UF", IF(NOT(ISBLANK(CM:CM)), CM:CM, IF(BW:BW=1, BV:BV+Sheet2!B94, IF(Sheet1!BW:BW=2, Sheet1!BV:BV+Sheet2!B95, IF(Sheet1!BW:BW=7, Sheet1!BV:BV+Sheet2!B96,"")))))</f>
        <v>UF</v>
      </c>
      <c r="CQ476" s="69" t="str">
        <f t="shared" si="526"/>
        <v/>
      </c>
      <c r="CR476" s="5" t="s">
        <v>12</v>
      </c>
      <c r="CT476" s="5" t="str">
        <f t="shared" si="502"/>
        <v/>
      </c>
      <c r="CU476" s="80" t="str">
        <f t="shared" si="503"/>
        <v>UF</v>
      </c>
      <c r="CV476" s="80" t="str">
        <f t="shared" si="504"/>
        <v>UF</v>
      </c>
      <c r="CW476" s="20" t="str">
        <f>IF(G476&lt;48,"UF", IF(NOT(ISBLANK(CS476)), CS476, IF(CE476=5, CC476+Sheet2!B83, IF(CE476=6, CC476+Sheet2!B84, IF(CE476=7, CC476+Sheet2!B85,"")))))</f>
        <v>UF</v>
      </c>
      <c r="CX476" s="68" t="str">
        <f t="shared" si="527"/>
        <v/>
      </c>
      <c r="CY476" s="5" t="s">
        <v>12</v>
      </c>
      <c r="DA476" s="5" t="str">
        <f t="shared" si="505"/>
        <v>UF</v>
      </c>
      <c r="DB476" s="73" t="str">
        <f t="shared" si="506"/>
        <v>UF</v>
      </c>
      <c r="DC476" s="73" t="str">
        <f t="shared" si="507"/>
        <v>UF</v>
      </c>
      <c r="DD476" s="5" t="str">
        <f>IF(G476&lt;48,"UF", IF(NOT(ISBLANK(CZ:CZ)), CZ:CZ, IF(CL:CL=3, CK:CK+Sheet2!B88, IF(CL:CL=4, CK:CK+Sheet2!B89, IF(CL:CL=7, CK:CK+Sheet2!B90,"")))))</f>
        <v>UF</v>
      </c>
      <c r="DE476" s="69" t="str">
        <f t="shared" si="463"/>
        <v/>
      </c>
      <c r="DF476" s="2">
        <v>2</v>
      </c>
      <c r="DG476" s="2">
        <v>31</v>
      </c>
      <c r="DH476" s="2">
        <v>1</v>
      </c>
      <c r="DI476" s="2">
        <v>1</v>
      </c>
      <c r="DJ476" s="2">
        <v>2</v>
      </c>
      <c r="DK476" s="2">
        <v>110</v>
      </c>
      <c r="DL476" s="2">
        <v>70</v>
      </c>
      <c r="DM476" s="2">
        <v>110</v>
      </c>
      <c r="DN476" s="2">
        <v>60</v>
      </c>
      <c r="DO476" s="2">
        <v>100</v>
      </c>
      <c r="DP476" s="2">
        <v>60</v>
      </c>
      <c r="DQ476" s="2">
        <v>2</v>
      </c>
      <c r="DR476" s="2">
        <v>39</v>
      </c>
      <c r="DS476" s="2">
        <v>2</v>
      </c>
      <c r="DT476" s="2">
        <v>76</v>
      </c>
      <c r="DU476" s="2">
        <v>66</v>
      </c>
      <c r="DV476" s="2">
        <v>2</v>
      </c>
      <c r="DW476" s="2">
        <v>2</v>
      </c>
      <c r="DX476" s="2">
        <v>4</v>
      </c>
      <c r="DY476" s="2">
        <v>2</v>
      </c>
      <c r="DZ476" s="2">
        <v>33</v>
      </c>
      <c r="EA476" s="2">
        <v>34</v>
      </c>
      <c r="EB476" s="2" t="s">
        <v>12</v>
      </c>
      <c r="EC476" s="2">
        <v>1</v>
      </c>
      <c r="ED476" s="2" t="s">
        <v>12</v>
      </c>
    </row>
    <row r="477" spans="2:134" x14ac:dyDescent="0.25">
      <c r="C477" t="s">
        <v>419</v>
      </c>
      <c r="D477" s="3">
        <v>6560227146</v>
      </c>
      <c r="E477" s="3">
        <v>7</v>
      </c>
      <c r="F477" s="2">
        <v>2</v>
      </c>
      <c r="G477" s="2">
        <v>27</v>
      </c>
      <c r="H477">
        <v>-1.662492497594678</v>
      </c>
      <c r="I477" s="2">
        <v>56</v>
      </c>
      <c r="J477">
        <v>3.2305642288913949</v>
      </c>
      <c r="K477" s="2">
        <v>3600</v>
      </c>
      <c r="L477" s="2">
        <v>0.50669087134292667</v>
      </c>
      <c r="M477" s="2">
        <v>-0.56394862247497946</v>
      </c>
      <c r="N477" s="2">
        <f t="shared" si="467"/>
        <v>0.25407993222115399</v>
      </c>
      <c r="O477" s="2">
        <f t="shared" si="468"/>
        <v>-0.56394862247497946</v>
      </c>
      <c r="P477" s="2">
        <v>69.5</v>
      </c>
      <c r="Q477" s="2">
        <v>0.52506415530890782</v>
      </c>
      <c r="R477" s="5">
        <f t="shared" si="469"/>
        <v>-1.8903954920729258</v>
      </c>
      <c r="S477" s="5">
        <f t="shared" si="470"/>
        <v>0.52506415530890782</v>
      </c>
      <c r="T477" s="2">
        <v>8000</v>
      </c>
      <c r="U477" s="2">
        <v>-0.12715240459380839</v>
      </c>
      <c r="V477" s="2">
        <f t="shared" si="471"/>
        <v>-0.82908182227020344</v>
      </c>
      <c r="W477" s="2">
        <f t="shared" si="472"/>
        <v>-0.12715240459380839</v>
      </c>
      <c r="X477" s="2">
        <v>-1.15433263315237</v>
      </c>
      <c r="Y477" s="76">
        <f t="shared" si="508"/>
        <v>0.50815986444230798</v>
      </c>
      <c r="Z477" s="76">
        <f t="shared" si="509"/>
        <v>1</v>
      </c>
      <c r="AA477" s="2">
        <f t="shared" si="473"/>
        <v>-1.1020544915321995</v>
      </c>
      <c r="AB477" s="2">
        <f t="shared" si="474"/>
        <v>-1.15433263315237</v>
      </c>
      <c r="AC477" s="2">
        <v>75</v>
      </c>
      <c r="AD477" s="2">
        <v>-0.55022675525445686</v>
      </c>
      <c r="AE477" s="79">
        <f t="shared" si="510"/>
        <v>-3.7807909841458516</v>
      </c>
      <c r="AF477" s="79">
        <f t="shared" si="511"/>
        <v>-2</v>
      </c>
      <c r="AG477" s="2">
        <f t="shared" si="461"/>
        <v>-2.7245469527714811E-2</v>
      </c>
      <c r="AH477" s="2">
        <f t="shared" si="475"/>
        <v>-0.55022675525445686</v>
      </c>
      <c r="AI477" s="2">
        <v>8600</v>
      </c>
      <c r="AJ477" s="2">
        <v>-1.1514727731974801</v>
      </c>
      <c r="AK477" s="76">
        <f t="shared" si="512"/>
        <v>-1.6581636445404069</v>
      </c>
      <c r="AL477" s="76">
        <f t="shared" si="513"/>
        <v>-2</v>
      </c>
      <c r="AM477" s="2">
        <f t="shared" si="476"/>
        <v>-0.37754306513929914</v>
      </c>
      <c r="AN477" s="2">
        <f t="shared" si="477"/>
        <v>-1.1514727731974801</v>
      </c>
      <c r="AO477" s="2">
        <v>-1.679044827755491</v>
      </c>
      <c r="AP477" s="2">
        <f t="shared" si="478"/>
        <v>-0.17617819876809448</v>
      </c>
      <c r="AQ477" s="2">
        <f t="shared" si="479"/>
        <v>-1.679044827755491</v>
      </c>
      <c r="AR477" s="2">
        <v>84</v>
      </c>
      <c r="AS477" s="2">
        <v>0.4705732162534782</v>
      </c>
      <c r="AT477" s="2">
        <f t="shared" si="480"/>
        <v>0.43733903343696517</v>
      </c>
      <c r="AU477" s="2">
        <f t="shared" si="481"/>
        <v>0.4705732162534782</v>
      </c>
      <c r="AV477" s="2">
        <v>10000</v>
      </c>
      <c r="AW477" s="2">
        <v>-0.88223853487240667</v>
      </c>
      <c r="AX477" s="2">
        <f t="shared" si="482"/>
        <v>9.6533004815658352E-2</v>
      </c>
      <c r="AY477" s="2">
        <f t="shared" si="483"/>
        <v>-0.88223853487240667</v>
      </c>
      <c r="AZ477" s="2">
        <v>-1.506689030688559</v>
      </c>
      <c r="BA477" s="78">
        <f t="shared" si="514"/>
        <v>-0.35235639753618897</v>
      </c>
      <c r="BB477" s="78">
        <f t="shared" si="515"/>
        <v>-1</v>
      </c>
      <c r="BC477" s="2" t="str">
        <f t="shared" si="484"/>
        <v/>
      </c>
      <c r="BD477" s="2">
        <f t="shared" si="485"/>
        <v>-1.506689030688559</v>
      </c>
      <c r="BE477" s="67">
        <f t="shared" si="516"/>
        <v>7</v>
      </c>
      <c r="BF477" s="2">
        <v>88</v>
      </c>
      <c r="BG477" s="2">
        <v>0.32445131161947349</v>
      </c>
      <c r="BH477" s="2" t="str">
        <f t="shared" si="486"/>
        <v/>
      </c>
      <c r="BI477" s="2">
        <f t="shared" si="487"/>
        <v>0.32445131161947349</v>
      </c>
      <c r="BJ477" s="67">
        <f t="shared" si="488"/>
        <v>7</v>
      </c>
      <c r="BK477" s="2">
        <v>11500</v>
      </c>
      <c r="BL477" s="2">
        <v>-0.95840676356616339</v>
      </c>
      <c r="BM477" s="77">
        <f t="shared" si="517"/>
        <v>0.1930660096313167</v>
      </c>
      <c r="BN477" s="77">
        <f t="shared" si="518"/>
        <v>1</v>
      </c>
      <c r="BO477" s="2" t="str">
        <f t="shared" si="489"/>
        <v/>
      </c>
      <c r="BP477" s="2">
        <f t="shared" si="490"/>
        <v>-0.95840676356616339</v>
      </c>
      <c r="BQ477" s="67">
        <f t="shared" si="519"/>
        <v>7</v>
      </c>
      <c r="BR477" s="2"/>
      <c r="BS477" s="75" t="str">
        <f t="shared" si="520"/>
        <v>UF</v>
      </c>
      <c r="BT477" s="75" t="str">
        <f t="shared" si="521"/>
        <v>UF</v>
      </c>
      <c r="BU477" s="5" t="str">
        <f t="shared" ref="BU477:BU483" si="529">IF(G485&gt;=36, IF(AND(NOT(ISBLANK(CM:CM)), NOT(ISBLANK(BD:BD))), (CM:CM-BD:BD)/2, ""), "UF")</f>
        <v/>
      </c>
      <c r="BV477" s="5" t="str">
        <f t="shared" si="491"/>
        <v>UF</v>
      </c>
      <c r="BW477" s="69" t="str">
        <f t="shared" si="492"/>
        <v/>
      </c>
      <c r="BX477" s="2" t="s">
        <v>12</v>
      </c>
      <c r="BY477" s="2"/>
      <c r="BZ477" s="74" t="str">
        <f t="shared" si="522"/>
        <v>UF</v>
      </c>
      <c r="CA477" s="74" t="str">
        <f t="shared" si="523"/>
        <v>UF</v>
      </c>
      <c r="CB477" s="5" t="str">
        <f t="shared" si="493"/>
        <v>UF</v>
      </c>
      <c r="CC477" s="5" t="str">
        <f t="shared" si="494"/>
        <v>UF</v>
      </c>
      <c r="CD477" s="2" t="e">
        <f t="shared" si="495"/>
        <v>#VALUE!</v>
      </c>
      <c r="CE477" s="69" t="str">
        <f t="shared" si="496"/>
        <v/>
      </c>
      <c r="CF477" s="5" t="s">
        <v>12</v>
      </c>
      <c r="CG477" s="2"/>
      <c r="CH477" s="72" t="str">
        <f t="shared" si="524"/>
        <v>UF</v>
      </c>
      <c r="CI477" s="72" t="str">
        <f t="shared" si="525"/>
        <v>UF</v>
      </c>
      <c r="CJ477" s="5" t="str">
        <f t="shared" si="497"/>
        <v>UF</v>
      </c>
      <c r="CK477" s="5" t="str">
        <f t="shared" si="498"/>
        <v>UF</v>
      </c>
      <c r="CL477" s="69" t="str">
        <f t="shared" si="499"/>
        <v/>
      </c>
      <c r="CM477" s="2"/>
      <c r="CN477" s="70" t="str">
        <f t="shared" si="500"/>
        <v/>
      </c>
      <c r="CO477" s="5" t="str">
        <f t="shared" si="501"/>
        <v>UF</v>
      </c>
      <c r="CP477" s="5" t="str">
        <f>IF(G477&lt;48,"UF", IF(NOT(ISBLANK(CM:CM)), CM:CM, IF(BW:BW=1, BV:BV+Sheet2!B643, IF(Sheet1!BW:BW=2, Sheet1!BV:BV+Sheet2!B644, IF(Sheet1!BW:BW=7, Sheet1!BV:BV+Sheet2!B645,"")))))</f>
        <v>UF</v>
      </c>
      <c r="CQ477" s="69" t="str">
        <f t="shared" si="526"/>
        <v/>
      </c>
      <c r="CR477" s="5" t="s">
        <v>12</v>
      </c>
      <c r="CS477" s="2"/>
      <c r="CT477" s="5" t="str">
        <f t="shared" si="502"/>
        <v/>
      </c>
      <c r="CU477" s="80" t="str">
        <f t="shared" si="503"/>
        <v>UF</v>
      </c>
      <c r="CV477" s="80" t="str">
        <f t="shared" si="504"/>
        <v>UF</v>
      </c>
      <c r="CW477" s="20" t="str">
        <f>IF(G477&lt;48,"UF", IF(NOT(ISBLANK(CS477)), CS477, IF(CE477=5, CC477+Sheet2!B632, IF(CE477=6, CC477+Sheet2!B633, IF(CE477=7, CC477+Sheet2!B634,"")))))</f>
        <v>UF</v>
      </c>
      <c r="CX477" s="68" t="str">
        <f t="shared" si="527"/>
        <v/>
      </c>
      <c r="CY477" s="5" t="s">
        <v>12</v>
      </c>
      <c r="DA477" s="5" t="str">
        <f t="shared" si="505"/>
        <v>UF</v>
      </c>
      <c r="DB477" s="73" t="str">
        <f t="shared" si="506"/>
        <v>UF</v>
      </c>
      <c r="DC477" s="73" t="str">
        <f t="shared" si="507"/>
        <v>UF</v>
      </c>
      <c r="DD477" s="5" t="str">
        <f>IF(G477&lt;48,"UF", IF(NOT(ISBLANK(CZ:CZ)), CZ:CZ, IF(CL:CL=3, CK:CK+Sheet2!B637, IF(CL:CL=4, CK:CK+Sheet2!B638, IF(CL:CL=7, CK:CK+Sheet2!B639,"")))))</f>
        <v>UF</v>
      </c>
      <c r="DE477" s="69" t="str">
        <f t="shared" si="463"/>
        <v/>
      </c>
      <c r="DF477" s="2">
        <v>5</v>
      </c>
      <c r="DG477" s="2">
        <v>37</v>
      </c>
      <c r="DH477" s="2">
        <v>2</v>
      </c>
      <c r="DI477" s="2">
        <v>2</v>
      </c>
      <c r="DJ477" s="2">
        <v>2</v>
      </c>
      <c r="DK477" s="2">
        <v>107</v>
      </c>
      <c r="DL477" s="2">
        <v>67</v>
      </c>
      <c r="DM477" s="2">
        <v>107</v>
      </c>
      <c r="DN477" s="2">
        <v>67</v>
      </c>
      <c r="DO477" s="2" t="s">
        <v>12</v>
      </c>
      <c r="DP477" s="2" t="s">
        <v>12</v>
      </c>
      <c r="DQ477" s="2">
        <v>2</v>
      </c>
      <c r="DR477" s="2">
        <v>36</v>
      </c>
      <c r="DS477" s="2">
        <v>2</v>
      </c>
      <c r="DT477" s="2">
        <v>92</v>
      </c>
      <c r="DU477" s="2">
        <v>87</v>
      </c>
      <c r="DV477" s="2">
        <v>2</v>
      </c>
      <c r="DW477" s="2">
        <v>2</v>
      </c>
      <c r="DX477" s="2">
        <v>2</v>
      </c>
      <c r="DY477" s="2">
        <v>3</v>
      </c>
      <c r="DZ477" s="2">
        <v>34</v>
      </c>
      <c r="EA477" s="2">
        <v>34.5</v>
      </c>
      <c r="EB477" s="2">
        <v>47</v>
      </c>
      <c r="EC477" s="2">
        <v>1</v>
      </c>
      <c r="ED477" s="2">
        <v>1</v>
      </c>
    </row>
    <row r="478" spans="2:134" x14ac:dyDescent="0.25">
      <c r="C478" s="10" t="s">
        <v>120</v>
      </c>
      <c r="D478" s="8">
        <v>6560227626</v>
      </c>
      <c r="E478" s="3">
        <v>7</v>
      </c>
      <c r="F478" s="2">
        <v>2</v>
      </c>
      <c r="G478" s="2">
        <v>26</v>
      </c>
      <c r="H478" s="2">
        <v>-1.8249827403763419</v>
      </c>
      <c r="I478" s="2">
        <v>51.5</v>
      </c>
      <c r="J478" s="2">
        <v>0.85351764047353285</v>
      </c>
      <c r="K478" s="5">
        <v>3000</v>
      </c>
      <c r="L478" s="2">
        <v>-0.73426392472567259</v>
      </c>
      <c r="N478" s="2">
        <f t="shared" si="467"/>
        <v>0.52024137018817096</v>
      </c>
      <c r="O478" s="2">
        <f t="shared" si="468"/>
        <v>-1.3047413701881709</v>
      </c>
      <c r="P478" s="2" t="s">
        <v>12</v>
      </c>
      <c r="R478" s="5">
        <f t="shared" si="469"/>
        <v>-0.47675882023676641</v>
      </c>
      <c r="S478" s="5">
        <f t="shared" si="470"/>
        <v>0.37675882023676643</v>
      </c>
      <c r="T478" s="1" t="s">
        <v>12</v>
      </c>
      <c r="V478" s="2">
        <f t="shared" si="471"/>
        <v>5.2131962362836293E-2</v>
      </c>
      <c r="W478" s="2">
        <f t="shared" si="472"/>
        <v>-0.68213196236283635</v>
      </c>
      <c r="X478" s="2">
        <v>-0.78449999999999998</v>
      </c>
      <c r="Y478" s="76">
        <f t="shared" si="508"/>
        <v>1.0404827403763419</v>
      </c>
      <c r="Z478" s="76">
        <f t="shared" si="509"/>
        <v>2</v>
      </c>
      <c r="AA478" s="2">
        <f t="shared" si="473"/>
        <v>-0.58847941011838323</v>
      </c>
      <c r="AB478" s="2">
        <f t="shared" si="474"/>
        <v>-0.78449999999999998</v>
      </c>
      <c r="AC478" s="2">
        <v>75.5</v>
      </c>
      <c r="AD478" s="2">
        <v>-0.1</v>
      </c>
      <c r="AE478" s="79">
        <f t="shared" si="510"/>
        <v>-0.95351764047353282</v>
      </c>
      <c r="AF478" s="79">
        <f t="shared" si="511"/>
        <v>-2</v>
      </c>
      <c r="AG478" s="2">
        <f t="shared" si="461"/>
        <v>-0.23837941011838321</v>
      </c>
      <c r="AH478" s="2">
        <f t="shared" si="475"/>
        <v>-0.1</v>
      </c>
      <c r="AI478" s="2">
        <v>9000</v>
      </c>
      <c r="AJ478" s="2">
        <v>-0.63</v>
      </c>
      <c r="AK478" s="76">
        <f t="shared" si="512"/>
        <v>0.10426392472567259</v>
      </c>
      <c r="AL478" s="76">
        <f t="shared" si="513"/>
        <v>1</v>
      </c>
      <c r="AM478" s="2">
        <f t="shared" si="476"/>
        <v>2.6065981181418174E-2</v>
      </c>
      <c r="AN478" s="2">
        <f t="shared" si="477"/>
        <v>-0.63</v>
      </c>
      <c r="AO478" s="2">
        <v>-0.80020000000000002</v>
      </c>
      <c r="AP478" s="2" t="str">
        <f t="shared" si="478"/>
        <v/>
      </c>
      <c r="AQ478" s="2">
        <f t="shared" si="479"/>
        <v>-0.80020000000000002</v>
      </c>
      <c r="AR478" s="2">
        <v>82</v>
      </c>
      <c r="AS478" s="2">
        <v>-0.1</v>
      </c>
      <c r="AT478" s="2" t="str">
        <f t="shared" si="480"/>
        <v/>
      </c>
      <c r="AU478" s="2">
        <f t="shared" si="481"/>
        <v>-0.1</v>
      </c>
      <c r="AV478" s="2">
        <v>10200</v>
      </c>
      <c r="AW478" s="2">
        <v>-0.63</v>
      </c>
      <c r="AX478" s="2" t="str">
        <f t="shared" si="482"/>
        <v/>
      </c>
      <c r="AY478" s="2">
        <f t="shared" si="483"/>
        <v>-0.63</v>
      </c>
      <c r="BA478" s="78" t="e">
        <f t="shared" si="514"/>
        <v>#VALUE!</v>
      </c>
      <c r="BB478" s="78" t="e">
        <f t="shared" si="515"/>
        <v>#VALUE!</v>
      </c>
      <c r="BC478" s="2" t="str">
        <f t="shared" si="484"/>
        <v/>
      </c>
      <c r="BD478" s="2" t="e">
        <f t="shared" si="485"/>
        <v>#VALUE!</v>
      </c>
      <c r="BE478" s="67" t="e">
        <f t="shared" si="516"/>
        <v>#VALUE!</v>
      </c>
      <c r="BF478" s="2" t="s">
        <v>12</v>
      </c>
      <c r="BH478" s="2" t="str">
        <f t="shared" si="486"/>
        <v/>
      </c>
      <c r="BI478" s="2" t="e">
        <f t="shared" si="487"/>
        <v>#VALUE!</v>
      </c>
      <c r="BJ478" s="67" t="e">
        <f t="shared" si="488"/>
        <v>#VALUE!</v>
      </c>
      <c r="BK478" s="2" t="s">
        <v>12</v>
      </c>
      <c r="BM478" s="77" t="e">
        <f t="shared" si="517"/>
        <v>#VALUE!</v>
      </c>
      <c r="BN478" s="77" t="e">
        <f t="shared" si="518"/>
        <v>#VALUE!</v>
      </c>
      <c r="BO478" s="2" t="str">
        <f t="shared" si="489"/>
        <v/>
      </c>
      <c r="BP478" s="2" t="e">
        <f t="shared" si="490"/>
        <v>#VALUE!</v>
      </c>
      <c r="BQ478" s="67" t="e">
        <f t="shared" si="519"/>
        <v>#VALUE!</v>
      </c>
      <c r="BS478" s="75" t="str">
        <f t="shared" si="520"/>
        <v>UF</v>
      </c>
      <c r="BT478" s="75" t="str">
        <f t="shared" si="521"/>
        <v>UF</v>
      </c>
      <c r="BU478" s="5" t="str">
        <f t="shared" si="529"/>
        <v/>
      </c>
      <c r="BV478" s="5" t="str">
        <f t="shared" si="491"/>
        <v>UF</v>
      </c>
      <c r="BW478" s="69" t="str">
        <f t="shared" si="492"/>
        <v/>
      </c>
      <c r="BX478" s="2" t="s">
        <v>12</v>
      </c>
      <c r="BZ478" s="74" t="str">
        <f t="shared" si="522"/>
        <v>UF</v>
      </c>
      <c r="CA478" s="74" t="str">
        <f t="shared" si="523"/>
        <v>UF</v>
      </c>
      <c r="CB478" s="5" t="str">
        <f t="shared" si="493"/>
        <v>UF</v>
      </c>
      <c r="CC478" s="5" t="str">
        <f t="shared" si="494"/>
        <v>UF</v>
      </c>
      <c r="CD478" s="2" t="e">
        <f t="shared" si="495"/>
        <v>#VALUE!</v>
      </c>
      <c r="CE478" s="69" t="str">
        <f t="shared" si="496"/>
        <v/>
      </c>
      <c r="CF478" s="5" t="s">
        <v>12</v>
      </c>
      <c r="CH478" s="72" t="str">
        <f t="shared" si="524"/>
        <v>UF</v>
      </c>
      <c r="CI478" s="72" t="str">
        <f t="shared" si="525"/>
        <v>UF</v>
      </c>
      <c r="CJ478" s="5" t="str">
        <f t="shared" si="497"/>
        <v>UF</v>
      </c>
      <c r="CK478" s="5" t="str">
        <f t="shared" si="498"/>
        <v>UF</v>
      </c>
      <c r="CL478" s="69" t="str">
        <f t="shared" si="499"/>
        <v/>
      </c>
      <c r="CN478" s="70" t="str">
        <f t="shared" si="500"/>
        <v/>
      </c>
      <c r="CO478" s="5" t="str">
        <f t="shared" si="501"/>
        <v>UF</v>
      </c>
      <c r="CP478" s="5" t="str">
        <f>IF(G478&lt;48,"UF", IF(NOT(ISBLANK(CM:CM)), CM:CM, IF(BW:BW=1, BV:BV+Sheet2!B599, IF(Sheet1!BW:BW=2, Sheet1!BV:BV+Sheet2!B600, IF(Sheet1!BW:BW=7, Sheet1!BV:BV+Sheet2!B601,"")))))</f>
        <v>UF</v>
      </c>
      <c r="CQ478" s="69" t="str">
        <f t="shared" si="526"/>
        <v/>
      </c>
      <c r="CR478" s="5" t="s">
        <v>12</v>
      </c>
      <c r="CT478" s="5" t="str">
        <f t="shared" si="502"/>
        <v/>
      </c>
      <c r="CU478" s="80" t="str">
        <f t="shared" si="503"/>
        <v>UF</v>
      </c>
      <c r="CV478" s="80" t="str">
        <f t="shared" si="504"/>
        <v>UF</v>
      </c>
      <c r="CW478" s="20" t="str">
        <f>IF(G478&lt;48,"UF", IF(NOT(ISBLANK(CS478)), CS478, IF(CE478=5, CC478+Sheet2!B588, IF(CE478=6, CC478+Sheet2!B589, IF(CE478=7, CC478+Sheet2!B590,"")))))</f>
        <v>UF</v>
      </c>
      <c r="CX478" s="68" t="str">
        <f t="shared" si="527"/>
        <v/>
      </c>
      <c r="CY478" s="5" t="s">
        <v>12</v>
      </c>
      <c r="DA478" s="5" t="str">
        <f t="shared" si="505"/>
        <v>UF</v>
      </c>
      <c r="DB478" s="73" t="str">
        <f t="shared" si="506"/>
        <v>UF</v>
      </c>
      <c r="DC478" s="73" t="str">
        <f t="shared" si="507"/>
        <v>UF</v>
      </c>
      <c r="DD478" s="5" t="str">
        <f>IF(G478&lt;48,"UF", IF(NOT(ISBLANK(CZ:CZ)), CZ:CZ, IF(CL:CL=3, CK:CK+Sheet2!B593, IF(CL:CL=4, CK:CK+Sheet2!B594, IF(CL:CL=7, CK:CK+Sheet2!B595,"")))))</f>
        <v>UF</v>
      </c>
      <c r="DE478" s="69" t="str">
        <f t="shared" si="463"/>
        <v/>
      </c>
      <c r="DF478" s="2">
        <v>2</v>
      </c>
      <c r="DG478" s="2">
        <v>26</v>
      </c>
      <c r="DH478" s="2">
        <v>2</v>
      </c>
      <c r="DI478" s="2">
        <v>2</v>
      </c>
      <c r="DJ478" s="2">
        <v>2</v>
      </c>
      <c r="DK478" s="2">
        <v>101</v>
      </c>
      <c r="DL478" s="2">
        <v>66</v>
      </c>
      <c r="DM478" s="2">
        <v>113</v>
      </c>
      <c r="DN478" s="5">
        <v>71</v>
      </c>
      <c r="DO478" s="5">
        <v>110</v>
      </c>
      <c r="DP478" s="5">
        <v>59</v>
      </c>
      <c r="DQ478" s="2">
        <v>2</v>
      </c>
      <c r="DR478" s="2">
        <v>40</v>
      </c>
      <c r="DS478" s="2">
        <v>2</v>
      </c>
      <c r="DT478" s="2">
        <v>88</v>
      </c>
      <c r="DU478" s="2">
        <v>74</v>
      </c>
      <c r="DV478" s="2">
        <v>2</v>
      </c>
      <c r="DW478" s="2">
        <v>2</v>
      </c>
      <c r="DX478" s="2">
        <v>2</v>
      </c>
      <c r="DY478" s="2">
        <v>2</v>
      </c>
      <c r="DZ478" s="2">
        <v>33</v>
      </c>
      <c r="EA478" s="2">
        <v>35</v>
      </c>
      <c r="EB478" s="2">
        <v>45.5</v>
      </c>
      <c r="EC478" s="2">
        <v>1</v>
      </c>
      <c r="ED478" s="2">
        <v>1</v>
      </c>
    </row>
    <row r="479" spans="2:134" x14ac:dyDescent="0.25">
      <c r="C479" s="8" t="s">
        <v>322</v>
      </c>
      <c r="D479" s="2">
        <v>6560228207</v>
      </c>
      <c r="E479" s="5">
        <v>7</v>
      </c>
      <c r="F479" s="2">
        <v>1</v>
      </c>
      <c r="G479" s="2">
        <v>24</v>
      </c>
      <c r="H479" s="2">
        <v>-2.4946872635553139</v>
      </c>
      <c r="I479" s="2">
        <v>50</v>
      </c>
      <c r="J479" s="2">
        <v>0.45756143734440202</v>
      </c>
      <c r="K479" s="2">
        <v>2650</v>
      </c>
      <c r="L479" s="2">
        <v>-1.349779635002901</v>
      </c>
      <c r="M479" s="2">
        <v>-0.31440000000000001</v>
      </c>
      <c r="N479" s="2">
        <f t="shared" si="467"/>
        <v>1.124993631777657</v>
      </c>
      <c r="O479" s="2">
        <f t="shared" si="468"/>
        <v>-0.31440000000000001</v>
      </c>
      <c r="P479" s="2">
        <v>68</v>
      </c>
      <c r="Q479" s="2">
        <v>0.99</v>
      </c>
      <c r="R479" s="5">
        <f t="shared" si="469"/>
        <v>-0.61878071867220097</v>
      </c>
      <c r="S479" s="5">
        <f t="shared" si="470"/>
        <v>0.99</v>
      </c>
      <c r="T479" s="2">
        <v>7600</v>
      </c>
      <c r="U479" s="2">
        <v>0.33</v>
      </c>
      <c r="V479" s="2">
        <f t="shared" si="471"/>
        <v>0.3648898175014505</v>
      </c>
      <c r="W479" s="2">
        <f t="shared" si="472"/>
        <v>0.33</v>
      </c>
      <c r="X479" s="2">
        <v>-0.2447</v>
      </c>
      <c r="Y479" s="76">
        <f t="shared" si="508"/>
        <v>2.249987263555314</v>
      </c>
      <c r="Z479" s="76">
        <f t="shared" si="509"/>
        <v>2</v>
      </c>
      <c r="AA479" s="2">
        <f t="shared" si="473"/>
        <v>-1.2361499999999999</v>
      </c>
      <c r="AB479" s="2">
        <f t="shared" si="474"/>
        <v>-0.2447</v>
      </c>
      <c r="AC479" s="2">
        <v>72</v>
      </c>
      <c r="AD479" s="2">
        <v>-0.78</v>
      </c>
      <c r="AE479" s="79">
        <f t="shared" si="510"/>
        <v>-1.2375614373444019</v>
      </c>
      <c r="AF479" s="79">
        <f t="shared" si="511"/>
        <v>-2</v>
      </c>
      <c r="AG479" s="2">
        <f t="shared" si="461"/>
        <v>-0.53</v>
      </c>
      <c r="AH479" s="2">
        <f t="shared" si="475"/>
        <v>-0.78</v>
      </c>
      <c r="AI479" s="2">
        <v>8300</v>
      </c>
      <c r="AJ479" s="2">
        <v>-0.62</v>
      </c>
      <c r="AK479" s="76">
        <f t="shared" si="512"/>
        <v>0.72977963500290099</v>
      </c>
      <c r="AL479" s="76">
        <f t="shared" si="513"/>
        <v>2</v>
      </c>
      <c r="AM479" s="2">
        <f t="shared" si="476"/>
        <v>-0.69500000000000006</v>
      </c>
      <c r="AN479" s="2">
        <f t="shared" si="477"/>
        <v>-0.62</v>
      </c>
      <c r="AO479" s="2">
        <v>-1.4823</v>
      </c>
      <c r="AP479" s="2">
        <f t="shared" si="478"/>
        <v>-0.88018959338039804</v>
      </c>
      <c r="AQ479" s="2">
        <f t="shared" si="479"/>
        <v>-1.4823</v>
      </c>
      <c r="AR479" s="2">
        <v>80.5</v>
      </c>
      <c r="AS479" s="2">
        <v>-7.0000000000000007E-2</v>
      </c>
      <c r="AT479" s="2">
        <f t="shared" si="480"/>
        <v>0.26145393998027655</v>
      </c>
      <c r="AU479" s="2">
        <f t="shared" si="481"/>
        <v>-7.0000000000000007E-2</v>
      </c>
      <c r="AV479" s="2">
        <v>9000</v>
      </c>
      <c r="AW479" s="2">
        <v>-1.06</v>
      </c>
      <c r="AX479" s="2">
        <f t="shared" si="482"/>
        <v>-0.65648431136150398</v>
      </c>
      <c r="AY479" s="2">
        <f t="shared" si="483"/>
        <v>-1.06</v>
      </c>
      <c r="AZ479" s="2">
        <v>-2.005079186760796</v>
      </c>
      <c r="BA479" s="78">
        <f t="shared" si="514"/>
        <v>-1.7603791867607961</v>
      </c>
      <c r="BB479" s="78">
        <f t="shared" si="515"/>
        <v>-2</v>
      </c>
      <c r="BC479" s="2" t="str">
        <f t="shared" si="484"/>
        <v/>
      </c>
      <c r="BD479" s="2">
        <f t="shared" si="485"/>
        <v>-2.005079186760796</v>
      </c>
      <c r="BE479" s="67">
        <f t="shared" si="516"/>
        <v>2</v>
      </c>
      <c r="BF479" s="2">
        <v>84.5</v>
      </c>
      <c r="BG479" s="2">
        <v>-0.25709212003944698</v>
      </c>
      <c r="BH479" s="2" t="str">
        <f t="shared" si="486"/>
        <v/>
      </c>
      <c r="BI479" s="2">
        <f t="shared" si="487"/>
        <v>-0.25709212003944698</v>
      </c>
      <c r="BJ479" s="67">
        <f t="shared" si="488"/>
        <v>7</v>
      </c>
      <c r="BK479" s="2">
        <v>10000</v>
      </c>
      <c r="BL479" s="2">
        <v>-1.9329686227230081</v>
      </c>
      <c r="BM479" s="77">
        <f t="shared" si="517"/>
        <v>-1.312968622723008</v>
      </c>
      <c r="BN479" s="77">
        <f t="shared" si="518"/>
        <v>-2</v>
      </c>
      <c r="BO479" s="2" t="str">
        <f t="shared" si="489"/>
        <v/>
      </c>
      <c r="BP479" s="2">
        <f t="shared" si="490"/>
        <v>-1.9329686227230081</v>
      </c>
      <c r="BQ479" s="67">
        <f t="shared" si="519"/>
        <v>7</v>
      </c>
      <c r="BS479" s="75" t="str">
        <f t="shared" si="520"/>
        <v>UF</v>
      </c>
      <c r="BT479" s="75" t="str">
        <f t="shared" si="521"/>
        <v>UF</v>
      </c>
      <c r="BU479" s="5" t="str">
        <f t="shared" si="529"/>
        <v/>
      </c>
      <c r="BV479" s="5" t="str">
        <f t="shared" si="491"/>
        <v>UF</v>
      </c>
      <c r="BW479" s="69" t="str">
        <f t="shared" si="492"/>
        <v/>
      </c>
      <c r="BX479" s="2" t="s">
        <v>12</v>
      </c>
      <c r="BZ479" s="74" t="str">
        <f t="shared" si="522"/>
        <v>UF</v>
      </c>
      <c r="CA479" s="74" t="str">
        <f t="shared" si="523"/>
        <v>UF</v>
      </c>
      <c r="CB479" s="5" t="str">
        <f t="shared" si="493"/>
        <v>UF</v>
      </c>
      <c r="CC479" s="5" t="str">
        <f t="shared" si="494"/>
        <v>UF</v>
      </c>
      <c r="CD479" s="2" t="e">
        <f t="shared" si="495"/>
        <v>#VALUE!</v>
      </c>
      <c r="CE479" s="69" t="str">
        <f t="shared" si="496"/>
        <v/>
      </c>
      <c r="CF479" s="5" t="s">
        <v>12</v>
      </c>
      <c r="CH479" s="72" t="str">
        <f t="shared" si="524"/>
        <v>UF</v>
      </c>
      <c r="CI479" s="72" t="str">
        <f t="shared" si="525"/>
        <v>UF</v>
      </c>
      <c r="CJ479" s="5" t="str">
        <f t="shared" si="497"/>
        <v>UF</v>
      </c>
      <c r="CK479" s="5" t="str">
        <f t="shared" si="498"/>
        <v>UF</v>
      </c>
      <c r="CL479" s="69" t="str">
        <f t="shared" si="499"/>
        <v/>
      </c>
      <c r="CN479" s="70" t="str">
        <f t="shared" si="500"/>
        <v/>
      </c>
      <c r="CO479" s="5" t="str">
        <f t="shared" si="501"/>
        <v>UF</v>
      </c>
      <c r="CP479" s="5" t="str">
        <f>IF(G479&lt;48,"UF", IF(NOT(ISBLANK(CM:CM)), CM:CM, IF(BW:BW=1, BV:BV+Sheet2!B545, IF(Sheet1!BW:BW=2, Sheet1!BV:BV+Sheet2!B546, IF(Sheet1!BW:BW=7, Sheet1!BV:BV+Sheet2!B547,"")))))</f>
        <v>UF</v>
      </c>
      <c r="CQ479" s="69" t="str">
        <f t="shared" si="526"/>
        <v/>
      </c>
      <c r="CR479" s="5" t="s">
        <v>12</v>
      </c>
      <c r="CT479" s="5" t="str">
        <f t="shared" si="502"/>
        <v/>
      </c>
      <c r="CU479" s="80" t="str">
        <f t="shared" si="503"/>
        <v>UF</v>
      </c>
      <c r="CV479" s="80" t="str">
        <f t="shared" si="504"/>
        <v>UF</v>
      </c>
      <c r="CW479" s="20" t="str">
        <f>IF(G479&lt;48,"UF", IF(NOT(ISBLANK(CS479)), CS479, IF(CE479=5, CC479+Sheet2!B534, IF(CE479=6, CC479+Sheet2!B535, IF(CE479=7, CC479+Sheet2!B536,"")))))</f>
        <v>UF</v>
      </c>
      <c r="CX479" s="68" t="str">
        <f t="shared" si="527"/>
        <v/>
      </c>
      <c r="CY479" s="5" t="s">
        <v>12</v>
      </c>
      <c r="DA479" s="5" t="str">
        <f t="shared" si="505"/>
        <v>UF</v>
      </c>
      <c r="DB479" s="73" t="str">
        <f t="shared" si="506"/>
        <v>UF</v>
      </c>
      <c r="DC479" s="73" t="str">
        <f t="shared" si="507"/>
        <v>UF</v>
      </c>
      <c r="DD479" s="5" t="str">
        <f>IF(G479&lt;48,"UF", IF(NOT(ISBLANK(CZ:CZ)), CZ:CZ, IF(CL:CL=3, CK:CK+Sheet2!B539, IF(CL:CL=4, CK:CK+Sheet2!B540, IF(CL:CL=7, CK:CK+Sheet2!B541,"")))))</f>
        <v>UF</v>
      </c>
      <c r="DE479" s="69" t="str">
        <f t="shared" si="463"/>
        <v/>
      </c>
      <c r="DF479" s="2">
        <v>2</v>
      </c>
      <c r="DG479" s="2">
        <v>26</v>
      </c>
      <c r="DH479" s="2">
        <v>1</v>
      </c>
      <c r="DI479" s="2">
        <v>2</v>
      </c>
      <c r="DJ479" s="2">
        <v>2</v>
      </c>
      <c r="DK479" s="2">
        <v>100</v>
      </c>
      <c r="DL479" s="2">
        <v>54</v>
      </c>
      <c r="DM479" s="2">
        <v>85</v>
      </c>
      <c r="DN479" s="2">
        <v>60</v>
      </c>
      <c r="DO479" s="2">
        <v>80</v>
      </c>
      <c r="DP479" s="2">
        <v>50</v>
      </c>
      <c r="DQ479" s="2">
        <v>2</v>
      </c>
      <c r="DR479" s="2">
        <v>39</v>
      </c>
      <c r="DS479" s="2">
        <v>2</v>
      </c>
      <c r="DT479" s="2">
        <v>90</v>
      </c>
      <c r="DU479" s="2">
        <v>70</v>
      </c>
      <c r="DV479" s="2">
        <v>2</v>
      </c>
      <c r="DW479" s="2">
        <v>2</v>
      </c>
      <c r="DX479" s="2">
        <v>2</v>
      </c>
      <c r="DY479" s="2">
        <v>2</v>
      </c>
      <c r="DZ479" s="2">
        <v>33</v>
      </c>
      <c r="EA479" s="2">
        <v>32.5</v>
      </c>
      <c r="EB479" s="2">
        <v>44</v>
      </c>
      <c r="EC479" s="2">
        <v>1</v>
      </c>
      <c r="ED479" s="2">
        <v>1</v>
      </c>
    </row>
    <row r="480" spans="2:134" x14ac:dyDescent="0.25">
      <c r="C480" s="2" t="s">
        <v>151</v>
      </c>
      <c r="D480" s="2">
        <v>6570288555</v>
      </c>
      <c r="E480" s="5">
        <v>6</v>
      </c>
      <c r="F480" s="2">
        <v>1</v>
      </c>
      <c r="G480" s="2">
        <v>52</v>
      </c>
      <c r="H480" s="2">
        <v>8.5825615784972875</v>
      </c>
      <c r="I480" s="2">
        <v>32.5</v>
      </c>
      <c r="J480" s="2">
        <v>-8.9374133642494602</v>
      </c>
      <c r="K480" s="5">
        <v>2800</v>
      </c>
      <c r="L480" s="2">
        <v>-0.98574519678023331</v>
      </c>
      <c r="M480" s="2">
        <v>-1.0588</v>
      </c>
      <c r="N480" s="2">
        <f t="shared" si="467"/>
        <v>-3.9611307892486436</v>
      </c>
      <c r="O480" s="2">
        <f t="shared" si="468"/>
        <v>-1.0588</v>
      </c>
      <c r="P480" s="2">
        <v>63.5</v>
      </c>
      <c r="Q480" s="2">
        <v>-0.99</v>
      </c>
      <c r="R480" s="5">
        <f t="shared" si="469"/>
        <v>3.6887066821247299</v>
      </c>
      <c r="S480" s="5">
        <f t="shared" si="470"/>
        <v>-0.99</v>
      </c>
      <c r="T480" s="1">
        <v>6200</v>
      </c>
      <c r="U480" s="2">
        <v>-1.35</v>
      </c>
      <c r="V480" s="2">
        <f t="shared" si="471"/>
        <v>0.28287259839011669</v>
      </c>
      <c r="W480" s="2">
        <f t="shared" si="472"/>
        <v>-1.35</v>
      </c>
      <c r="X480" s="2">
        <v>0.6603</v>
      </c>
      <c r="Y480" s="76">
        <f t="shared" si="508"/>
        <v>-7.9222615784972872</v>
      </c>
      <c r="Z480" s="76">
        <f t="shared" si="509"/>
        <v>-2</v>
      </c>
      <c r="AA480" s="2">
        <f t="shared" si="473"/>
        <v>0.54184999999999994</v>
      </c>
      <c r="AB480" s="2">
        <f t="shared" si="474"/>
        <v>0.6603</v>
      </c>
      <c r="AC480" s="2">
        <v>70</v>
      </c>
      <c r="AD480" s="2">
        <v>-1.56</v>
      </c>
      <c r="AE480" s="79">
        <f t="shared" si="510"/>
        <v>7.3774133642494597</v>
      </c>
      <c r="AF480" s="79">
        <f t="shared" si="511"/>
        <v>2</v>
      </c>
      <c r="AG480" s="2">
        <f t="shared" si="461"/>
        <v>-0.14500000000000002</v>
      </c>
      <c r="AH480" s="2">
        <f t="shared" si="475"/>
        <v>-1.56</v>
      </c>
      <c r="AI480" s="2">
        <v>8500</v>
      </c>
      <c r="AJ480" s="2">
        <v>-0.42</v>
      </c>
      <c r="AK480" s="76">
        <f t="shared" si="512"/>
        <v>0.56574519678023338</v>
      </c>
      <c r="AL480" s="76">
        <f t="shared" si="513"/>
        <v>1</v>
      </c>
      <c r="AM480" s="2">
        <f t="shared" si="476"/>
        <v>0.32500000000000007</v>
      </c>
      <c r="AN480" s="2">
        <f t="shared" si="477"/>
        <v>-0.42</v>
      </c>
      <c r="AO480" s="2">
        <v>9.3700000000000006E-2</v>
      </c>
      <c r="AP480" s="2">
        <f t="shared" si="478"/>
        <v>-0.54056028687827007</v>
      </c>
      <c r="AQ480" s="2">
        <f t="shared" si="479"/>
        <v>9.3700000000000006E-2</v>
      </c>
      <c r="AR480" s="2">
        <v>77</v>
      </c>
      <c r="AS480" s="2">
        <v>-1.28</v>
      </c>
      <c r="AT480" s="2">
        <f t="shared" si="480"/>
        <v>-6.3524733914540943E-2</v>
      </c>
      <c r="AU480" s="2">
        <f t="shared" si="481"/>
        <v>-1.28</v>
      </c>
      <c r="AV480" s="2">
        <v>9400</v>
      </c>
      <c r="AW480" s="2">
        <v>-0.7</v>
      </c>
      <c r="AX480" s="2">
        <f t="shared" si="482"/>
        <v>-0.75648431136150407</v>
      </c>
      <c r="AY480" s="2">
        <f t="shared" si="483"/>
        <v>-0.7</v>
      </c>
      <c r="AZ480" s="2">
        <v>-0.42082057375654008</v>
      </c>
      <c r="BA480" s="78">
        <f t="shared" si="514"/>
        <v>-1.0811205737565401</v>
      </c>
      <c r="BB480" s="78">
        <f t="shared" si="515"/>
        <v>-2</v>
      </c>
      <c r="BC480" s="2" t="str">
        <f t="shared" si="484"/>
        <v/>
      </c>
      <c r="BD480" s="2">
        <f t="shared" si="485"/>
        <v>-0.42082057375654008</v>
      </c>
      <c r="BE480" s="67">
        <f t="shared" si="516"/>
        <v>7</v>
      </c>
      <c r="BF480" s="2">
        <v>79.5</v>
      </c>
      <c r="BG480" s="2">
        <v>-1.6870494678290819</v>
      </c>
      <c r="BH480" s="2" t="str">
        <f t="shared" si="486"/>
        <v/>
      </c>
      <c r="BI480" s="2">
        <f t="shared" si="487"/>
        <v>-1.6870494678290819</v>
      </c>
      <c r="BJ480" s="67">
        <f t="shared" si="488"/>
        <v>7</v>
      </c>
      <c r="BK480" s="2">
        <v>10000</v>
      </c>
      <c r="BL480" s="2">
        <v>-1.9329686227230081</v>
      </c>
      <c r="BM480" s="77">
        <f t="shared" si="517"/>
        <v>-1.5129686227230081</v>
      </c>
      <c r="BN480" s="77">
        <f t="shared" si="518"/>
        <v>-2</v>
      </c>
      <c r="BO480" s="2" t="str">
        <f t="shared" si="489"/>
        <v/>
      </c>
      <c r="BP480" s="2">
        <f t="shared" si="490"/>
        <v>-1.9329686227230081</v>
      </c>
      <c r="BQ480" s="67">
        <f t="shared" si="519"/>
        <v>7</v>
      </c>
      <c r="BS480" s="75">
        <f t="shared" si="520"/>
        <v>0.42013260022689947</v>
      </c>
      <c r="BT480" s="75">
        <f t="shared" si="521"/>
        <v>1</v>
      </c>
      <c r="BU480" s="5">
        <f t="shared" si="529"/>
        <v>0.42013260022689947</v>
      </c>
      <c r="BV480" s="5">
        <f t="shared" si="491"/>
        <v>-6.8797352964061753E-4</v>
      </c>
      <c r="BW480" s="69">
        <f t="shared" si="492"/>
        <v>7</v>
      </c>
      <c r="BX480" s="2" t="s">
        <v>12</v>
      </c>
      <c r="BZ480" s="74">
        <f t="shared" si="522"/>
        <v>0.14067948260376895</v>
      </c>
      <c r="CA480" s="74">
        <f t="shared" si="523"/>
        <v>1</v>
      </c>
      <c r="CB480" s="5">
        <f t="shared" si="493"/>
        <v>-0.10523967229015707</v>
      </c>
      <c r="CC480" s="5">
        <f t="shared" si="494"/>
        <v>-1.7922891401192391</v>
      </c>
      <c r="CD480" s="2">
        <f t="shared" si="495"/>
        <v>-0.10523967229015718</v>
      </c>
      <c r="CE480" s="69">
        <f t="shared" si="496"/>
        <v>7</v>
      </c>
      <c r="CF480" s="5" t="s">
        <v>12</v>
      </c>
      <c r="CH480" s="72">
        <f t="shared" si="524"/>
        <v>0.35518225891153588</v>
      </c>
      <c r="CI480" s="72">
        <f t="shared" si="525"/>
        <v>1</v>
      </c>
      <c r="CJ480" s="5">
        <f t="shared" si="497"/>
        <v>0.35518225891153599</v>
      </c>
      <c r="CK480" s="5">
        <f t="shared" si="498"/>
        <v>-1.5777863638114722</v>
      </c>
      <c r="CL480" s="69">
        <f t="shared" si="499"/>
        <v>7</v>
      </c>
      <c r="CM480" s="5">
        <v>0.41944462669725879</v>
      </c>
      <c r="CN480" s="70">
        <f t="shared" si="500"/>
        <v>0.42013260022689941</v>
      </c>
      <c r="CO480" s="5">
        <f t="shared" si="501"/>
        <v>0.42013260022689941</v>
      </c>
      <c r="CP480" s="5">
        <f>IF(G480&lt;48,"UF", IF(NOT(ISBLANK(CM:CM)), CM:CM, IF(BW:BW=1, BV:BV+Sheet2!B259, IF(Sheet1!BW:BW=2, Sheet1!BV:BV+Sheet2!B260, IF(Sheet1!BW:BW=7, Sheet1!BV:BV+Sheet2!B261,"")))))</f>
        <v>0.41944462669725879</v>
      </c>
      <c r="CQ480" s="69">
        <f t="shared" si="526"/>
        <v>7</v>
      </c>
      <c r="CR480" s="5">
        <v>93</v>
      </c>
      <c r="CS480" s="5">
        <v>-1.8975288124093961</v>
      </c>
      <c r="CT480" s="5">
        <f t="shared" si="502"/>
        <v>-0.10523967229015696</v>
      </c>
      <c r="CU480" s="80">
        <f t="shared" si="503"/>
        <v>-0.10523967229015696</v>
      </c>
      <c r="CV480" s="80">
        <f t="shared" si="504"/>
        <v>-1</v>
      </c>
      <c r="CW480" s="20">
        <f>IF(G480&lt;48,"UF", IF(NOT(ISBLANK(CS480)), CS480, IF(CE480=5, CC480+Sheet2!B248, IF(CE480=6, CC480+Sheet2!B249, IF(CE480=7, CC480+Sheet2!B250,"")))))</f>
        <v>-1.8975288124093961</v>
      </c>
      <c r="CX480" s="68">
        <f t="shared" si="527"/>
        <v>7</v>
      </c>
      <c r="CY480" s="5">
        <v>13700</v>
      </c>
      <c r="CZ480" s="5">
        <v>-1.2226041048999361</v>
      </c>
      <c r="DA480" s="5">
        <f t="shared" si="505"/>
        <v>0.3551822589115361</v>
      </c>
      <c r="DB480" s="73">
        <f t="shared" si="506"/>
        <v>0.3551822589115361</v>
      </c>
      <c r="DC480" s="73">
        <f t="shared" si="507"/>
        <v>1</v>
      </c>
      <c r="DD480" s="5">
        <f>IF(G480&lt;48,"UF", IF(NOT(ISBLANK(CZ:CZ)), CZ:CZ, IF(CL:CL=3, CK:CK+Sheet2!B253, IF(CL:CL=4, CK:CK+Sheet2!B254, IF(CL:CL=7, CK:CK+Sheet2!B255,"")))))</f>
        <v>-1.2226041048999361</v>
      </c>
      <c r="DE480" s="69">
        <f t="shared" si="463"/>
        <v>7</v>
      </c>
      <c r="DF480" s="2">
        <v>1</v>
      </c>
      <c r="DG480" s="2">
        <v>26</v>
      </c>
      <c r="DH480" s="2">
        <v>1</v>
      </c>
      <c r="DI480" s="2">
        <v>2</v>
      </c>
      <c r="DJ480" s="2">
        <v>3</v>
      </c>
      <c r="DK480" s="2" t="s">
        <v>12</v>
      </c>
      <c r="DL480" s="2" t="s">
        <v>12</v>
      </c>
      <c r="DM480" s="2" t="s">
        <v>12</v>
      </c>
      <c r="DN480" s="2" t="s">
        <v>12</v>
      </c>
      <c r="DO480" s="2" t="s">
        <v>12</v>
      </c>
      <c r="DP480" s="2" t="s">
        <v>12</v>
      </c>
      <c r="DQ480" s="2">
        <v>2</v>
      </c>
      <c r="DR480" s="2">
        <v>39</v>
      </c>
      <c r="DS480" s="2">
        <v>2</v>
      </c>
      <c r="DT480" s="2">
        <v>81</v>
      </c>
      <c r="DU480" s="2">
        <v>82</v>
      </c>
      <c r="DV480" s="2">
        <v>2</v>
      </c>
      <c r="DW480" s="2">
        <v>2</v>
      </c>
      <c r="DX480" s="2">
        <v>2</v>
      </c>
      <c r="DY480" s="2">
        <v>1</v>
      </c>
      <c r="DZ480" s="2">
        <v>32.5</v>
      </c>
      <c r="EA480" s="2">
        <v>34</v>
      </c>
      <c r="EB480" s="2">
        <v>44.5</v>
      </c>
      <c r="EC480" s="2">
        <v>1</v>
      </c>
      <c r="ED480" s="2">
        <v>1</v>
      </c>
    </row>
    <row r="481" spans="1:134" x14ac:dyDescent="0.25">
      <c r="C481" s="8" t="s">
        <v>315</v>
      </c>
      <c r="D481" s="8">
        <v>6570289446</v>
      </c>
      <c r="E481" s="5">
        <v>7</v>
      </c>
      <c r="F481" s="2">
        <v>1</v>
      </c>
      <c r="G481" s="2">
        <v>51</v>
      </c>
      <c r="H481" s="2">
        <v>-1.5110027127012691</v>
      </c>
      <c r="I481" s="2">
        <v>50</v>
      </c>
      <c r="J481" s="2">
        <v>0.45756143734440202</v>
      </c>
      <c r="K481" s="2">
        <v>2900</v>
      </c>
      <c r="L481" s="2">
        <v>-0.74971937445688897</v>
      </c>
      <c r="M481" s="2">
        <v>-6.8199999999999997E-2</v>
      </c>
      <c r="N481" s="2">
        <f t="shared" si="467"/>
        <v>1.2773513563506347</v>
      </c>
      <c r="O481" s="2">
        <f t="shared" si="468"/>
        <v>-6.8199999999999997E-2</v>
      </c>
      <c r="P481" s="2">
        <v>65</v>
      </c>
      <c r="Q481" s="2">
        <v>-0.33</v>
      </c>
      <c r="R481" s="5">
        <f t="shared" si="469"/>
        <v>-1.0087807186722011</v>
      </c>
      <c r="S481" s="5">
        <f t="shared" si="470"/>
        <v>-0.33</v>
      </c>
      <c r="T481" s="2">
        <v>7100</v>
      </c>
      <c r="U481" s="2">
        <v>-0.23</v>
      </c>
      <c r="V481" s="2">
        <f t="shared" si="471"/>
        <v>0.30985968722844448</v>
      </c>
      <c r="W481" s="2">
        <f t="shared" si="472"/>
        <v>-0.23</v>
      </c>
      <c r="X481" s="2">
        <v>1.0437000000000001</v>
      </c>
      <c r="Y481" s="76">
        <f t="shared" si="508"/>
        <v>2.5547027127012694</v>
      </c>
      <c r="Z481" s="76">
        <f t="shared" si="509"/>
        <v>2</v>
      </c>
      <c r="AA481" s="2" t="str">
        <f t="shared" si="473"/>
        <v/>
      </c>
      <c r="AB481" s="2">
        <f t="shared" si="474"/>
        <v>1.0437000000000001</v>
      </c>
      <c r="AC481" s="2">
        <v>70</v>
      </c>
      <c r="AD481" s="2">
        <v>-1.56</v>
      </c>
      <c r="AE481" s="79">
        <f t="shared" si="510"/>
        <v>-2.0175614373444022</v>
      </c>
      <c r="AF481" s="79">
        <f t="shared" si="511"/>
        <v>-2</v>
      </c>
      <c r="AG481" s="2" t="str">
        <f t="shared" ref="AG481:AG505" si="530">IF(AND(NOT(ISBLANK(S481)), NOT(ISBLANK(AS481))), (AS481 - S481)/2, "")</f>
        <v/>
      </c>
      <c r="AH481" s="2">
        <f t="shared" si="475"/>
        <v>-1.56</v>
      </c>
      <c r="AI481" s="2">
        <v>8800</v>
      </c>
      <c r="AJ481" s="2">
        <v>-0.13</v>
      </c>
      <c r="AK481" s="76">
        <f t="shared" si="512"/>
        <v>0.61971937445688896</v>
      </c>
      <c r="AL481" s="76">
        <f t="shared" si="513"/>
        <v>1</v>
      </c>
      <c r="AM481" s="2" t="str">
        <f t="shared" si="476"/>
        <v/>
      </c>
      <c r="AN481" s="2">
        <f t="shared" si="477"/>
        <v>-0.13</v>
      </c>
      <c r="AP481" s="2" t="str">
        <f t="shared" si="478"/>
        <v/>
      </c>
      <c r="AQ481" s="2" t="e">
        <f t="shared" si="479"/>
        <v>#VALUE!</v>
      </c>
      <c r="AR481" s="2" t="s">
        <v>12</v>
      </c>
      <c r="AT481" s="2" t="str">
        <f t="shared" si="480"/>
        <v/>
      </c>
      <c r="AU481" s="2" t="e">
        <f t="shared" si="481"/>
        <v>#VALUE!</v>
      </c>
      <c r="AV481" s="2" t="s">
        <v>12</v>
      </c>
      <c r="AX481" s="2" t="str">
        <f t="shared" si="482"/>
        <v/>
      </c>
      <c r="AY481" s="2" t="e">
        <f t="shared" si="483"/>
        <v>#VALUE!</v>
      </c>
      <c r="BA481" s="78" t="e">
        <f t="shared" si="514"/>
        <v>#VALUE!</v>
      </c>
      <c r="BB481" s="78" t="e">
        <f t="shared" si="515"/>
        <v>#VALUE!</v>
      </c>
      <c r="BC481" s="2" t="e">
        <f t="shared" si="484"/>
        <v>#VALUE!</v>
      </c>
      <c r="BD481" s="2" t="e">
        <f t="shared" si="485"/>
        <v>#VALUE!</v>
      </c>
      <c r="BE481" s="67" t="e">
        <f t="shared" si="516"/>
        <v>#VALUE!</v>
      </c>
      <c r="BF481" s="2" t="s">
        <v>12</v>
      </c>
      <c r="BH481" s="2" t="e">
        <f t="shared" si="486"/>
        <v>#VALUE!</v>
      </c>
      <c r="BI481" s="2" t="e">
        <f t="shared" si="487"/>
        <v>#VALUE!</v>
      </c>
      <c r="BJ481" s="67" t="e">
        <f t="shared" si="488"/>
        <v>#VALUE!</v>
      </c>
      <c r="BK481" s="2" t="s">
        <v>12</v>
      </c>
      <c r="BM481" s="77" t="e">
        <f t="shared" si="517"/>
        <v>#VALUE!</v>
      </c>
      <c r="BN481" s="77" t="e">
        <f t="shared" si="518"/>
        <v>#VALUE!</v>
      </c>
      <c r="BO481" s="2" t="e">
        <f t="shared" si="489"/>
        <v>#VALUE!</v>
      </c>
      <c r="BP481" s="2" t="e">
        <f t="shared" si="490"/>
        <v>#VALUE!</v>
      </c>
      <c r="BQ481" s="67" t="e">
        <f t="shared" si="519"/>
        <v>#VALUE!</v>
      </c>
      <c r="BR481" s="5">
        <v>0.7363933246987493</v>
      </c>
      <c r="BS481" s="75" t="e">
        <f t="shared" si="520"/>
        <v>#VALUE!</v>
      </c>
      <c r="BT481" s="75" t="e">
        <f t="shared" si="521"/>
        <v>#VALUE!</v>
      </c>
      <c r="BU481" s="5" t="str">
        <f t="shared" si="529"/>
        <v/>
      </c>
      <c r="BV481" s="5">
        <f t="shared" si="491"/>
        <v>0.7363933246987493</v>
      </c>
      <c r="BW481" s="69">
        <f t="shared" si="492"/>
        <v>7</v>
      </c>
      <c r="BX481" s="2">
        <v>90</v>
      </c>
      <c r="BY481" s="5">
        <v>-0.67364843980063538</v>
      </c>
      <c r="BZ481" s="74" t="e">
        <f t="shared" si="522"/>
        <v>#VALUE!</v>
      </c>
      <c r="CA481" s="74" t="e">
        <f t="shared" si="523"/>
        <v>#VALUE!</v>
      </c>
      <c r="CB481" s="5" t="str">
        <f t="shared" si="493"/>
        <v/>
      </c>
      <c r="CC481" s="5">
        <f t="shared" si="494"/>
        <v>-0.67364843980063538</v>
      </c>
      <c r="CD481" s="2" t="e">
        <f t="shared" si="495"/>
        <v>#VALUE!</v>
      </c>
      <c r="CE481" s="69">
        <f t="shared" si="496"/>
        <v>7</v>
      </c>
      <c r="CF481" s="5">
        <v>14000</v>
      </c>
      <c r="CG481" s="5">
        <v>3.5216825822783827E-2</v>
      </c>
      <c r="CH481" s="72" t="e">
        <f t="shared" si="524"/>
        <v>#VALUE!</v>
      </c>
      <c r="CI481" s="72" t="e">
        <f t="shared" si="525"/>
        <v>#VALUE!</v>
      </c>
      <c r="CJ481" s="5" t="str">
        <f t="shared" si="497"/>
        <v/>
      </c>
      <c r="CK481" s="5">
        <f t="shared" si="498"/>
        <v>3.5216825822783827E-2</v>
      </c>
      <c r="CL481" s="69">
        <f t="shared" si="499"/>
        <v>7</v>
      </c>
      <c r="CN481" s="70" t="str">
        <f t="shared" si="500"/>
        <v/>
      </c>
      <c r="CO481" s="5">
        <f t="shared" si="501"/>
        <v>0</v>
      </c>
      <c r="CP481" s="5">
        <f>IF(G481&lt;48,"UF", IF(NOT(ISBLANK(CM:CM)), CM:CM, IF(BW:BW=1, BV:BV+Sheet2!B537, IF(Sheet1!BW:BW=2, Sheet1!BV:BV+Sheet2!B538, IF(Sheet1!BW:BW=7, Sheet1!BV:BV+Sheet2!B539,"")))))</f>
        <v>0.7363933246987493</v>
      </c>
      <c r="CQ481" s="69">
        <f t="shared" si="526"/>
        <v>7</v>
      </c>
      <c r="CR481" s="5" t="s">
        <v>12</v>
      </c>
      <c r="CT481" s="5" t="str">
        <f t="shared" si="502"/>
        <v/>
      </c>
      <c r="CU481" s="80">
        <f t="shared" si="503"/>
        <v>0</v>
      </c>
      <c r="CV481" s="80">
        <f t="shared" si="504"/>
        <v>-1</v>
      </c>
      <c r="CW481" s="20">
        <f>IF(G481&lt;48,"UF", IF(NOT(ISBLANK(CS481)), CS481, IF(CE481=5, CC481+Sheet2!B526, IF(CE481=6, CC481+Sheet2!B527, IF(CE481=7, CC481+Sheet2!B528,"")))))</f>
        <v>-0.67364843980063538</v>
      </c>
      <c r="CX481" s="68">
        <f t="shared" si="527"/>
        <v>7</v>
      </c>
      <c r="CY481" s="5" t="s">
        <v>12</v>
      </c>
      <c r="DA481" s="5" t="str">
        <f t="shared" si="505"/>
        <v/>
      </c>
      <c r="DB481" s="73">
        <f t="shared" si="506"/>
        <v>0</v>
      </c>
      <c r="DC481" s="73">
        <f t="shared" si="507"/>
        <v>-1</v>
      </c>
      <c r="DD481" s="5">
        <f>IF(G481&lt;48,"UF", IF(NOT(ISBLANK(CZ:CZ)), CZ:CZ, IF(CL:CL=3, CK:CK+Sheet2!B531, IF(CL:CL=4, CK:CK+Sheet2!B532, IF(CL:CL=7, CK:CK+Sheet2!B533,"")))))</f>
        <v>3.5216825822783827E-2</v>
      </c>
      <c r="DE481" s="69">
        <f t="shared" si="463"/>
        <v>7</v>
      </c>
      <c r="DF481" s="2">
        <v>1</v>
      </c>
      <c r="DG481" s="2">
        <v>20</v>
      </c>
      <c r="DH481" s="2">
        <v>2</v>
      </c>
      <c r="DI481" s="2">
        <v>2</v>
      </c>
      <c r="DJ481" s="2">
        <v>2</v>
      </c>
      <c r="DK481" s="2">
        <v>90</v>
      </c>
      <c r="DL481" s="2">
        <v>50</v>
      </c>
      <c r="DM481" s="2" t="s">
        <v>12</v>
      </c>
      <c r="DN481" s="2" t="s">
        <v>12</v>
      </c>
      <c r="DO481" s="2" t="s">
        <v>12</v>
      </c>
      <c r="DP481" s="2" t="s">
        <v>12</v>
      </c>
      <c r="DQ481" s="2">
        <v>2</v>
      </c>
      <c r="DR481" s="2">
        <v>39</v>
      </c>
      <c r="DS481" s="2">
        <v>2</v>
      </c>
      <c r="DT481" s="2">
        <v>80</v>
      </c>
      <c r="DU481" s="2">
        <v>81</v>
      </c>
      <c r="DV481" s="2">
        <v>4</v>
      </c>
      <c r="DW481" s="2">
        <v>3</v>
      </c>
      <c r="DX481" s="2">
        <v>3</v>
      </c>
      <c r="DY481" s="2">
        <v>3</v>
      </c>
      <c r="DZ481" s="2">
        <v>33</v>
      </c>
      <c r="EA481" s="2" t="s">
        <v>12</v>
      </c>
      <c r="EB481" s="2">
        <v>45</v>
      </c>
      <c r="EC481" s="2" t="s">
        <v>12</v>
      </c>
      <c r="ED481" s="2">
        <v>1</v>
      </c>
    </row>
    <row r="482" spans="1:134" x14ac:dyDescent="0.25">
      <c r="C482" s="5" t="s">
        <v>17</v>
      </c>
      <c r="D482" s="10">
        <v>6710113981</v>
      </c>
      <c r="E482" s="5">
        <v>2</v>
      </c>
      <c r="F482" s="2">
        <v>1</v>
      </c>
      <c r="G482" s="2">
        <v>59</v>
      </c>
      <c r="H482" s="2">
        <v>-2.1954791383718968</v>
      </c>
      <c r="I482" s="2">
        <v>48</v>
      </c>
      <c r="J482" s="2">
        <v>-0.61614996855203885</v>
      </c>
      <c r="K482" s="5">
        <v>2510</v>
      </c>
      <c r="L482" s="2">
        <v>-1.7012424147037259</v>
      </c>
      <c r="M482" s="2">
        <v>0.1137</v>
      </c>
      <c r="N482" s="2">
        <f t="shared" si="467"/>
        <v>0.27988956918594843</v>
      </c>
      <c r="O482" s="2">
        <f t="shared" si="468"/>
        <v>0.1137</v>
      </c>
      <c r="P482" s="2">
        <v>60</v>
      </c>
      <c r="Q482" s="2">
        <v>-2.54</v>
      </c>
      <c r="R482" s="5">
        <f t="shared" si="469"/>
        <v>1.0830749842760194</v>
      </c>
      <c r="S482" s="5">
        <f t="shared" si="470"/>
        <v>-2.54</v>
      </c>
      <c r="T482" s="1">
        <v>6150</v>
      </c>
      <c r="U482" s="2">
        <v>-1.42</v>
      </c>
      <c r="V482" s="2">
        <f t="shared" si="471"/>
        <v>0.71062120735186296</v>
      </c>
      <c r="W482" s="2">
        <f t="shared" si="472"/>
        <v>-1.42</v>
      </c>
      <c r="X482" s="2">
        <v>-1.6356999999999999</v>
      </c>
      <c r="Y482" s="76">
        <f t="shared" si="508"/>
        <v>0.55977913837189686</v>
      </c>
      <c r="Z482" s="76">
        <f t="shared" si="509"/>
        <v>1</v>
      </c>
      <c r="AA482" s="2" t="str">
        <f t="shared" si="473"/>
        <v/>
      </c>
      <c r="AB482" s="2">
        <f t="shared" si="474"/>
        <v>-1.6356999999999999</v>
      </c>
      <c r="AC482" s="2">
        <v>78</v>
      </c>
      <c r="AD482" s="2">
        <v>1.55</v>
      </c>
      <c r="AE482" s="79">
        <f t="shared" si="510"/>
        <v>2.1661499685520389</v>
      </c>
      <c r="AF482" s="79">
        <f t="shared" si="511"/>
        <v>2</v>
      </c>
      <c r="AG482" s="2" t="str">
        <f t="shared" si="530"/>
        <v/>
      </c>
      <c r="AH482" s="2">
        <f t="shared" si="475"/>
        <v>1.55</v>
      </c>
      <c r="AI482" s="2">
        <v>8650</v>
      </c>
      <c r="AJ482" s="2">
        <v>-0.28000000000000003</v>
      </c>
      <c r="AK482" s="76">
        <f t="shared" si="512"/>
        <v>1.4212424147037259</v>
      </c>
      <c r="AL482" s="76">
        <f t="shared" si="513"/>
        <v>2</v>
      </c>
      <c r="AM482" s="2" t="str">
        <f t="shared" si="476"/>
        <v/>
      </c>
      <c r="AN482" s="2">
        <f t="shared" si="477"/>
        <v>-0.28000000000000003</v>
      </c>
      <c r="AP482" s="2" t="str">
        <f t="shared" si="478"/>
        <v/>
      </c>
      <c r="AQ482" s="2" t="e">
        <f t="shared" si="479"/>
        <v>#VALUE!</v>
      </c>
      <c r="AR482" s="2" t="s">
        <v>12</v>
      </c>
      <c r="AT482" s="2" t="str">
        <f t="shared" si="480"/>
        <v/>
      </c>
      <c r="AU482" s="2" t="e">
        <f t="shared" si="481"/>
        <v>#VALUE!</v>
      </c>
      <c r="AV482" s="2" t="s">
        <v>12</v>
      </c>
      <c r="AX482" s="2" t="str">
        <f t="shared" si="482"/>
        <v/>
      </c>
      <c r="AY482" s="2" t="e">
        <f t="shared" si="483"/>
        <v>#VALUE!</v>
      </c>
      <c r="BA482" s="78" t="e">
        <f t="shared" si="514"/>
        <v>#VALUE!</v>
      </c>
      <c r="BB482" s="78" t="e">
        <f t="shared" si="515"/>
        <v>#VALUE!</v>
      </c>
      <c r="BC482" s="2" t="str">
        <f t="shared" si="484"/>
        <v/>
      </c>
      <c r="BD482" s="2" t="e">
        <f t="shared" si="485"/>
        <v>#VALUE!</v>
      </c>
      <c r="BE482" s="67" t="e">
        <f t="shared" si="516"/>
        <v>#VALUE!</v>
      </c>
      <c r="BF482" s="2" t="s">
        <v>12</v>
      </c>
      <c r="BH482" s="2" t="str">
        <f t="shared" si="486"/>
        <v/>
      </c>
      <c r="BI482" s="2" t="e">
        <f t="shared" si="487"/>
        <v>#VALUE!</v>
      </c>
      <c r="BJ482" s="67" t="e">
        <f t="shared" si="488"/>
        <v>#VALUE!</v>
      </c>
      <c r="BK482" s="2" t="s">
        <v>12</v>
      </c>
      <c r="BM482" s="77" t="e">
        <f t="shared" si="517"/>
        <v>#VALUE!</v>
      </c>
      <c r="BN482" s="77" t="e">
        <f t="shared" si="518"/>
        <v>#VALUE!</v>
      </c>
      <c r="BO482" s="2" t="str">
        <f t="shared" si="489"/>
        <v/>
      </c>
      <c r="BP482" s="2" t="e">
        <f t="shared" si="490"/>
        <v>#VALUE!</v>
      </c>
      <c r="BQ482" s="67" t="e">
        <f t="shared" si="519"/>
        <v>#VALUE!</v>
      </c>
      <c r="BS482" s="75" t="e">
        <f t="shared" si="520"/>
        <v>#VALUE!</v>
      </c>
      <c r="BT482" s="75" t="e">
        <f t="shared" si="521"/>
        <v>#VALUE!</v>
      </c>
      <c r="BU482" s="5" t="str">
        <f t="shared" si="529"/>
        <v/>
      </c>
      <c r="BV482" s="5" t="e">
        <f t="shared" si="491"/>
        <v>#VALUE!</v>
      </c>
      <c r="BW482" s="69" t="e">
        <f t="shared" si="492"/>
        <v>#VALUE!</v>
      </c>
      <c r="BX482" s="2" t="s">
        <v>12</v>
      </c>
      <c r="BZ482" s="74" t="e">
        <f t="shared" si="522"/>
        <v>#VALUE!</v>
      </c>
      <c r="CA482" s="74" t="e">
        <f t="shared" si="523"/>
        <v>#VALUE!</v>
      </c>
      <c r="CB482" s="5" t="str">
        <f t="shared" si="493"/>
        <v/>
      </c>
      <c r="CC482" s="5" t="e">
        <f t="shared" si="494"/>
        <v>#VALUE!</v>
      </c>
      <c r="CD482" s="2" t="e">
        <f t="shared" si="495"/>
        <v>#VALUE!</v>
      </c>
      <c r="CE482" s="69" t="e">
        <f t="shared" si="496"/>
        <v>#VALUE!</v>
      </c>
      <c r="CF482" s="5" t="s">
        <v>12</v>
      </c>
      <c r="CH482" s="72" t="e">
        <f t="shared" si="524"/>
        <v>#VALUE!</v>
      </c>
      <c r="CI482" s="72" t="e">
        <f t="shared" si="525"/>
        <v>#VALUE!</v>
      </c>
      <c r="CJ482" s="5" t="str">
        <f t="shared" si="497"/>
        <v/>
      </c>
      <c r="CK482" s="5" t="e">
        <f t="shared" si="498"/>
        <v>#VALUE!</v>
      </c>
      <c r="CL482" s="69" t="e">
        <f t="shared" si="499"/>
        <v>#VALUE!</v>
      </c>
      <c r="CN482" s="70" t="str">
        <f t="shared" si="500"/>
        <v/>
      </c>
      <c r="CO482" s="5" t="e">
        <f t="shared" si="501"/>
        <v>#VALUE!</v>
      </c>
      <c r="CP482" s="5" t="e">
        <f>IF(G482&lt;48,"UF", IF(NOT(ISBLANK(CM:CM)), CM:CM, IF(BW:BW=1, BV:BV+Sheet2!B33, IF(Sheet1!BW:BW=2, Sheet1!BV:BV+Sheet2!B34, IF(Sheet1!BW:BW=7, Sheet1!BV:BV+Sheet2!B35,"")))))</f>
        <v>#VALUE!</v>
      </c>
      <c r="CQ482" s="69" t="e">
        <f t="shared" si="526"/>
        <v>#VALUE!</v>
      </c>
      <c r="CR482" s="5" t="s">
        <v>12</v>
      </c>
      <c r="CT482" s="5" t="str">
        <f t="shared" si="502"/>
        <v/>
      </c>
      <c r="CU482" s="80" t="e">
        <f t="shared" si="503"/>
        <v>#VALUE!</v>
      </c>
      <c r="CV482" s="80" t="e">
        <f t="shared" si="504"/>
        <v>#VALUE!</v>
      </c>
      <c r="CW482" s="20" t="e">
        <f>IF(G482&lt;48,"UF", IF(NOT(ISBLANK(CS482)), CS482, IF(CE482=5, CC482+Sheet2!B22, IF(CE482=6, CC482+Sheet2!B23, IF(CE482=7, CC482+Sheet2!B24,"")))))</f>
        <v>#VALUE!</v>
      </c>
      <c r="CX482" s="68" t="e">
        <f t="shared" si="527"/>
        <v>#VALUE!</v>
      </c>
      <c r="CY482" s="5" t="s">
        <v>12</v>
      </c>
      <c r="DA482" s="5" t="str">
        <f t="shared" si="505"/>
        <v/>
      </c>
      <c r="DB482" s="73" t="e">
        <f t="shared" si="506"/>
        <v>#VALUE!</v>
      </c>
      <c r="DC482" s="73" t="e">
        <f t="shared" si="507"/>
        <v>#VALUE!</v>
      </c>
      <c r="DD482" s="5" t="e">
        <f>IF(G482&lt;48,"UF", IF(NOT(ISBLANK(CZ:CZ)), CZ:CZ, IF(CL:CL=3, CK:CK+Sheet2!B27, IF(CL:CL=4, CK:CK+Sheet2!B28, IF(CL:CL=7, CK:CK+Sheet2!B29,"")))))</f>
        <v>#VALUE!</v>
      </c>
      <c r="DE482" s="69" t="e">
        <f t="shared" si="463"/>
        <v>#VALUE!</v>
      </c>
      <c r="DF482" s="2">
        <v>1</v>
      </c>
      <c r="DG482" s="2">
        <v>16</v>
      </c>
      <c r="DH482" s="2">
        <v>2</v>
      </c>
      <c r="DI482" s="2">
        <v>2</v>
      </c>
      <c r="DJ482" s="2">
        <v>2</v>
      </c>
      <c r="DK482" s="2">
        <v>80</v>
      </c>
      <c r="DL482" s="2">
        <v>60</v>
      </c>
      <c r="DM482" s="2">
        <v>90</v>
      </c>
      <c r="DN482" s="2">
        <v>60</v>
      </c>
      <c r="DO482" s="2" t="s">
        <v>12</v>
      </c>
      <c r="DP482" s="2" t="s">
        <v>12</v>
      </c>
      <c r="DQ482" s="2">
        <v>2</v>
      </c>
      <c r="DR482" s="2">
        <v>38</v>
      </c>
      <c r="DS482" s="2">
        <v>2</v>
      </c>
      <c r="DT482" s="2">
        <v>75</v>
      </c>
      <c r="DU482" s="2">
        <v>70</v>
      </c>
      <c r="DV482" s="2">
        <v>3</v>
      </c>
      <c r="DW482" s="2">
        <v>3</v>
      </c>
      <c r="DX482" s="2">
        <v>3</v>
      </c>
      <c r="DY482" s="2">
        <v>3</v>
      </c>
      <c r="DZ482" s="2">
        <v>32</v>
      </c>
      <c r="EA482" s="2" t="s">
        <v>12</v>
      </c>
      <c r="EB482" s="2">
        <v>42</v>
      </c>
      <c r="EC482" s="2" t="s">
        <v>12</v>
      </c>
      <c r="ED482" s="2">
        <v>4</v>
      </c>
    </row>
    <row r="483" spans="1:134" s="47" customFormat="1" x14ac:dyDescent="0.25">
      <c r="A483"/>
      <c r="B483"/>
      <c r="C483" s="2">
        <v>13990331</v>
      </c>
      <c r="D483" s="2">
        <v>6710114112</v>
      </c>
      <c r="E483" s="5" t="s">
        <v>535</v>
      </c>
      <c r="F483" s="2">
        <v>2</v>
      </c>
      <c r="G483" s="2">
        <v>60</v>
      </c>
      <c r="H483" s="2">
        <v>0.14925827693482011</v>
      </c>
      <c r="I483" s="2">
        <v>50</v>
      </c>
      <c r="J483" s="2">
        <v>6.1168777667580831E-2</v>
      </c>
      <c r="K483" s="5">
        <v>3400</v>
      </c>
      <c r="L483" s="2">
        <v>0.1091247039083435</v>
      </c>
      <c r="M483" s="2">
        <v>-2.6031</v>
      </c>
      <c r="N483" s="2">
        <f t="shared" si="467"/>
        <v>-1.31492913846741</v>
      </c>
      <c r="O483" s="2">
        <f t="shared" si="468"/>
        <v>-2.6031</v>
      </c>
      <c r="P483" s="2">
        <v>68</v>
      </c>
      <c r="Q483" s="2">
        <v>0.17</v>
      </c>
      <c r="R483" s="5">
        <f t="shared" si="469"/>
        <v>-0.39558438883379043</v>
      </c>
      <c r="S483" s="5">
        <f t="shared" si="470"/>
        <v>0.17</v>
      </c>
      <c r="T483" s="1">
        <v>6500</v>
      </c>
      <c r="U483" s="2">
        <v>-1.8</v>
      </c>
      <c r="V483" s="2">
        <f t="shared" si="471"/>
        <v>-1.1395623519541718</v>
      </c>
      <c r="W483" s="2">
        <f t="shared" si="472"/>
        <v>-1.8</v>
      </c>
      <c r="X483" s="2">
        <v>-2.4805999999999999</v>
      </c>
      <c r="Y483" s="76">
        <f t="shared" si="508"/>
        <v>-2.62985827693482</v>
      </c>
      <c r="Z483" s="76">
        <f t="shared" si="509"/>
        <v>-2</v>
      </c>
      <c r="AA483" s="2">
        <f t="shared" si="473"/>
        <v>-1.0535000000000001</v>
      </c>
      <c r="AB483" s="2">
        <f t="shared" si="474"/>
        <v>-2.4805999999999999</v>
      </c>
      <c r="AC483" s="2">
        <v>74</v>
      </c>
      <c r="AD483" s="2">
        <v>-0.73</v>
      </c>
      <c r="AE483" s="79">
        <f t="shared" si="510"/>
        <v>-0.79116877766758087</v>
      </c>
      <c r="AF483" s="79">
        <f t="shared" si="511"/>
        <v>-2</v>
      </c>
      <c r="AG483" s="2">
        <f t="shared" si="530"/>
        <v>-0.69</v>
      </c>
      <c r="AH483" s="2">
        <f t="shared" si="475"/>
        <v>-0.73</v>
      </c>
      <c r="AI483" s="2">
        <v>7600</v>
      </c>
      <c r="AJ483" s="2">
        <v>-2.17</v>
      </c>
      <c r="AK483" s="76">
        <f t="shared" si="512"/>
        <v>-2.2791247039083435</v>
      </c>
      <c r="AL483" s="76">
        <f t="shared" si="513"/>
        <v>-2</v>
      </c>
      <c r="AM483" s="2">
        <f t="shared" si="476"/>
        <v>-0.12499999999999989</v>
      </c>
      <c r="AN483" s="2">
        <f t="shared" si="477"/>
        <v>-2.17</v>
      </c>
      <c r="AO483" s="2">
        <v>-1.9370000000000001</v>
      </c>
      <c r="AP483" s="2">
        <f t="shared" si="478"/>
        <v>-1.4145205390382118</v>
      </c>
      <c r="AQ483" s="2">
        <f t="shared" si="479"/>
        <v>-1.9370000000000001</v>
      </c>
      <c r="AR483" s="2">
        <v>79</v>
      </c>
      <c r="AS483" s="2">
        <v>-1.21</v>
      </c>
      <c r="AT483" s="2">
        <f t="shared" si="480"/>
        <v>0.38472046099855978</v>
      </c>
      <c r="AU483" s="2">
        <f t="shared" si="481"/>
        <v>-1.21</v>
      </c>
      <c r="AV483" s="2">
        <v>8700</v>
      </c>
      <c r="AW483" s="2">
        <v>-2.0499999999999998</v>
      </c>
      <c r="AX483" s="2">
        <f t="shared" si="482"/>
        <v>-0.47473106712965252</v>
      </c>
      <c r="AY483" s="2">
        <f t="shared" si="483"/>
        <v>-2.0499999999999998</v>
      </c>
      <c r="AZ483" s="2">
        <v>-5.3096410780764236</v>
      </c>
      <c r="BA483" s="78">
        <f t="shared" si="514"/>
        <v>-2.8290410780764237</v>
      </c>
      <c r="BB483" s="78">
        <f t="shared" si="515"/>
        <v>-2</v>
      </c>
      <c r="BC483" s="2">
        <f t="shared" si="484"/>
        <v>-0.92280293212096554</v>
      </c>
      <c r="BD483" s="2">
        <f t="shared" si="485"/>
        <v>-5.3096410780764236</v>
      </c>
      <c r="BE483" s="67">
        <f t="shared" si="516"/>
        <v>1</v>
      </c>
      <c r="BF483" s="2">
        <v>87</v>
      </c>
      <c r="BG483" s="2">
        <v>3.9440921997119571E-2</v>
      </c>
      <c r="BH483" s="2">
        <f t="shared" si="486"/>
        <v>0.29237052897739829</v>
      </c>
      <c r="BI483" s="2">
        <f t="shared" si="487"/>
        <v>3.9440921997119571E-2</v>
      </c>
      <c r="BJ483" s="67">
        <f t="shared" si="488"/>
        <v>7</v>
      </c>
      <c r="BK483" s="2">
        <v>9200</v>
      </c>
      <c r="BL483" s="2">
        <v>-3.119462134259305</v>
      </c>
      <c r="BM483" s="77">
        <f t="shared" si="517"/>
        <v>-0.94946213425930504</v>
      </c>
      <c r="BN483" s="77">
        <f t="shared" si="518"/>
        <v>-2</v>
      </c>
      <c r="BO483" s="2">
        <f t="shared" si="489"/>
        <v>-0.28909559865165413</v>
      </c>
      <c r="BP483" s="2">
        <f t="shared" si="490"/>
        <v>-3.119462134259305</v>
      </c>
      <c r="BQ483" s="67">
        <f t="shared" si="519"/>
        <v>3</v>
      </c>
      <c r="BR483" s="5">
        <v>-4.7054087963628968</v>
      </c>
      <c r="BS483" s="75">
        <f t="shared" si="520"/>
        <v>0.60423228171352683</v>
      </c>
      <c r="BT483" s="75">
        <f t="shared" si="521"/>
        <v>1</v>
      </c>
      <c r="BU483" s="5" t="str">
        <f t="shared" si="529"/>
        <v/>
      </c>
      <c r="BV483" s="5">
        <f t="shared" si="491"/>
        <v>-4.7054087963628968</v>
      </c>
      <c r="BW483" s="69">
        <f t="shared" si="492"/>
        <v>1</v>
      </c>
      <c r="BX483" s="2">
        <v>94</v>
      </c>
      <c r="BY483" s="5">
        <v>-0.33288841306780509</v>
      </c>
      <c r="BZ483" s="74">
        <f t="shared" ref="BZ483:BZ505" si="531">IF(G483&gt;=36, IF(AND(NOT(ISBLANK(CC:CC)), NOT(ISBLANK(BP:BP))), (CC:CC-BP:BP), ""), "UF")</f>
        <v>2.7865737211915</v>
      </c>
      <c r="CA483" s="74">
        <f t="shared" si="523"/>
        <v>2</v>
      </c>
      <c r="CB483" s="5" t="str">
        <f t="shared" si="493"/>
        <v/>
      </c>
      <c r="CC483" s="5">
        <f t="shared" si="494"/>
        <v>-0.33288841306780509</v>
      </c>
      <c r="CD483" s="2">
        <f t="shared" si="495"/>
        <v>-0.37232933506492466</v>
      </c>
      <c r="CE483" s="69">
        <f t="shared" si="496"/>
        <v>7</v>
      </c>
      <c r="CF483" s="5">
        <v>10700</v>
      </c>
      <c r="CG483" s="5">
        <v>-2.9172867959549622</v>
      </c>
      <c r="CH483" s="72">
        <f t="shared" si="524"/>
        <v>0.20217533830434276</v>
      </c>
      <c r="CI483" s="72">
        <f t="shared" si="525"/>
        <v>1</v>
      </c>
      <c r="CJ483" s="5" t="str">
        <f t="shared" si="497"/>
        <v/>
      </c>
      <c r="CK483" s="5">
        <f t="shared" si="498"/>
        <v>-2.9172867959549622</v>
      </c>
      <c r="CL483" s="69">
        <f t="shared" si="499"/>
        <v>4</v>
      </c>
      <c r="CM483" s="5"/>
      <c r="CN483" s="70" t="str">
        <f t="shared" si="500"/>
        <v/>
      </c>
      <c r="CO483" s="5">
        <f t="shared" si="501"/>
        <v>0</v>
      </c>
      <c r="CP483" s="5">
        <f>IF(G483&lt;48,"UF", IF(NOT(ISBLANK(CM:CM)), CM:CM, IF(BW:BW=1, BV:BV+Sheet2!B28, IF(Sheet1!BW:BW=2, Sheet1!BV:BV+Sheet2!B29, IF(Sheet1!BW:BW=7, Sheet1!BV:BV+Sheet2!B30,"")))))</f>
        <v>-4.7054087963628968</v>
      </c>
      <c r="CQ483" s="69">
        <f t="shared" si="526"/>
        <v>1</v>
      </c>
      <c r="CR483" s="5" t="s">
        <v>12</v>
      </c>
      <c r="CS483" s="5"/>
      <c r="CT483" s="5" t="str">
        <f t="shared" si="502"/>
        <v/>
      </c>
      <c r="CU483" s="80">
        <f t="shared" si="503"/>
        <v>0</v>
      </c>
      <c r="CV483" s="80">
        <f t="shared" si="504"/>
        <v>-1</v>
      </c>
      <c r="CW483" s="20">
        <f>IF(G483&lt;48,"UF", IF(NOT(ISBLANK(CS483)), CS483, IF(CE483=5, CC483+Sheet2!B17, IF(CE483=6, CC483+Sheet2!B18, IF(CE483=7, CC483+Sheet2!B19,"")))))</f>
        <v>-0.33288841306780509</v>
      </c>
      <c r="CX483" s="68">
        <f t="shared" si="527"/>
        <v>7</v>
      </c>
      <c r="CY483" s="5" t="s">
        <v>12</v>
      </c>
      <c r="CZ483" s="5"/>
      <c r="DA483" s="5" t="str">
        <f t="shared" si="505"/>
        <v/>
      </c>
      <c r="DB483" s="73" t="e">
        <f t="shared" si="506"/>
        <v>#VALUE!</v>
      </c>
      <c r="DC483" s="73" t="e">
        <f t="shared" si="507"/>
        <v>#VALUE!</v>
      </c>
      <c r="DD483" s="5" t="e">
        <f>IF(G483&lt;48,"UF", IF(NOT(ISBLANK(CZ:CZ)), CZ:CZ, IF(CL:CL=3, CK:CK+Sheet2!B22, IF(CL:CL=4, CK:CK+Sheet2!B23, IF(CL:CL=7, CK:CK+Sheet2!B24,"")))))</f>
        <v>#VALUE!</v>
      </c>
      <c r="DE483" s="69" t="e">
        <f t="shared" si="463"/>
        <v>#VALUE!</v>
      </c>
      <c r="DF483" s="2">
        <v>2</v>
      </c>
      <c r="DG483" s="2">
        <v>22</v>
      </c>
      <c r="DH483" s="2">
        <v>2</v>
      </c>
      <c r="DI483" s="2">
        <v>2</v>
      </c>
      <c r="DJ483" s="2">
        <v>2</v>
      </c>
      <c r="DK483" s="2" t="s">
        <v>12</v>
      </c>
      <c r="DL483" s="2" t="s">
        <v>12</v>
      </c>
      <c r="DM483" s="2">
        <v>90</v>
      </c>
      <c r="DN483" s="2">
        <v>60</v>
      </c>
      <c r="DO483" s="2">
        <v>90</v>
      </c>
      <c r="DP483" s="2">
        <v>60</v>
      </c>
      <c r="DQ483" s="2">
        <v>2</v>
      </c>
      <c r="DR483" s="2">
        <v>41</v>
      </c>
      <c r="DS483" s="2">
        <v>1</v>
      </c>
      <c r="DT483" s="2">
        <v>97</v>
      </c>
      <c r="DU483" s="2" t="s">
        <v>12</v>
      </c>
      <c r="DV483" s="2">
        <v>3</v>
      </c>
      <c r="DW483" s="2">
        <v>3</v>
      </c>
      <c r="DX483" s="2">
        <v>2</v>
      </c>
      <c r="DY483" s="2">
        <v>3</v>
      </c>
      <c r="DZ483" s="2">
        <v>36</v>
      </c>
      <c r="EA483" s="2" t="s">
        <v>12</v>
      </c>
      <c r="EB483" s="2">
        <v>44</v>
      </c>
      <c r="EC483" s="2" t="s">
        <v>12</v>
      </c>
      <c r="ED483" s="2">
        <v>4</v>
      </c>
    </row>
    <row r="484" spans="1:134" x14ac:dyDescent="0.25">
      <c r="C484" s="8" t="s">
        <v>332</v>
      </c>
      <c r="D484" s="2">
        <v>6710114570</v>
      </c>
      <c r="E484" s="5">
        <v>7</v>
      </c>
      <c r="F484" s="2">
        <v>1</v>
      </c>
      <c r="G484" s="2">
        <v>51</v>
      </c>
      <c r="H484" s="2">
        <v>-1.893236974006588</v>
      </c>
      <c r="I484" s="2">
        <v>50</v>
      </c>
      <c r="J484" s="2">
        <v>0.45756143734440202</v>
      </c>
      <c r="K484" s="2">
        <v>2800</v>
      </c>
      <c r="L484" s="2">
        <v>-0.98574519678023331</v>
      </c>
      <c r="M484" s="2">
        <v>-0.43280000000000002</v>
      </c>
      <c r="N484" s="2">
        <f t="shared" si="467"/>
        <v>1.1124684870032939</v>
      </c>
      <c r="O484" s="2">
        <f t="shared" si="468"/>
        <v>-0.43280000000000002</v>
      </c>
      <c r="P484" s="2">
        <v>67</v>
      </c>
      <c r="Q484" s="2">
        <v>0.55000000000000004</v>
      </c>
      <c r="R484" s="5">
        <f t="shared" si="469"/>
        <v>-0.32878071867220104</v>
      </c>
      <c r="S484" s="5">
        <f t="shared" si="470"/>
        <v>0.55000000000000004</v>
      </c>
      <c r="T484" s="2">
        <v>7300</v>
      </c>
      <c r="U484" s="2">
        <v>0</v>
      </c>
      <c r="V484" s="2">
        <f t="shared" si="471"/>
        <v>0.56287259839011661</v>
      </c>
      <c r="W484" s="2">
        <f t="shared" si="472"/>
        <v>0</v>
      </c>
      <c r="X484" s="2">
        <v>0.33169999999999999</v>
      </c>
      <c r="Y484" s="76">
        <f t="shared" si="508"/>
        <v>2.2249369740065879</v>
      </c>
      <c r="Z484" s="76">
        <f t="shared" si="509"/>
        <v>2</v>
      </c>
      <c r="AA484" s="2">
        <f t="shared" si="473"/>
        <v>0.16149999999999998</v>
      </c>
      <c r="AB484" s="2">
        <f t="shared" si="474"/>
        <v>0.33169999999999999</v>
      </c>
      <c r="AC484" s="2">
        <v>73.5</v>
      </c>
      <c r="AD484" s="2">
        <v>-0.2</v>
      </c>
      <c r="AE484" s="79">
        <f t="shared" si="510"/>
        <v>-0.65756143734440209</v>
      </c>
      <c r="AF484" s="79">
        <f t="shared" si="511"/>
        <v>-1</v>
      </c>
      <c r="AG484" s="2">
        <f t="shared" si="530"/>
        <v>-0.57000000000000006</v>
      </c>
      <c r="AH484" s="2">
        <f t="shared" si="475"/>
        <v>-0.2</v>
      </c>
      <c r="AI484" s="2">
        <v>9100</v>
      </c>
      <c r="AJ484" s="2">
        <v>0.14000000000000001</v>
      </c>
      <c r="AK484" s="76">
        <f t="shared" si="512"/>
        <v>1.1257451967802332</v>
      </c>
      <c r="AL484" s="76">
        <f t="shared" si="513"/>
        <v>2</v>
      </c>
      <c r="AM484" s="2">
        <f t="shared" si="476"/>
        <v>0.14499999999999999</v>
      </c>
      <c r="AN484" s="2">
        <f t="shared" si="477"/>
        <v>0.14000000000000001</v>
      </c>
      <c r="AO484" s="2">
        <v>0.873</v>
      </c>
      <c r="AP484" s="2">
        <f t="shared" si="478"/>
        <v>-5.8347393956963298E-2</v>
      </c>
      <c r="AQ484" s="2">
        <f t="shared" si="479"/>
        <v>0.873</v>
      </c>
      <c r="AR484" s="2">
        <v>79</v>
      </c>
      <c r="AS484" s="2">
        <v>-0.59</v>
      </c>
      <c r="AT484" s="2">
        <f t="shared" si="480"/>
        <v>-0.24327350475836804</v>
      </c>
      <c r="AU484" s="2">
        <f t="shared" si="481"/>
        <v>-0.59</v>
      </c>
      <c r="AV484" s="2">
        <v>10600</v>
      </c>
      <c r="AW484" s="2">
        <v>0.28999999999999998</v>
      </c>
      <c r="AX484" s="2">
        <f t="shared" si="482"/>
        <v>-0.32436101425682295</v>
      </c>
      <c r="AY484" s="2">
        <f t="shared" si="483"/>
        <v>0.28999999999999998</v>
      </c>
      <c r="AZ484" s="2">
        <v>0.2150052120860734</v>
      </c>
      <c r="BA484" s="78">
        <f t="shared" si="514"/>
        <v>-0.1166947879139266</v>
      </c>
      <c r="BB484" s="78">
        <f t="shared" si="515"/>
        <v>-1</v>
      </c>
      <c r="BC484" s="2" t="str">
        <f t="shared" si="484"/>
        <v/>
      </c>
      <c r="BD484" s="2">
        <f t="shared" si="485"/>
        <v>0.2150052120860734</v>
      </c>
      <c r="BE484" s="67">
        <f t="shared" si="516"/>
        <v>7</v>
      </c>
      <c r="BF484" s="2">
        <v>83</v>
      </c>
      <c r="BG484" s="2">
        <v>-0.68654700951673608</v>
      </c>
      <c r="BH484" s="2" t="str">
        <f t="shared" si="486"/>
        <v/>
      </c>
      <c r="BI484" s="2">
        <f t="shared" si="487"/>
        <v>-0.68654700951673608</v>
      </c>
      <c r="BJ484" s="67">
        <f t="shared" si="488"/>
        <v>7</v>
      </c>
      <c r="BK484" s="2">
        <v>11500</v>
      </c>
      <c r="BL484" s="2">
        <v>-0.5087220285136459</v>
      </c>
      <c r="BM484" s="77">
        <f t="shared" si="517"/>
        <v>-0.64872202851364591</v>
      </c>
      <c r="BN484" s="77">
        <f t="shared" si="518"/>
        <v>-1</v>
      </c>
      <c r="BO484" s="2" t="str">
        <f t="shared" si="489"/>
        <v/>
      </c>
      <c r="BP484" s="2">
        <f t="shared" si="490"/>
        <v>-0.5087220285136459</v>
      </c>
      <c r="BQ484" s="67">
        <f t="shared" si="519"/>
        <v>7</v>
      </c>
      <c r="BS484" s="75" t="e">
        <f t="shared" si="520"/>
        <v>#VALUE!</v>
      </c>
      <c r="BT484" s="75" t="e">
        <f t="shared" si="521"/>
        <v>#VALUE!</v>
      </c>
      <c r="BU484" s="5" t="str">
        <f>IF(G493&gt;=36, IF(AND(NOT(ISBLANK(CM:CM)), NOT(ISBLANK(BD:BD))), (CM:CM-BD:BD)/2, ""), "UF")</f>
        <v/>
      </c>
      <c r="BV484" s="5" t="e">
        <f t="shared" si="491"/>
        <v>#VALUE!</v>
      </c>
      <c r="BW484" s="69" t="e">
        <f t="shared" si="492"/>
        <v>#VALUE!</v>
      </c>
      <c r="BX484" s="2" t="s">
        <v>12</v>
      </c>
      <c r="BZ484" s="74" t="e">
        <f t="shared" si="531"/>
        <v>#VALUE!</v>
      </c>
      <c r="CA484" s="74" t="e">
        <f t="shared" si="523"/>
        <v>#VALUE!</v>
      </c>
      <c r="CB484" s="5" t="str">
        <f t="shared" si="493"/>
        <v/>
      </c>
      <c r="CC484" s="5" t="e">
        <f t="shared" si="494"/>
        <v>#VALUE!</v>
      </c>
      <c r="CD484" s="2" t="e">
        <f t="shared" si="495"/>
        <v>#VALUE!</v>
      </c>
      <c r="CE484" s="69" t="e">
        <f t="shared" si="496"/>
        <v>#VALUE!</v>
      </c>
      <c r="CF484" s="5" t="s">
        <v>12</v>
      </c>
      <c r="CH484" s="72" t="e">
        <f t="shared" si="524"/>
        <v>#VALUE!</v>
      </c>
      <c r="CI484" s="72" t="e">
        <f t="shared" si="525"/>
        <v>#VALUE!</v>
      </c>
      <c r="CJ484" s="5" t="str">
        <f t="shared" si="497"/>
        <v/>
      </c>
      <c r="CK484" s="5" t="e">
        <f t="shared" si="498"/>
        <v>#VALUE!</v>
      </c>
      <c r="CL484" s="69" t="e">
        <f t="shared" si="499"/>
        <v>#VALUE!</v>
      </c>
      <c r="CN484" s="70" t="str">
        <f t="shared" si="500"/>
        <v/>
      </c>
      <c r="CO484" s="5" t="e">
        <f t="shared" si="501"/>
        <v>#VALUE!</v>
      </c>
      <c r="CP484" s="5" t="e">
        <f>IF(G484&lt;48,"UF", IF(NOT(ISBLANK(CM:CM)), CM:CM, IF(BW:BW=1, BV:BV+Sheet2!B561, IF(Sheet1!BW:BW=2, Sheet1!BV:BV+Sheet2!B562, IF(Sheet1!BW:BW=7, Sheet1!BV:BV+Sheet2!B563,"")))))</f>
        <v>#VALUE!</v>
      </c>
      <c r="CQ484" s="69" t="e">
        <f t="shared" si="526"/>
        <v>#VALUE!</v>
      </c>
      <c r="CR484" s="5" t="s">
        <v>12</v>
      </c>
      <c r="CT484" s="5" t="str">
        <f t="shared" si="502"/>
        <v/>
      </c>
      <c r="CU484" s="80" t="e">
        <f t="shared" si="503"/>
        <v>#VALUE!</v>
      </c>
      <c r="CV484" s="80" t="e">
        <f t="shared" si="504"/>
        <v>#VALUE!</v>
      </c>
      <c r="CW484" s="20" t="e">
        <f>IF(G484&lt;48,"UF", IF(NOT(ISBLANK(CS484)), CS484, IF(CE484=5, CC484+Sheet2!B550, IF(CE484=6, CC484+Sheet2!B551, IF(CE484=7, CC484+Sheet2!B552,"")))))</f>
        <v>#VALUE!</v>
      </c>
      <c r="CX484" s="68" t="e">
        <f t="shared" si="527"/>
        <v>#VALUE!</v>
      </c>
      <c r="CY484" s="5" t="s">
        <v>12</v>
      </c>
      <c r="DA484" s="5" t="str">
        <f t="shared" si="505"/>
        <v/>
      </c>
      <c r="DB484" s="73" t="e">
        <f t="shared" si="506"/>
        <v>#VALUE!</v>
      </c>
      <c r="DC484" s="73" t="e">
        <f t="shared" si="507"/>
        <v>#VALUE!</v>
      </c>
      <c r="DD484" s="5" t="e">
        <f>IF(G484&lt;48,"UF", IF(NOT(ISBLANK(CZ:CZ)), CZ:CZ, IF(CL:CL=3, CK:CK+Sheet2!B555, IF(CL:CL=4, CK:CK+Sheet2!B556, IF(CL:CL=7, CK:CK+Sheet2!B557,"")))))</f>
        <v>#VALUE!</v>
      </c>
      <c r="DE484" s="69" t="e">
        <f t="shared" si="463"/>
        <v>#VALUE!</v>
      </c>
      <c r="DF484" s="2">
        <v>2</v>
      </c>
      <c r="DG484" s="2">
        <v>29</v>
      </c>
      <c r="DH484" s="2">
        <v>2</v>
      </c>
      <c r="DI484" s="2">
        <v>2</v>
      </c>
      <c r="DJ484" s="2">
        <v>2</v>
      </c>
      <c r="DK484" s="2" t="s">
        <v>12</v>
      </c>
      <c r="DL484" s="2" t="s">
        <v>12</v>
      </c>
      <c r="DM484" s="2" t="s">
        <v>12</v>
      </c>
      <c r="DN484" s="2" t="s">
        <v>12</v>
      </c>
      <c r="DO484" s="2">
        <v>110</v>
      </c>
      <c r="DP484" s="2">
        <v>72</v>
      </c>
      <c r="DQ484" s="2">
        <v>2</v>
      </c>
      <c r="DR484" s="2">
        <v>37</v>
      </c>
      <c r="DS484" s="2">
        <v>2</v>
      </c>
      <c r="DT484" s="2" t="s">
        <v>12</v>
      </c>
      <c r="DU484" s="2">
        <v>78</v>
      </c>
      <c r="DV484" s="2">
        <v>2</v>
      </c>
      <c r="DW484" s="2">
        <v>2</v>
      </c>
      <c r="DX484" s="2">
        <v>2</v>
      </c>
      <c r="DY484" s="2">
        <v>2</v>
      </c>
      <c r="DZ484" s="2">
        <v>31</v>
      </c>
      <c r="EA484" s="2" t="s">
        <v>12</v>
      </c>
      <c r="EB484" s="2">
        <v>43.5</v>
      </c>
      <c r="EC484" s="2" t="s">
        <v>12</v>
      </c>
      <c r="ED484" s="2">
        <v>1</v>
      </c>
    </row>
    <row r="485" spans="1:134" x14ac:dyDescent="0.25">
      <c r="C485" s="8" t="s">
        <v>107</v>
      </c>
      <c r="D485" s="2">
        <v>6710114600</v>
      </c>
      <c r="E485" s="5">
        <v>2</v>
      </c>
      <c r="F485" s="2">
        <v>1</v>
      </c>
      <c r="G485" s="2">
        <v>51</v>
      </c>
      <c r="H485" s="2">
        <v>7.0245988245194546</v>
      </c>
      <c r="I485" s="2">
        <v>52</v>
      </c>
      <c r="J485" s="2">
        <v>1.531272843240846</v>
      </c>
      <c r="K485" s="5">
        <v>6500</v>
      </c>
      <c r="L485" s="2">
        <v>6.0332056267591287</v>
      </c>
      <c r="M485" s="2">
        <v>-7.508</v>
      </c>
      <c r="N485" s="2">
        <f t="shared" si="467"/>
        <v>-5.279199412259727</v>
      </c>
      <c r="O485" s="2">
        <f t="shared" si="468"/>
        <v>-7.508</v>
      </c>
      <c r="P485" s="2">
        <v>64</v>
      </c>
      <c r="Q485" s="2">
        <v>-0.77</v>
      </c>
      <c r="R485" s="5">
        <f t="shared" si="469"/>
        <v>-0.92563642162042303</v>
      </c>
      <c r="S485" s="5">
        <f t="shared" si="470"/>
        <v>-0.77</v>
      </c>
      <c r="T485" s="1">
        <v>3120</v>
      </c>
      <c r="U485" s="2">
        <v>-6.05</v>
      </c>
      <c r="V485" s="2">
        <f t="shared" si="471"/>
        <v>-4.3616028133795641</v>
      </c>
      <c r="W485" s="2">
        <f t="shared" si="472"/>
        <v>-6.05</v>
      </c>
      <c r="X485" s="2">
        <v>-3.5337999999999998</v>
      </c>
      <c r="Y485" s="76">
        <f t="shared" si="508"/>
        <v>-10.558398824519454</v>
      </c>
      <c r="Z485" s="76">
        <f t="shared" si="509"/>
        <v>-2</v>
      </c>
      <c r="AA485" s="2">
        <f t="shared" si="473"/>
        <v>-0.79539999999999988</v>
      </c>
      <c r="AB485" s="2">
        <f t="shared" si="474"/>
        <v>-3.5337999999999998</v>
      </c>
      <c r="AC485" s="2">
        <v>79</v>
      </c>
      <c r="AD485" s="2">
        <v>-0.32</v>
      </c>
      <c r="AE485" s="79">
        <f t="shared" si="510"/>
        <v>-1.8512728432408461</v>
      </c>
      <c r="AF485" s="79">
        <f t="shared" si="511"/>
        <v>-2</v>
      </c>
      <c r="AG485" s="2">
        <f t="shared" si="530"/>
        <v>1.47</v>
      </c>
      <c r="AH485" s="2">
        <f t="shared" si="475"/>
        <v>-0.32</v>
      </c>
      <c r="AI485" s="2">
        <v>6500</v>
      </c>
      <c r="AJ485" s="2">
        <v>-2.69</v>
      </c>
      <c r="AK485" s="76">
        <f t="shared" si="512"/>
        <v>-8.7232056267591283</v>
      </c>
      <c r="AL485" s="76">
        <f t="shared" si="513"/>
        <v>-2</v>
      </c>
      <c r="AM485" s="2">
        <f t="shared" si="476"/>
        <v>2.85</v>
      </c>
      <c r="AN485" s="2">
        <f t="shared" si="477"/>
        <v>-2.69</v>
      </c>
      <c r="AO485" s="2">
        <v>-2.3607999999999998</v>
      </c>
      <c r="AP485" s="2" t="str">
        <f t="shared" si="478"/>
        <v/>
      </c>
      <c r="AQ485" s="2">
        <f t="shared" si="479"/>
        <v>-2.3607999999999998</v>
      </c>
      <c r="AR485" s="2">
        <v>87</v>
      </c>
      <c r="AS485" s="2">
        <v>2.17</v>
      </c>
      <c r="AT485" s="2" t="str">
        <f t="shared" si="480"/>
        <v/>
      </c>
      <c r="AU485" s="2">
        <f t="shared" si="481"/>
        <v>2.17</v>
      </c>
      <c r="AV485" s="2">
        <v>9800</v>
      </c>
      <c r="AW485" s="2">
        <v>-0.35</v>
      </c>
      <c r="AX485" s="2" t="str">
        <f t="shared" si="482"/>
        <v/>
      </c>
      <c r="AY485" s="2">
        <f t="shared" si="483"/>
        <v>-0.35</v>
      </c>
      <c r="BA485" s="78">
        <f t="shared" si="514"/>
        <v>0.58212771887179926</v>
      </c>
      <c r="BB485" s="78">
        <f t="shared" si="515"/>
        <v>1</v>
      </c>
      <c r="BC485" s="2">
        <f t="shared" si="484"/>
        <v>-0.59087228112820089</v>
      </c>
      <c r="BD485" s="2">
        <f t="shared" si="485"/>
        <v>-2.9516722811282006</v>
      </c>
      <c r="BE485" s="67">
        <f t="shared" si="516"/>
        <v>2</v>
      </c>
      <c r="BF485" s="2" t="s">
        <v>12</v>
      </c>
      <c r="BH485" s="2">
        <f t="shared" si="486"/>
        <v>1.4179656662580697E-3</v>
      </c>
      <c r="BI485" s="2">
        <f t="shared" si="487"/>
        <v>2.171417965666258</v>
      </c>
      <c r="BJ485" s="67" t="str">
        <f t="shared" si="488"/>
        <v/>
      </c>
      <c r="BK485" s="2" t="s">
        <v>12</v>
      </c>
      <c r="BM485" s="77">
        <f t="shared" si="517"/>
        <v>2.2545502402914512</v>
      </c>
      <c r="BN485" s="77">
        <f t="shared" si="518"/>
        <v>2</v>
      </c>
      <c r="BO485" s="2">
        <f t="shared" si="489"/>
        <v>-8.5449759708548914E-2</v>
      </c>
      <c r="BP485" s="2">
        <f t="shared" si="490"/>
        <v>-0.43544975970854888</v>
      </c>
      <c r="BQ485" s="67">
        <f t="shared" si="519"/>
        <v>7</v>
      </c>
      <c r="BR485" s="5">
        <v>-4.1334168433846026</v>
      </c>
      <c r="BS485" s="75">
        <f t="shared" si="520"/>
        <v>-1.181744562256402</v>
      </c>
      <c r="BT485" s="75">
        <f t="shared" si="521"/>
        <v>-2</v>
      </c>
      <c r="BU485" s="5" t="str">
        <f>IF(G494&gt;=36, IF(AND(NOT(ISBLANK(CM:CM)), NOT(ISBLANK(BD:BD))), (CM:CM-BD:BD)/2, ""), "UF")</f>
        <v>UF</v>
      </c>
      <c r="BV485" s="5">
        <f t="shared" si="491"/>
        <v>-4.1334168433846026</v>
      </c>
      <c r="BW485" s="69">
        <f t="shared" si="492"/>
        <v>1</v>
      </c>
      <c r="BX485" s="2">
        <v>103</v>
      </c>
      <c r="BY485" s="5">
        <v>2.1742538969987741</v>
      </c>
      <c r="BZ485" s="74">
        <f t="shared" si="531"/>
        <v>2.6097036567073228</v>
      </c>
      <c r="CA485" s="74">
        <f t="shared" si="523"/>
        <v>2</v>
      </c>
      <c r="CB485" s="5">
        <f t="shared" si="493"/>
        <v>-0.41828338449462055</v>
      </c>
      <c r="CC485" s="5">
        <f t="shared" si="494"/>
        <v>2.1742538969987741</v>
      </c>
      <c r="CD485" s="2">
        <f t="shared" si="495"/>
        <v>2.8359313325161395E-3</v>
      </c>
      <c r="CE485" s="69" t="str">
        <f t="shared" si="496"/>
        <v/>
      </c>
      <c r="CF485" s="5">
        <v>13000</v>
      </c>
      <c r="CG485" s="5">
        <v>-0.60634927912564673</v>
      </c>
      <c r="CH485" s="72">
        <f t="shared" si="524"/>
        <v>-0.17089951941709786</v>
      </c>
      <c r="CI485" s="72">
        <f t="shared" si="525"/>
        <v>-1</v>
      </c>
      <c r="CJ485" s="5">
        <f t="shared" si="497"/>
        <v>4.7792361618335943E-2</v>
      </c>
      <c r="CK485" s="5">
        <f t="shared" si="498"/>
        <v>-0.60634927912564673</v>
      </c>
      <c r="CL485" s="69">
        <f t="shared" si="499"/>
        <v>7</v>
      </c>
      <c r="CM485" s="5">
        <v>-2.2480556988238609</v>
      </c>
      <c r="CN485" s="70">
        <f t="shared" si="500"/>
        <v>1.8853611445607417</v>
      </c>
      <c r="CO485" s="5">
        <f t="shared" si="501"/>
        <v>1.8853611445607417</v>
      </c>
      <c r="CP485" s="5">
        <f>IF(G485&lt;48,"UF", IF(NOT(ISBLANK(CM:CM)), CM:CM, IF(BW:BW=1, BV:BV+Sheet2!B61, IF(Sheet1!BW:BW=2, Sheet1!BV:BV+Sheet2!B62, IF(Sheet1!BW:BW=7, Sheet1!BV:BV+Sheet2!B63,"")))))</f>
        <v>-2.2480556988238609</v>
      </c>
      <c r="CQ485" s="69">
        <f t="shared" si="526"/>
        <v>2</v>
      </c>
      <c r="CR485" s="5">
        <v>107</v>
      </c>
      <c r="CS485" s="5">
        <v>1.3348511966770169</v>
      </c>
      <c r="CT485" s="5">
        <f t="shared" si="502"/>
        <v>-0.83940270032175723</v>
      </c>
      <c r="CU485" s="80">
        <f t="shared" si="503"/>
        <v>-0.83940270032175723</v>
      </c>
      <c r="CV485" s="80">
        <f t="shared" si="504"/>
        <v>-2</v>
      </c>
      <c r="CW485" s="20">
        <f>IF(G485&lt;48,"UF", IF(NOT(ISBLANK(CS485)), CS485, IF(CE485=5, CC485+Sheet2!B50, IF(CE485=6, CC485+Sheet2!B51, IF(CE485=7, CC485+Sheet2!B52,"")))))</f>
        <v>1.3348511966770169</v>
      </c>
      <c r="CX485" s="68">
        <f t="shared" si="527"/>
        <v>7</v>
      </c>
      <c r="CY485" s="5">
        <v>15200</v>
      </c>
      <c r="CZ485" s="5">
        <v>-0.33986503647187699</v>
      </c>
      <c r="DA485" s="5">
        <f t="shared" si="505"/>
        <v>0.26648424265376974</v>
      </c>
      <c r="DB485" s="73">
        <f t="shared" si="506"/>
        <v>0.26648424265376974</v>
      </c>
      <c r="DC485" s="73">
        <f t="shared" si="507"/>
        <v>1</v>
      </c>
      <c r="DD485" s="5">
        <f>IF(G485&lt;48,"UF", IF(NOT(ISBLANK(CZ:CZ)), CZ:CZ, IF(CL:CL=3, CK:CK+Sheet2!B55, IF(CL:CL=4, CK:CK+Sheet2!B56, IF(CL:CL=7, CK:CK+Sheet2!B57,"")))))</f>
        <v>-0.33986503647187699</v>
      </c>
      <c r="DE485" s="69">
        <f t="shared" si="463"/>
        <v>7</v>
      </c>
      <c r="DF485" s="2">
        <v>1</v>
      </c>
      <c r="DG485" s="2">
        <v>37</v>
      </c>
      <c r="DH485" s="2">
        <v>1</v>
      </c>
      <c r="DI485" s="2">
        <v>1</v>
      </c>
      <c r="DJ485" s="2">
        <v>2</v>
      </c>
      <c r="DK485" s="2">
        <v>110</v>
      </c>
      <c r="DL485" s="2">
        <v>70</v>
      </c>
      <c r="DM485" s="2" t="s">
        <v>12</v>
      </c>
      <c r="DN485" s="2" t="s">
        <v>12</v>
      </c>
      <c r="DO485" s="2">
        <v>106</v>
      </c>
      <c r="DP485" s="2">
        <v>68</v>
      </c>
      <c r="DQ485" s="2">
        <v>2</v>
      </c>
      <c r="DR485" s="2">
        <v>39</v>
      </c>
      <c r="DS485" s="2">
        <v>2</v>
      </c>
      <c r="DT485" s="2">
        <v>90</v>
      </c>
      <c r="DU485" s="2">
        <v>83</v>
      </c>
      <c r="DV485" s="2">
        <v>3</v>
      </c>
      <c r="DW485" s="2">
        <v>2</v>
      </c>
      <c r="DX485" s="2">
        <v>2</v>
      </c>
      <c r="DY485" s="2">
        <v>3</v>
      </c>
      <c r="DZ485" s="2">
        <v>34</v>
      </c>
      <c r="EA485" s="2">
        <v>35.5</v>
      </c>
      <c r="EB485" s="2">
        <v>45.2</v>
      </c>
      <c r="EC485" s="2">
        <v>4</v>
      </c>
      <c r="ED485" s="2">
        <v>1</v>
      </c>
    </row>
    <row r="486" spans="1:134" x14ac:dyDescent="0.25">
      <c r="C486" s="8" t="s">
        <v>98</v>
      </c>
      <c r="D486" s="2">
        <v>6710114627</v>
      </c>
      <c r="E486" s="5">
        <v>1</v>
      </c>
      <c r="F486" s="2">
        <v>2</v>
      </c>
      <c r="G486" s="2">
        <v>51</v>
      </c>
      <c r="H486" s="2">
        <v>-1.5714096851460999</v>
      </c>
      <c r="I486" s="2">
        <v>52</v>
      </c>
      <c r="J486" s="2">
        <v>1.117633928075521</v>
      </c>
      <c r="K486" s="5">
        <v>3130</v>
      </c>
      <c r="L486" s="2">
        <v>-0.45253361577509038</v>
      </c>
      <c r="N486" s="2">
        <f t="shared" si="467"/>
        <v>0.58325484257304994</v>
      </c>
      <c r="O486" s="2">
        <f t="shared" si="468"/>
        <v>-0.98815484257304997</v>
      </c>
      <c r="P486" s="2" t="s">
        <v>12</v>
      </c>
      <c r="R486" s="5">
        <f t="shared" si="469"/>
        <v>-0.71381696403776052</v>
      </c>
      <c r="S486" s="5">
        <f t="shared" si="470"/>
        <v>0.40381696403776046</v>
      </c>
      <c r="T486" s="1" t="s">
        <v>12</v>
      </c>
      <c r="V486" s="2">
        <f t="shared" si="471"/>
        <v>-1.3733192112454801E-2</v>
      </c>
      <c r="W486" s="2">
        <f t="shared" si="472"/>
        <v>-0.46626680788754515</v>
      </c>
      <c r="X486" s="2">
        <v>-0.40489999999999998</v>
      </c>
      <c r="Y486" s="76">
        <f t="shared" si="508"/>
        <v>1.1665096851460999</v>
      </c>
      <c r="Z486" s="76">
        <f t="shared" si="509"/>
        <v>2</v>
      </c>
      <c r="AA486" s="2">
        <f t="shared" si="473"/>
        <v>-3.290848201888022E-2</v>
      </c>
      <c r="AB486" s="2">
        <f t="shared" si="474"/>
        <v>-0.40489999999999998</v>
      </c>
      <c r="AC486" s="2">
        <v>75</v>
      </c>
      <c r="AD486" s="2">
        <v>-0.31</v>
      </c>
      <c r="AE486" s="79">
        <f t="shared" si="510"/>
        <v>-1.427633928075521</v>
      </c>
      <c r="AF486" s="79">
        <f t="shared" si="511"/>
        <v>-2</v>
      </c>
      <c r="AG486" s="2">
        <f t="shared" si="530"/>
        <v>-0.76690848201888018</v>
      </c>
      <c r="AH486" s="2">
        <f t="shared" si="475"/>
        <v>-0.31</v>
      </c>
      <c r="AI486" s="2">
        <v>9150</v>
      </c>
      <c r="AJ486" s="2">
        <v>-0.48</v>
      </c>
      <c r="AK486" s="76">
        <f t="shared" si="512"/>
        <v>-2.7466384224909601E-2</v>
      </c>
      <c r="AL486" s="76">
        <f t="shared" si="513"/>
        <v>-1</v>
      </c>
      <c r="AM486" s="2">
        <f t="shared" si="476"/>
        <v>8.1334039437725714E-3</v>
      </c>
      <c r="AN486" s="2">
        <f t="shared" si="477"/>
        <v>-0.48</v>
      </c>
      <c r="AO486" s="2">
        <v>0.33800000000000002</v>
      </c>
      <c r="AP486" s="2" t="str">
        <f t="shared" si="478"/>
        <v/>
      </c>
      <c r="AQ486" s="2">
        <f t="shared" si="479"/>
        <v>0.33800000000000002</v>
      </c>
      <c r="AR486" s="2">
        <v>82.5</v>
      </c>
      <c r="AS486" s="2">
        <v>-1.1299999999999999</v>
      </c>
      <c r="AT486" s="2" t="str">
        <f t="shared" si="480"/>
        <v/>
      </c>
      <c r="AU486" s="2">
        <f t="shared" si="481"/>
        <v>-1.1299999999999999</v>
      </c>
      <c r="AV486" s="2">
        <v>10400</v>
      </c>
      <c r="AW486" s="2">
        <v>-0.45</v>
      </c>
      <c r="AX486" s="2" t="str">
        <f t="shared" si="482"/>
        <v/>
      </c>
      <c r="AY486" s="2">
        <f t="shared" si="483"/>
        <v>-0.45</v>
      </c>
      <c r="BA486" s="78">
        <f t="shared" si="514"/>
        <v>-1.2798790304117484</v>
      </c>
      <c r="BB486" s="78">
        <f t="shared" si="515"/>
        <v>-2</v>
      </c>
      <c r="BC486" s="2">
        <f t="shared" si="484"/>
        <v>-2.0227790304117486</v>
      </c>
      <c r="BD486" s="2">
        <f t="shared" si="485"/>
        <v>-1.6847790304117485</v>
      </c>
      <c r="BE486" s="67">
        <f t="shared" si="516"/>
        <v>7</v>
      </c>
      <c r="BF486" s="2" t="s">
        <v>12</v>
      </c>
      <c r="BH486" s="2">
        <f t="shared" si="486"/>
        <v>0.1860215781210712</v>
      </c>
      <c r="BI486" s="2">
        <f t="shared" si="487"/>
        <v>-0.94397842187892866</v>
      </c>
      <c r="BJ486" s="67">
        <f t="shared" si="488"/>
        <v>7</v>
      </c>
      <c r="BK486" s="2" t="s">
        <v>12</v>
      </c>
      <c r="BM486" s="77">
        <f t="shared" si="517"/>
        <v>-1.0400670472841222</v>
      </c>
      <c r="BN486" s="77">
        <f t="shared" si="518"/>
        <v>-2</v>
      </c>
      <c r="BO486" s="2">
        <f t="shared" si="489"/>
        <v>-1.0700670472841223</v>
      </c>
      <c r="BP486" s="2">
        <f t="shared" si="490"/>
        <v>-1.5200670472841222</v>
      </c>
      <c r="BQ486" s="67">
        <f t="shared" si="519"/>
        <v>7</v>
      </c>
      <c r="BR486" s="5">
        <v>-5.7303370912352456</v>
      </c>
      <c r="BS486" s="75">
        <f t="shared" si="520"/>
        <v>-4.0455580608234971</v>
      </c>
      <c r="BT486" s="75">
        <f t="shared" si="521"/>
        <v>-2</v>
      </c>
      <c r="BU486" s="5" t="e">
        <f>IF(#REF!&gt;=36, IF(AND(NOT(ISBLANK(CM:CM)), NOT(ISBLANK(BD:BD))), (CM:CM-BD:BD)/2, ""), "UF")</f>
        <v>#REF!</v>
      </c>
      <c r="BV486" s="5">
        <f t="shared" si="491"/>
        <v>-5.7303370912352456</v>
      </c>
      <c r="BW486" s="69">
        <f t="shared" si="492"/>
        <v>1</v>
      </c>
      <c r="BX486" s="2">
        <v>93.1</v>
      </c>
      <c r="BY486" s="5">
        <v>-0.57193526563678632</v>
      </c>
      <c r="BZ486" s="74">
        <f t="shared" si="531"/>
        <v>0.94813178164733591</v>
      </c>
      <c r="CA486" s="74">
        <f t="shared" si="523"/>
        <v>2</v>
      </c>
      <c r="CB486" s="5" t="str">
        <f t="shared" si="493"/>
        <v/>
      </c>
      <c r="CC486" s="5">
        <f t="shared" si="494"/>
        <v>-0.57193526563678632</v>
      </c>
      <c r="CD486" s="2">
        <f t="shared" si="495"/>
        <v>0.37204315624214235</v>
      </c>
      <c r="CE486" s="69">
        <f t="shared" si="496"/>
        <v>7</v>
      </c>
      <c r="CF486" s="5">
        <v>10000</v>
      </c>
      <c r="CG486" s="5">
        <v>-3.660201141852367</v>
      </c>
      <c r="CH486" s="72">
        <f t="shared" si="524"/>
        <v>-2.1401340945682445</v>
      </c>
      <c r="CI486" s="72">
        <f t="shared" si="525"/>
        <v>-2</v>
      </c>
      <c r="CJ486" s="5" t="str">
        <f t="shared" si="497"/>
        <v/>
      </c>
      <c r="CK486" s="5">
        <f t="shared" si="498"/>
        <v>-3.660201141852367</v>
      </c>
      <c r="CL486" s="69">
        <f t="shared" si="499"/>
        <v>3</v>
      </c>
      <c r="CN486" s="70" t="str">
        <f t="shared" si="500"/>
        <v/>
      </c>
      <c r="CO486" s="5" t="e">
        <f t="shared" si="501"/>
        <v>#VALUE!</v>
      </c>
      <c r="CP486" s="5" t="e">
        <f>IF(G486&lt;48,"UF", IF(NOT(ISBLANK(CM:CM)), CM:CM, IF(BW:BW=1, BV:BV+Sheet2!B27, IF(Sheet1!BW:BW=2, Sheet1!BV:BV+Sheet2!B28, IF(Sheet1!BW:BW=7, Sheet1!BV:BV+Sheet2!B29,"")))))</f>
        <v>#VALUE!</v>
      </c>
      <c r="CQ486" s="69" t="e">
        <f t="shared" si="526"/>
        <v>#VALUE!</v>
      </c>
      <c r="CR486" s="5" t="s">
        <v>12</v>
      </c>
      <c r="CT486" s="5" t="str">
        <f t="shared" si="502"/>
        <v/>
      </c>
      <c r="CU486" s="80">
        <f t="shared" si="503"/>
        <v>-0.1504588615658109</v>
      </c>
      <c r="CV486" s="80">
        <f t="shared" si="504"/>
        <v>-1</v>
      </c>
      <c r="CW486" s="20">
        <f>IF(G486&lt;48,"UF", IF(NOT(ISBLANK(CS486)), CS486, IF(CE486=5, CC486+Sheet2!B16, IF(CE486=6, CC486+Sheet2!B17, IF(CE486=7, CC486+Sheet2!B18,"")))))</f>
        <v>-0.72239412720259721</v>
      </c>
      <c r="CX486" s="68">
        <f t="shared" si="527"/>
        <v>7</v>
      </c>
      <c r="CY486" s="5" t="s">
        <v>12</v>
      </c>
      <c r="DA486" s="5" t="str">
        <f t="shared" si="505"/>
        <v/>
      </c>
      <c r="DB486" s="73" t="e">
        <f t="shared" si="506"/>
        <v>#VALUE!</v>
      </c>
      <c r="DC486" s="73" t="e">
        <f t="shared" si="507"/>
        <v>#VALUE!</v>
      </c>
      <c r="DD486" s="5" t="e">
        <f>IF(G486&lt;48,"UF", IF(NOT(ISBLANK(CZ:CZ)), CZ:CZ, IF(CL:CL=3, CK:CK+Sheet2!B21, IF(CL:CL=4, CK:CK+Sheet2!B22, IF(CL:CL=7, CK:CK+Sheet2!B23,"")))))</f>
        <v>#VALUE!</v>
      </c>
      <c r="DE486" s="69" t="e">
        <f t="shared" si="463"/>
        <v>#VALUE!</v>
      </c>
      <c r="DF486" s="2">
        <v>2</v>
      </c>
      <c r="DG486" s="2">
        <v>35</v>
      </c>
      <c r="DH486" s="2">
        <v>1</v>
      </c>
      <c r="DI486" s="2">
        <v>2</v>
      </c>
      <c r="DJ486" s="2">
        <v>2</v>
      </c>
      <c r="DK486" s="2">
        <v>121</v>
      </c>
      <c r="DL486" s="2">
        <v>70</v>
      </c>
      <c r="DM486" s="2" t="s">
        <v>12</v>
      </c>
      <c r="DN486" s="2" t="s">
        <v>12</v>
      </c>
      <c r="DO486" s="2" t="s">
        <v>12</v>
      </c>
      <c r="DP486" s="2" t="s">
        <v>12</v>
      </c>
      <c r="DQ486" s="2">
        <v>2</v>
      </c>
      <c r="DR486" s="2">
        <v>38</v>
      </c>
      <c r="DS486" s="2">
        <v>2</v>
      </c>
      <c r="DT486" s="2">
        <v>91</v>
      </c>
      <c r="DU486" s="2" t="s">
        <v>12</v>
      </c>
      <c r="DV486" s="2">
        <v>2</v>
      </c>
      <c r="DW486" s="2">
        <v>3</v>
      </c>
      <c r="DX486" s="2">
        <v>2</v>
      </c>
      <c r="DY486" s="2">
        <v>2</v>
      </c>
      <c r="DZ486" s="2">
        <v>35</v>
      </c>
      <c r="EA486" s="2">
        <v>36</v>
      </c>
      <c r="EB486" s="2">
        <v>46</v>
      </c>
      <c r="EC486" s="2">
        <v>1</v>
      </c>
      <c r="ED486" s="2">
        <v>1</v>
      </c>
    </row>
    <row r="487" spans="1:134" x14ac:dyDescent="0.25">
      <c r="C487" s="8" t="s">
        <v>331</v>
      </c>
      <c r="D487" s="2">
        <v>6710114708</v>
      </c>
      <c r="E487" s="5">
        <v>7</v>
      </c>
      <c r="F487" s="2">
        <v>1</v>
      </c>
      <c r="G487" s="2">
        <v>49</v>
      </c>
      <c r="H487" s="2">
        <v>-1.849212219358892</v>
      </c>
      <c r="I487" s="2">
        <v>49</v>
      </c>
      <c r="J487" s="2">
        <v>-7.9294265603816944E-2</v>
      </c>
      <c r="K487" s="2">
        <v>2700</v>
      </c>
      <c r="L487" s="2">
        <v>-1.2270493270806959</v>
      </c>
      <c r="M487" s="2">
        <v>2.1086</v>
      </c>
      <c r="N487" s="2">
        <f t="shared" si="467"/>
        <v>1.969406109679446</v>
      </c>
      <c r="O487" s="2">
        <f t="shared" si="468"/>
        <v>2.1086</v>
      </c>
      <c r="P487" s="2">
        <v>65.5</v>
      </c>
      <c r="Q487" s="2">
        <v>-0.11</v>
      </c>
      <c r="R487" s="5">
        <f t="shared" si="469"/>
        <v>0.23464713280190846</v>
      </c>
      <c r="S487" s="5">
        <f t="shared" si="470"/>
        <v>-0.11</v>
      </c>
      <c r="T487" s="2">
        <v>8800</v>
      </c>
      <c r="U487" s="2">
        <v>1.52</v>
      </c>
      <c r="V487" s="2">
        <f t="shared" si="471"/>
        <v>1.4835246635403481</v>
      </c>
      <c r="W487" s="2">
        <f t="shared" si="472"/>
        <v>1.52</v>
      </c>
      <c r="X487" s="2">
        <v>2.0895999999999999</v>
      </c>
      <c r="Y487" s="76">
        <f t="shared" si="508"/>
        <v>3.9388122193588919</v>
      </c>
      <c r="Z487" s="76">
        <f t="shared" si="509"/>
        <v>2</v>
      </c>
      <c r="AA487" s="2">
        <f t="shared" si="473"/>
        <v>0.8296</v>
      </c>
      <c r="AB487" s="2">
        <f t="shared" si="474"/>
        <v>2.0895999999999999</v>
      </c>
      <c r="AC487" s="2">
        <v>75</v>
      </c>
      <c r="AD487" s="2">
        <v>0.39</v>
      </c>
      <c r="AE487" s="79">
        <f t="shared" si="510"/>
        <v>0.46929426560381693</v>
      </c>
      <c r="AF487" s="79">
        <f t="shared" si="511"/>
        <v>1</v>
      </c>
      <c r="AG487" s="2">
        <f t="shared" si="530"/>
        <v>0.19</v>
      </c>
      <c r="AH487" s="2">
        <f t="shared" si="475"/>
        <v>0.39</v>
      </c>
      <c r="AI487" s="2">
        <v>11130</v>
      </c>
      <c r="AJ487" s="2">
        <v>1.74</v>
      </c>
      <c r="AK487" s="76">
        <f t="shared" si="512"/>
        <v>2.9670493270806961</v>
      </c>
      <c r="AL487" s="76">
        <f t="shared" si="513"/>
        <v>2</v>
      </c>
      <c r="AM487" s="2">
        <f t="shared" si="476"/>
        <v>-0.125</v>
      </c>
      <c r="AN487" s="2">
        <f t="shared" si="477"/>
        <v>1.74</v>
      </c>
      <c r="AO487" s="2">
        <v>1.5491999999999999</v>
      </c>
      <c r="AP487" s="2" t="str">
        <f t="shared" si="478"/>
        <v/>
      </c>
      <c r="AQ487" s="2">
        <f t="shared" si="479"/>
        <v>1.5491999999999999</v>
      </c>
      <c r="AR487" s="2">
        <v>81.5</v>
      </c>
      <c r="AS487" s="2">
        <v>0.27</v>
      </c>
      <c r="AT487" s="2" t="str">
        <f t="shared" si="480"/>
        <v/>
      </c>
      <c r="AU487" s="2">
        <f t="shared" si="481"/>
        <v>0.27</v>
      </c>
      <c r="AV487" s="2">
        <v>12000</v>
      </c>
      <c r="AW487" s="2">
        <v>1.27</v>
      </c>
      <c r="AX487" s="2" t="str">
        <f t="shared" si="482"/>
        <v/>
      </c>
      <c r="AY487" s="2">
        <f t="shared" si="483"/>
        <v>1.27</v>
      </c>
      <c r="BA487" s="78">
        <f t="shared" si="514"/>
        <v>-0.7966143854705372</v>
      </c>
      <c r="BB487" s="78">
        <f t="shared" si="515"/>
        <v>-2</v>
      </c>
      <c r="BC487" s="2">
        <f t="shared" si="484"/>
        <v>-0.25621438547053726</v>
      </c>
      <c r="BD487" s="2">
        <f t="shared" si="485"/>
        <v>1.2929856145294627</v>
      </c>
      <c r="BE487" s="67">
        <f t="shared" si="516"/>
        <v>7</v>
      </c>
      <c r="BF487" s="2" t="s">
        <v>12</v>
      </c>
      <c r="BH487" s="2">
        <f t="shared" si="486"/>
        <v>-0.19247352251100605</v>
      </c>
      <c r="BI487" s="2">
        <f t="shared" si="487"/>
        <v>7.7526477488993967E-2</v>
      </c>
      <c r="BJ487" s="67">
        <f t="shared" si="488"/>
        <v>7</v>
      </c>
      <c r="BK487" s="2" t="s">
        <v>12</v>
      </c>
      <c r="BM487" s="77">
        <f t="shared" si="517"/>
        <v>-0.78585703721404254</v>
      </c>
      <c r="BN487" s="77">
        <f t="shared" si="518"/>
        <v>-2</v>
      </c>
      <c r="BO487" s="2">
        <f t="shared" si="489"/>
        <v>-0.31585703721404251</v>
      </c>
      <c r="BP487" s="2">
        <f t="shared" si="490"/>
        <v>0.95414296278595745</v>
      </c>
      <c r="BQ487" s="67">
        <f t="shared" si="519"/>
        <v>7</v>
      </c>
      <c r="BR487" s="5">
        <v>0.78055684358838817</v>
      </c>
      <c r="BS487" s="75">
        <f t="shared" si="520"/>
        <v>-0.51242877094107453</v>
      </c>
      <c r="BT487" s="75">
        <f t="shared" si="521"/>
        <v>-1</v>
      </c>
      <c r="BU487" s="5" t="e">
        <f>IF(#REF!&gt;=36, IF(AND(NOT(ISBLANK(CM:CM)), NOT(ISBLANK(BD:BD))), (CM:CM-BD:BD)/2, ""), "UF")</f>
        <v>#REF!</v>
      </c>
      <c r="BV487" s="5">
        <f t="shared" si="491"/>
        <v>0.78055684358838817</v>
      </c>
      <c r="BW487" s="69">
        <f t="shared" si="492"/>
        <v>7</v>
      </c>
      <c r="BX487" s="2">
        <v>93</v>
      </c>
      <c r="BY487" s="5">
        <v>-0.30742056753301811</v>
      </c>
      <c r="BZ487" s="74">
        <f t="shared" si="531"/>
        <v>-1.2615635303189756</v>
      </c>
      <c r="CA487" s="74">
        <f t="shared" si="523"/>
        <v>-2</v>
      </c>
      <c r="CB487" s="5">
        <f t="shared" si="493"/>
        <v>0.29675776844976115</v>
      </c>
      <c r="CC487" s="5">
        <f t="shared" si="494"/>
        <v>-0.30742056753301811</v>
      </c>
      <c r="CD487" s="2">
        <f t="shared" si="495"/>
        <v>-0.38494704502201205</v>
      </c>
      <c r="CE487" s="69">
        <f t="shared" si="496"/>
        <v>7</v>
      </c>
      <c r="CF487" s="5">
        <v>14500</v>
      </c>
      <c r="CG487" s="5">
        <v>0.32242888835787259</v>
      </c>
      <c r="CH487" s="72">
        <f t="shared" si="524"/>
        <v>-0.63171407442808492</v>
      </c>
      <c r="CI487" s="72">
        <f t="shared" si="525"/>
        <v>-1</v>
      </c>
      <c r="CJ487" s="5">
        <f t="shared" si="497"/>
        <v>-0.47187962377020481</v>
      </c>
      <c r="CK487" s="5">
        <f t="shared" si="498"/>
        <v>0.32242888835787259</v>
      </c>
      <c r="CL487" s="69">
        <f t="shared" si="499"/>
        <v>7</v>
      </c>
      <c r="CM487" s="5">
        <v>-0.53840920007309634</v>
      </c>
      <c r="CN487" s="70">
        <f t="shared" si="500"/>
        <v>-1.3189660436614845</v>
      </c>
      <c r="CO487" s="5">
        <f t="shared" si="501"/>
        <v>-1.3189660436614845</v>
      </c>
      <c r="CP487" s="5">
        <f>IF(G487&lt;48,"UF", IF(NOT(ISBLANK(CM:CM)), CM:CM, IF(BW:BW=1, BV:BV+Sheet2!B560, IF(Sheet1!BW:BW=2, Sheet1!BV:BV+Sheet2!B561, IF(Sheet1!BW:BW=7, Sheet1!BV:BV+Sheet2!B562,"")))))</f>
        <v>-0.53840920007309634</v>
      </c>
      <c r="CQ487" s="69">
        <f t="shared" si="526"/>
        <v>7</v>
      </c>
      <c r="CR487" s="5">
        <v>104</v>
      </c>
      <c r="CS487" s="5">
        <v>0.67104201438851629</v>
      </c>
      <c r="CT487" s="5">
        <f t="shared" si="502"/>
        <v>0.97846258192153446</v>
      </c>
      <c r="CU487" s="80">
        <f t="shared" si="503"/>
        <v>0.97846258192153446</v>
      </c>
      <c r="CV487" s="80">
        <f t="shared" si="504"/>
        <v>2</v>
      </c>
      <c r="CW487" s="20">
        <f>IF(G487&lt;48,"UF", IF(NOT(ISBLANK(CS487)), CS487, IF(CE487=5, CC487+Sheet2!B549, IF(CE487=6, CC487+Sheet2!B550, IF(CE487=7, CC487+Sheet2!B551,"")))))</f>
        <v>0.67104201438851629</v>
      </c>
      <c r="CX487" s="68">
        <f t="shared" si="527"/>
        <v>7</v>
      </c>
      <c r="CY487" s="5">
        <v>15900</v>
      </c>
      <c r="CZ487" s="5">
        <v>1.038371524554783E-2</v>
      </c>
      <c r="DA487" s="5">
        <f t="shared" si="505"/>
        <v>-0.31204517311232477</v>
      </c>
      <c r="DB487" s="73">
        <f t="shared" si="506"/>
        <v>-0.31204517311232477</v>
      </c>
      <c r="DC487" s="73">
        <f t="shared" si="507"/>
        <v>-1</v>
      </c>
      <c r="DD487" s="5">
        <f>IF(G487&lt;48,"UF", IF(NOT(ISBLANK(CZ:CZ)), CZ:CZ, IF(CL:CL=3, CK:CK+Sheet2!B554, IF(CL:CL=4, CK:CK+Sheet2!B555, IF(CL:CL=7, CK:CK+Sheet2!B556,"")))))</f>
        <v>1.038371524554783E-2</v>
      </c>
      <c r="DE487" s="69">
        <f t="shared" si="463"/>
        <v>7</v>
      </c>
      <c r="DF487" s="2">
        <v>2</v>
      </c>
      <c r="DG487" s="2">
        <v>31</v>
      </c>
      <c r="DH487" s="2">
        <v>1</v>
      </c>
      <c r="DI487" s="2">
        <v>2</v>
      </c>
      <c r="DJ487" s="2">
        <v>3</v>
      </c>
      <c r="DK487" s="2" t="s">
        <v>12</v>
      </c>
      <c r="DL487" s="2" t="s">
        <v>12</v>
      </c>
      <c r="DM487" s="2" t="s">
        <v>12</v>
      </c>
      <c r="DN487" s="2" t="s">
        <v>12</v>
      </c>
      <c r="DO487" s="2" t="s">
        <v>12</v>
      </c>
      <c r="DP487" s="2" t="s">
        <v>12</v>
      </c>
      <c r="DQ487" s="2">
        <v>2</v>
      </c>
      <c r="DR487" s="2">
        <v>38</v>
      </c>
      <c r="DS487" s="2">
        <v>3</v>
      </c>
      <c r="DT487" s="2" t="s">
        <v>12</v>
      </c>
      <c r="DU487" s="2" t="s">
        <v>12</v>
      </c>
      <c r="DV487" s="2">
        <v>2</v>
      </c>
      <c r="DW487" s="2">
        <v>2</v>
      </c>
      <c r="DX487" s="2">
        <v>2</v>
      </c>
      <c r="DY487" s="2">
        <v>1</v>
      </c>
      <c r="DZ487" s="2">
        <v>34</v>
      </c>
      <c r="EA487" s="2">
        <v>34</v>
      </c>
      <c r="EB487" s="2">
        <v>44</v>
      </c>
      <c r="EC487" s="2">
        <v>1</v>
      </c>
      <c r="ED487" s="2">
        <v>1</v>
      </c>
    </row>
    <row r="488" spans="1:134" x14ac:dyDescent="0.25">
      <c r="C488" s="10" t="s">
        <v>156</v>
      </c>
      <c r="D488" s="10">
        <v>6710114813</v>
      </c>
      <c r="E488" s="2">
        <v>6</v>
      </c>
      <c r="F488" s="2">
        <v>2</v>
      </c>
      <c r="G488" s="2">
        <v>45</v>
      </c>
      <c r="H488" s="2">
        <v>0.57977019633200444</v>
      </c>
      <c r="I488" s="2">
        <v>46</v>
      </c>
      <c r="J488" s="2">
        <v>-2.051761523148302</v>
      </c>
      <c r="K488" s="5">
        <v>3000</v>
      </c>
      <c r="L488" s="2">
        <v>-0.73426392472567259</v>
      </c>
      <c r="M488" s="2">
        <v>-0.8992</v>
      </c>
      <c r="N488" s="2">
        <f t="shared" si="467"/>
        <v>-1.1309850981660021</v>
      </c>
      <c r="O488" s="2">
        <f t="shared" si="468"/>
        <v>-0.8992</v>
      </c>
      <c r="P488" s="2">
        <v>64</v>
      </c>
      <c r="Q488" s="2">
        <v>-1.7</v>
      </c>
      <c r="R488" s="5">
        <f t="shared" si="469"/>
        <v>1.3958807615741509</v>
      </c>
      <c r="S488" s="5">
        <f t="shared" si="470"/>
        <v>-1.7</v>
      </c>
      <c r="T488" s="2">
        <v>6600</v>
      </c>
      <c r="U488" s="2">
        <v>-1.67</v>
      </c>
      <c r="V488" s="2">
        <f t="shared" si="471"/>
        <v>-2.7868037637163723E-2</v>
      </c>
      <c r="W488" s="2">
        <f t="shared" si="472"/>
        <v>-1.67</v>
      </c>
      <c r="X488" s="2">
        <v>-1.6821999999999999</v>
      </c>
      <c r="Y488" s="76">
        <f t="shared" si="508"/>
        <v>-2.2619701963320042</v>
      </c>
      <c r="Z488" s="76">
        <f t="shared" si="509"/>
        <v>-2</v>
      </c>
      <c r="AA488" s="2">
        <f t="shared" si="473"/>
        <v>0.77239999999999998</v>
      </c>
      <c r="AB488" s="2">
        <f t="shared" si="474"/>
        <v>-1.6821999999999999</v>
      </c>
      <c r="AC488" s="2">
        <v>77.5</v>
      </c>
      <c r="AD488" s="2">
        <v>0.74</v>
      </c>
      <c r="AE488" s="79">
        <f t="shared" si="510"/>
        <v>2.7917615231483017</v>
      </c>
      <c r="AF488" s="79">
        <f t="shared" si="511"/>
        <v>2</v>
      </c>
      <c r="AG488" s="2">
        <f t="shared" si="530"/>
        <v>5.9999999999999942E-2</v>
      </c>
      <c r="AH488" s="2">
        <f t="shared" si="475"/>
        <v>0.74</v>
      </c>
      <c r="AI488" s="2">
        <v>8850</v>
      </c>
      <c r="AJ488" s="2">
        <v>-0.79</v>
      </c>
      <c r="AK488" s="76">
        <f t="shared" si="512"/>
        <v>-5.5736075274327446E-2</v>
      </c>
      <c r="AL488" s="76">
        <f t="shared" si="513"/>
        <v>-1</v>
      </c>
      <c r="AM488" s="2">
        <f t="shared" si="476"/>
        <v>0.29499999999999993</v>
      </c>
      <c r="AN488" s="2">
        <f t="shared" si="477"/>
        <v>-0.79</v>
      </c>
      <c r="AO488" s="2">
        <v>-0.1552</v>
      </c>
      <c r="AP488" s="2">
        <f t="shared" si="478"/>
        <v>-0.16636011802212614</v>
      </c>
      <c r="AQ488" s="2">
        <f t="shared" si="479"/>
        <v>-0.1552</v>
      </c>
      <c r="AR488" s="2">
        <v>78</v>
      </c>
      <c r="AS488" s="2">
        <v>-1.58</v>
      </c>
      <c r="AT488" s="2">
        <f t="shared" si="480"/>
        <v>-0.77772373592422317</v>
      </c>
      <c r="AU488" s="2">
        <f t="shared" si="481"/>
        <v>-1.58</v>
      </c>
      <c r="AV488" s="2">
        <v>9700</v>
      </c>
      <c r="AW488" s="2">
        <v>-1.08</v>
      </c>
      <c r="AX488" s="2">
        <f t="shared" si="482"/>
        <v>-0.68243904752916196</v>
      </c>
      <c r="AY488" s="2">
        <f t="shared" si="483"/>
        <v>-1.08</v>
      </c>
      <c r="AZ488" s="2">
        <v>-2.0149202360442522</v>
      </c>
      <c r="BA488" s="78">
        <f t="shared" si="514"/>
        <v>-0.33272023604425227</v>
      </c>
      <c r="BB488" s="78">
        <f t="shared" si="515"/>
        <v>-1</v>
      </c>
      <c r="BC488" s="2" t="str">
        <f t="shared" si="484"/>
        <v/>
      </c>
      <c r="BD488" s="2">
        <f t="shared" si="485"/>
        <v>-2.0149202360442522</v>
      </c>
      <c r="BE488" s="67">
        <f t="shared" si="516"/>
        <v>2</v>
      </c>
      <c r="BF488" s="2">
        <v>84</v>
      </c>
      <c r="BG488" s="2">
        <v>-0.81544747184844635</v>
      </c>
      <c r="BH488" s="2" t="str">
        <f t="shared" si="486"/>
        <v/>
      </c>
      <c r="BI488" s="2">
        <f t="shared" si="487"/>
        <v>-0.81544747184844635</v>
      </c>
      <c r="BJ488" s="67">
        <f t="shared" si="488"/>
        <v>7</v>
      </c>
      <c r="BK488" s="2">
        <v>10150</v>
      </c>
      <c r="BL488" s="2">
        <v>-2.154878095058324</v>
      </c>
      <c r="BM488" s="77">
        <f t="shared" si="517"/>
        <v>-1.3648780950583239</v>
      </c>
      <c r="BN488" s="77">
        <f t="shared" si="518"/>
        <v>-2</v>
      </c>
      <c r="BO488" s="2" t="str">
        <f t="shared" si="489"/>
        <v/>
      </c>
      <c r="BP488" s="2">
        <f t="shared" si="490"/>
        <v>-2.154878095058324</v>
      </c>
      <c r="BQ488" s="67">
        <f t="shared" si="519"/>
        <v>4</v>
      </c>
      <c r="BS488" s="75" t="e">
        <f t="shared" si="520"/>
        <v>#VALUE!</v>
      </c>
      <c r="BT488" s="75" t="e">
        <f t="shared" si="521"/>
        <v>#VALUE!</v>
      </c>
      <c r="BU488" s="5" t="str">
        <f>IF(G495&gt;=36, IF(AND(NOT(ISBLANK(CM:CM)), NOT(ISBLANK(BD:BD))), (CM:CM-BD:BD)/2, ""), "UF")</f>
        <v>UF</v>
      </c>
      <c r="BV488" s="5" t="e">
        <f t="shared" si="491"/>
        <v>#VALUE!</v>
      </c>
      <c r="BW488" s="69" t="e">
        <f t="shared" si="492"/>
        <v>#VALUE!</v>
      </c>
      <c r="BX488" s="2" t="s">
        <v>12</v>
      </c>
      <c r="BZ488" s="74" t="e">
        <f t="shared" si="531"/>
        <v>#VALUE!</v>
      </c>
      <c r="CA488" s="74" t="e">
        <f t="shared" si="523"/>
        <v>#VALUE!</v>
      </c>
      <c r="CB488" s="5" t="str">
        <f t="shared" si="493"/>
        <v/>
      </c>
      <c r="CC488" s="5" t="e">
        <f t="shared" si="494"/>
        <v>#VALUE!</v>
      </c>
      <c r="CD488" s="2" t="e">
        <f t="shared" si="495"/>
        <v>#VALUE!</v>
      </c>
      <c r="CE488" s="69" t="e">
        <f t="shared" si="496"/>
        <v>#VALUE!</v>
      </c>
      <c r="CF488" s="5" t="s">
        <v>12</v>
      </c>
      <c r="CH488" s="72" t="e">
        <f t="shared" si="524"/>
        <v>#VALUE!</v>
      </c>
      <c r="CI488" s="72" t="e">
        <f t="shared" si="525"/>
        <v>#VALUE!</v>
      </c>
      <c r="CJ488" s="5" t="str">
        <f t="shared" si="497"/>
        <v/>
      </c>
      <c r="CK488" s="5" t="e">
        <f t="shared" si="498"/>
        <v>#VALUE!</v>
      </c>
      <c r="CL488" s="69" t="e">
        <f t="shared" si="499"/>
        <v>#VALUE!</v>
      </c>
      <c r="CN488" s="70" t="str">
        <f t="shared" si="500"/>
        <v/>
      </c>
      <c r="CO488" s="5" t="str">
        <f t="shared" si="501"/>
        <v>UF</v>
      </c>
      <c r="CP488" s="5" t="str">
        <f>IF(G488&lt;48,"UF", IF(NOT(ISBLANK(CM:CM)), CM:CM, IF(BW:BW=1, BV:BV+Sheet2!B295, IF(Sheet1!BW:BW=2, Sheet1!BV:BV+Sheet2!B296, IF(Sheet1!BW:BW=7, Sheet1!BV:BV+Sheet2!B297,"")))))</f>
        <v>UF</v>
      </c>
      <c r="CQ488" s="69" t="str">
        <f t="shared" si="526"/>
        <v/>
      </c>
      <c r="CR488" s="5" t="s">
        <v>12</v>
      </c>
      <c r="CT488" s="5" t="str">
        <f t="shared" si="502"/>
        <v/>
      </c>
      <c r="CU488" s="80" t="str">
        <f t="shared" si="503"/>
        <v>UF</v>
      </c>
      <c r="CV488" s="80" t="str">
        <f t="shared" si="504"/>
        <v>UF</v>
      </c>
      <c r="CW488" s="20" t="str">
        <f>IF(G488&lt;48,"UF", IF(NOT(ISBLANK(CS488)), CS488, IF(CE488=5, CC488+Sheet2!B284, IF(CE488=6, CC488+Sheet2!B285, IF(CE488=7, CC488+Sheet2!B286,"")))))</f>
        <v>UF</v>
      </c>
      <c r="CX488" s="68" t="str">
        <f t="shared" si="527"/>
        <v/>
      </c>
      <c r="CY488" s="5" t="s">
        <v>12</v>
      </c>
      <c r="DA488" s="5" t="str">
        <f t="shared" si="505"/>
        <v>UF</v>
      </c>
      <c r="DB488" s="73" t="str">
        <f t="shared" si="506"/>
        <v>UF</v>
      </c>
      <c r="DC488" s="73" t="str">
        <f t="shared" si="507"/>
        <v>UF</v>
      </c>
      <c r="DD488" s="5" t="str">
        <f>IF(G488&lt;48,"UF", IF(NOT(ISBLANK(CZ:CZ)), CZ:CZ, IF(CL:CL=3, CK:CK+Sheet2!B289, IF(CL:CL=4, CK:CK+Sheet2!B290, IF(CL:CL=7, CK:CK+Sheet2!B291,"")))))</f>
        <v>UF</v>
      </c>
      <c r="DE488" s="69" t="str">
        <f t="shared" si="463"/>
        <v/>
      </c>
      <c r="DF488" s="2">
        <v>2</v>
      </c>
      <c r="DG488" s="2">
        <v>38</v>
      </c>
      <c r="DH488" s="2">
        <v>2</v>
      </c>
      <c r="DI488" s="2">
        <v>2</v>
      </c>
      <c r="DJ488" s="2">
        <v>2</v>
      </c>
      <c r="DK488" s="2">
        <v>60</v>
      </c>
      <c r="DL488" s="2">
        <v>90</v>
      </c>
      <c r="DM488" s="2" t="s">
        <v>12</v>
      </c>
      <c r="DN488" s="2" t="s">
        <v>12</v>
      </c>
      <c r="DO488" s="2" t="s">
        <v>12</v>
      </c>
      <c r="DP488" s="2" t="s">
        <v>12</v>
      </c>
      <c r="DQ488" s="5">
        <v>2</v>
      </c>
      <c r="DR488" s="2">
        <v>39</v>
      </c>
      <c r="DS488" s="2">
        <v>1</v>
      </c>
      <c r="DT488" s="2">
        <v>104</v>
      </c>
      <c r="DU488" s="2">
        <v>71</v>
      </c>
      <c r="DV488" s="2">
        <v>3</v>
      </c>
      <c r="DW488" s="2">
        <v>2</v>
      </c>
      <c r="DX488" s="2">
        <v>2</v>
      </c>
      <c r="DY488" s="2">
        <v>3</v>
      </c>
      <c r="DZ488" s="2">
        <v>34</v>
      </c>
      <c r="EA488" s="2">
        <v>34.5</v>
      </c>
      <c r="EB488" s="2">
        <v>42.5</v>
      </c>
      <c r="EC488" s="2">
        <v>4</v>
      </c>
      <c r="ED488" s="2">
        <v>4</v>
      </c>
    </row>
    <row r="489" spans="1:134" x14ac:dyDescent="0.25">
      <c r="C489" s="8" t="s">
        <v>325</v>
      </c>
      <c r="D489" s="2">
        <v>6710115275</v>
      </c>
      <c r="E489" s="5">
        <v>7</v>
      </c>
      <c r="F489" s="2">
        <v>1</v>
      </c>
      <c r="G489" s="2">
        <v>40</v>
      </c>
      <c r="H489" s="2">
        <v>-0.82787870848434286</v>
      </c>
      <c r="I489" s="2">
        <v>49</v>
      </c>
      <c r="J489" s="2">
        <v>-7.9294265603816944E-2</v>
      </c>
      <c r="K489" s="2">
        <v>2966</v>
      </c>
      <c r="L489" s="2">
        <v>-0.59669103676673729</v>
      </c>
      <c r="M489" s="2">
        <v>0.90939999999999999</v>
      </c>
      <c r="N489" s="2">
        <f t="shared" si="467"/>
        <v>0.89828935424217149</v>
      </c>
      <c r="O489" s="2">
        <f t="shared" si="468"/>
        <v>0.90939999999999999</v>
      </c>
      <c r="P489" s="2">
        <v>66</v>
      </c>
      <c r="Q489" s="2">
        <v>0.11</v>
      </c>
      <c r="R489" s="5">
        <f t="shared" si="469"/>
        <v>0.13464713280190849</v>
      </c>
      <c r="S489" s="5">
        <f t="shared" si="470"/>
        <v>0.11</v>
      </c>
      <c r="T489" s="2">
        <v>8000</v>
      </c>
      <c r="U489" s="2">
        <v>0.75</v>
      </c>
      <c r="V489" s="2">
        <f t="shared" si="471"/>
        <v>0.70834551838336868</v>
      </c>
      <c r="W489" s="2">
        <f t="shared" si="472"/>
        <v>0.75</v>
      </c>
      <c r="X489" s="2">
        <v>0.96870000000000001</v>
      </c>
      <c r="Y489" s="76">
        <f t="shared" si="508"/>
        <v>1.796578708484343</v>
      </c>
      <c r="Z489" s="76">
        <f t="shared" si="509"/>
        <v>2</v>
      </c>
      <c r="AA489" s="2">
        <f t="shared" si="473"/>
        <v>0.26340000000000002</v>
      </c>
      <c r="AB489" s="2">
        <f t="shared" si="474"/>
        <v>0.96870000000000001</v>
      </c>
      <c r="AC489" s="2">
        <v>74.5</v>
      </c>
      <c r="AD489" s="2">
        <v>0.19</v>
      </c>
      <c r="AE489" s="79">
        <f t="shared" si="510"/>
        <v>0.26929426560381697</v>
      </c>
      <c r="AF489" s="79">
        <f t="shared" si="511"/>
        <v>1</v>
      </c>
      <c r="AG489" s="2">
        <f t="shared" si="530"/>
        <v>0.11500000000000002</v>
      </c>
      <c r="AH489" s="2">
        <f t="shared" si="475"/>
        <v>0.19</v>
      </c>
      <c r="AI489" s="2">
        <v>9900</v>
      </c>
      <c r="AJ489" s="2">
        <v>0.82</v>
      </c>
      <c r="AK489" s="76">
        <f t="shared" si="512"/>
        <v>1.4166910367667374</v>
      </c>
      <c r="AL489" s="76">
        <f t="shared" si="513"/>
        <v>2</v>
      </c>
      <c r="AM489" s="2">
        <f t="shared" si="476"/>
        <v>-4.9999999999999989E-2</v>
      </c>
      <c r="AN489" s="2">
        <f t="shared" si="477"/>
        <v>0.82</v>
      </c>
      <c r="AO489" s="2">
        <v>0.63680000000000003</v>
      </c>
      <c r="AP489" s="2">
        <f t="shared" si="478"/>
        <v>-0.80189950232655582</v>
      </c>
      <c r="AQ489" s="2">
        <f t="shared" si="479"/>
        <v>0.63680000000000003</v>
      </c>
      <c r="AR489" s="2">
        <v>81.7</v>
      </c>
      <c r="AS489" s="2">
        <v>0.34</v>
      </c>
      <c r="AT489" s="2">
        <f t="shared" si="480"/>
        <v>-8.6230778154921528E-3</v>
      </c>
      <c r="AU489" s="2">
        <f t="shared" si="481"/>
        <v>0.34</v>
      </c>
      <c r="AV489" s="2">
        <v>11100</v>
      </c>
      <c r="AW489" s="2">
        <v>0.65</v>
      </c>
      <c r="AX489" s="2">
        <f t="shared" si="482"/>
        <v>-0.66436101425682292</v>
      </c>
      <c r="AY489" s="2">
        <f t="shared" si="483"/>
        <v>0.65</v>
      </c>
      <c r="AZ489" s="2">
        <v>-0.63509900465311153</v>
      </c>
      <c r="BA489" s="78">
        <f t="shared" si="514"/>
        <v>-1.6037990046531116</v>
      </c>
      <c r="BB489" s="78">
        <f t="shared" si="515"/>
        <v>-2</v>
      </c>
      <c r="BC489" s="2">
        <f t="shared" si="484"/>
        <v>-0.46315344388847118</v>
      </c>
      <c r="BD489" s="2">
        <f t="shared" si="485"/>
        <v>-0.63509900465311153</v>
      </c>
      <c r="BE489" s="67">
        <f t="shared" si="516"/>
        <v>7</v>
      </c>
      <c r="BF489" s="2">
        <v>86</v>
      </c>
      <c r="BG489" s="2">
        <v>0.1727538443690157</v>
      </c>
      <c r="BH489" s="2">
        <f t="shared" si="486"/>
        <v>-4.7220505868561337E-2</v>
      </c>
      <c r="BI489" s="2">
        <f t="shared" si="487"/>
        <v>0.1727538443690157</v>
      </c>
      <c r="BJ489" s="67">
        <f t="shared" si="488"/>
        <v>7</v>
      </c>
      <c r="BK489" s="2">
        <v>11500</v>
      </c>
      <c r="BL489" s="2">
        <v>-0.5087220285136459</v>
      </c>
      <c r="BM489" s="77">
        <f t="shared" si="517"/>
        <v>-1.3287220285136458</v>
      </c>
      <c r="BN489" s="77">
        <f t="shared" si="518"/>
        <v>-2</v>
      </c>
      <c r="BO489" s="2">
        <f t="shared" si="489"/>
        <v>-0.32936363217664605</v>
      </c>
      <c r="BP489" s="2">
        <f t="shared" si="490"/>
        <v>-0.5087220285136459</v>
      </c>
      <c r="BQ489" s="67">
        <f t="shared" si="519"/>
        <v>7</v>
      </c>
      <c r="BR489" s="5">
        <v>-0.75266033166541346</v>
      </c>
      <c r="BS489" s="75">
        <f t="shared" si="520"/>
        <v>-0.11756132701230193</v>
      </c>
      <c r="BT489" s="75">
        <f t="shared" si="521"/>
        <v>-1</v>
      </c>
      <c r="BU489" s="5" t="e">
        <f>IF(#REF!&gt;=36, IF(AND(NOT(ISBLANK(CM:CM)), NOT(ISBLANK(BD:BD))), (CM:CM-BD:BD)/2, ""), "UF")</f>
        <v>#REF!</v>
      </c>
      <c r="BV489" s="5">
        <f t="shared" si="491"/>
        <v>-0.75266033166541346</v>
      </c>
      <c r="BW489" s="69">
        <f t="shared" si="492"/>
        <v>7</v>
      </c>
      <c r="BX489" s="2">
        <v>95</v>
      </c>
      <c r="BY489" s="5">
        <v>0.19833848239431601</v>
      </c>
      <c r="BZ489" s="74">
        <f t="shared" si="531"/>
        <v>0.70706051090796196</v>
      </c>
      <c r="CA489" s="74">
        <f t="shared" si="523"/>
        <v>2</v>
      </c>
      <c r="CB489" s="5" t="str">
        <f t="shared" si="493"/>
        <v/>
      </c>
      <c r="CC489" s="5">
        <f t="shared" si="494"/>
        <v>0.19833848239431601</v>
      </c>
      <c r="CD489" s="2">
        <f t="shared" si="495"/>
        <v>2.558463802530031E-2</v>
      </c>
      <c r="CE489" s="69">
        <f t="shared" si="496"/>
        <v>7</v>
      </c>
      <c r="CF489" s="5">
        <v>13400</v>
      </c>
      <c r="CG489" s="5">
        <v>-0.33809089652993812</v>
      </c>
      <c r="CH489" s="72">
        <f t="shared" si="524"/>
        <v>0.17063113198370777</v>
      </c>
      <c r="CI489" s="72">
        <f t="shared" si="525"/>
        <v>1</v>
      </c>
      <c r="CJ489" s="5" t="str">
        <f t="shared" si="497"/>
        <v/>
      </c>
      <c r="CK489" s="5">
        <f t="shared" si="498"/>
        <v>-0.33809089652993812</v>
      </c>
      <c r="CL489" s="69">
        <f t="shared" si="499"/>
        <v>7</v>
      </c>
      <c r="CN489" s="70" t="str">
        <f t="shared" si="500"/>
        <v/>
      </c>
      <c r="CO489" s="5" t="str">
        <f t="shared" si="501"/>
        <v>UF</v>
      </c>
      <c r="CP489" s="5" t="str">
        <f>IF(G489&lt;48,"UF", IF(NOT(ISBLANK(CM:CM)), CM:CM, IF(BW:BW=1, BV:BV+Sheet2!B549, IF(Sheet1!BW:BW=2, Sheet1!BV:BV+Sheet2!B550, IF(Sheet1!BW:BW=7, Sheet1!BV:BV+Sheet2!B551,"")))))</f>
        <v>UF</v>
      </c>
      <c r="CQ489" s="69" t="str">
        <f t="shared" si="526"/>
        <v/>
      </c>
      <c r="CR489" s="5" t="s">
        <v>12</v>
      </c>
      <c r="CT489" s="5" t="str">
        <f t="shared" si="502"/>
        <v/>
      </c>
      <c r="CU489" s="80" t="str">
        <f t="shared" si="503"/>
        <v>UF</v>
      </c>
      <c r="CV489" s="80" t="str">
        <f t="shared" si="504"/>
        <v>UF</v>
      </c>
      <c r="CW489" s="20" t="str">
        <f>IF(G489&lt;48,"UF", IF(NOT(ISBLANK(CS489)), CS489, IF(CE489=5, CC489+Sheet2!B538, IF(CE489=6, CC489+Sheet2!B539, IF(CE489=7, CC489+Sheet2!B540,"")))))</f>
        <v>UF</v>
      </c>
      <c r="CX489" s="68" t="str">
        <f t="shared" si="527"/>
        <v/>
      </c>
      <c r="CY489" s="5" t="s">
        <v>12</v>
      </c>
      <c r="DA489" s="5" t="str">
        <f t="shared" si="505"/>
        <v>UF</v>
      </c>
      <c r="DB489" s="73" t="str">
        <f t="shared" si="506"/>
        <v>UF</v>
      </c>
      <c r="DC489" s="73" t="str">
        <f t="shared" si="507"/>
        <v>UF</v>
      </c>
      <c r="DD489" s="5" t="str">
        <f>IF(G489&lt;48,"UF", IF(NOT(ISBLANK(CZ:CZ)), CZ:CZ, IF(CL:CL=3, CK:CK+Sheet2!B543, IF(CL:CL=4, CK:CK+Sheet2!B544, IF(CL:CL=7, CK:CK+Sheet2!B545,"")))))</f>
        <v>UF</v>
      </c>
      <c r="DE489" s="69" t="str">
        <f t="shared" si="463"/>
        <v/>
      </c>
      <c r="DF489" s="2">
        <v>2</v>
      </c>
      <c r="DG489" s="2">
        <v>21</v>
      </c>
      <c r="DH489" s="2">
        <v>2</v>
      </c>
      <c r="DI489" s="2">
        <v>2</v>
      </c>
      <c r="DJ489" s="2">
        <v>2</v>
      </c>
      <c r="DK489" s="2">
        <v>105</v>
      </c>
      <c r="DL489" s="2">
        <v>60</v>
      </c>
      <c r="DM489" s="2">
        <v>110</v>
      </c>
      <c r="DN489" s="2">
        <v>60</v>
      </c>
      <c r="DO489" s="2" t="s">
        <v>12</v>
      </c>
      <c r="DP489" s="2" t="s">
        <v>12</v>
      </c>
      <c r="DQ489" s="2">
        <v>2</v>
      </c>
      <c r="DR489" s="2">
        <v>38</v>
      </c>
      <c r="DS489" s="2">
        <v>2</v>
      </c>
      <c r="DT489" s="2">
        <v>71</v>
      </c>
      <c r="DU489" s="2">
        <v>67</v>
      </c>
      <c r="DV489" s="2">
        <v>2</v>
      </c>
      <c r="DW489" s="2">
        <v>2</v>
      </c>
      <c r="DX489" s="2">
        <v>2</v>
      </c>
      <c r="DY489" s="2">
        <v>1</v>
      </c>
      <c r="DZ489" s="2">
        <v>34</v>
      </c>
      <c r="EA489" s="2">
        <v>37.5</v>
      </c>
      <c r="EB489" s="2">
        <v>46.5</v>
      </c>
      <c r="EC489" s="2">
        <v>1</v>
      </c>
      <c r="ED489" s="2">
        <v>1</v>
      </c>
    </row>
    <row r="490" spans="1:134" x14ac:dyDescent="0.25">
      <c r="C490" s="8" t="s">
        <v>289</v>
      </c>
      <c r="D490" s="8">
        <v>6710115291</v>
      </c>
      <c r="E490" s="5">
        <v>7</v>
      </c>
      <c r="F490" s="2">
        <v>1</v>
      </c>
      <c r="G490" s="2">
        <v>38</v>
      </c>
      <c r="H490" s="2">
        <v>0.4373119719073929</v>
      </c>
      <c r="I490" s="2">
        <v>48</v>
      </c>
      <c r="J490" s="2">
        <v>-0.61614996855203885</v>
      </c>
      <c r="K490" s="2">
        <v>3200</v>
      </c>
      <c r="L490" s="2">
        <v>-7.0518060756779827E-2</v>
      </c>
      <c r="N490" s="2">
        <f t="shared" si="467"/>
        <v>-0.34485598595369649</v>
      </c>
      <c r="O490" s="2">
        <f t="shared" si="468"/>
        <v>9.2455985953696418E-2</v>
      </c>
      <c r="P490" s="2" t="s">
        <v>12</v>
      </c>
      <c r="R490" s="5">
        <f t="shared" si="469"/>
        <v>0.50307498427601938</v>
      </c>
      <c r="S490" s="5">
        <f t="shared" si="470"/>
        <v>-0.11307498427601947</v>
      </c>
      <c r="T490" s="2" t="s">
        <v>12</v>
      </c>
      <c r="V490" s="2">
        <f t="shared" si="471"/>
        <v>6.0259030378389915E-2</v>
      </c>
      <c r="W490" s="2">
        <f t="shared" si="472"/>
        <v>-1.0259030378389912E-2</v>
      </c>
      <c r="X490" s="2">
        <v>-0.25240000000000001</v>
      </c>
      <c r="Y490" s="76">
        <f t="shared" si="508"/>
        <v>-0.68971197190739297</v>
      </c>
      <c r="Z490" s="76">
        <f t="shared" si="509"/>
        <v>-2</v>
      </c>
      <c r="AA490" s="2">
        <f t="shared" si="473"/>
        <v>-0.5379125078619903</v>
      </c>
      <c r="AB490" s="2">
        <f t="shared" si="474"/>
        <v>-0.25240000000000001</v>
      </c>
      <c r="AC490" s="2">
        <v>75</v>
      </c>
      <c r="AD490" s="2">
        <v>0.39</v>
      </c>
      <c r="AE490" s="79">
        <f t="shared" si="510"/>
        <v>1.0061499685520388</v>
      </c>
      <c r="AF490" s="79">
        <f t="shared" si="511"/>
        <v>2</v>
      </c>
      <c r="AG490" s="2">
        <f t="shared" si="530"/>
        <v>0.45153749213800976</v>
      </c>
      <c r="AH490" s="2">
        <f t="shared" si="475"/>
        <v>0.39</v>
      </c>
      <c r="AI490" s="2">
        <v>9000</v>
      </c>
      <c r="AJ490" s="2">
        <v>0.05</v>
      </c>
      <c r="AK490" s="76">
        <f t="shared" si="512"/>
        <v>0.12051806075677983</v>
      </c>
      <c r="AL490" s="76">
        <f t="shared" si="513"/>
        <v>1</v>
      </c>
      <c r="AM490" s="2">
        <f t="shared" si="476"/>
        <v>-0.16987048481080502</v>
      </c>
      <c r="AN490" s="2">
        <f t="shared" si="477"/>
        <v>0.05</v>
      </c>
      <c r="AO490" s="2">
        <v>-1.1889000000000001</v>
      </c>
      <c r="AP490" s="2">
        <f t="shared" si="478"/>
        <v>-0.35763286985375442</v>
      </c>
      <c r="AQ490" s="2">
        <f t="shared" si="479"/>
        <v>-1.1889000000000001</v>
      </c>
      <c r="AR490" s="2">
        <v>83</v>
      </c>
      <c r="AS490" s="2">
        <v>0.79</v>
      </c>
      <c r="AT490" s="2">
        <f t="shared" si="480"/>
        <v>-0.10862307781549216</v>
      </c>
      <c r="AU490" s="2">
        <f t="shared" si="481"/>
        <v>0.79</v>
      </c>
      <c r="AV490" s="2">
        <v>9800</v>
      </c>
      <c r="AW490" s="2">
        <v>-0.35</v>
      </c>
      <c r="AX490" s="2">
        <f t="shared" si="482"/>
        <v>-0.40836795020202254</v>
      </c>
      <c r="AY490" s="2">
        <f t="shared" si="483"/>
        <v>-0.35</v>
      </c>
      <c r="AZ490" s="2">
        <v>-0.9676657397075088</v>
      </c>
      <c r="BA490" s="78">
        <f t="shared" si="514"/>
        <v>-0.71526573970750884</v>
      </c>
      <c r="BB490" s="78">
        <f t="shared" si="515"/>
        <v>-2</v>
      </c>
      <c r="BC490" s="2">
        <f t="shared" si="484"/>
        <v>-0.2699092454128173</v>
      </c>
      <c r="BD490" s="2">
        <f t="shared" si="485"/>
        <v>-0.9676657397075088</v>
      </c>
      <c r="BE490" s="67">
        <f t="shared" si="516"/>
        <v>7</v>
      </c>
      <c r="BF490" s="2">
        <v>86</v>
      </c>
      <c r="BG490" s="2">
        <v>0.1727538443690157</v>
      </c>
      <c r="BH490" s="2">
        <f t="shared" si="486"/>
        <v>-0.15532865356513068</v>
      </c>
      <c r="BI490" s="2">
        <f t="shared" si="487"/>
        <v>0.1727538443690157</v>
      </c>
      <c r="BJ490" s="67">
        <f t="shared" si="488"/>
        <v>7</v>
      </c>
      <c r="BK490" s="2">
        <v>11200</v>
      </c>
      <c r="BL490" s="2">
        <v>-0.76673590040404505</v>
      </c>
      <c r="BM490" s="77">
        <f t="shared" si="517"/>
        <v>-0.81673590040404509</v>
      </c>
      <c r="BN490" s="77">
        <f t="shared" si="518"/>
        <v>-2</v>
      </c>
      <c r="BO490" s="2">
        <f t="shared" si="489"/>
        <v>-0.20537396621314805</v>
      </c>
      <c r="BP490" s="2">
        <f t="shared" si="490"/>
        <v>-0.76673590040404505</v>
      </c>
      <c r="BQ490" s="67">
        <f t="shared" si="519"/>
        <v>7</v>
      </c>
      <c r="BR490" s="5">
        <v>-1.9986277362384519</v>
      </c>
      <c r="BS490" s="75">
        <f t="shared" si="520"/>
        <v>-1.0309619965309431</v>
      </c>
      <c r="BT490" s="75">
        <f t="shared" si="521"/>
        <v>-2</v>
      </c>
      <c r="BU490" s="5" t="e">
        <f>IF(#REF!&gt;=36, IF(AND(NOT(ISBLANK(CM:CM)), NOT(ISBLANK(BD:BD))), (CM:CM-BD:BD)/2, ""), "UF")</f>
        <v>#REF!</v>
      </c>
      <c r="BV490" s="5">
        <f t="shared" si="491"/>
        <v>-1.9986277362384519</v>
      </c>
      <c r="BW490" s="69">
        <f t="shared" si="492"/>
        <v>7</v>
      </c>
      <c r="BX490" s="2">
        <v>95.5</v>
      </c>
      <c r="BY490" s="5">
        <v>0.32401403930460798</v>
      </c>
      <c r="BZ490" s="74">
        <f t="shared" si="531"/>
        <v>1.0907499397086531</v>
      </c>
      <c r="CA490" s="74">
        <f t="shared" si="523"/>
        <v>2</v>
      </c>
      <c r="CB490" s="5" t="str">
        <f t="shared" si="493"/>
        <v/>
      </c>
      <c r="CC490" s="5">
        <f t="shared" si="494"/>
        <v>0.32401403930460798</v>
      </c>
      <c r="CD490" s="2">
        <f t="shared" si="495"/>
        <v>0.15126019493559228</v>
      </c>
      <c r="CE490" s="69">
        <f t="shared" si="496"/>
        <v>7</v>
      </c>
      <c r="CF490" s="5">
        <v>12500</v>
      </c>
      <c r="CG490" s="5">
        <v>-0.96612189863944409</v>
      </c>
      <c r="CH490" s="72">
        <f t="shared" si="524"/>
        <v>-0.19938599823539904</v>
      </c>
      <c r="CI490" s="72">
        <f t="shared" si="525"/>
        <v>-1</v>
      </c>
      <c r="CJ490" s="5" t="str">
        <f t="shared" si="497"/>
        <v/>
      </c>
      <c r="CK490" s="5">
        <f t="shared" si="498"/>
        <v>-0.96612189863944409</v>
      </c>
      <c r="CL490" s="69">
        <f t="shared" si="499"/>
        <v>7</v>
      </c>
      <c r="CN490" s="70" t="str">
        <f t="shared" si="500"/>
        <v/>
      </c>
      <c r="CO490" s="5" t="str">
        <f t="shared" si="501"/>
        <v>UF</v>
      </c>
      <c r="CP490" s="5" t="str">
        <f>IF(G490&lt;48,"UF", IF(NOT(ISBLANK(CM:CM)), CM:CM, IF(BW:BW=1, BV:BV+Sheet2!B495, IF(Sheet1!BW:BW=2, Sheet1!BV:BV+Sheet2!B496, IF(Sheet1!BW:BW=7, Sheet1!BV:BV+Sheet2!B497,"")))))</f>
        <v>UF</v>
      </c>
      <c r="CQ490" s="69" t="str">
        <f t="shared" si="526"/>
        <v/>
      </c>
      <c r="CR490" s="5" t="s">
        <v>12</v>
      </c>
      <c r="CT490" s="5" t="str">
        <f t="shared" si="502"/>
        <v/>
      </c>
      <c r="CU490" s="80" t="str">
        <f t="shared" si="503"/>
        <v>UF</v>
      </c>
      <c r="CV490" s="80" t="str">
        <f t="shared" si="504"/>
        <v>UF</v>
      </c>
      <c r="CW490" s="20" t="str">
        <f>IF(G490&lt;48,"UF", IF(NOT(ISBLANK(CS490)), CS490, IF(CE490=5, CC490+Sheet2!B484, IF(CE490=6, CC490+Sheet2!B485, IF(CE490=7, CC490+Sheet2!B486,"")))))</f>
        <v>UF</v>
      </c>
      <c r="CX490" s="68" t="str">
        <f t="shared" si="527"/>
        <v/>
      </c>
      <c r="CY490" s="5" t="s">
        <v>12</v>
      </c>
      <c r="DA490" s="5" t="str">
        <f t="shared" si="505"/>
        <v>UF</v>
      </c>
      <c r="DB490" s="73" t="str">
        <f t="shared" si="506"/>
        <v>UF</v>
      </c>
      <c r="DC490" s="73" t="str">
        <f t="shared" si="507"/>
        <v>UF</v>
      </c>
      <c r="DD490" s="5" t="str">
        <f>IF(G490&lt;48,"UF", IF(NOT(ISBLANK(CZ:CZ)), CZ:CZ, IF(CL:CL=3, CK:CK+Sheet2!B489, IF(CL:CL=4, CK:CK+Sheet2!B490, IF(CL:CL=7, CK:CK+Sheet2!B491,"")))))</f>
        <v>UF</v>
      </c>
      <c r="DE490" s="69" t="str">
        <f t="shared" si="463"/>
        <v/>
      </c>
      <c r="DF490" s="2">
        <v>1</v>
      </c>
      <c r="DG490" s="2">
        <v>35</v>
      </c>
      <c r="DH490" s="2">
        <v>1</v>
      </c>
      <c r="DI490" s="2">
        <v>2</v>
      </c>
      <c r="DJ490" s="2">
        <v>2</v>
      </c>
      <c r="DK490" s="2">
        <v>120</v>
      </c>
      <c r="DL490" s="2">
        <v>80</v>
      </c>
      <c r="DM490" s="2">
        <v>110</v>
      </c>
      <c r="DN490" s="2">
        <v>70</v>
      </c>
      <c r="DO490" s="2">
        <v>120</v>
      </c>
      <c r="DP490" s="2">
        <v>80</v>
      </c>
      <c r="DQ490" s="2">
        <v>2</v>
      </c>
      <c r="DR490" s="2">
        <v>40</v>
      </c>
      <c r="DS490" s="2">
        <v>2</v>
      </c>
      <c r="DT490" s="2">
        <v>83</v>
      </c>
      <c r="DU490" s="2">
        <v>70</v>
      </c>
      <c r="DV490" s="2">
        <v>2</v>
      </c>
      <c r="DW490" s="2">
        <v>2</v>
      </c>
      <c r="DX490" s="2">
        <v>2</v>
      </c>
      <c r="DY490" s="2">
        <v>3</v>
      </c>
      <c r="DZ490" s="2">
        <v>34</v>
      </c>
      <c r="EA490" s="2">
        <v>35</v>
      </c>
      <c r="EB490" s="2">
        <v>46</v>
      </c>
      <c r="EC490" s="2">
        <v>4</v>
      </c>
      <c r="ED490" s="2">
        <v>1</v>
      </c>
    </row>
    <row r="491" spans="1:134" x14ac:dyDescent="0.25">
      <c r="C491" s="8" t="s">
        <v>326</v>
      </c>
      <c r="D491" s="2">
        <v>6710115372</v>
      </c>
      <c r="E491" s="5">
        <v>7</v>
      </c>
      <c r="F491" s="2">
        <v>1</v>
      </c>
      <c r="G491" s="2">
        <v>38</v>
      </c>
      <c r="H491" s="2">
        <v>3.8186325235999882E-3</v>
      </c>
      <c r="I491" s="2">
        <v>51</v>
      </c>
      <c r="J491" s="2">
        <v>0.99441714029262385</v>
      </c>
      <c r="K491" s="2">
        <v>3470</v>
      </c>
      <c r="L491" s="2">
        <v>0.50779863988885543</v>
      </c>
      <c r="M491" s="2">
        <v>-2.63E-2</v>
      </c>
      <c r="N491" s="2">
        <f t="shared" si="467"/>
        <v>-0.21685931626179999</v>
      </c>
      <c r="O491" s="2">
        <f t="shared" si="468"/>
        <v>-2.63E-2</v>
      </c>
      <c r="P491" s="2">
        <v>68</v>
      </c>
      <c r="Q491" s="2">
        <v>0.99</v>
      </c>
      <c r="R491" s="5">
        <f t="shared" si="469"/>
        <v>-0.11220857014631191</v>
      </c>
      <c r="S491" s="5">
        <f t="shared" si="470"/>
        <v>0.99</v>
      </c>
      <c r="T491" s="2">
        <v>7800</v>
      </c>
      <c r="U491" s="2">
        <v>0.54</v>
      </c>
      <c r="V491" s="2">
        <f t="shared" si="471"/>
        <v>-0.18389931994442771</v>
      </c>
      <c r="W491" s="2">
        <f t="shared" si="472"/>
        <v>0.54</v>
      </c>
      <c r="X491" s="2">
        <v>-0.4299</v>
      </c>
      <c r="Y491" s="76">
        <f t="shared" si="508"/>
        <v>-0.43371863252359999</v>
      </c>
      <c r="Z491" s="76">
        <f t="shared" si="509"/>
        <v>-1</v>
      </c>
      <c r="AA491" s="2">
        <f t="shared" si="473"/>
        <v>-0.92375000000000007</v>
      </c>
      <c r="AB491" s="2">
        <f t="shared" si="474"/>
        <v>-0.4299</v>
      </c>
      <c r="AC491" s="2">
        <v>76</v>
      </c>
      <c r="AD491" s="2">
        <v>0.77</v>
      </c>
      <c r="AE491" s="79">
        <f t="shared" si="510"/>
        <v>-0.22441714029262383</v>
      </c>
      <c r="AF491" s="79">
        <f t="shared" si="511"/>
        <v>-1</v>
      </c>
      <c r="AG491" s="2">
        <f t="shared" si="530"/>
        <v>-0.15499999999999997</v>
      </c>
      <c r="AH491" s="2">
        <f t="shared" si="475"/>
        <v>0.77</v>
      </c>
      <c r="AI491" s="2">
        <v>9100</v>
      </c>
      <c r="AJ491" s="2">
        <v>0.14000000000000001</v>
      </c>
      <c r="AK491" s="76">
        <f t="shared" si="512"/>
        <v>-0.36779863988885542</v>
      </c>
      <c r="AL491" s="76">
        <f t="shared" si="513"/>
        <v>-1</v>
      </c>
      <c r="AM491" s="2">
        <f t="shared" si="476"/>
        <v>-0.36499999999999999</v>
      </c>
      <c r="AN491" s="2">
        <f t="shared" si="477"/>
        <v>0.14000000000000001</v>
      </c>
      <c r="AO491" s="2">
        <v>-0.85750000000000004</v>
      </c>
      <c r="AP491" s="2" t="str">
        <f t="shared" si="478"/>
        <v/>
      </c>
      <c r="AQ491" s="2">
        <f t="shared" si="479"/>
        <v>-0.85750000000000004</v>
      </c>
      <c r="AR491" s="2">
        <v>82.7</v>
      </c>
      <c r="AS491" s="2">
        <v>0.68</v>
      </c>
      <c r="AT491" s="2" t="str">
        <f t="shared" si="480"/>
        <v/>
      </c>
      <c r="AU491" s="2">
        <f t="shared" si="481"/>
        <v>0.68</v>
      </c>
      <c r="AV491" s="2">
        <v>10000</v>
      </c>
      <c r="AW491" s="2">
        <v>-0.19</v>
      </c>
      <c r="AX491" s="2" t="str">
        <f t="shared" si="482"/>
        <v/>
      </c>
      <c r="AY491" s="2">
        <f t="shared" si="483"/>
        <v>-0.19</v>
      </c>
      <c r="BA491" s="78" t="e">
        <f t="shared" si="514"/>
        <v>#VALUE!</v>
      </c>
      <c r="BB491" s="78" t="e">
        <f t="shared" si="515"/>
        <v>#VALUE!</v>
      </c>
      <c r="BC491" s="2" t="str">
        <f t="shared" si="484"/>
        <v/>
      </c>
      <c r="BD491" s="2" t="e">
        <f t="shared" si="485"/>
        <v>#VALUE!</v>
      </c>
      <c r="BE491" s="67" t="e">
        <f t="shared" si="516"/>
        <v>#VALUE!</v>
      </c>
      <c r="BF491" s="2" t="s">
        <v>12</v>
      </c>
      <c r="BH491" s="2" t="str">
        <f t="shared" si="486"/>
        <v/>
      </c>
      <c r="BI491" s="2" t="e">
        <f t="shared" si="487"/>
        <v>#VALUE!</v>
      </c>
      <c r="BJ491" s="67" t="e">
        <f t="shared" si="488"/>
        <v>#VALUE!</v>
      </c>
      <c r="BK491" s="2" t="s">
        <v>12</v>
      </c>
      <c r="BM491" s="77" t="e">
        <f t="shared" si="517"/>
        <v>#VALUE!</v>
      </c>
      <c r="BN491" s="77" t="e">
        <f t="shared" si="518"/>
        <v>#VALUE!</v>
      </c>
      <c r="BO491" s="2" t="str">
        <f t="shared" si="489"/>
        <v/>
      </c>
      <c r="BP491" s="2" t="e">
        <f t="shared" si="490"/>
        <v>#VALUE!</v>
      </c>
      <c r="BQ491" s="67" t="e">
        <f t="shared" si="519"/>
        <v>#VALUE!</v>
      </c>
      <c r="BS491" s="75" t="e">
        <f t="shared" si="520"/>
        <v>#VALUE!</v>
      </c>
      <c r="BT491" s="75" t="e">
        <f t="shared" si="521"/>
        <v>#VALUE!</v>
      </c>
      <c r="BU491" s="5" t="str">
        <f>IF(G496&gt;=36, IF(AND(NOT(ISBLANK(CM:CM)), NOT(ISBLANK(BD:BD))), (CM:CM-BD:BD)/2, ""), "UF")</f>
        <v/>
      </c>
      <c r="BV491" s="5" t="e">
        <f t="shared" si="491"/>
        <v>#VALUE!</v>
      </c>
      <c r="BW491" s="69" t="e">
        <f t="shared" si="492"/>
        <v>#VALUE!</v>
      </c>
      <c r="BX491" s="2" t="s">
        <v>12</v>
      </c>
      <c r="BZ491" s="74" t="e">
        <f t="shared" si="531"/>
        <v>#VALUE!</v>
      </c>
      <c r="CA491" s="74" t="e">
        <f t="shared" si="523"/>
        <v>#VALUE!</v>
      </c>
      <c r="CB491" s="5" t="str">
        <f t="shared" si="493"/>
        <v/>
      </c>
      <c r="CC491" s="5" t="e">
        <f t="shared" si="494"/>
        <v>#VALUE!</v>
      </c>
      <c r="CD491" s="2" t="e">
        <f t="shared" si="495"/>
        <v>#VALUE!</v>
      </c>
      <c r="CE491" s="69" t="e">
        <f t="shared" si="496"/>
        <v>#VALUE!</v>
      </c>
      <c r="CF491" s="5" t="s">
        <v>12</v>
      </c>
      <c r="CH491" s="72" t="e">
        <f t="shared" si="524"/>
        <v>#VALUE!</v>
      </c>
      <c r="CI491" s="72" t="e">
        <f t="shared" si="525"/>
        <v>#VALUE!</v>
      </c>
      <c r="CJ491" s="5" t="str">
        <f t="shared" si="497"/>
        <v/>
      </c>
      <c r="CK491" s="5" t="e">
        <f t="shared" si="498"/>
        <v>#VALUE!</v>
      </c>
      <c r="CL491" s="69" t="e">
        <f t="shared" si="499"/>
        <v>#VALUE!</v>
      </c>
      <c r="CN491" s="70" t="str">
        <f t="shared" si="500"/>
        <v/>
      </c>
      <c r="CO491" s="5" t="str">
        <f t="shared" si="501"/>
        <v>UF</v>
      </c>
      <c r="CP491" s="5" t="str">
        <f>IF(G491&lt;48,"UF", IF(NOT(ISBLANK(CM:CM)), CM:CM, IF(BW:BW=1, BV:BV+Sheet2!B551, IF(Sheet1!BW:BW=2, Sheet1!BV:BV+Sheet2!B552, IF(Sheet1!BW:BW=7, Sheet1!BV:BV+Sheet2!B553,"")))))</f>
        <v>UF</v>
      </c>
      <c r="CQ491" s="69" t="str">
        <f t="shared" si="526"/>
        <v/>
      </c>
      <c r="CR491" s="5" t="s">
        <v>12</v>
      </c>
      <c r="CT491" s="5" t="str">
        <f t="shared" si="502"/>
        <v/>
      </c>
      <c r="CU491" s="80" t="str">
        <f t="shared" si="503"/>
        <v>UF</v>
      </c>
      <c r="CV491" s="80" t="str">
        <f t="shared" si="504"/>
        <v>UF</v>
      </c>
      <c r="CW491" s="20" t="str">
        <f>IF(G491&lt;48,"UF", IF(NOT(ISBLANK(CS491)), CS491, IF(CE491=5, CC491+Sheet2!B540, IF(CE491=6, CC491+Sheet2!B541, IF(CE491=7, CC491+Sheet2!B542,"")))))</f>
        <v>UF</v>
      </c>
      <c r="CX491" s="68" t="str">
        <f t="shared" si="527"/>
        <v/>
      </c>
      <c r="CY491" s="5" t="s">
        <v>12</v>
      </c>
      <c r="DA491" s="5" t="str">
        <f t="shared" si="505"/>
        <v>UF</v>
      </c>
      <c r="DB491" s="73" t="str">
        <f t="shared" si="506"/>
        <v>UF</v>
      </c>
      <c r="DC491" s="73" t="str">
        <f t="shared" si="507"/>
        <v>UF</v>
      </c>
      <c r="DD491" s="5" t="str">
        <f>IF(G491&lt;48,"UF", IF(NOT(ISBLANK(CZ:CZ)), CZ:CZ, IF(CL:CL=3, CK:CK+Sheet2!B545, IF(CL:CL=4, CK:CK+Sheet2!B546, IF(CL:CL=7, CK:CK+Sheet2!B547,"")))))</f>
        <v>UF</v>
      </c>
      <c r="DE491" s="69" t="str">
        <f t="shared" si="463"/>
        <v/>
      </c>
      <c r="DF491" s="2">
        <v>2</v>
      </c>
      <c r="DG491" s="2">
        <v>27</v>
      </c>
      <c r="DH491" s="2">
        <v>2</v>
      </c>
      <c r="DI491" s="2">
        <v>2</v>
      </c>
      <c r="DJ491" s="2">
        <v>3</v>
      </c>
      <c r="DK491" s="2" t="s">
        <v>12</v>
      </c>
      <c r="DL491" s="2" t="s">
        <v>12</v>
      </c>
      <c r="DM491" s="2" t="s">
        <v>12</v>
      </c>
      <c r="DN491" s="2" t="s">
        <v>12</v>
      </c>
      <c r="DO491" s="2" t="s">
        <v>12</v>
      </c>
      <c r="DP491" s="2" t="s">
        <v>12</v>
      </c>
      <c r="DQ491" s="2">
        <v>2</v>
      </c>
      <c r="DR491" s="2">
        <v>40</v>
      </c>
      <c r="DS491" s="2">
        <v>3</v>
      </c>
      <c r="DT491" s="2" t="s">
        <v>12</v>
      </c>
      <c r="DU491" s="2" t="s">
        <v>12</v>
      </c>
      <c r="DV491" s="2">
        <v>2</v>
      </c>
      <c r="DW491" s="2">
        <v>3</v>
      </c>
      <c r="DX491" s="2">
        <v>2</v>
      </c>
      <c r="DY491" s="2">
        <v>1</v>
      </c>
      <c r="DZ491" s="2">
        <v>36</v>
      </c>
      <c r="EA491" s="2" t="s">
        <v>12</v>
      </c>
      <c r="EB491" s="2">
        <v>47.5</v>
      </c>
      <c r="EC491" s="2" t="s">
        <v>12</v>
      </c>
      <c r="ED491" s="2">
        <v>1</v>
      </c>
    </row>
    <row r="492" spans="1:134" x14ac:dyDescent="0.25">
      <c r="C492" s="2" t="s">
        <v>136</v>
      </c>
      <c r="D492" s="2">
        <v>6710115488</v>
      </c>
      <c r="E492" s="5">
        <v>4</v>
      </c>
      <c r="F492" s="2">
        <v>2</v>
      </c>
      <c r="G492" s="2">
        <v>36</v>
      </c>
      <c r="H492" s="2">
        <v>-2.7833116521128671</v>
      </c>
      <c r="I492" s="2">
        <v>51</v>
      </c>
      <c r="J492" s="2">
        <v>0.58940135287155082</v>
      </c>
      <c r="K492" s="5">
        <v>2700</v>
      </c>
      <c r="L492" s="2">
        <v>-1.4162320057858351</v>
      </c>
      <c r="M492" s="2">
        <v>-0.13350000000000001</v>
      </c>
      <c r="N492" s="2" t="str">
        <f t="shared" si="467"/>
        <v/>
      </c>
      <c r="O492" s="2">
        <f t="shared" si="468"/>
        <v>-0.13350000000000001</v>
      </c>
      <c r="P492" s="2">
        <v>67</v>
      </c>
      <c r="Q492" s="2">
        <v>-0.3</v>
      </c>
      <c r="R492" s="5" t="str">
        <f t="shared" si="469"/>
        <v/>
      </c>
      <c r="S492" s="5">
        <f t="shared" si="470"/>
        <v>-0.3</v>
      </c>
      <c r="T492" s="1">
        <v>7700</v>
      </c>
      <c r="U492" s="2">
        <v>-0.28000000000000003</v>
      </c>
      <c r="V492" s="2" t="str">
        <f t="shared" si="471"/>
        <v/>
      </c>
      <c r="W492" s="2">
        <f t="shared" si="472"/>
        <v>-0.28000000000000003</v>
      </c>
      <c r="Y492" s="76" t="e">
        <f t="shared" si="508"/>
        <v>#VALUE!</v>
      </c>
      <c r="Z492" s="76" t="e">
        <f t="shared" si="509"/>
        <v>#VALUE!</v>
      </c>
      <c r="AA492" s="2" t="str">
        <f t="shared" si="473"/>
        <v/>
      </c>
      <c r="AB492" s="2" t="e">
        <f t="shared" si="474"/>
        <v>#VALUE!</v>
      </c>
      <c r="AC492" s="2" t="s">
        <v>12</v>
      </c>
      <c r="AE492" s="79" t="e">
        <f t="shared" si="510"/>
        <v>#VALUE!</v>
      </c>
      <c r="AF492" s="79" t="e">
        <f t="shared" si="511"/>
        <v>#VALUE!</v>
      </c>
      <c r="AG492" s="2" t="str">
        <f t="shared" si="530"/>
        <v/>
      </c>
      <c r="AH492" s="2" t="e">
        <f t="shared" si="475"/>
        <v>#VALUE!</v>
      </c>
      <c r="AI492" s="2" t="s">
        <v>12</v>
      </c>
      <c r="AK492" s="76" t="e">
        <f t="shared" si="512"/>
        <v>#VALUE!</v>
      </c>
      <c r="AL492" s="76" t="e">
        <f t="shared" si="513"/>
        <v>#VALUE!</v>
      </c>
      <c r="AM492" s="2" t="str">
        <f t="shared" si="476"/>
        <v/>
      </c>
      <c r="AN492" s="2" t="e">
        <f t="shared" si="477"/>
        <v>#VALUE!</v>
      </c>
      <c r="AP492" s="2" t="e">
        <f t="shared" si="478"/>
        <v>#VALUE!</v>
      </c>
      <c r="AQ492" s="2" t="e">
        <f t="shared" si="479"/>
        <v>#VALUE!</v>
      </c>
      <c r="AR492" s="2" t="s">
        <v>12</v>
      </c>
      <c r="AT492" s="2" t="e">
        <f t="shared" si="480"/>
        <v>#VALUE!</v>
      </c>
      <c r="AU492" s="2" t="e">
        <f t="shared" si="481"/>
        <v>#VALUE!</v>
      </c>
      <c r="AV492" s="2" t="s">
        <v>12</v>
      </c>
      <c r="AX492" s="2" t="e">
        <f t="shared" si="482"/>
        <v>#VALUE!</v>
      </c>
      <c r="AY492" s="2" t="e">
        <f t="shared" si="483"/>
        <v>#VALUE!</v>
      </c>
      <c r="AZ492" s="2">
        <v>-5.608378156100029</v>
      </c>
      <c r="BA492" s="78" t="e">
        <f t="shared" si="514"/>
        <v>#VALUE!</v>
      </c>
      <c r="BB492" s="78" t="e">
        <f t="shared" si="515"/>
        <v>#VALUE!</v>
      </c>
      <c r="BC492" s="2" t="str">
        <f t="shared" si="484"/>
        <v/>
      </c>
      <c r="BD492" s="2">
        <f t="shared" si="485"/>
        <v>-5.608378156100029</v>
      </c>
      <c r="BE492" s="67">
        <f t="shared" si="516"/>
        <v>1</v>
      </c>
      <c r="BF492" s="2">
        <v>100</v>
      </c>
      <c r="BG492" s="2">
        <v>3.7463264275564239</v>
      </c>
      <c r="BH492" s="2" t="str">
        <f t="shared" si="486"/>
        <v/>
      </c>
      <c r="BI492" s="2">
        <f t="shared" si="487"/>
        <v>3.7463264275564239</v>
      </c>
      <c r="BJ492" s="67" t="str">
        <f t="shared" si="488"/>
        <v/>
      </c>
      <c r="BK492" s="2">
        <v>12000</v>
      </c>
      <c r="BL492" s="2">
        <v>-0.5579578366182768</v>
      </c>
      <c r="BM492" s="77" t="e">
        <f t="shared" si="517"/>
        <v>#VALUE!</v>
      </c>
      <c r="BN492" s="77" t="e">
        <f t="shared" si="518"/>
        <v>#VALUE!</v>
      </c>
      <c r="BO492" s="2" t="str">
        <f t="shared" si="489"/>
        <v/>
      </c>
      <c r="BP492" s="2">
        <f t="shared" si="490"/>
        <v>-0.5579578366182768</v>
      </c>
      <c r="BQ492" s="67">
        <f t="shared" si="519"/>
        <v>7</v>
      </c>
      <c r="BS492" s="75" t="e">
        <f t="shared" si="520"/>
        <v>#VALUE!</v>
      </c>
      <c r="BT492" s="75" t="e">
        <f t="shared" si="521"/>
        <v>#VALUE!</v>
      </c>
      <c r="BU492" s="5" t="str">
        <f>IF(G497&gt;=36, IF(AND(NOT(ISBLANK(CM:CM)), NOT(ISBLANK(BD:BD))), (CM:CM-BD:BD)/2, ""), "UF")</f>
        <v/>
      </c>
      <c r="BV492" s="5" t="e">
        <f t="shared" si="491"/>
        <v>#VALUE!</v>
      </c>
      <c r="BW492" s="69" t="e">
        <f t="shared" si="492"/>
        <v>#VALUE!</v>
      </c>
      <c r="BX492" s="2" t="s">
        <v>12</v>
      </c>
      <c r="BZ492" s="74" t="e">
        <f t="shared" si="531"/>
        <v>#VALUE!</v>
      </c>
      <c r="CA492" s="74" t="e">
        <f t="shared" si="523"/>
        <v>#VALUE!</v>
      </c>
      <c r="CB492" s="5" t="str">
        <f t="shared" si="493"/>
        <v/>
      </c>
      <c r="CC492" s="5" t="e">
        <f t="shared" si="494"/>
        <v>#VALUE!</v>
      </c>
      <c r="CD492" s="2" t="e">
        <f t="shared" si="495"/>
        <v>#VALUE!</v>
      </c>
      <c r="CE492" s="69" t="e">
        <f t="shared" si="496"/>
        <v>#VALUE!</v>
      </c>
      <c r="CF492" s="5" t="s">
        <v>12</v>
      </c>
      <c r="CH492" s="72" t="e">
        <f t="shared" si="524"/>
        <v>#VALUE!</v>
      </c>
      <c r="CI492" s="72" t="e">
        <f t="shared" si="525"/>
        <v>#VALUE!</v>
      </c>
      <c r="CJ492" s="5" t="str">
        <f t="shared" si="497"/>
        <v/>
      </c>
      <c r="CK492" s="5" t="e">
        <f t="shared" si="498"/>
        <v>#VALUE!</v>
      </c>
      <c r="CL492" s="69" t="e">
        <f t="shared" si="499"/>
        <v>#VALUE!</v>
      </c>
      <c r="CN492" s="70" t="str">
        <f t="shared" si="500"/>
        <v/>
      </c>
      <c r="CO492" s="5" t="str">
        <f t="shared" si="501"/>
        <v>UF</v>
      </c>
      <c r="CP492" s="5" t="str">
        <f>IF(G492&lt;48,"UF", IF(NOT(ISBLANK(CM:CM)), CM:CM, IF(BW:BW=1, BV:BV+Sheet2!B196, IF(Sheet1!BW:BW=2, Sheet1!BV:BV+Sheet2!B197, IF(Sheet1!BW:BW=7, Sheet1!BV:BV+Sheet2!B198,"")))))</f>
        <v>UF</v>
      </c>
      <c r="CQ492" s="69" t="str">
        <f t="shared" si="526"/>
        <v/>
      </c>
      <c r="CR492" s="5" t="s">
        <v>12</v>
      </c>
      <c r="CT492" s="5" t="str">
        <f t="shared" si="502"/>
        <v/>
      </c>
      <c r="CU492" s="80" t="str">
        <f t="shared" si="503"/>
        <v>UF</v>
      </c>
      <c r="CV492" s="80" t="str">
        <f t="shared" si="504"/>
        <v>UF</v>
      </c>
      <c r="CW492" s="20" t="str">
        <f>IF(G492&lt;48,"UF", IF(NOT(ISBLANK(CS492)), CS492, IF(CE492=5, CC492+Sheet2!B185, IF(CE492=6, CC492+Sheet2!B186, IF(CE492=7, CC492+Sheet2!B187,"")))))</f>
        <v>UF</v>
      </c>
      <c r="CX492" s="68" t="str">
        <f t="shared" si="527"/>
        <v/>
      </c>
      <c r="CY492" s="5" t="s">
        <v>12</v>
      </c>
      <c r="DA492" s="5" t="str">
        <f t="shared" si="505"/>
        <v>UF</v>
      </c>
      <c r="DB492" s="73" t="str">
        <f t="shared" si="506"/>
        <v>UF</v>
      </c>
      <c r="DC492" s="73" t="str">
        <f t="shared" si="507"/>
        <v>UF</v>
      </c>
      <c r="DD492" s="5" t="str">
        <f>IF(G492&lt;48,"UF", IF(NOT(ISBLANK(CZ:CZ)), CZ:CZ, IF(CL:CL=3, CK:CK+Sheet2!B190, IF(CL:CL=4, CK:CK+Sheet2!B191, IF(CL:CL=7, CK:CK+Sheet2!B192,"")))))</f>
        <v>UF</v>
      </c>
      <c r="DE492" s="69" t="str">
        <f t="shared" si="463"/>
        <v/>
      </c>
      <c r="DF492" s="2">
        <v>4</v>
      </c>
      <c r="DG492" s="2">
        <v>37</v>
      </c>
      <c r="DH492" s="2">
        <v>2</v>
      </c>
      <c r="DI492" s="2">
        <v>2</v>
      </c>
      <c r="DJ492" s="2">
        <v>2</v>
      </c>
      <c r="DK492" s="2" t="s">
        <v>12</v>
      </c>
      <c r="DL492" s="2" t="s">
        <v>12</v>
      </c>
      <c r="DM492" s="2">
        <v>110</v>
      </c>
      <c r="DN492" s="2">
        <v>60</v>
      </c>
      <c r="DO492" s="2" t="s">
        <v>12</v>
      </c>
      <c r="DP492" s="2" t="s">
        <v>12</v>
      </c>
      <c r="DQ492" s="2">
        <v>2</v>
      </c>
      <c r="DR492" s="2">
        <v>34</v>
      </c>
      <c r="DS492" s="2">
        <v>2</v>
      </c>
      <c r="DT492" s="2">
        <v>88</v>
      </c>
      <c r="DU492" s="2">
        <v>73</v>
      </c>
      <c r="DV492" s="2">
        <v>2</v>
      </c>
      <c r="DW492" s="2">
        <v>2</v>
      </c>
      <c r="DX492" s="2">
        <v>4</v>
      </c>
      <c r="DY492" s="2">
        <v>2</v>
      </c>
      <c r="DZ492" s="2">
        <v>33.5</v>
      </c>
      <c r="EA492" s="2">
        <v>34</v>
      </c>
      <c r="EB492" s="2" t="s">
        <v>12</v>
      </c>
      <c r="EC492" s="2">
        <v>4</v>
      </c>
      <c r="ED492" s="2" t="s">
        <v>12</v>
      </c>
    </row>
    <row r="493" spans="1:134" x14ac:dyDescent="0.25">
      <c r="C493" s="8" t="s">
        <v>54</v>
      </c>
      <c r="D493" s="2">
        <v>6710115496</v>
      </c>
      <c r="E493" s="5">
        <v>2</v>
      </c>
      <c r="F493" s="2">
        <v>2</v>
      </c>
      <c r="G493" s="2">
        <v>36</v>
      </c>
      <c r="H493" s="2">
        <v>-2.1599807794989201</v>
      </c>
      <c r="I493" s="2">
        <v>54</v>
      </c>
      <c r="J493" s="2">
        <v>2.1740990784834611</v>
      </c>
      <c r="K493" s="5">
        <v>3200</v>
      </c>
      <c r="L493" s="2">
        <v>-0.30398057951686752</v>
      </c>
      <c r="M493" s="2">
        <v>-2.4207999999999998</v>
      </c>
      <c r="N493" s="2">
        <f t="shared" si="467"/>
        <v>7.5240389749460013E-2</v>
      </c>
      <c r="O493" s="2">
        <f t="shared" si="468"/>
        <v>-2.4207999999999998</v>
      </c>
      <c r="P493" s="2">
        <v>73</v>
      </c>
      <c r="Q493" s="2">
        <v>2.5</v>
      </c>
      <c r="R493" s="5">
        <f t="shared" si="469"/>
        <v>-0.19204953924173052</v>
      </c>
      <c r="S493" s="5">
        <f t="shared" si="470"/>
        <v>2.5</v>
      </c>
      <c r="T493" s="1">
        <v>7600</v>
      </c>
      <c r="U493" s="2">
        <v>-0.4</v>
      </c>
      <c r="V493" s="2">
        <f t="shared" si="471"/>
        <v>-6.3009710241566236E-2</v>
      </c>
      <c r="W493" s="2">
        <f t="shared" si="472"/>
        <v>-0.4</v>
      </c>
      <c r="X493" s="2">
        <v>-2.0095000000000001</v>
      </c>
      <c r="Y493" s="76">
        <f t="shared" si="508"/>
        <v>0.15048077949892003</v>
      </c>
      <c r="Z493" s="76">
        <f t="shared" si="509"/>
        <v>1</v>
      </c>
      <c r="AA493" s="2">
        <f t="shared" si="473"/>
        <v>-2.7946999999999997</v>
      </c>
      <c r="AB493" s="2">
        <f t="shared" si="474"/>
        <v>-2.0095000000000001</v>
      </c>
      <c r="AC493" s="2">
        <v>80</v>
      </c>
      <c r="AD493" s="2">
        <v>1.79</v>
      </c>
      <c r="AE493" s="79">
        <f t="shared" si="510"/>
        <v>-0.38409907848346103</v>
      </c>
      <c r="AF493" s="79">
        <f t="shared" si="511"/>
        <v>-1</v>
      </c>
      <c r="AG493" s="2">
        <f t="shared" si="530"/>
        <v>0.18500000000000005</v>
      </c>
      <c r="AH493" s="2">
        <f t="shared" si="475"/>
        <v>1.79</v>
      </c>
      <c r="AI493" s="2">
        <v>9200</v>
      </c>
      <c r="AJ493" s="2">
        <v>-0.43</v>
      </c>
      <c r="AK493" s="76">
        <f t="shared" si="512"/>
        <v>-0.12601942048313247</v>
      </c>
      <c r="AL493" s="76">
        <f t="shared" si="513"/>
        <v>-1</v>
      </c>
      <c r="AM493" s="2">
        <f t="shared" si="476"/>
        <v>-2.4999999999999994E-2</v>
      </c>
      <c r="AN493" s="2">
        <f t="shared" si="477"/>
        <v>-0.43</v>
      </c>
      <c r="AO493" s="2">
        <v>-3.0893999999999999</v>
      </c>
      <c r="AP493" s="2" t="str">
        <f t="shared" si="478"/>
        <v/>
      </c>
      <c r="AQ493" s="2">
        <f t="shared" si="479"/>
        <v>-3.0893999999999999</v>
      </c>
      <c r="AR493" s="2">
        <v>90</v>
      </c>
      <c r="AS493" s="2">
        <v>2.87</v>
      </c>
      <c r="AT493" s="2" t="str">
        <f t="shared" si="480"/>
        <v/>
      </c>
      <c r="AU493" s="2">
        <f t="shared" si="481"/>
        <v>2.87</v>
      </c>
      <c r="AV493" s="2">
        <v>10400</v>
      </c>
      <c r="AW493" s="2">
        <v>-0.45</v>
      </c>
      <c r="AX493" s="2" t="str">
        <f t="shared" si="482"/>
        <v/>
      </c>
      <c r="AY493" s="2">
        <f t="shared" si="483"/>
        <v>-0.45</v>
      </c>
      <c r="BA493" s="78">
        <f t="shared" si="514"/>
        <v>-1.1584802529700045</v>
      </c>
      <c r="BB493" s="78">
        <f t="shared" si="515"/>
        <v>-2</v>
      </c>
      <c r="BC493" s="2">
        <f t="shared" si="484"/>
        <v>-7.8580252970004746E-2</v>
      </c>
      <c r="BD493" s="2">
        <f t="shared" si="485"/>
        <v>-3.1679802529700045</v>
      </c>
      <c r="BE493" s="67">
        <f t="shared" si="516"/>
        <v>1</v>
      </c>
      <c r="BF493" s="2" t="s">
        <v>12</v>
      </c>
      <c r="BH493" s="2">
        <f t="shared" si="486"/>
        <v>-0.56224834973833637</v>
      </c>
      <c r="BI493" s="2">
        <f t="shared" si="487"/>
        <v>2.3077516502616637</v>
      </c>
      <c r="BJ493" s="67" t="str">
        <f t="shared" si="488"/>
        <v/>
      </c>
      <c r="BK493" s="2" t="s">
        <v>12</v>
      </c>
      <c r="BM493" s="77">
        <f t="shared" si="517"/>
        <v>-0.18521336758083901</v>
      </c>
      <c r="BN493" s="77">
        <f t="shared" si="518"/>
        <v>-1</v>
      </c>
      <c r="BO493" s="2">
        <f t="shared" si="489"/>
        <v>-0.16521336758083896</v>
      </c>
      <c r="BP493" s="2">
        <f t="shared" si="490"/>
        <v>-0.615213367580839</v>
      </c>
      <c r="BQ493" s="67">
        <f t="shared" si="519"/>
        <v>7</v>
      </c>
      <c r="BR493" s="5">
        <v>-3.3251407589100141</v>
      </c>
      <c r="BS493" s="75">
        <f t="shared" si="520"/>
        <v>-0.15716050594000963</v>
      </c>
      <c r="BT493" s="75">
        <f t="shared" si="521"/>
        <v>-1</v>
      </c>
      <c r="BU493" s="5" t="str">
        <f>IF(G498&gt;=36, IF(AND(NOT(ISBLANK(CM:CM)), NOT(ISBLANK(BD:BD))), (CM:CM-BD:BD)/2, ""), "UF")</f>
        <v/>
      </c>
      <c r="BV493" s="5">
        <f t="shared" si="491"/>
        <v>-3.3251407589100141</v>
      </c>
      <c r="BW493" s="69">
        <f t="shared" si="492"/>
        <v>1</v>
      </c>
      <c r="BX493" s="2">
        <v>100</v>
      </c>
      <c r="BY493" s="5">
        <v>1.183254950784991</v>
      </c>
      <c r="BZ493" s="74">
        <f t="shared" si="531"/>
        <v>1.7984683183658299</v>
      </c>
      <c r="CA493" s="74">
        <f t="shared" si="523"/>
        <v>2</v>
      </c>
      <c r="CB493" s="5" t="str">
        <f t="shared" si="493"/>
        <v/>
      </c>
      <c r="CC493" s="5">
        <f t="shared" si="494"/>
        <v>1.183254950784991</v>
      </c>
      <c r="CD493" s="2">
        <f t="shared" si="495"/>
        <v>-1.1244966994766727</v>
      </c>
      <c r="CE493" s="69">
        <f t="shared" si="496"/>
        <v>7</v>
      </c>
      <c r="CF493" s="5">
        <v>13000</v>
      </c>
      <c r="CG493" s="5">
        <v>-0.94564010274251686</v>
      </c>
      <c r="CH493" s="72">
        <f t="shared" si="524"/>
        <v>-0.33042673516167786</v>
      </c>
      <c r="CI493" s="72">
        <f t="shared" si="525"/>
        <v>-1</v>
      </c>
      <c r="CJ493" s="5" t="str">
        <f t="shared" si="497"/>
        <v/>
      </c>
      <c r="CK493" s="5">
        <f t="shared" si="498"/>
        <v>-0.94564010274251686</v>
      </c>
      <c r="CL493" s="69">
        <f t="shared" si="499"/>
        <v>7</v>
      </c>
      <c r="CN493" s="70" t="str">
        <f t="shared" si="500"/>
        <v/>
      </c>
      <c r="CO493" s="5" t="str">
        <f t="shared" si="501"/>
        <v>UF</v>
      </c>
      <c r="CP493" s="5" t="str">
        <f>IF(G493&lt;48,"UF", IF(NOT(ISBLANK(CM:CM)), CM:CM, IF(BW:BW=1, BV:BV+Sheet2!B99, IF(Sheet1!BW:BW=2, Sheet1!BV:BV+Sheet2!B100, IF(Sheet1!BW:BW=7, Sheet1!BV:BV+Sheet2!B101,"")))))</f>
        <v>UF</v>
      </c>
      <c r="CQ493" s="69" t="str">
        <f t="shared" si="526"/>
        <v/>
      </c>
      <c r="CR493" s="5" t="s">
        <v>12</v>
      </c>
      <c r="CT493" s="5" t="str">
        <f t="shared" si="502"/>
        <v/>
      </c>
      <c r="CU493" s="80" t="str">
        <f t="shared" si="503"/>
        <v>UF</v>
      </c>
      <c r="CV493" s="80" t="str">
        <f t="shared" si="504"/>
        <v>UF</v>
      </c>
      <c r="CW493" s="20" t="str">
        <f>IF(G493&lt;48,"UF", IF(NOT(ISBLANK(CS493)), CS493, IF(CE493=5, CC493+Sheet2!B88, IF(CE493=6, CC493+Sheet2!B89, IF(CE493=7, CC493+Sheet2!B90,"")))))</f>
        <v>UF</v>
      </c>
      <c r="CX493" s="68" t="str">
        <f t="shared" si="527"/>
        <v/>
      </c>
      <c r="CY493" s="5" t="s">
        <v>12</v>
      </c>
      <c r="DA493" s="5" t="str">
        <f t="shared" si="505"/>
        <v>UF</v>
      </c>
      <c r="DB493" s="73" t="str">
        <f t="shared" si="506"/>
        <v>UF</v>
      </c>
      <c r="DC493" s="73" t="str">
        <f t="shared" si="507"/>
        <v>UF</v>
      </c>
      <c r="DD493" s="5" t="str">
        <f>IF(G493&lt;48,"UF", IF(NOT(ISBLANK(CZ:CZ)), CZ:CZ, IF(CL:CL=3, CK:CK+Sheet2!B93, IF(CL:CL=4, CK:CK+Sheet2!B94, IF(CL:CL=7, CK:CK+Sheet2!B95,"")))))</f>
        <v>UF</v>
      </c>
      <c r="DE493" s="69" t="str">
        <f t="shared" si="463"/>
        <v/>
      </c>
      <c r="DF493" s="2">
        <v>2</v>
      </c>
      <c r="DG493" s="2">
        <v>24</v>
      </c>
      <c r="DH493" s="2">
        <v>2</v>
      </c>
      <c r="DI493" s="2">
        <v>1</v>
      </c>
      <c r="DJ493" s="2">
        <v>2</v>
      </c>
      <c r="DK493" s="2">
        <v>90</v>
      </c>
      <c r="DL493" s="2">
        <v>60</v>
      </c>
      <c r="DM493" s="2">
        <v>100</v>
      </c>
      <c r="DN493" s="2">
        <v>60</v>
      </c>
      <c r="DO493" s="2">
        <v>100</v>
      </c>
      <c r="DP493" s="2">
        <v>60</v>
      </c>
      <c r="DQ493" s="2">
        <v>2</v>
      </c>
      <c r="DR493" s="2">
        <v>40</v>
      </c>
      <c r="DS493" s="2">
        <v>2</v>
      </c>
      <c r="DT493" s="2">
        <v>76</v>
      </c>
      <c r="DU493" s="2">
        <v>76</v>
      </c>
      <c r="DV493" s="2">
        <v>2</v>
      </c>
      <c r="DW493" s="2">
        <v>2</v>
      </c>
      <c r="DX493" s="2">
        <v>3</v>
      </c>
      <c r="DY493" s="2">
        <v>2</v>
      </c>
      <c r="DZ493" s="2">
        <v>34</v>
      </c>
      <c r="EA493" s="2">
        <v>34.5</v>
      </c>
      <c r="EB493" s="2">
        <v>47</v>
      </c>
      <c r="EC493" s="2">
        <v>1</v>
      </c>
      <c r="ED493" s="2">
        <v>1</v>
      </c>
    </row>
    <row r="494" spans="1:134" x14ac:dyDescent="0.25">
      <c r="C494" s="5" t="s">
        <v>101</v>
      </c>
      <c r="D494" s="2">
        <v>6710115887</v>
      </c>
      <c r="E494" s="5" t="s">
        <v>529</v>
      </c>
      <c r="F494" s="2">
        <v>2</v>
      </c>
      <c r="G494" s="2">
        <v>30</v>
      </c>
      <c r="H494" s="2">
        <v>-5.1781926537008829</v>
      </c>
      <c r="I494" s="2">
        <v>50.5</v>
      </c>
      <c r="J494" s="2">
        <v>0.32528506526956291</v>
      </c>
      <c r="K494" s="5">
        <v>2070</v>
      </c>
      <c r="L494" s="2">
        <v>-3.0271972033751569</v>
      </c>
      <c r="M494" s="2">
        <v>-3.0708000000000002</v>
      </c>
      <c r="N494" s="2" t="str">
        <f t="shared" si="467"/>
        <v/>
      </c>
      <c r="O494" s="2">
        <f t="shared" si="468"/>
        <v>-3.0708000000000002</v>
      </c>
      <c r="P494" s="2">
        <v>66</v>
      </c>
      <c r="Q494" s="2">
        <v>-0.77</v>
      </c>
      <c r="R494" s="5" t="str">
        <f t="shared" si="469"/>
        <v/>
      </c>
      <c r="S494" s="5">
        <f t="shared" si="470"/>
        <v>-0.77</v>
      </c>
      <c r="T494" s="1">
        <v>5900</v>
      </c>
      <c r="U494" s="2">
        <v>-2.66</v>
      </c>
      <c r="V494" s="2" t="str">
        <f t="shared" si="471"/>
        <v/>
      </c>
      <c r="W494" s="2">
        <f t="shared" si="472"/>
        <v>-2.66</v>
      </c>
      <c r="Y494" s="76">
        <f t="shared" si="508"/>
        <v>0.93774265370088283</v>
      </c>
      <c r="Z494" s="76">
        <f t="shared" si="509"/>
        <v>2</v>
      </c>
      <c r="AA494" s="2">
        <f t="shared" si="473"/>
        <v>-1.1696500000000001</v>
      </c>
      <c r="AB494" s="2">
        <f t="shared" si="474"/>
        <v>-4.2404500000000001</v>
      </c>
      <c r="AC494" s="2" t="s">
        <v>12</v>
      </c>
      <c r="AE494" s="79">
        <f t="shared" si="510"/>
        <v>-1.500285065269563</v>
      </c>
      <c r="AF494" s="79">
        <f t="shared" si="511"/>
        <v>-2</v>
      </c>
      <c r="AG494" s="2">
        <f t="shared" si="530"/>
        <v>-0.40500000000000003</v>
      </c>
      <c r="AH494" s="2">
        <f t="shared" si="475"/>
        <v>-1.175</v>
      </c>
      <c r="AI494" s="2" t="s">
        <v>12</v>
      </c>
      <c r="AK494" s="76">
        <f t="shared" si="512"/>
        <v>0.1821972033751571</v>
      </c>
      <c r="AL494" s="76">
        <f t="shared" si="513"/>
        <v>1</v>
      </c>
      <c r="AM494" s="2">
        <f t="shared" si="476"/>
        <v>-0.18499999999999983</v>
      </c>
      <c r="AN494" s="2">
        <f t="shared" si="477"/>
        <v>-2.8449999999999998</v>
      </c>
      <c r="AO494" s="2">
        <v>-3.1093000000000002</v>
      </c>
      <c r="AP494" s="2">
        <f t="shared" si="478"/>
        <v>-5.7810164052898294E-3</v>
      </c>
      <c r="AQ494" s="2">
        <f t="shared" si="479"/>
        <v>-3.1093000000000002</v>
      </c>
      <c r="AR494" s="2">
        <v>78</v>
      </c>
      <c r="AS494" s="2">
        <v>-1.58</v>
      </c>
      <c r="AT494" s="2">
        <f t="shared" si="480"/>
        <v>0.17977626407577685</v>
      </c>
      <c r="AU494" s="2">
        <f t="shared" si="481"/>
        <v>-1.58</v>
      </c>
      <c r="AV494" s="2">
        <v>7800</v>
      </c>
      <c r="AW494" s="2">
        <v>-3.03</v>
      </c>
      <c r="AX494" s="2">
        <f t="shared" si="482"/>
        <v>-0.24651081260396057</v>
      </c>
      <c r="AY494" s="2">
        <f t="shared" si="483"/>
        <v>-3.03</v>
      </c>
      <c r="AZ494" s="2">
        <v>-4.2520120328105797</v>
      </c>
      <c r="BA494" s="78">
        <f t="shared" si="514"/>
        <v>-1.1562032810579659E-2</v>
      </c>
      <c r="BB494" s="78">
        <f t="shared" si="515"/>
        <v>-1</v>
      </c>
      <c r="BC494" s="2" t="str">
        <f t="shared" si="484"/>
        <v/>
      </c>
      <c r="BD494" s="2">
        <f t="shared" si="485"/>
        <v>-4.2520120328105797</v>
      </c>
      <c r="BE494" s="67">
        <f t="shared" si="516"/>
        <v>1</v>
      </c>
      <c r="BF494" s="2">
        <v>84</v>
      </c>
      <c r="BG494" s="2">
        <v>-0.81544747184844635</v>
      </c>
      <c r="BH494" s="2" t="str">
        <f t="shared" si="486"/>
        <v/>
      </c>
      <c r="BI494" s="2">
        <f t="shared" si="487"/>
        <v>-0.81544747184844635</v>
      </c>
      <c r="BJ494" s="67">
        <f t="shared" si="488"/>
        <v>7</v>
      </c>
      <c r="BK494" s="2">
        <v>9000</v>
      </c>
      <c r="BL494" s="2">
        <v>-3.3380216252079209</v>
      </c>
      <c r="BM494" s="77">
        <f t="shared" si="517"/>
        <v>-0.49302162520792114</v>
      </c>
      <c r="BN494" s="77">
        <f t="shared" si="518"/>
        <v>-1</v>
      </c>
      <c r="BO494" s="2" t="str">
        <f t="shared" si="489"/>
        <v/>
      </c>
      <c r="BP494" s="2">
        <f t="shared" si="490"/>
        <v>-3.3380216252079209</v>
      </c>
      <c r="BQ494" s="67">
        <f t="shared" si="519"/>
        <v>3</v>
      </c>
      <c r="BS494" s="75" t="str">
        <f t="shared" si="520"/>
        <v>UF</v>
      </c>
      <c r="BT494" s="75" t="str">
        <f t="shared" si="521"/>
        <v>UF</v>
      </c>
      <c r="BU494" s="5" t="str">
        <f>IF(G499&gt;=36, IF(AND(NOT(ISBLANK(CM:CM)), NOT(ISBLANK(BD:BD))), (CM:CM-BD:BD)/2, ""), "UF")</f>
        <v/>
      </c>
      <c r="BV494" s="5" t="str">
        <f t="shared" si="491"/>
        <v>UF</v>
      </c>
      <c r="BW494" s="69" t="str">
        <f t="shared" si="492"/>
        <v/>
      </c>
      <c r="BX494" s="2" t="s">
        <v>12</v>
      </c>
      <c r="BZ494" s="74" t="str">
        <f t="shared" si="531"/>
        <v>UF</v>
      </c>
      <c r="CA494" s="74" t="str">
        <f t="shared" si="523"/>
        <v>UF</v>
      </c>
      <c r="CB494" s="5" t="str">
        <f t="shared" si="493"/>
        <v>UF</v>
      </c>
      <c r="CC494" s="5" t="str">
        <f t="shared" si="494"/>
        <v>UF</v>
      </c>
      <c r="CD494" s="2" t="e">
        <f t="shared" si="495"/>
        <v>#VALUE!</v>
      </c>
      <c r="CE494" s="69" t="str">
        <f t="shared" si="496"/>
        <v/>
      </c>
      <c r="CF494" s="5" t="s">
        <v>12</v>
      </c>
      <c r="CH494" s="72" t="str">
        <f t="shared" si="524"/>
        <v>UF</v>
      </c>
      <c r="CI494" s="72" t="str">
        <f t="shared" si="525"/>
        <v>UF</v>
      </c>
      <c r="CJ494" s="5" t="str">
        <f t="shared" si="497"/>
        <v>UF</v>
      </c>
      <c r="CK494" s="5" t="str">
        <f t="shared" si="498"/>
        <v>UF</v>
      </c>
      <c r="CL494" s="69" t="str">
        <f t="shared" si="499"/>
        <v/>
      </c>
      <c r="CN494" s="70" t="str">
        <f t="shared" si="500"/>
        <v/>
      </c>
      <c r="CO494" s="5" t="str">
        <f t="shared" si="501"/>
        <v>UF</v>
      </c>
      <c r="CP494" s="5" t="str">
        <f>IF(G494&lt;48,"UF", IF(NOT(ISBLANK(CM:CM)), CM:CM, IF(BW:BW=1, BV:BV+Sheet2!B97, IF(Sheet1!BW:BW=2, Sheet1!BV:BV+Sheet2!B98, IF(Sheet1!BW:BW=7, Sheet1!BV:BV+Sheet2!B99,"")))))</f>
        <v>UF</v>
      </c>
      <c r="CQ494" s="69" t="str">
        <f t="shared" si="526"/>
        <v/>
      </c>
      <c r="CR494" s="5" t="s">
        <v>12</v>
      </c>
      <c r="CT494" s="5" t="str">
        <f t="shared" si="502"/>
        <v/>
      </c>
      <c r="CU494" s="80" t="str">
        <f t="shared" si="503"/>
        <v>UF</v>
      </c>
      <c r="CV494" s="80" t="str">
        <f t="shared" si="504"/>
        <v>UF</v>
      </c>
      <c r="CW494" s="20" t="str">
        <f>IF(G494&lt;48,"UF", IF(NOT(ISBLANK(CS494)), CS494, IF(CE494=5, CC494+Sheet2!B86, IF(CE494=6, CC494+Sheet2!B87, IF(CE494=7, CC494+Sheet2!B88,"")))))</f>
        <v>UF</v>
      </c>
      <c r="CX494" s="68" t="str">
        <f t="shared" si="527"/>
        <v/>
      </c>
      <c r="CY494" s="5" t="s">
        <v>12</v>
      </c>
      <c r="DA494" s="5" t="str">
        <f t="shared" si="505"/>
        <v>UF</v>
      </c>
      <c r="DB494" s="73" t="str">
        <f t="shared" si="506"/>
        <v>UF</v>
      </c>
      <c r="DC494" s="73" t="str">
        <f t="shared" si="507"/>
        <v>UF</v>
      </c>
      <c r="DD494" s="5" t="str">
        <f>IF(G494&lt;48,"UF", IF(NOT(ISBLANK(CZ:CZ)), CZ:CZ, IF(CL:CL=3, CK:CK+Sheet2!B91, IF(CL:CL=4, CK:CK+Sheet2!B92, IF(CL:CL=7, CK:CK+Sheet2!B93,"")))))</f>
        <v>UF</v>
      </c>
      <c r="DE494" s="69" t="str">
        <f t="shared" si="463"/>
        <v/>
      </c>
      <c r="DF494" s="2">
        <v>3</v>
      </c>
      <c r="DG494" s="2">
        <v>19</v>
      </c>
      <c r="DH494" s="2">
        <v>2</v>
      </c>
      <c r="DI494" s="2">
        <v>2</v>
      </c>
      <c r="DJ494" s="2">
        <v>2</v>
      </c>
      <c r="DK494" s="2">
        <v>100</v>
      </c>
      <c r="DL494" s="2">
        <v>60</v>
      </c>
      <c r="DM494" s="2">
        <v>100</v>
      </c>
      <c r="DN494" s="2">
        <v>60</v>
      </c>
      <c r="DO494" s="2">
        <v>100</v>
      </c>
      <c r="DP494" s="2">
        <v>60</v>
      </c>
      <c r="DQ494" s="2">
        <v>2</v>
      </c>
      <c r="DR494" s="2">
        <v>37</v>
      </c>
      <c r="DS494" s="2">
        <v>2</v>
      </c>
      <c r="DT494" s="2">
        <v>76</v>
      </c>
      <c r="DU494" s="2">
        <v>65</v>
      </c>
      <c r="DV494" s="2">
        <v>2</v>
      </c>
      <c r="DW494" s="2">
        <v>2</v>
      </c>
      <c r="DX494" s="2">
        <v>2</v>
      </c>
      <c r="DY494" s="2">
        <v>2</v>
      </c>
      <c r="DZ494" s="2">
        <v>30.5</v>
      </c>
      <c r="EA494" s="2">
        <v>33.200000000000003</v>
      </c>
      <c r="EB494" s="2">
        <v>41.7</v>
      </c>
      <c r="EC494" s="2">
        <v>1</v>
      </c>
      <c r="ED494" s="2">
        <v>3</v>
      </c>
    </row>
    <row r="495" spans="1:134" x14ac:dyDescent="0.25">
      <c r="D495" s="2">
        <v>6710116158</v>
      </c>
      <c r="E495" s="5" t="s">
        <v>529</v>
      </c>
      <c r="F495" s="2">
        <v>2</v>
      </c>
      <c r="G495" s="2">
        <v>25</v>
      </c>
      <c r="H495" s="2">
        <v>-2.0438253979137748</v>
      </c>
      <c r="I495" s="2">
        <v>53</v>
      </c>
      <c r="J495" s="2">
        <v>1.645866503279491</v>
      </c>
      <c r="K495" s="5">
        <v>3115</v>
      </c>
      <c r="L495" s="2">
        <v>-0.48464726335709218</v>
      </c>
      <c r="M495" s="2">
        <v>-1.379</v>
      </c>
      <c r="N495" s="2">
        <f t="shared" si="467"/>
        <v>-0.21898730104311248</v>
      </c>
      <c r="O495" s="2">
        <f t="shared" si="468"/>
        <v>-1.379</v>
      </c>
      <c r="P495" s="2">
        <v>63.5</v>
      </c>
      <c r="Q495" s="2">
        <v>-1.94</v>
      </c>
      <c r="R495" s="5">
        <f t="shared" si="469"/>
        <v>-2.0329332516397454</v>
      </c>
      <c r="S495" s="5">
        <f t="shared" si="470"/>
        <v>-1.94</v>
      </c>
      <c r="T495" s="1">
        <v>6250</v>
      </c>
      <c r="U495" s="2">
        <v>-2.15</v>
      </c>
      <c r="V495" s="2">
        <f t="shared" si="471"/>
        <v>-1.332676368321454</v>
      </c>
      <c r="W495" s="2">
        <f t="shared" si="472"/>
        <v>-2.15</v>
      </c>
      <c r="X495" s="2">
        <v>-2.4817999999999998</v>
      </c>
      <c r="Y495" s="76">
        <f t="shared" si="508"/>
        <v>-0.43797460208622496</v>
      </c>
      <c r="Z495" s="76">
        <f t="shared" si="509"/>
        <v>-1</v>
      </c>
      <c r="AA495" s="2">
        <f t="shared" si="473"/>
        <v>0.70389999999999997</v>
      </c>
      <c r="AB495" s="2">
        <f t="shared" si="474"/>
        <v>-2.4817999999999998</v>
      </c>
      <c r="AC495" s="2">
        <v>70</v>
      </c>
      <c r="AD495" s="2">
        <v>-2.42</v>
      </c>
      <c r="AE495" s="79">
        <f t="shared" si="510"/>
        <v>-4.0658665032794907</v>
      </c>
      <c r="AF495" s="79">
        <f t="shared" si="511"/>
        <v>-2</v>
      </c>
      <c r="AG495" s="2">
        <f t="shared" si="530"/>
        <v>8.4999999999999964E-2</v>
      </c>
      <c r="AH495" s="2">
        <f t="shared" si="475"/>
        <v>-2.42</v>
      </c>
      <c r="AI495" s="2">
        <v>6800</v>
      </c>
      <c r="AJ495" s="2">
        <v>-3.15</v>
      </c>
      <c r="AK495" s="76">
        <f t="shared" si="512"/>
        <v>-2.6653527366429079</v>
      </c>
      <c r="AL495" s="76">
        <f t="shared" si="513"/>
        <v>-2</v>
      </c>
      <c r="AM495" s="2">
        <f t="shared" si="476"/>
        <v>0.34499999999999997</v>
      </c>
      <c r="AN495" s="2">
        <f t="shared" si="477"/>
        <v>-3.15</v>
      </c>
      <c r="AO495" s="2">
        <v>-0.53220000000000001</v>
      </c>
      <c r="AP495" s="2">
        <f t="shared" si="478"/>
        <v>1.0493197942335513</v>
      </c>
      <c r="AQ495" s="2">
        <f t="shared" si="479"/>
        <v>-0.53220000000000001</v>
      </c>
      <c r="AR495" s="2">
        <v>77.5</v>
      </c>
      <c r="AS495" s="2">
        <v>-1.77</v>
      </c>
      <c r="AT495" s="2">
        <f t="shared" si="480"/>
        <v>0.51737435931151643</v>
      </c>
      <c r="AU495" s="2">
        <f t="shared" si="481"/>
        <v>-1.77</v>
      </c>
      <c r="AV495" s="2">
        <v>9300</v>
      </c>
      <c r="AW495" s="2">
        <v>-1.46</v>
      </c>
      <c r="AX495" s="2">
        <f t="shared" si="482"/>
        <v>0.79695545712499494</v>
      </c>
      <c r="AY495" s="2">
        <f t="shared" si="483"/>
        <v>-1.46</v>
      </c>
      <c r="AZ495" s="2">
        <v>-0.38316041153289709</v>
      </c>
      <c r="BA495" s="78">
        <f t="shared" si="514"/>
        <v>2.0986395884671025</v>
      </c>
      <c r="BB495" s="78">
        <f t="shared" si="515"/>
        <v>2</v>
      </c>
      <c r="BC495" s="2" t="str">
        <f t="shared" si="484"/>
        <v/>
      </c>
      <c r="BD495" s="2">
        <f t="shared" si="485"/>
        <v>-0.38316041153289709</v>
      </c>
      <c r="BE495" s="67">
        <f t="shared" si="516"/>
        <v>7</v>
      </c>
      <c r="BF495" s="2">
        <v>82</v>
      </c>
      <c r="BG495" s="2">
        <v>-1.3852512813769671</v>
      </c>
      <c r="BH495" s="2" t="str">
        <f t="shared" si="486"/>
        <v/>
      </c>
      <c r="BI495" s="2">
        <f t="shared" si="487"/>
        <v>-1.3852512813769671</v>
      </c>
      <c r="BJ495" s="67">
        <f t="shared" si="488"/>
        <v>7</v>
      </c>
      <c r="BK495" s="2">
        <v>10800</v>
      </c>
      <c r="BL495" s="2">
        <v>-1.55608908575001</v>
      </c>
      <c r="BM495" s="77">
        <f t="shared" si="517"/>
        <v>1.5939109142499899</v>
      </c>
      <c r="BN495" s="77">
        <f t="shared" si="518"/>
        <v>2</v>
      </c>
      <c r="BO495" s="2" t="str">
        <f t="shared" si="489"/>
        <v/>
      </c>
      <c r="BP495" s="2">
        <f t="shared" si="490"/>
        <v>-1.55608908575001</v>
      </c>
      <c r="BQ495" s="67">
        <f t="shared" si="519"/>
        <v>7</v>
      </c>
      <c r="BS495" s="75" t="str">
        <f t="shared" si="520"/>
        <v>UF</v>
      </c>
      <c r="BT495" s="75" t="str">
        <f t="shared" si="521"/>
        <v>UF</v>
      </c>
      <c r="BU495" s="5" t="str">
        <f>IF(G500&gt;=36, IF(AND(NOT(ISBLANK(CM:CM)), NOT(ISBLANK(BD:BD))), (CM:CM-BD:BD)/2, ""), "UF")</f>
        <v/>
      </c>
      <c r="BV495" s="5" t="str">
        <f t="shared" si="491"/>
        <v>UF</v>
      </c>
      <c r="BW495" s="69" t="str">
        <f t="shared" si="492"/>
        <v/>
      </c>
      <c r="BX495" s="2" t="s">
        <v>12</v>
      </c>
      <c r="BZ495" s="74" t="str">
        <f t="shared" si="531"/>
        <v>UF</v>
      </c>
      <c r="CA495" s="74" t="str">
        <f t="shared" si="523"/>
        <v>UF</v>
      </c>
      <c r="CB495" s="5" t="str">
        <f t="shared" si="493"/>
        <v>UF</v>
      </c>
      <c r="CC495" s="5" t="str">
        <f t="shared" si="494"/>
        <v>UF</v>
      </c>
      <c r="CD495" s="2" t="e">
        <f t="shared" si="495"/>
        <v>#VALUE!</v>
      </c>
      <c r="CE495" s="69" t="str">
        <f t="shared" si="496"/>
        <v/>
      </c>
      <c r="CF495" s="5" t="s">
        <v>12</v>
      </c>
      <c r="CH495" s="72" t="str">
        <f t="shared" si="524"/>
        <v>UF</v>
      </c>
      <c r="CI495" s="72" t="str">
        <f t="shared" si="525"/>
        <v>UF</v>
      </c>
      <c r="CJ495" s="5" t="str">
        <f t="shared" si="497"/>
        <v>UF</v>
      </c>
      <c r="CK495" s="5" t="str">
        <f t="shared" si="498"/>
        <v>UF</v>
      </c>
      <c r="CL495" s="69" t="str">
        <f t="shared" si="499"/>
        <v/>
      </c>
      <c r="CN495" s="70" t="str">
        <f t="shared" si="500"/>
        <v/>
      </c>
      <c r="CO495" s="5" t="str">
        <f t="shared" si="501"/>
        <v>UF</v>
      </c>
      <c r="CP495" s="5" t="str">
        <f>IF(G495&lt;48,"UF", IF(NOT(ISBLANK(CM:CM)), CM:CM, IF(BW:BW=1, BV:BV+Sheet2!B66, IF(Sheet1!BW:BW=2, Sheet1!BV:BV+Sheet2!B67, IF(Sheet1!BW:BW=7, Sheet1!BV:BV+Sheet2!B68,"")))))</f>
        <v>UF</v>
      </c>
      <c r="CQ495" s="69" t="str">
        <f t="shared" si="526"/>
        <v/>
      </c>
      <c r="CR495" s="5" t="s">
        <v>12</v>
      </c>
      <c r="CT495" s="5" t="str">
        <f t="shared" si="502"/>
        <v/>
      </c>
      <c r="CU495" s="80" t="str">
        <f t="shared" si="503"/>
        <v>UF</v>
      </c>
      <c r="CV495" s="80" t="str">
        <f t="shared" si="504"/>
        <v>UF</v>
      </c>
      <c r="CW495" s="20" t="str">
        <f>IF(G495&lt;48,"UF", IF(NOT(ISBLANK(CS495)), CS495, IF(CE495=5, CC495+Sheet2!B55, IF(CE495=6, CC495+Sheet2!B56, IF(CE495=7, CC495+Sheet2!B57,"")))))</f>
        <v>UF</v>
      </c>
      <c r="CX495" s="68" t="str">
        <f t="shared" si="527"/>
        <v/>
      </c>
      <c r="CY495" s="5" t="s">
        <v>12</v>
      </c>
      <c r="DA495" s="5" t="str">
        <f t="shared" si="505"/>
        <v>UF</v>
      </c>
      <c r="DB495" s="73" t="str">
        <f t="shared" si="506"/>
        <v>UF</v>
      </c>
      <c r="DC495" s="73" t="str">
        <f t="shared" si="507"/>
        <v>UF</v>
      </c>
      <c r="DD495" s="5" t="str">
        <f>IF(G495&lt;48,"UF", IF(NOT(ISBLANK(CZ:CZ)), CZ:CZ, IF(CL:CL=3, CK:CK+Sheet2!B60, IF(CL:CL=4, CK:CK+Sheet2!B61, IF(CL:CL=7, CK:CK+Sheet2!B62,"")))))</f>
        <v>UF</v>
      </c>
      <c r="DE495" s="69" t="str">
        <f t="shared" ref="DE495:DE505" si="532">IF(DD:DD&lt;-3,3,IF(AND(DD:DD&gt;=-3,DD:DD&lt;-2),4,IF(AND(DD:DD&gt;=-2,DD:DD&lt;=2),7,"")))</f>
        <v/>
      </c>
      <c r="DF495" s="2">
        <v>2</v>
      </c>
      <c r="DG495" s="2">
        <v>34</v>
      </c>
      <c r="DH495" s="2">
        <v>2</v>
      </c>
      <c r="DI495" s="2">
        <v>2</v>
      </c>
      <c r="DJ495" s="2">
        <v>2</v>
      </c>
      <c r="DK495" s="2">
        <v>100</v>
      </c>
      <c r="DL495" s="2">
        <v>65</v>
      </c>
      <c r="DM495" s="2">
        <v>100</v>
      </c>
      <c r="DN495" s="2">
        <v>65</v>
      </c>
      <c r="DO495" s="2">
        <v>127</v>
      </c>
      <c r="DP495" s="2">
        <v>74</v>
      </c>
      <c r="DQ495" s="2">
        <v>2</v>
      </c>
      <c r="DR495" s="2">
        <v>37</v>
      </c>
      <c r="DS495" s="2">
        <v>3</v>
      </c>
      <c r="DT495" s="2" t="s">
        <v>12</v>
      </c>
      <c r="DU495" s="2" t="s">
        <v>12</v>
      </c>
      <c r="DV495" s="2">
        <v>2</v>
      </c>
      <c r="DW495" s="2">
        <v>2</v>
      </c>
      <c r="DX495" s="2">
        <v>2</v>
      </c>
      <c r="DY495" s="2">
        <v>2</v>
      </c>
      <c r="DZ495" s="2">
        <v>35</v>
      </c>
      <c r="EA495" s="2">
        <v>34</v>
      </c>
      <c r="EB495" s="2">
        <v>43</v>
      </c>
      <c r="EC495" s="2">
        <v>1</v>
      </c>
      <c r="ED495" s="2">
        <v>1</v>
      </c>
    </row>
    <row r="496" spans="1:134" x14ac:dyDescent="0.25">
      <c r="C496" s="5" t="s">
        <v>390</v>
      </c>
      <c r="D496" s="8">
        <v>6720211005</v>
      </c>
      <c r="E496" s="3">
        <v>7</v>
      </c>
      <c r="F496" s="2">
        <v>2</v>
      </c>
      <c r="G496" s="2">
        <v>44</v>
      </c>
      <c r="H496" s="2">
        <v>-1.662492497594678</v>
      </c>
      <c r="I496" s="2">
        <v>56</v>
      </c>
      <c r="J496" s="2">
        <v>3.2305642288913949</v>
      </c>
      <c r="K496" s="5">
        <v>3600</v>
      </c>
      <c r="L496" s="2">
        <v>0.50669087134292667</v>
      </c>
      <c r="M496" s="2">
        <v>-0.99870000000000003</v>
      </c>
      <c r="N496" s="2">
        <f t="shared" si="467"/>
        <v>-0.30395375120266099</v>
      </c>
      <c r="O496" s="2">
        <f t="shared" si="468"/>
        <v>-0.99870000000000003</v>
      </c>
      <c r="P496" s="2">
        <v>68.5</v>
      </c>
      <c r="Q496" s="2">
        <v>0.4</v>
      </c>
      <c r="R496" s="5">
        <f t="shared" si="469"/>
        <v>-1.4552821144456975</v>
      </c>
      <c r="S496" s="5">
        <f t="shared" si="470"/>
        <v>0.4</v>
      </c>
      <c r="T496" s="1">
        <v>7500</v>
      </c>
      <c r="U496" s="2">
        <v>-0.52</v>
      </c>
      <c r="V496" s="2">
        <f t="shared" si="471"/>
        <v>-0.96334543567146325</v>
      </c>
      <c r="W496" s="2">
        <f t="shared" si="472"/>
        <v>-0.52</v>
      </c>
      <c r="X496" s="2">
        <v>-2.2704</v>
      </c>
      <c r="Y496" s="76">
        <f t="shared" si="508"/>
        <v>-0.60790750240532199</v>
      </c>
      <c r="Z496" s="76">
        <f t="shared" si="509"/>
        <v>-1</v>
      </c>
      <c r="AA496" s="2">
        <f t="shared" si="473"/>
        <v>-0.99314999999999998</v>
      </c>
      <c r="AB496" s="2">
        <f t="shared" si="474"/>
        <v>-2.2704</v>
      </c>
      <c r="AC496" s="2">
        <v>76.5</v>
      </c>
      <c r="AD496" s="2">
        <v>0.32</v>
      </c>
      <c r="AE496" s="79">
        <f t="shared" si="510"/>
        <v>-2.9105642288913951</v>
      </c>
      <c r="AF496" s="79">
        <f t="shared" si="511"/>
        <v>-2</v>
      </c>
      <c r="AG496" s="2">
        <f t="shared" si="530"/>
        <v>-0.34</v>
      </c>
      <c r="AH496" s="2">
        <f t="shared" si="475"/>
        <v>0.32</v>
      </c>
      <c r="AI496" s="2">
        <v>8250</v>
      </c>
      <c r="AJ496" s="2">
        <v>-1.42</v>
      </c>
      <c r="AK496" s="76">
        <f t="shared" si="512"/>
        <v>-1.9266908713429265</v>
      </c>
      <c r="AL496" s="76">
        <f t="shared" si="513"/>
        <v>-2</v>
      </c>
      <c r="AM496" s="2">
        <f t="shared" si="476"/>
        <v>-0.375</v>
      </c>
      <c r="AN496" s="2">
        <f t="shared" si="477"/>
        <v>-1.42</v>
      </c>
      <c r="AO496" s="2">
        <v>-1.5863</v>
      </c>
      <c r="AP496" s="2" t="str">
        <f t="shared" si="478"/>
        <v/>
      </c>
      <c r="AQ496" s="2">
        <f t="shared" si="479"/>
        <v>-1.5863</v>
      </c>
      <c r="AR496" s="2">
        <v>81.5</v>
      </c>
      <c r="AS496" s="2">
        <v>-0.28000000000000003</v>
      </c>
      <c r="AT496" s="2" t="str">
        <f t="shared" si="480"/>
        <v/>
      </c>
      <c r="AU496" s="2">
        <f t="shared" si="481"/>
        <v>-0.28000000000000003</v>
      </c>
      <c r="AV496" s="2">
        <v>9500</v>
      </c>
      <c r="AW496" s="2">
        <v>-1.27</v>
      </c>
      <c r="AX496" s="2" t="str">
        <f t="shared" si="482"/>
        <v/>
      </c>
      <c r="AY496" s="2">
        <f t="shared" si="483"/>
        <v>-1.27</v>
      </c>
      <c r="BA496" s="78">
        <f t="shared" si="514"/>
        <v>0.36567386302289839</v>
      </c>
      <c r="BB496" s="78">
        <f t="shared" si="515"/>
        <v>1</v>
      </c>
      <c r="BC496" s="2">
        <f t="shared" si="484"/>
        <v>-0.31842613697710159</v>
      </c>
      <c r="BD496" s="2">
        <f t="shared" si="485"/>
        <v>-1.9047261369771016</v>
      </c>
      <c r="BE496" s="67">
        <f t="shared" si="516"/>
        <v>7</v>
      </c>
      <c r="BF496" s="2" t="s">
        <v>12</v>
      </c>
      <c r="BH496" s="2">
        <f t="shared" si="486"/>
        <v>-1.7629471022601689E-2</v>
      </c>
      <c r="BI496" s="2">
        <f t="shared" si="487"/>
        <v>-0.29762947102260173</v>
      </c>
      <c r="BJ496" s="67">
        <f t="shared" si="488"/>
        <v>7</v>
      </c>
      <c r="BK496" s="2" t="s">
        <v>12</v>
      </c>
      <c r="BM496" s="77">
        <f t="shared" si="517"/>
        <v>-2.4719985807071243E-3</v>
      </c>
      <c r="BN496" s="77">
        <f t="shared" si="518"/>
        <v>-1</v>
      </c>
      <c r="BO496" s="2">
        <f t="shared" si="489"/>
        <v>-0.15247199858070695</v>
      </c>
      <c r="BP496" s="2">
        <f t="shared" si="490"/>
        <v>-1.4224719985807071</v>
      </c>
      <c r="BQ496" s="67">
        <f t="shared" si="519"/>
        <v>7</v>
      </c>
      <c r="BR496" s="5">
        <v>-2.5415784109313049</v>
      </c>
      <c r="BS496" s="75">
        <f t="shared" si="520"/>
        <v>-0.6368522739542033</v>
      </c>
      <c r="BT496" s="75">
        <f t="shared" si="521"/>
        <v>-1</v>
      </c>
      <c r="BU496" s="5" t="str">
        <f>IF(G502&gt;=36, IF(AND(NOT(ISBLANK(CM:CM)), NOT(ISBLANK(BD:BD))), (CM:CM-BD:BD)/2, ""), "UF")</f>
        <v/>
      </c>
      <c r="BV496" s="5">
        <f t="shared" si="491"/>
        <v>-2.5415784109313049</v>
      </c>
      <c r="BW496" s="69">
        <f t="shared" si="492"/>
        <v>2</v>
      </c>
      <c r="BX496" s="2">
        <v>94</v>
      </c>
      <c r="BY496" s="5">
        <v>-0.33288841306780509</v>
      </c>
      <c r="BZ496" s="74">
        <f t="shared" si="531"/>
        <v>1.0895835855129019</v>
      </c>
      <c r="CA496" s="74">
        <f t="shared" si="523"/>
        <v>2</v>
      </c>
      <c r="CB496" s="5" t="str">
        <f t="shared" si="493"/>
        <v/>
      </c>
      <c r="CC496" s="5">
        <f t="shared" si="494"/>
        <v>-0.33288841306780509</v>
      </c>
      <c r="CD496" s="2">
        <f t="shared" si="495"/>
        <v>-3.5258942045203356E-2</v>
      </c>
      <c r="CE496" s="69">
        <f t="shared" si="496"/>
        <v>7</v>
      </c>
      <c r="CF496" s="5">
        <v>12000</v>
      </c>
      <c r="CG496" s="5">
        <v>-1.7274159957421209</v>
      </c>
      <c r="CH496" s="72">
        <f t="shared" si="524"/>
        <v>-0.30494399716141385</v>
      </c>
      <c r="CI496" s="72">
        <f t="shared" si="525"/>
        <v>-1</v>
      </c>
      <c r="CJ496" s="5" t="str">
        <f t="shared" si="497"/>
        <v/>
      </c>
      <c r="CK496" s="5">
        <f t="shared" si="498"/>
        <v>-1.7274159957421209</v>
      </c>
      <c r="CL496" s="69">
        <f t="shared" si="499"/>
        <v>7</v>
      </c>
      <c r="CN496" s="70" t="str">
        <f t="shared" si="500"/>
        <v/>
      </c>
      <c r="CO496" s="5" t="str">
        <f t="shared" si="501"/>
        <v>UF</v>
      </c>
      <c r="CP496" s="5" t="str">
        <f>IF(G496&lt;48,"UF", IF(NOT(ISBLANK(CM:CM)), CM:CM, IF(BW:BW=1, BV:BV+Sheet2!B606, IF(Sheet1!BW:BW=2, Sheet1!BV:BV+Sheet2!B607, IF(Sheet1!BW:BW=7, Sheet1!BV:BV+Sheet2!B608,"")))))</f>
        <v>UF</v>
      </c>
      <c r="CQ496" s="69" t="str">
        <f t="shared" si="526"/>
        <v/>
      </c>
      <c r="CR496" s="5" t="s">
        <v>12</v>
      </c>
      <c r="CT496" s="5" t="str">
        <f t="shared" si="502"/>
        <v/>
      </c>
      <c r="CU496" s="80" t="str">
        <f t="shared" si="503"/>
        <v>UF</v>
      </c>
      <c r="CV496" s="80" t="str">
        <f t="shared" si="504"/>
        <v>UF</v>
      </c>
      <c r="CW496" s="20" t="str">
        <f>IF(G496&lt;48,"UF", IF(NOT(ISBLANK(CS496)), CS496, IF(CE496=5, CC496+Sheet2!B595, IF(CE496=6, CC496+Sheet2!B596, IF(CE496=7, CC496+Sheet2!B597,"")))))</f>
        <v>UF</v>
      </c>
      <c r="CX496" s="68" t="str">
        <f t="shared" si="527"/>
        <v/>
      </c>
      <c r="CY496" s="5" t="s">
        <v>12</v>
      </c>
      <c r="DA496" s="5" t="str">
        <f t="shared" si="505"/>
        <v>UF</v>
      </c>
      <c r="DB496" s="73" t="str">
        <f t="shared" si="506"/>
        <v>UF</v>
      </c>
      <c r="DC496" s="73" t="str">
        <f t="shared" si="507"/>
        <v>UF</v>
      </c>
      <c r="DD496" s="5" t="str">
        <f>IF(G496&lt;48,"UF", IF(NOT(ISBLANK(CZ:CZ)), CZ:CZ, IF(CL:CL=3, CK:CK+Sheet2!B600, IF(CL:CL=4, CK:CK+Sheet2!B601, IF(CL:CL=7, CK:CK+Sheet2!B602,"")))))</f>
        <v>UF</v>
      </c>
      <c r="DE496" s="69" t="str">
        <f t="shared" si="532"/>
        <v/>
      </c>
      <c r="DF496" s="2">
        <v>2</v>
      </c>
      <c r="DG496" s="2">
        <v>23</v>
      </c>
      <c r="DH496" s="2">
        <v>2</v>
      </c>
      <c r="DI496" s="2">
        <v>2</v>
      </c>
      <c r="DJ496" s="2">
        <v>2</v>
      </c>
      <c r="DK496" s="2">
        <v>100</v>
      </c>
      <c r="DL496" s="2">
        <v>50</v>
      </c>
      <c r="DM496" s="2">
        <v>120</v>
      </c>
      <c r="DN496" s="2">
        <v>50</v>
      </c>
      <c r="DO496" s="2">
        <v>105</v>
      </c>
      <c r="DP496" s="2">
        <v>54</v>
      </c>
      <c r="DQ496" s="2">
        <v>1</v>
      </c>
      <c r="DR496" s="2">
        <v>40</v>
      </c>
      <c r="DS496" s="2">
        <v>2</v>
      </c>
      <c r="DT496" s="2">
        <v>90</v>
      </c>
      <c r="DU496" s="2">
        <v>87</v>
      </c>
      <c r="DV496" s="2">
        <v>3</v>
      </c>
      <c r="DW496" s="2">
        <v>2</v>
      </c>
      <c r="DX496" s="2">
        <v>2</v>
      </c>
      <c r="DY496" s="2">
        <v>2</v>
      </c>
      <c r="DZ496" s="2">
        <v>36</v>
      </c>
      <c r="EA496" s="2">
        <v>36.5</v>
      </c>
      <c r="EB496" s="2">
        <v>45.7</v>
      </c>
      <c r="EC496" s="2">
        <v>1</v>
      </c>
      <c r="ED496" s="2">
        <v>4</v>
      </c>
    </row>
    <row r="497" spans="1:134" x14ac:dyDescent="0.25">
      <c r="C497" s="10" t="s">
        <v>384</v>
      </c>
      <c r="D497" s="10">
        <v>6780116432</v>
      </c>
      <c r="E497" s="5">
        <v>2</v>
      </c>
      <c r="F497" s="2">
        <v>2</v>
      </c>
      <c r="G497" s="2">
        <v>51</v>
      </c>
      <c r="H497" s="2">
        <v>0.44982232315557102</v>
      </c>
      <c r="I497" s="2">
        <v>50</v>
      </c>
      <c r="J497" s="2">
        <v>6.1168777667580831E-2</v>
      </c>
      <c r="K497" s="5">
        <v>3500</v>
      </c>
      <c r="L497" s="2">
        <v>0.30975760258732121</v>
      </c>
      <c r="M497" s="2">
        <v>-1.5354000000000001</v>
      </c>
      <c r="N497" s="2">
        <f t="shared" si="467"/>
        <v>-0.97801116157778556</v>
      </c>
      <c r="O497" s="2">
        <f t="shared" si="468"/>
        <v>-1.5354000000000001</v>
      </c>
      <c r="P497" s="2">
        <v>70</v>
      </c>
      <c r="Q497" s="2">
        <v>1.1000000000000001</v>
      </c>
      <c r="R497" s="5">
        <f t="shared" si="469"/>
        <v>-0.18558438883379041</v>
      </c>
      <c r="S497" s="5">
        <f t="shared" si="470"/>
        <v>1.1000000000000001</v>
      </c>
      <c r="T497" s="1">
        <v>7500</v>
      </c>
      <c r="U497" s="2">
        <v>-0.52</v>
      </c>
      <c r="V497" s="2">
        <f t="shared" si="471"/>
        <v>-0.78487880129366061</v>
      </c>
      <c r="W497" s="2">
        <f t="shared" si="472"/>
        <v>-0.52</v>
      </c>
      <c r="X497" s="2">
        <v>-1.5062</v>
      </c>
      <c r="Y497" s="76">
        <f t="shared" si="508"/>
        <v>-1.9560223231555711</v>
      </c>
      <c r="Z497" s="76">
        <f t="shared" si="509"/>
        <v>-2</v>
      </c>
      <c r="AA497" s="2">
        <f t="shared" si="473"/>
        <v>-0.70395000000000008</v>
      </c>
      <c r="AB497" s="2">
        <f t="shared" si="474"/>
        <v>-1.5062</v>
      </c>
      <c r="AC497" s="2">
        <v>75</v>
      </c>
      <c r="AD497" s="2">
        <v>-0.31</v>
      </c>
      <c r="AE497" s="79">
        <f t="shared" si="510"/>
        <v>-0.37116877766758083</v>
      </c>
      <c r="AF497" s="79">
        <f t="shared" si="511"/>
        <v>-1</v>
      </c>
      <c r="AG497" s="2">
        <f t="shared" si="530"/>
        <v>-1.71</v>
      </c>
      <c r="AH497" s="2">
        <f t="shared" si="475"/>
        <v>-0.31</v>
      </c>
      <c r="AI497" s="2">
        <v>8400</v>
      </c>
      <c r="AJ497" s="2">
        <v>-1.26</v>
      </c>
      <c r="AK497" s="76">
        <f t="shared" si="512"/>
        <v>-1.5697576025873212</v>
      </c>
      <c r="AL497" s="76">
        <f t="shared" si="513"/>
        <v>-2</v>
      </c>
      <c r="AM497" s="2">
        <f t="shared" si="476"/>
        <v>-0.56499999999999995</v>
      </c>
      <c r="AN497" s="2">
        <f t="shared" si="477"/>
        <v>-1.26</v>
      </c>
      <c r="AO497" s="2">
        <v>-0.30790000000000001</v>
      </c>
      <c r="AP497" s="2">
        <f t="shared" si="478"/>
        <v>-0.68540407158771399</v>
      </c>
      <c r="AQ497" s="2">
        <f t="shared" si="479"/>
        <v>-0.30790000000000001</v>
      </c>
      <c r="AR497" s="2">
        <v>76</v>
      </c>
      <c r="AS497" s="2">
        <v>-2.3199999999999998</v>
      </c>
      <c r="AT497" s="2">
        <f t="shared" si="480"/>
        <v>0.17472046099855978</v>
      </c>
      <c r="AU497" s="2">
        <f t="shared" si="481"/>
        <v>-2.3199999999999998</v>
      </c>
      <c r="AV497" s="2">
        <v>9100</v>
      </c>
      <c r="AW497" s="2">
        <v>-1.65</v>
      </c>
      <c r="AX497" s="2">
        <f t="shared" si="482"/>
        <v>-0.34862932117721945</v>
      </c>
      <c r="AY497" s="2">
        <f t="shared" si="483"/>
        <v>-1.65</v>
      </c>
      <c r="AZ497" s="2">
        <v>-2.877008143175428</v>
      </c>
      <c r="BA497" s="78">
        <f t="shared" si="514"/>
        <v>-1.370808143175428</v>
      </c>
      <c r="BB497" s="78">
        <f t="shared" si="515"/>
        <v>-2</v>
      </c>
      <c r="BC497" s="2">
        <f t="shared" si="484"/>
        <v>-1.5961899839202489</v>
      </c>
      <c r="BD497" s="2">
        <f t="shared" si="485"/>
        <v>-2.877008143175428</v>
      </c>
      <c r="BE497" s="67">
        <f t="shared" si="516"/>
        <v>2</v>
      </c>
      <c r="BF497" s="2">
        <v>87</v>
      </c>
      <c r="BG497" s="2">
        <v>3.9440921997119571E-2</v>
      </c>
      <c r="BH497" s="2">
        <f t="shared" si="486"/>
        <v>0.66237052897739823</v>
      </c>
      <c r="BI497" s="2">
        <f t="shared" si="487"/>
        <v>3.9440921997119571E-2</v>
      </c>
      <c r="BJ497" s="67">
        <f t="shared" si="488"/>
        <v>7</v>
      </c>
      <c r="BK497" s="2">
        <v>10000</v>
      </c>
      <c r="BL497" s="2">
        <v>-1.9572586423544389</v>
      </c>
      <c r="BM497" s="77">
        <f t="shared" si="517"/>
        <v>-0.69725864235443891</v>
      </c>
      <c r="BN497" s="77">
        <f t="shared" si="518"/>
        <v>-2</v>
      </c>
      <c r="BO497" s="2">
        <f t="shared" si="489"/>
        <v>-0.49044617612158542</v>
      </c>
      <c r="BP497" s="2">
        <f t="shared" si="490"/>
        <v>-1.9572586423544389</v>
      </c>
      <c r="BQ497" s="67">
        <f t="shared" si="519"/>
        <v>7</v>
      </c>
      <c r="BR497" s="5">
        <v>-5.0964699517607466</v>
      </c>
      <c r="BS497" s="75">
        <f t="shared" si="520"/>
        <v>-2.2194618085853186</v>
      </c>
      <c r="BT497" s="75">
        <f t="shared" si="521"/>
        <v>-2</v>
      </c>
      <c r="BU497" s="5" t="e">
        <f>IF(#REF!&gt;=36, IF(AND(NOT(ISBLANK(CM:CM)), NOT(ISBLANK(BD:BD))), (CM:CM-BD:BD)/2, ""), "UF")</f>
        <v>#REF!</v>
      </c>
      <c r="BV497" s="5">
        <f t="shared" si="491"/>
        <v>-5.0964699517607466</v>
      </c>
      <c r="BW497" s="69">
        <f t="shared" si="492"/>
        <v>1</v>
      </c>
      <c r="BX497" s="2">
        <v>94</v>
      </c>
      <c r="BY497" s="5">
        <v>-0.33288841306780509</v>
      </c>
      <c r="BZ497" s="74">
        <f t="shared" si="531"/>
        <v>1.6243702292866338</v>
      </c>
      <c r="CA497" s="74">
        <f t="shared" si="523"/>
        <v>2</v>
      </c>
      <c r="CB497" s="5">
        <f t="shared" si="493"/>
        <v>-0.3165224004906711</v>
      </c>
      <c r="CC497" s="5">
        <f t="shared" si="494"/>
        <v>-0.33288841306780509</v>
      </c>
      <c r="CD497" s="2">
        <f t="shared" si="495"/>
        <v>-0.37232933506492466</v>
      </c>
      <c r="CE497" s="69">
        <f t="shared" si="496"/>
        <v>7</v>
      </c>
      <c r="CF497" s="5">
        <v>10500</v>
      </c>
      <c r="CG497" s="5">
        <v>-3.1213385283647561</v>
      </c>
      <c r="CH497" s="72">
        <f t="shared" si="524"/>
        <v>-1.1640798860103172</v>
      </c>
      <c r="CI497" s="72">
        <f t="shared" si="525"/>
        <v>-2</v>
      </c>
      <c r="CJ497" s="5">
        <f t="shared" si="497"/>
        <v>-0.50046298759445551</v>
      </c>
      <c r="CK497" s="5">
        <f t="shared" si="498"/>
        <v>-3.1213385283647561</v>
      </c>
      <c r="CL497" s="69">
        <f t="shared" si="499"/>
        <v>3</v>
      </c>
      <c r="CM497" s="5">
        <v>-4.648315324591942</v>
      </c>
      <c r="CN497" s="70">
        <f t="shared" si="500"/>
        <v>0.44815462716880461</v>
      </c>
      <c r="CO497" s="5">
        <f t="shared" si="501"/>
        <v>0.44815462716880461</v>
      </c>
      <c r="CP497" s="5">
        <f>IF(G497&lt;48,"UF", IF(NOT(ISBLANK(CM:CM)), CM:CM, IF(BW:BW=1, BV:BV+Sheet2!B105, IF(Sheet1!BW:BW=2, Sheet1!BV:BV+Sheet2!B106, IF(Sheet1!BW:BW=7, Sheet1!BV:BV+Sheet2!B107,"")))))</f>
        <v>-4.648315324591942</v>
      </c>
      <c r="CQ497" s="69">
        <f t="shared" si="526"/>
        <v>1</v>
      </c>
      <c r="CR497" s="5">
        <v>100</v>
      </c>
      <c r="CS497" s="5">
        <v>-0.59360387898422262</v>
      </c>
      <c r="CT497" s="5">
        <f t="shared" si="502"/>
        <v>-0.26071546591641753</v>
      </c>
      <c r="CU497" s="80">
        <f t="shared" si="503"/>
        <v>-0.26071546591641753</v>
      </c>
      <c r="CV497" s="80">
        <f t="shared" si="504"/>
        <v>-1</v>
      </c>
      <c r="CW497" s="20">
        <f>IF(G497&lt;48,"UF", IF(NOT(ISBLANK(CS497)), CS497, IF(CE497=5, CC497+Sheet2!B94, IF(CE497=6, CC497+Sheet2!B95, IF(CE497=7, CC497+Sheet2!B96,"")))))</f>
        <v>-0.59360387898422262</v>
      </c>
      <c r="CX497" s="68">
        <f t="shared" si="527"/>
        <v>7</v>
      </c>
      <c r="CY497" s="5">
        <v>12000</v>
      </c>
      <c r="CZ497" s="5">
        <v>-2.9581846175433499</v>
      </c>
      <c r="DA497" s="5">
        <f t="shared" si="505"/>
        <v>0.16315391082140618</v>
      </c>
      <c r="DB497" s="73">
        <f t="shared" si="506"/>
        <v>0.16315391082140618</v>
      </c>
      <c r="DC497" s="73">
        <f t="shared" si="507"/>
        <v>1</v>
      </c>
      <c r="DD497" s="5">
        <f>IF(G497&lt;48,"UF", IF(NOT(ISBLANK(CZ:CZ)), CZ:CZ, IF(CL:CL=3, CK:CK+Sheet2!B99, IF(CL:CL=4, CK:CK+Sheet2!B100, IF(CL:CL=7, CK:CK+Sheet2!B101,"")))))</f>
        <v>-2.9581846175433499</v>
      </c>
      <c r="DE497" s="69">
        <f t="shared" si="532"/>
        <v>4</v>
      </c>
      <c r="DF497" s="2">
        <v>2</v>
      </c>
      <c r="DG497" s="2">
        <v>27</v>
      </c>
      <c r="DH497" s="2">
        <v>2</v>
      </c>
      <c r="DI497" s="2">
        <v>2</v>
      </c>
      <c r="DJ497" s="2">
        <v>2</v>
      </c>
      <c r="DK497" s="2">
        <v>130</v>
      </c>
      <c r="DL497" s="2">
        <v>70</v>
      </c>
      <c r="DM497" s="2">
        <v>130</v>
      </c>
      <c r="DN497" s="2">
        <v>80</v>
      </c>
      <c r="DO497" s="2" t="s">
        <v>12</v>
      </c>
      <c r="DP497" s="2" t="s">
        <v>12</v>
      </c>
      <c r="DQ497" s="2">
        <v>1</v>
      </c>
      <c r="DR497" s="2">
        <v>39</v>
      </c>
      <c r="DS497" s="2">
        <v>1</v>
      </c>
      <c r="DT497" s="2">
        <v>102</v>
      </c>
      <c r="DU497" s="2">
        <v>75</v>
      </c>
      <c r="DV497" s="2">
        <v>4</v>
      </c>
      <c r="DW497" s="2">
        <v>2</v>
      </c>
      <c r="DX497" s="2">
        <v>4</v>
      </c>
      <c r="DY497" s="2">
        <v>2</v>
      </c>
      <c r="DZ497" s="2">
        <v>34</v>
      </c>
      <c r="EA497" s="2" t="s">
        <v>12</v>
      </c>
      <c r="EB497" s="2">
        <v>46.5</v>
      </c>
      <c r="EC497" s="2" t="s">
        <v>12</v>
      </c>
      <c r="ED497" s="2">
        <v>1</v>
      </c>
    </row>
    <row r="498" spans="1:134" x14ac:dyDescent="0.25">
      <c r="C498" s="11" t="s">
        <v>142</v>
      </c>
      <c r="D498" s="12" t="s">
        <v>143</v>
      </c>
      <c r="E498" s="2">
        <v>4</v>
      </c>
      <c r="F498" s="2">
        <v>1</v>
      </c>
      <c r="G498" s="2">
        <v>45</v>
      </c>
      <c r="H498" s="2">
        <v>-2.2902677890964571</v>
      </c>
      <c r="I498" s="2">
        <v>50</v>
      </c>
      <c r="J498" s="2">
        <v>0.45756143734440202</v>
      </c>
      <c r="K498" s="5">
        <v>2700</v>
      </c>
      <c r="L498" s="2">
        <v>-1.2270493270806959</v>
      </c>
      <c r="M498" s="2">
        <v>-1.6667000000000001</v>
      </c>
      <c r="N498" s="2">
        <f t="shared" si="467"/>
        <v>0.18553389454822855</v>
      </c>
      <c r="O498" s="2">
        <f t="shared" si="468"/>
        <v>-1.6667000000000001</v>
      </c>
      <c r="P498" s="2">
        <v>62</v>
      </c>
      <c r="Q498" s="2">
        <v>-1.65</v>
      </c>
      <c r="R498" s="5">
        <f t="shared" si="469"/>
        <v>-0.81378071867220103</v>
      </c>
      <c r="S498" s="5">
        <f t="shared" si="470"/>
        <v>-1.65</v>
      </c>
      <c r="T498" s="2">
        <v>5600</v>
      </c>
      <c r="U498" s="2">
        <v>-2.2000000000000002</v>
      </c>
      <c r="V498" s="2">
        <f t="shared" si="471"/>
        <v>-0.41147533645965195</v>
      </c>
      <c r="W498" s="2">
        <f t="shared" si="472"/>
        <v>-2.2000000000000002</v>
      </c>
      <c r="X498" s="2">
        <v>-1.9192</v>
      </c>
      <c r="Y498" s="76">
        <f t="shared" si="508"/>
        <v>0.3710677890964571</v>
      </c>
      <c r="Z498" s="76">
        <f t="shared" si="509"/>
        <v>1</v>
      </c>
      <c r="AA498" s="2">
        <f t="shared" si="473"/>
        <v>0.44304999999999994</v>
      </c>
      <c r="AB498" s="2">
        <f t="shared" si="474"/>
        <v>-1.9192</v>
      </c>
      <c r="AC498" s="2">
        <v>71</v>
      </c>
      <c r="AD498" s="2">
        <v>-1.17</v>
      </c>
      <c r="AE498" s="79">
        <f t="shared" si="510"/>
        <v>-1.6275614373444021</v>
      </c>
      <c r="AF498" s="79">
        <f t="shared" si="511"/>
        <v>-2</v>
      </c>
      <c r="AG498" s="2">
        <f t="shared" si="530"/>
        <v>-7.0000000000000062E-2</v>
      </c>
      <c r="AH498" s="2">
        <f t="shared" si="475"/>
        <v>-1.17</v>
      </c>
      <c r="AI498" s="2">
        <v>7000</v>
      </c>
      <c r="AJ498" s="2">
        <v>-2.0499999999999998</v>
      </c>
      <c r="AK498" s="76">
        <f t="shared" si="512"/>
        <v>-0.8229506729193039</v>
      </c>
      <c r="AL498" s="76">
        <f t="shared" si="513"/>
        <v>-2</v>
      </c>
      <c r="AM498" s="2">
        <f t="shared" si="476"/>
        <v>0.27500000000000013</v>
      </c>
      <c r="AN498" s="2">
        <f t="shared" si="477"/>
        <v>-2.0499999999999998</v>
      </c>
      <c r="AO498" s="2">
        <v>-0.76390000000000002</v>
      </c>
      <c r="AP498" s="2">
        <f t="shared" si="478"/>
        <v>-1.4751283457558495E-2</v>
      </c>
      <c r="AQ498" s="2">
        <f t="shared" si="479"/>
        <v>-0.76390000000000002</v>
      </c>
      <c r="AR498" s="2">
        <v>75.5</v>
      </c>
      <c r="AS498" s="2">
        <v>-1.79</v>
      </c>
      <c r="AT498" s="2">
        <f t="shared" si="480"/>
        <v>-0.18712825595424654</v>
      </c>
      <c r="AU498" s="2">
        <f t="shared" si="481"/>
        <v>-1.79</v>
      </c>
      <c r="AV498" s="2">
        <v>8400</v>
      </c>
      <c r="AW498" s="2">
        <v>-1.65</v>
      </c>
      <c r="AX498" s="2">
        <f t="shared" si="482"/>
        <v>-0.53005147210149905</v>
      </c>
      <c r="AY498" s="2">
        <f t="shared" si="483"/>
        <v>-1.65</v>
      </c>
      <c r="AZ498" s="2">
        <v>-1.948702566915117</v>
      </c>
      <c r="BA498" s="78">
        <f t="shared" si="514"/>
        <v>-2.950256691511699E-2</v>
      </c>
      <c r="BB498" s="78">
        <f t="shared" si="515"/>
        <v>-1</v>
      </c>
      <c r="BC498" s="2">
        <f t="shared" si="484"/>
        <v>0.21342624506306987</v>
      </c>
      <c r="BD498" s="2">
        <f t="shared" si="485"/>
        <v>-1.948702566915117</v>
      </c>
      <c r="BE498" s="67">
        <f t="shared" si="516"/>
        <v>7</v>
      </c>
      <c r="BF498" s="2">
        <v>80</v>
      </c>
      <c r="BG498" s="2">
        <v>-1.544256511908493</v>
      </c>
      <c r="BH498" s="2">
        <f t="shared" si="486"/>
        <v>-0.10936200246721468</v>
      </c>
      <c r="BI498" s="2">
        <f t="shared" si="487"/>
        <v>-1.544256511908493</v>
      </c>
      <c r="BJ498" s="67">
        <f t="shared" si="488"/>
        <v>7</v>
      </c>
      <c r="BK498" s="2">
        <v>9000</v>
      </c>
      <c r="BL498" s="2">
        <v>-3.1101029442029979</v>
      </c>
      <c r="BM498" s="77">
        <f t="shared" si="517"/>
        <v>-1.0601029442029981</v>
      </c>
      <c r="BN498" s="77">
        <f t="shared" si="518"/>
        <v>-2</v>
      </c>
      <c r="BO498" s="2">
        <f t="shared" si="489"/>
        <v>-4.3583692492464042E-2</v>
      </c>
      <c r="BP498" s="2">
        <f t="shared" si="490"/>
        <v>-3.1101029442029979</v>
      </c>
      <c r="BQ498" s="67">
        <f t="shared" si="519"/>
        <v>3</v>
      </c>
      <c r="BR498" s="5">
        <v>-0.1236212648107904</v>
      </c>
      <c r="BS498" s="75">
        <f t="shared" si="520"/>
        <v>1.8250813021043266</v>
      </c>
      <c r="BT498" s="75">
        <f t="shared" si="521"/>
        <v>2</v>
      </c>
      <c r="BU498" s="5" t="str">
        <f>IF(G503&gt;=36, IF(AND(NOT(ISBLANK(CM:CM)), NOT(ISBLANK(BD:BD))), (CM:CM-BD:BD)/2, ""), "UF")</f>
        <v/>
      </c>
      <c r="BV498" s="5">
        <f t="shared" si="491"/>
        <v>-0.1236212648107904</v>
      </c>
      <c r="BW498" s="69">
        <f t="shared" si="492"/>
        <v>7</v>
      </c>
      <c r="BX498" s="2">
        <v>86</v>
      </c>
      <c r="BY498" s="5">
        <v>-2.1180860074016441</v>
      </c>
      <c r="BZ498" s="74">
        <f t="shared" si="531"/>
        <v>0.99201693680135383</v>
      </c>
      <c r="CA498" s="74">
        <f t="shared" si="523"/>
        <v>2</v>
      </c>
      <c r="CB498" s="5" t="str">
        <f t="shared" si="493"/>
        <v/>
      </c>
      <c r="CC498" s="5">
        <f t="shared" si="494"/>
        <v>-2.1180860074016441</v>
      </c>
      <c r="CD498" s="2">
        <f t="shared" si="495"/>
        <v>-0.5738294954931511</v>
      </c>
      <c r="CE498" s="69">
        <f t="shared" si="496"/>
        <v>6</v>
      </c>
      <c r="CF498" s="5">
        <v>11500</v>
      </c>
      <c r="CG498" s="5">
        <v>-1.780751077477392</v>
      </c>
      <c r="CH498" s="72">
        <f t="shared" si="524"/>
        <v>1.3293518667256059</v>
      </c>
      <c r="CI498" s="72">
        <f t="shared" si="525"/>
        <v>2</v>
      </c>
      <c r="CJ498" s="5" t="str">
        <f t="shared" si="497"/>
        <v/>
      </c>
      <c r="CK498" s="5">
        <f t="shared" si="498"/>
        <v>-1.780751077477392</v>
      </c>
      <c r="CL498" s="69">
        <f t="shared" si="499"/>
        <v>7</v>
      </c>
      <c r="CN498" s="70" t="str">
        <f t="shared" si="500"/>
        <v/>
      </c>
      <c r="CO498" s="5" t="str">
        <f t="shared" si="501"/>
        <v>UF</v>
      </c>
      <c r="CP498" s="5" t="str">
        <f>IF(G498&lt;48,"UF", IF(NOT(ISBLANK(CM:CM)), CM:CM, IF(BW:BW=1, BV:BV+Sheet2!B210, IF(Sheet1!BW:BW=2, Sheet1!BV:BV+Sheet2!B211, IF(Sheet1!BW:BW=7, Sheet1!BV:BV+Sheet2!B212,"")))))</f>
        <v>UF</v>
      </c>
      <c r="CQ498" s="69" t="str">
        <f t="shared" si="526"/>
        <v/>
      </c>
      <c r="CR498" s="5" t="s">
        <v>12</v>
      </c>
      <c r="CT498" s="5" t="str">
        <f t="shared" si="502"/>
        <v/>
      </c>
      <c r="CU498" s="80" t="str">
        <f t="shared" si="503"/>
        <v>UF</v>
      </c>
      <c r="CV498" s="80" t="str">
        <f t="shared" si="504"/>
        <v>UF</v>
      </c>
      <c r="CW498" s="20" t="str">
        <f>IF(G498&lt;48,"UF", IF(NOT(ISBLANK(CS498)), CS498, IF(CE498=5, CC498+Sheet2!B199, IF(CE498=6, CC498+Sheet2!B200, IF(CE498=7, CC498+Sheet2!B201,"")))))</f>
        <v>UF</v>
      </c>
      <c r="CX498" s="68" t="str">
        <f t="shared" si="527"/>
        <v/>
      </c>
      <c r="CY498" s="5" t="s">
        <v>12</v>
      </c>
      <c r="DA498" s="5" t="str">
        <f t="shared" si="505"/>
        <v>UF</v>
      </c>
      <c r="DB498" s="73" t="str">
        <f t="shared" si="506"/>
        <v>UF</v>
      </c>
      <c r="DC498" s="73" t="str">
        <f t="shared" si="507"/>
        <v>UF</v>
      </c>
      <c r="DD498" s="5" t="str">
        <f>IF(G498&lt;48,"UF", IF(NOT(ISBLANK(CZ:CZ)), CZ:CZ, IF(CL:CL=3, CK:CK+Sheet2!B204, IF(CL:CL=4, CK:CK+Sheet2!B205, IF(CL:CL=7, CK:CK+Sheet2!B206,"")))))</f>
        <v>UF</v>
      </c>
      <c r="DE498" s="69" t="str">
        <f t="shared" si="532"/>
        <v/>
      </c>
      <c r="DF498" s="2">
        <v>3</v>
      </c>
      <c r="DG498" s="2">
        <v>40</v>
      </c>
      <c r="DH498" s="2">
        <v>2</v>
      </c>
      <c r="DI498" s="2">
        <v>2</v>
      </c>
      <c r="DJ498" s="2">
        <v>2</v>
      </c>
      <c r="DK498" s="2">
        <v>60</v>
      </c>
      <c r="DL498" s="2">
        <v>100</v>
      </c>
      <c r="DM498" s="2">
        <v>60</v>
      </c>
      <c r="DN498" s="2">
        <v>100</v>
      </c>
      <c r="DO498" s="2">
        <v>60</v>
      </c>
      <c r="DP498" s="2">
        <v>100</v>
      </c>
      <c r="DQ498" s="2">
        <v>2</v>
      </c>
      <c r="DR498" s="2">
        <v>40</v>
      </c>
      <c r="DS498" s="2">
        <v>2</v>
      </c>
      <c r="DT498" s="2">
        <v>72</v>
      </c>
      <c r="DU498" s="2">
        <v>78</v>
      </c>
      <c r="DV498" s="2">
        <v>2</v>
      </c>
      <c r="DW498" s="2">
        <v>2</v>
      </c>
      <c r="DX498" s="2">
        <v>2</v>
      </c>
      <c r="DY498" s="2">
        <v>2</v>
      </c>
      <c r="DZ498" s="2">
        <v>33</v>
      </c>
      <c r="EA498" s="2">
        <v>35</v>
      </c>
      <c r="EB498" s="2">
        <v>44</v>
      </c>
      <c r="EC498" s="2">
        <v>1</v>
      </c>
      <c r="ED498" s="2">
        <v>1</v>
      </c>
    </row>
    <row r="499" spans="1:134" x14ac:dyDescent="0.25">
      <c r="A499" t="s">
        <v>70</v>
      </c>
      <c r="C499" s="15" t="s">
        <v>30</v>
      </c>
      <c r="D499" s="10" t="s">
        <v>71</v>
      </c>
      <c r="E499" s="2" t="s">
        <v>529</v>
      </c>
      <c r="F499" s="2">
        <v>2</v>
      </c>
      <c r="G499" s="2">
        <v>60</v>
      </c>
      <c r="H499" s="2">
        <v>0.1345460795558511</v>
      </c>
      <c r="I499" s="2">
        <v>47</v>
      </c>
      <c r="J499" s="2">
        <v>-1.5235289479443319</v>
      </c>
      <c r="K499" s="5">
        <v>3000</v>
      </c>
      <c r="L499" s="2">
        <v>-0.73426392472567259</v>
      </c>
      <c r="M499" s="2">
        <v>-1.3043</v>
      </c>
      <c r="N499" s="2">
        <f t="shared" si="467"/>
        <v>-1.3134730397779255</v>
      </c>
      <c r="O499" s="2">
        <f t="shared" si="468"/>
        <v>-1.3043</v>
      </c>
      <c r="P499" s="2">
        <v>67</v>
      </c>
      <c r="Q499" s="2">
        <v>-0.3</v>
      </c>
      <c r="R499" s="5">
        <f t="shared" si="469"/>
        <v>0.60676447397216593</v>
      </c>
      <c r="S499" s="5">
        <f t="shared" si="470"/>
        <v>-0.3</v>
      </c>
      <c r="T499" s="2">
        <v>7000</v>
      </c>
      <c r="U499" s="2">
        <v>-1.1399999999999999</v>
      </c>
      <c r="V499" s="2">
        <f t="shared" si="471"/>
        <v>-0.59786803763716367</v>
      </c>
      <c r="W499" s="2">
        <f t="shared" si="472"/>
        <v>-1.1399999999999999</v>
      </c>
      <c r="X499" s="2">
        <v>-2.4923999999999999</v>
      </c>
      <c r="Y499" s="76">
        <f t="shared" si="508"/>
        <v>-2.626946079555851</v>
      </c>
      <c r="Z499" s="76">
        <f t="shared" si="509"/>
        <v>-2</v>
      </c>
      <c r="AA499" s="2" t="str">
        <f t="shared" si="473"/>
        <v/>
      </c>
      <c r="AB499" s="2">
        <f t="shared" si="474"/>
        <v>-2.4923999999999999</v>
      </c>
      <c r="AC499" s="2">
        <v>75</v>
      </c>
      <c r="AD499" s="2">
        <v>-0.31</v>
      </c>
      <c r="AE499" s="79">
        <f t="shared" si="510"/>
        <v>1.2135289479443319</v>
      </c>
      <c r="AF499" s="79">
        <f t="shared" si="511"/>
        <v>2</v>
      </c>
      <c r="AG499" s="2" t="str">
        <f t="shared" si="530"/>
        <v/>
      </c>
      <c r="AH499" s="2">
        <f t="shared" si="475"/>
        <v>-0.31</v>
      </c>
      <c r="AI499" s="2">
        <v>7800</v>
      </c>
      <c r="AJ499" s="2">
        <v>-1.93</v>
      </c>
      <c r="AK499" s="76">
        <f t="shared" si="512"/>
        <v>-1.1957360752743273</v>
      </c>
      <c r="AL499" s="76">
        <f t="shared" si="513"/>
        <v>-2</v>
      </c>
      <c r="AM499" s="2" t="str">
        <f t="shared" si="476"/>
        <v/>
      </c>
      <c r="AN499" s="2">
        <f t="shared" si="477"/>
        <v>-1.93</v>
      </c>
      <c r="AP499" s="2">
        <f t="shared" si="478"/>
        <v>-3.3800488271835682E-3</v>
      </c>
      <c r="AQ499" s="2">
        <f t="shared" si="479"/>
        <v>-2.4957800488271835</v>
      </c>
      <c r="AR499" s="2" t="s">
        <v>12</v>
      </c>
      <c r="AT499" s="2">
        <f t="shared" si="480"/>
        <v>-0.53762564068848351</v>
      </c>
      <c r="AU499" s="2">
        <f t="shared" si="481"/>
        <v>-0.84762564068848345</v>
      </c>
      <c r="AV499" s="2" t="s">
        <v>12</v>
      </c>
      <c r="AX499" s="2">
        <f t="shared" si="482"/>
        <v>-0.48830377624243504</v>
      </c>
      <c r="AY499" s="2">
        <f t="shared" si="483"/>
        <v>-2.4183037762424351</v>
      </c>
      <c r="AZ499" s="2">
        <v>-2.4991600976543671</v>
      </c>
      <c r="BA499" s="78">
        <f t="shared" si="514"/>
        <v>-6.7600976543671365E-3</v>
      </c>
      <c r="BB499" s="78">
        <f t="shared" si="515"/>
        <v>-1</v>
      </c>
      <c r="BC499" s="2">
        <f t="shared" si="484"/>
        <v>-3.8803686053541972E-3</v>
      </c>
      <c r="BD499" s="2">
        <f t="shared" si="485"/>
        <v>-2.4991600976543671</v>
      </c>
      <c r="BE499" s="67">
        <f t="shared" si="516"/>
        <v>2</v>
      </c>
      <c r="BF499" s="2">
        <v>82</v>
      </c>
      <c r="BG499" s="2">
        <v>-1.3852512813769671</v>
      </c>
      <c r="BH499" s="2">
        <f t="shared" si="486"/>
        <v>-0.23787687736201382</v>
      </c>
      <c r="BI499" s="2">
        <f t="shared" si="487"/>
        <v>-1.3852512813769671</v>
      </c>
      <c r="BJ499" s="67">
        <f t="shared" si="488"/>
        <v>7</v>
      </c>
      <c r="BK499" s="2">
        <v>9400</v>
      </c>
      <c r="BL499" s="2">
        <v>-2.90660755248487</v>
      </c>
      <c r="BM499" s="77">
        <f t="shared" si="517"/>
        <v>-0.97660755248487008</v>
      </c>
      <c r="BN499" s="77">
        <f t="shared" si="518"/>
        <v>-2</v>
      </c>
      <c r="BO499" s="2">
        <f t="shared" si="489"/>
        <v>-0.10034098516207735</v>
      </c>
      <c r="BP499" s="2">
        <f t="shared" si="490"/>
        <v>-2.90660755248487</v>
      </c>
      <c r="BQ499" s="67">
        <f t="shared" si="519"/>
        <v>4</v>
      </c>
      <c r="BR499" s="5">
        <v>-2.5074211546432461</v>
      </c>
      <c r="BS499" s="75">
        <f t="shared" si="520"/>
        <v>-8.2610569888790231E-3</v>
      </c>
      <c r="BT499" s="75">
        <f t="shared" si="521"/>
        <v>-1</v>
      </c>
      <c r="BU499" s="5" t="e">
        <f>IF(#REF!&gt;=36, IF(AND(NOT(ISBLANK(CM:CM)), NOT(ISBLANK(BD:BD))), (CM:CM-BD:BD)/2, ""), "UF")</f>
        <v>#REF!</v>
      </c>
      <c r="BV499" s="5">
        <f t="shared" si="491"/>
        <v>-2.5074211546432461</v>
      </c>
      <c r="BW499" s="69">
        <f t="shared" si="492"/>
        <v>2</v>
      </c>
      <c r="BX499" s="2">
        <v>89.5</v>
      </c>
      <c r="BY499" s="5">
        <v>-1.5612562727745249</v>
      </c>
      <c r="BZ499" s="74">
        <f t="shared" si="531"/>
        <v>1.3453512797103451</v>
      </c>
      <c r="CA499" s="74">
        <f t="shared" si="523"/>
        <v>2</v>
      </c>
      <c r="CB499" s="5">
        <f t="shared" si="493"/>
        <v>-0.25896985473706802</v>
      </c>
      <c r="CC499" s="5">
        <f t="shared" si="494"/>
        <v>-1.5612562727745249</v>
      </c>
      <c r="CD499" s="2">
        <f t="shared" si="495"/>
        <v>-0.17600499139755788</v>
      </c>
      <c r="CE499" s="69">
        <f t="shared" si="496"/>
        <v>7</v>
      </c>
      <c r="CF499" s="5">
        <v>10900</v>
      </c>
      <c r="CG499" s="5">
        <v>-2.7193267317286671</v>
      </c>
      <c r="CH499" s="72">
        <f t="shared" si="524"/>
        <v>0.18728082075620289</v>
      </c>
      <c r="CI499" s="72">
        <f t="shared" si="525"/>
        <v>1</v>
      </c>
      <c r="CJ499" s="5">
        <f t="shared" si="497"/>
        <v>-0.31578100527420738</v>
      </c>
      <c r="CK499" s="5">
        <f t="shared" si="498"/>
        <v>-2.7193267317286671</v>
      </c>
      <c r="CL499" s="69">
        <f t="shared" si="499"/>
        <v>4</v>
      </c>
      <c r="CM499" s="5">
        <v>-3.3642936339322169</v>
      </c>
      <c r="CN499" s="70">
        <f t="shared" si="500"/>
        <v>-0.85687247928897081</v>
      </c>
      <c r="CO499" s="5">
        <f t="shared" si="501"/>
        <v>-0.85687247928897081</v>
      </c>
      <c r="CP499" s="5">
        <f>IF(G499&lt;48,"UF", IF(NOT(ISBLANK(CM:CM)), CM:CM, IF(BW:BW=1, BV:BV+Sheet2!B90, IF(Sheet1!BW:BW=2, Sheet1!BV:BV+Sheet2!B91, IF(Sheet1!BW:BW=7, Sheet1!BV:BV+Sheet2!B92,"")))))</f>
        <v>-3.3642936339322169</v>
      </c>
      <c r="CQ499" s="69">
        <f t="shared" si="526"/>
        <v>1</v>
      </c>
      <c r="CR499" s="5">
        <v>94.5</v>
      </c>
      <c r="CS499" s="5">
        <v>-1.9031909908511031</v>
      </c>
      <c r="CT499" s="5">
        <f t="shared" si="502"/>
        <v>-0.34193471807657816</v>
      </c>
      <c r="CU499" s="80">
        <f t="shared" si="503"/>
        <v>-0.34193471807657816</v>
      </c>
      <c r="CV499" s="80">
        <f t="shared" si="504"/>
        <v>-1</v>
      </c>
      <c r="CW499" s="20">
        <f>IF(G499&lt;48,"UF", IF(NOT(ISBLANK(CS499)), CS499, IF(CE499=5, CC499+Sheet2!B79, IF(CE499=6, CC499+Sheet2!B80, IF(CE499=7, CC499+Sheet2!B81,"")))))</f>
        <v>-1.9031909908511031</v>
      </c>
      <c r="CX499" s="68">
        <f t="shared" si="527"/>
        <v>7</v>
      </c>
      <c r="CY499" s="5">
        <v>11400</v>
      </c>
      <c r="CZ499" s="5">
        <v>-3.5381695630332848</v>
      </c>
      <c r="DA499" s="5">
        <f t="shared" si="505"/>
        <v>-0.81884283130461766</v>
      </c>
      <c r="DB499" s="73">
        <f t="shared" si="506"/>
        <v>-0.81884283130461766</v>
      </c>
      <c r="DC499" s="73">
        <f t="shared" si="507"/>
        <v>-2</v>
      </c>
      <c r="DD499" s="5">
        <f>IF(G499&lt;48,"UF", IF(NOT(ISBLANK(CZ:CZ)), CZ:CZ, IF(CL:CL=3, CK:CK+Sheet2!B84, IF(CL:CL=4, CK:CK+Sheet2!B85, IF(CL:CL=7, CK:CK+Sheet2!B86,"")))))</f>
        <v>-3.5381695630332848</v>
      </c>
      <c r="DE499" s="69">
        <f t="shared" si="532"/>
        <v>3</v>
      </c>
      <c r="DF499" s="2">
        <v>1</v>
      </c>
      <c r="DG499" s="2">
        <v>33</v>
      </c>
      <c r="DH499" s="2">
        <v>2</v>
      </c>
      <c r="DI499" s="2">
        <v>2</v>
      </c>
      <c r="DJ499" s="2">
        <v>2</v>
      </c>
      <c r="DK499" s="2">
        <v>67</v>
      </c>
      <c r="DL499" s="2">
        <v>104</v>
      </c>
      <c r="DM499" s="2">
        <v>65</v>
      </c>
      <c r="DN499" s="2">
        <v>108</v>
      </c>
      <c r="DO499" s="2">
        <v>66</v>
      </c>
      <c r="DP499" s="2">
        <v>106</v>
      </c>
      <c r="DQ499" s="2">
        <v>2</v>
      </c>
      <c r="DR499" s="2">
        <v>39</v>
      </c>
      <c r="DS499" s="2">
        <v>2</v>
      </c>
      <c r="DT499" s="2">
        <v>85</v>
      </c>
      <c r="DU499" s="2">
        <v>63</v>
      </c>
      <c r="DV499" s="2">
        <v>2</v>
      </c>
      <c r="DW499" s="2">
        <v>2</v>
      </c>
      <c r="DX499" s="2">
        <v>3</v>
      </c>
      <c r="DY499" s="2">
        <v>2</v>
      </c>
      <c r="DZ499" s="2">
        <v>33</v>
      </c>
      <c r="EA499" s="2">
        <v>35.5</v>
      </c>
      <c r="EB499" s="2">
        <v>45</v>
      </c>
      <c r="EC499" s="2">
        <v>1</v>
      </c>
      <c r="ED499" s="2">
        <v>4</v>
      </c>
    </row>
    <row r="500" spans="1:134" x14ac:dyDescent="0.25">
      <c r="C500" s="11">
        <v>14000420</v>
      </c>
      <c r="D500" s="12" t="s">
        <v>381</v>
      </c>
      <c r="E500" s="2" t="s">
        <v>527</v>
      </c>
      <c r="F500" s="2">
        <v>2</v>
      </c>
      <c r="G500" s="2">
        <v>45</v>
      </c>
      <c r="H500" s="2">
        <v>-2.8112412116721099</v>
      </c>
      <c r="I500" s="2">
        <v>52</v>
      </c>
      <c r="J500" s="2">
        <v>1.117633928075521</v>
      </c>
      <c r="K500" s="5">
        <v>2800</v>
      </c>
      <c r="L500" s="2">
        <v>-1.1836609161134151</v>
      </c>
      <c r="M500" s="2">
        <v>0.90080000000000005</v>
      </c>
      <c r="N500" s="2">
        <f t="shared" si="467"/>
        <v>1.7731206058360549</v>
      </c>
      <c r="O500" s="2">
        <f t="shared" si="468"/>
        <v>0.90080000000000005</v>
      </c>
      <c r="P500" s="2">
        <v>61</v>
      </c>
      <c r="Q500" s="2">
        <v>-3.1</v>
      </c>
      <c r="R500" s="5">
        <f t="shared" si="469"/>
        <v>-1.9788169640377604</v>
      </c>
      <c r="S500" s="5">
        <f t="shared" si="470"/>
        <v>-3.1</v>
      </c>
      <c r="T500" s="2">
        <v>5800</v>
      </c>
      <c r="U500" s="2">
        <v>-1.2</v>
      </c>
      <c r="V500" s="2">
        <f t="shared" si="471"/>
        <v>1.1830458056707571E-2</v>
      </c>
      <c r="W500" s="2">
        <f t="shared" si="472"/>
        <v>-1.2</v>
      </c>
      <c r="X500" s="2">
        <v>0.73499999999999999</v>
      </c>
      <c r="Y500" s="76">
        <f t="shared" si="508"/>
        <v>3.5462412116721098</v>
      </c>
      <c r="Z500" s="76">
        <f t="shared" si="509"/>
        <v>2</v>
      </c>
      <c r="AA500" s="2">
        <f t="shared" si="473"/>
        <v>1.7957000000000001</v>
      </c>
      <c r="AB500" s="2">
        <f t="shared" si="474"/>
        <v>0.73499999999999999</v>
      </c>
      <c r="AC500" s="2">
        <v>69</v>
      </c>
      <c r="AD500" s="2">
        <v>-2.84</v>
      </c>
      <c r="AE500" s="79">
        <f t="shared" si="510"/>
        <v>-3.9576339280755208</v>
      </c>
      <c r="AF500" s="79">
        <f t="shared" si="511"/>
        <v>-2</v>
      </c>
      <c r="AG500" s="2">
        <f t="shared" si="530"/>
        <v>-0.34999999999999987</v>
      </c>
      <c r="AH500" s="2">
        <f t="shared" si="475"/>
        <v>-2.84</v>
      </c>
      <c r="AI500" s="5">
        <v>9500</v>
      </c>
      <c r="AJ500" s="2">
        <v>-1.1599999999999999</v>
      </c>
      <c r="AK500" s="76">
        <f t="shared" si="512"/>
        <v>2.3660916113415142E-2</v>
      </c>
      <c r="AL500" s="76">
        <f t="shared" si="513"/>
        <v>1</v>
      </c>
      <c r="AM500" s="2">
        <f t="shared" si="476"/>
        <v>-0.42499999999999993</v>
      </c>
      <c r="AN500" s="2">
        <f t="shared" si="477"/>
        <v>-1.1599999999999999</v>
      </c>
      <c r="AO500" s="2">
        <v>0.4914</v>
      </c>
      <c r="AP500" s="2">
        <f t="shared" si="478"/>
        <v>-1.3213275861162741</v>
      </c>
      <c r="AQ500" s="2">
        <f t="shared" si="479"/>
        <v>0.4914</v>
      </c>
      <c r="AR500" s="2">
        <v>72</v>
      </c>
      <c r="AS500" s="2">
        <v>-3.8</v>
      </c>
      <c r="AT500" s="2">
        <f t="shared" si="480"/>
        <v>0.58494211372213789</v>
      </c>
      <c r="AU500" s="2">
        <f t="shared" si="481"/>
        <v>-3.8</v>
      </c>
      <c r="AV500" s="2">
        <v>8700</v>
      </c>
      <c r="AW500" s="2">
        <v>-2.0499999999999998</v>
      </c>
      <c r="AX500" s="2">
        <f t="shared" si="482"/>
        <v>-0.82111794421476014</v>
      </c>
      <c r="AY500" s="2">
        <f t="shared" si="483"/>
        <v>-2.0499999999999998</v>
      </c>
      <c r="AZ500" s="2">
        <v>-1.9076551722325481</v>
      </c>
      <c r="BA500" s="78">
        <f t="shared" si="514"/>
        <v>-2.6426551722325482</v>
      </c>
      <c r="BB500" s="78">
        <f t="shared" si="515"/>
        <v>-2</v>
      </c>
      <c r="BC500" s="2">
        <f t="shared" si="484"/>
        <v>-0.51712974489405272</v>
      </c>
      <c r="BD500" s="2">
        <f t="shared" si="485"/>
        <v>-1.9076551722325481</v>
      </c>
      <c r="BE500" s="67">
        <f t="shared" si="516"/>
        <v>7</v>
      </c>
      <c r="BF500" s="2">
        <v>81</v>
      </c>
      <c r="BG500" s="2">
        <v>-1.6701157725557241</v>
      </c>
      <c r="BH500" s="2">
        <f t="shared" si="486"/>
        <v>0.40745025874882757</v>
      </c>
      <c r="BI500" s="2">
        <f t="shared" si="487"/>
        <v>-1.6701157725557241</v>
      </c>
      <c r="BJ500" s="67">
        <f t="shared" si="488"/>
        <v>7</v>
      </c>
      <c r="BK500" s="2">
        <v>9500</v>
      </c>
      <c r="BL500" s="2">
        <v>-2.8022358884295202</v>
      </c>
      <c r="BM500" s="77">
        <f t="shared" si="517"/>
        <v>-1.6422358884295203</v>
      </c>
      <c r="BN500" s="77">
        <f t="shared" si="518"/>
        <v>-2</v>
      </c>
      <c r="BO500" s="2">
        <f t="shared" si="489"/>
        <v>-0.19084670308500407</v>
      </c>
      <c r="BP500" s="2">
        <f t="shared" si="490"/>
        <v>-2.8022358884295202</v>
      </c>
      <c r="BQ500" s="67">
        <f t="shared" si="519"/>
        <v>4</v>
      </c>
      <c r="BR500" s="5">
        <v>-1.059989234682158</v>
      </c>
      <c r="BS500" s="75">
        <f t="shared" si="520"/>
        <v>0.8476659375503901</v>
      </c>
      <c r="BT500" s="75">
        <f t="shared" si="521"/>
        <v>2</v>
      </c>
      <c r="BU500" s="5" t="e">
        <f>IF(#REF!&gt;=36, IF(AND(NOT(ISBLANK(CM:CM)), NOT(ISBLANK(BD:BD))), (CM:CM-BD:BD)/2, ""), "UF")</f>
        <v>#REF!</v>
      </c>
      <c r="BV500" s="5">
        <f t="shared" si="491"/>
        <v>-1.059989234682158</v>
      </c>
      <c r="BW500" s="69">
        <f t="shared" si="492"/>
        <v>7</v>
      </c>
      <c r="BX500" s="2">
        <v>86</v>
      </c>
      <c r="BY500" s="5">
        <v>-2.5776492237535171</v>
      </c>
      <c r="BZ500" s="74">
        <f t="shared" si="531"/>
        <v>0.22458666467600308</v>
      </c>
      <c r="CA500" s="74">
        <f t="shared" si="523"/>
        <v>1</v>
      </c>
      <c r="CB500" s="5" t="str">
        <f t="shared" si="493"/>
        <v/>
      </c>
      <c r="CC500" s="5">
        <f t="shared" si="494"/>
        <v>-2.5776492237535171</v>
      </c>
      <c r="CD500" s="2">
        <f t="shared" si="495"/>
        <v>-0.90753345119779305</v>
      </c>
      <c r="CE500" s="69">
        <f t="shared" si="496"/>
        <v>6</v>
      </c>
      <c r="CF500" s="5">
        <v>11000</v>
      </c>
      <c r="CG500" s="5">
        <v>-2.622540109255012</v>
      </c>
      <c r="CH500" s="72">
        <f t="shared" si="524"/>
        <v>0.17969577917450819</v>
      </c>
      <c r="CI500" s="72">
        <f t="shared" si="525"/>
        <v>1</v>
      </c>
      <c r="CJ500" s="5" t="str">
        <f t="shared" si="497"/>
        <v/>
      </c>
      <c r="CK500" s="5">
        <f t="shared" si="498"/>
        <v>-2.622540109255012</v>
      </c>
      <c r="CL500" s="69">
        <f t="shared" si="499"/>
        <v>4</v>
      </c>
      <c r="CN500" s="70" t="str">
        <f t="shared" si="500"/>
        <v/>
      </c>
      <c r="CO500" s="5" t="str">
        <f t="shared" si="501"/>
        <v>UF</v>
      </c>
      <c r="CP500" s="5" t="str">
        <f>IF(G500&lt;48,"UF", IF(NOT(ISBLANK(CM:CM)), CM:CM, IF(BW:BW=1, BV:BV+Sheet2!B185, IF(Sheet1!BW:BW=2, Sheet1!BV:BV+Sheet2!B186, IF(Sheet1!BW:BW=7, Sheet1!BV:BV+Sheet2!B187,"")))))</f>
        <v>UF</v>
      </c>
      <c r="CQ500" s="69" t="str">
        <f t="shared" si="526"/>
        <v/>
      </c>
      <c r="CR500" s="5" t="s">
        <v>12</v>
      </c>
      <c r="CT500" s="5" t="str">
        <f t="shared" si="502"/>
        <v/>
      </c>
      <c r="CU500" s="80" t="str">
        <f t="shared" si="503"/>
        <v>UF</v>
      </c>
      <c r="CV500" s="80" t="str">
        <f t="shared" si="504"/>
        <v>UF</v>
      </c>
      <c r="CW500" s="20" t="str">
        <f>IF(G500&lt;48,"UF", IF(NOT(ISBLANK(CS500)), CS500, IF(CE500=5, CC500+Sheet2!B174, IF(CE500=6, CC500+Sheet2!B175, IF(CE500=7, CC500+Sheet2!B176,"")))))</f>
        <v>UF</v>
      </c>
      <c r="CX500" s="68" t="str">
        <f t="shared" si="527"/>
        <v/>
      </c>
      <c r="CY500" s="5" t="s">
        <v>12</v>
      </c>
      <c r="DA500" s="5" t="str">
        <f t="shared" si="505"/>
        <v>UF</v>
      </c>
      <c r="DB500" s="73" t="str">
        <f t="shared" si="506"/>
        <v>UF</v>
      </c>
      <c r="DC500" s="73" t="str">
        <f t="shared" si="507"/>
        <v>UF</v>
      </c>
      <c r="DD500" s="5" t="str">
        <f>IF(G500&lt;48,"UF", IF(NOT(ISBLANK(CZ:CZ)), CZ:CZ, IF(CL:CL=3, CK:CK+Sheet2!B179, IF(CL:CL=4, CK:CK+Sheet2!B180, IF(CL:CL=7, CK:CK+Sheet2!B181,"")))))</f>
        <v>UF</v>
      </c>
      <c r="DE500" s="69" t="str">
        <f t="shared" si="532"/>
        <v/>
      </c>
      <c r="DF500" s="2">
        <v>2</v>
      </c>
      <c r="DG500" s="2">
        <v>36</v>
      </c>
      <c r="DH500" s="2">
        <v>2</v>
      </c>
      <c r="DI500" s="2">
        <v>1</v>
      </c>
      <c r="DJ500" s="2">
        <v>2</v>
      </c>
      <c r="DK500" s="2">
        <v>60</v>
      </c>
      <c r="DL500" s="2">
        <v>115</v>
      </c>
      <c r="DM500" s="2">
        <v>60</v>
      </c>
      <c r="DN500" s="2">
        <v>100</v>
      </c>
      <c r="DO500" s="2">
        <v>50</v>
      </c>
      <c r="DP500" s="2">
        <v>110</v>
      </c>
      <c r="DQ500" s="2">
        <v>2</v>
      </c>
      <c r="DR500" s="2">
        <v>38</v>
      </c>
      <c r="DS500" s="2">
        <v>2</v>
      </c>
      <c r="DT500" s="2">
        <v>75</v>
      </c>
      <c r="DU500" s="2">
        <v>75</v>
      </c>
      <c r="DV500" s="2">
        <v>2</v>
      </c>
      <c r="DW500" s="2">
        <v>2</v>
      </c>
      <c r="DX500" s="2">
        <v>2</v>
      </c>
      <c r="DY500" s="2">
        <v>2</v>
      </c>
      <c r="DZ500" s="2">
        <v>34</v>
      </c>
      <c r="EA500" s="2">
        <v>36.5</v>
      </c>
      <c r="EB500" s="2">
        <v>43</v>
      </c>
      <c r="EC500" s="2">
        <v>1</v>
      </c>
      <c r="ED500" s="2">
        <v>1</v>
      </c>
    </row>
    <row r="501" spans="1:134" x14ac:dyDescent="0.25">
      <c r="A501" t="s">
        <v>68</v>
      </c>
      <c r="C501" s="11">
        <v>14000502</v>
      </c>
      <c r="D501" s="12" t="s">
        <v>69</v>
      </c>
      <c r="E501" s="2">
        <v>2</v>
      </c>
      <c r="F501" s="2">
        <v>2</v>
      </c>
      <c r="G501" s="2">
        <v>45</v>
      </c>
      <c r="H501" s="2">
        <v>-1.8507644421735201</v>
      </c>
      <c r="I501" s="2">
        <v>48</v>
      </c>
      <c r="J501" s="2">
        <v>-0.99529637274036198</v>
      </c>
      <c r="K501" s="5">
        <v>2600</v>
      </c>
      <c r="L501" s="2">
        <v>-1.654483181853698</v>
      </c>
      <c r="M501" s="2">
        <v>-1.6726000000000001</v>
      </c>
      <c r="N501" s="2">
        <f t="shared" si="467"/>
        <v>-0.1506677789132399</v>
      </c>
      <c r="O501" s="2">
        <f t="shared" si="468"/>
        <v>-1.6726000000000001</v>
      </c>
      <c r="P501" s="2">
        <v>68</v>
      </c>
      <c r="Q501" s="2">
        <v>0.17</v>
      </c>
      <c r="R501" s="5">
        <f t="shared" si="469"/>
        <v>0.34264818637018102</v>
      </c>
      <c r="S501" s="5">
        <f t="shared" si="470"/>
        <v>0.17</v>
      </c>
      <c r="T501" s="2">
        <v>7000</v>
      </c>
      <c r="U501" s="2">
        <v>-1.1399999999999999</v>
      </c>
      <c r="V501" s="2">
        <f t="shared" si="471"/>
        <v>-2.2758409073150965E-2</v>
      </c>
      <c r="W501" s="2">
        <f t="shared" si="472"/>
        <v>-1.1399999999999999</v>
      </c>
      <c r="X501" s="2">
        <v>-2.1520999999999999</v>
      </c>
      <c r="Y501" s="76">
        <f t="shared" si="508"/>
        <v>-0.30133555782647981</v>
      </c>
      <c r="Z501" s="76">
        <f t="shared" si="509"/>
        <v>-1</v>
      </c>
      <c r="AA501" s="2">
        <f t="shared" si="473"/>
        <v>-0.99349999999999994</v>
      </c>
      <c r="AB501" s="2">
        <f t="shared" si="474"/>
        <v>-2.1520999999999999</v>
      </c>
      <c r="AC501" s="2">
        <v>75</v>
      </c>
      <c r="AD501" s="2">
        <v>-0.31</v>
      </c>
      <c r="AE501" s="79">
        <f t="shared" si="510"/>
        <v>0.68529637274036204</v>
      </c>
      <c r="AF501" s="79">
        <f t="shared" si="511"/>
        <v>2</v>
      </c>
      <c r="AG501" s="2">
        <f t="shared" si="530"/>
        <v>-0.505</v>
      </c>
      <c r="AH501" s="2">
        <f t="shared" si="475"/>
        <v>-0.31</v>
      </c>
      <c r="AI501" s="2">
        <v>8000</v>
      </c>
      <c r="AJ501" s="2">
        <v>-1.7</v>
      </c>
      <c r="AK501" s="76">
        <f t="shared" si="512"/>
        <v>-4.5516818146301929E-2</v>
      </c>
      <c r="AL501" s="76">
        <f t="shared" si="513"/>
        <v>-1</v>
      </c>
      <c r="AM501" s="2">
        <f t="shared" si="476"/>
        <v>-0.30500000000000005</v>
      </c>
      <c r="AN501" s="2">
        <f t="shared" si="477"/>
        <v>-1.7</v>
      </c>
      <c r="AO501" s="2">
        <v>-1.8169999999999999</v>
      </c>
      <c r="AP501" s="2">
        <f t="shared" si="478"/>
        <v>-1.0676540073451966</v>
      </c>
      <c r="AQ501" s="2">
        <f t="shared" si="479"/>
        <v>-1.8169999999999999</v>
      </c>
      <c r="AR501" s="2">
        <v>80</v>
      </c>
      <c r="AS501" s="2">
        <v>-0.84</v>
      </c>
      <c r="AT501" s="2">
        <f t="shared" si="480"/>
        <v>-0.11025437276213998</v>
      </c>
      <c r="AU501" s="2">
        <f t="shared" si="481"/>
        <v>-0.84</v>
      </c>
      <c r="AV501" s="2">
        <v>9000</v>
      </c>
      <c r="AW501" s="2">
        <v>-1.75</v>
      </c>
      <c r="AX501" s="2">
        <f t="shared" si="482"/>
        <v>-0.7097310671296525</v>
      </c>
      <c r="AY501" s="2">
        <f t="shared" si="483"/>
        <v>-1.75</v>
      </c>
      <c r="AZ501" s="2">
        <v>-4.287408014690393</v>
      </c>
      <c r="BA501" s="78">
        <f t="shared" si="514"/>
        <v>-2.1353080146903931</v>
      </c>
      <c r="BB501" s="78">
        <f t="shared" si="515"/>
        <v>-2</v>
      </c>
      <c r="BC501" s="2">
        <f t="shared" si="484"/>
        <v>-0.50450659240009599</v>
      </c>
      <c r="BD501" s="2">
        <f t="shared" si="485"/>
        <v>-4.287408014690393</v>
      </c>
      <c r="BE501" s="67">
        <f t="shared" si="516"/>
        <v>1</v>
      </c>
      <c r="BF501" s="2">
        <v>85</v>
      </c>
      <c r="BG501" s="2">
        <v>-0.53050874552427996</v>
      </c>
      <c r="BH501" s="2">
        <f t="shared" si="486"/>
        <v>-9.501948401108776E-3</v>
      </c>
      <c r="BI501" s="2">
        <f t="shared" si="487"/>
        <v>-0.53050874552427996</v>
      </c>
      <c r="BJ501" s="67">
        <f t="shared" si="488"/>
        <v>7</v>
      </c>
      <c r="BK501" s="2">
        <v>9200</v>
      </c>
      <c r="BL501" s="2">
        <v>-3.119462134259305</v>
      </c>
      <c r="BM501" s="77">
        <f t="shared" si="517"/>
        <v>-1.419462134259305</v>
      </c>
      <c r="BN501" s="77">
        <f t="shared" si="518"/>
        <v>-2</v>
      </c>
      <c r="BO501" s="2">
        <f t="shared" si="489"/>
        <v>-0.29084670308500399</v>
      </c>
      <c r="BP501" s="2">
        <f t="shared" si="490"/>
        <v>-3.119462134259305</v>
      </c>
      <c r="BQ501" s="67">
        <f t="shared" si="519"/>
        <v>3</v>
      </c>
      <c r="BR501" s="5">
        <v>-3.3305197772002879</v>
      </c>
      <c r="BS501" s="75">
        <f t="shared" si="520"/>
        <v>0.9568882374901051</v>
      </c>
      <c r="BT501" s="75">
        <f t="shared" si="521"/>
        <v>2</v>
      </c>
      <c r="BU501" s="5" t="str">
        <f>IF(G506&gt;=36, IF(AND(NOT(ISBLANK(CM:CM)), NOT(ISBLANK(BD:BD))), (CM:CM-BD:BD)/2, ""), "UF")</f>
        <v>UF</v>
      </c>
      <c r="BV501" s="5">
        <f t="shared" si="491"/>
        <v>-3.3305197772002879</v>
      </c>
      <c r="BW501" s="69">
        <f t="shared" si="492"/>
        <v>1</v>
      </c>
      <c r="BX501" s="2">
        <v>92</v>
      </c>
      <c r="BY501" s="5">
        <v>-0.8685058452033263</v>
      </c>
      <c r="BZ501" s="74">
        <f t="shared" si="531"/>
        <v>2.2509562890559787</v>
      </c>
      <c r="CA501" s="74">
        <f t="shared" si="523"/>
        <v>2</v>
      </c>
      <c r="CB501" s="5" t="str">
        <f t="shared" si="493"/>
        <v/>
      </c>
      <c r="CC501" s="5">
        <f t="shared" si="494"/>
        <v>-0.8685058452033263</v>
      </c>
      <c r="CD501" s="2">
        <f t="shared" si="495"/>
        <v>-0.33799709967904634</v>
      </c>
      <c r="CE501" s="69">
        <f t="shared" si="496"/>
        <v>7</v>
      </c>
      <c r="CF501" s="5">
        <v>11000</v>
      </c>
      <c r="CG501" s="5">
        <v>-2.622540109255012</v>
      </c>
      <c r="CH501" s="72">
        <f t="shared" si="524"/>
        <v>0.49692202500429294</v>
      </c>
      <c r="CI501" s="72">
        <f t="shared" si="525"/>
        <v>1</v>
      </c>
      <c r="CJ501" s="5" t="str">
        <f t="shared" si="497"/>
        <v/>
      </c>
      <c r="CK501" s="5">
        <f t="shared" si="498"/>
        <v>-2.622540109255012</v>
      </c>
      <c r="CL501" s="69">
        <f t="shared" si="499"/>
        <v>4</v>
      </c>
      <c r="CN501" s="70" t="str">
        <f t="shared" si="500"/>
        <v/>
      </c>
      <c r="CO501" s="5" t="str">
        <f t="shared" si="501"/>
        <v>UF</v>
      </c>
      <c r="CP501" s="5" t="str">
        <f>IF(G501&lt;48,"UF", IF(NOT(ISBLANK(CM:CM)), CM:CM, IF(BW:BW=1, BV:BV+Sheet2!B89, IF(Sheet1!BW:BW=2, Sheet1!BV:BV+Sheet2!B90, IF(Sheet1!BW:BW=7, Sheet1!BV:BV+Sheet2!B91,"")))))</f>
        <v>UF</v>
      </c>
      <c r="CQ501" s="69" t="str">
        <f t="shared" si="526"/>
        <v/>
      </c>
      <c r="CR501" s="5" t="s">
        <v>12</v>
      </c>
      <c r="CT501" s="5" t="str">
        <f t="shared" si="502"/>
        <v/>
      </c>
      <c r="CU501" s="80" t="str">
        <f t="shared" si="503"/>
        <v>UF</v>
      </c>
      <c r="CV501" s="80" t="str">
        <f t="shared" si="504"/>
        <v>UF</v>
      </c>
      <c r="CW501" s="20" t="str">
        <f>IF(G501&lt;48,"UF", IF(NOT(ISBLANK(CS501)), CS501, IF(CE501=5, CC501+Sheet2!B78, IF(CE501=6, CC501+Sheet2!B79, IF(CE501=7, CC501+Sheet2!B80,"")))))</f>
        <v>UF</v>
      </c>
      <c r="CX501" s="68" t="str">
        <f t="shared" si="527"/>
        <v/>
      </c>
      <c r="CY501" s="5" t="s">
        <v>12</v>
      </c>
      <c r="DA501" s="5" t="str">
        <f t="shared" si="505"/>
        <v>UF</v>
      </c>
      <c r="DB501" s="73" t="str">
        <f t="shared" si="506"/>
        <v>UF</v>
      </c>
      <c r="DC501" s="73" t="str">
        <f t="shared" si="507"/>
        <v>UF</v>
      </c>
      <c r="DD501" s="5" t="str">
        <f>IF(G501&lt;48,"UF", IF(NOT(ISBLANK(CZ:CZ)), CZ:CZ, IF(CL:CL=3, CK:CK+Sheet2!B83, IF(CL:CL=4, CK:CK+Sheet2!B84, IF(CL:CL=7, CK:CK+Sheet2!B85,"")))))</f>
        <v>UF</v>
      </c>
      <c r="DE501" s="69" t="str">
        <f t="shared" si="532"/>
        <v/>
      </c>
      <c r="DF501" s="2">
        <v>1</v>
      </c>
      <c r="DG501" s="2">
        <v>37</v>
      </c>
      <c r="DH501" s="2">
        <v>2</v>
      </c>
      <c r="DI501" s="2">
        <v>2</v>
      </c>
      <c r="DJ501" s="2">
        <v>2</v>
      </c>
      <c r="DK501" s="2" t="s">
        <v>12</v>
      </c>
      <c r="DL501" s="2" t="s">
        <v>12</v>
      </c>
      <c r="DM501" s="2">
        <v>70</v>
      </c>
      <c r="DN501" s="2">
        <v>110</v>
      </c>
      <c r="DO501" s="2">
        <v>60</v>
      </c>
      <c r="DP501" s="2">
        <v>100</v>
      </c>
      <c r="DQ501" s="2">
        <v>2</v>
      </c>
      <c r="DR501" s="2">
        <v>38</v>
      </c>
      <c r="DS501" s="2">
        <v>2</v>
      </c>
      <c r="DT501" s="2">
        <v>90</v>
      </c>
      <c r="DU501" s="2">
        <v>76</v>
      </c>
      <c r="DV501" s="2">
        <v>2</v>
      </c>
      <c r="DW501" s="2">
        <v>2</v>
      </c>
      <c r="DX501" s="2">
        <v>4</v>
      </c>
      <c r="DY501" s="2">
        <v>2</v>
      </c>
      <c r="DZ501" s="2">
        <v>34</v>
      </c>
      <c r="EA501" s="2">
        <v>34</v>
      </c>
      <c r="EB501" s="2">
        <v>45</v>
      </c>
      <c r="EC501" s="2">
        <v>1</v>
      </c>
      <c r="ED501" s="2">
        <v>1</v>
      </c>
    </row>
    <row r="502" spans="1:134" x14ac:dyDescent="0.25">
      <c r="C502" s="11">
        <v>14001005</v>
      </c>
      <c r="D502" s="12" t="s">
        <v>139</v>
      </c>
      <c r="E502" s="2" t="s">
        <v>531</v>
      </c>
      <c r="F502" s="2">
        <v>1</v>
      </c>
      <c r="G502" s="2">
        <v>39</v>
      </c>
      <c r="H502" s="2">
        <v>-1.186862152185945</v>
      </c>
      <c r="I502" s="2">
        <v>47</v>
      </c>
      <c r="J502" s="2">
        <v>-1.153005671500261</v>
      </c>
      <c r="K502" s="5">
        <v>2640</v>
      </c>
      <c r="L502" s="2">
        <v>-1.3744973409421579</v>
      </c>
      <c r="M502" s="2">
        <v>0.72299999999999998</v>
      </c>
      <c r="N502" s="2">
        <f t="shared" si="467"/>
        <v>-0.94776892390702738</v>
      </c>
      <c r="O502" s="2">
        <f t="shared" si="468"/>
        <v>0.72299999999999998</v>
      </c>
      <c r="P502" s="2">
        <v>60</v>
      </c>
      <c r="Q502" s="2">
        <v>-2.54</v>
      </c>
      <c r="R502" s="5">
        <f t="shared" si="469"/>
        <v>-0.97849716424986943</v>
      </c>
      <c r="S502" s="5">
        <f t="shared" si="470"/>
        <v>-2.54</v>
      </c>
      <c r="T502" s="2">
        <v>6500</v>
      </c>
      <c r="U502" s="2">
        <v>-0.96</v>
      </c>
      <c r="V502" s="2">
        <f t="shared" si="471"/>
        <v>-1.3177513295289209</v>
      </c>
      <c r="W502" s="2">
        <f t="shared" si="472"/>
        <v>-0.96</v>
      </c>
      <c r="X502" s="2">
        <v>-3.0823999999999998</v>
      </c>
      <c r="Y502" s="76">
        <f t="shared" si="508"/>
        <v>-1.8955378478140548</v>
      </c>
      <c r="Z502" s="76">
        <f t="shared" si="509"/>
        <v>-2</v>
      </c>
      <c r="AA502" s="2">
        <f t="shared" si="473"/>
        <v>-0.37050000000000005</v>
      </c>
      <c r="AB502" s="2">
        <f t="shared" si="474"/>
        <v>-3.0823999999999998</v>
      </c>
      <c r="AC502" s="2">
        <v>66</v>
      </c>
      <c r="AD502" s="2">
        <v>-3.11</v>
      </c>
      <c r="AE502" s="79">
        <f t="shared" si="510"/>
        <v>-1.9569943284997389</v>
      </c>
      <c r="AF502" s="79">
        <f t="shared" si="511"/>
        <v>-2</v>
      </c>
      <c r="AG502" s="2">
        <f t="shared" si="530"/>
        <v>-0.57499999999999996</v>
      </c>
      <c r="AH502" s="2">
        <f t="shared" si="475"/>
        <v>-3.11</v>
      </c>
      <c r="AI502" s="2">
        <v>5500</v>
      </c>
      <c r="AJ502" s="2">
        <v>-4.01</v>
      </c>
      <c r="AK502" s="76">
        <f t="shared" si="512"/>
        <v>-2.6355026590578419</v>
      </c>
      <c r="AL502" s="76">
        <f t="shared" si="513"/>
        <v>-2</v>
      </c>
      <c r="AM502" s="2">
        <f t="shared" si="476"/>
        <v>-1.7650000000000001</v>
      </c>
      <c r="AN502" s="2">
        <f t="shared" si="477"/>
        <v>-4.01</v>
      </c>
      <c r="AO502" s="2">
        <v>-3.2810000000000001</v>
      </c>
      <c r="AP502" s="2">
        <f t="shared" si="478"/>
        <v>0.46149766070234288</v>
      </c>
      <c r="AQ502" s="2">
        <f t="shared" si="479"/>
        <v>-3.2810000000000001</v>
      </c>
      <c r="AR502" s="2">
        <v>70</v>
      </c>
      <c r="AS502" s="2">
        <v>-3.69</v>
      </c>
      <c r="AT502" s="2">
        <f t="shared" si="480"/>
        <v>0.21235233439773538</v>
      </c>
      <c r="AU502" s="2">
        <f t="shared" si="481"/>
        <v>-3.69</v>
      </c>
      <c r="AV502" s="2">
        <v>5900</v>
      </c>
      <c r="AW502" s="2">
        <v>-4.49</v>
      </c>
      <c r="AX502" s="2">
        <f t="shared" si="482"/>
        <v>-0.26566317700335462</v>
      </c>
      <c r="AY502" s="2">
        <f t="shared" si="483"/>
        <v>-4.49</v>
      </c>
      <c r="AZ502" s="2">
        <v>-2.159404678595314</v>
      </c>
      <c r="BA502" s="78">
        <f t="shared" si="514"/>
        <v>0.92299532140468576</v>
      </c>
      <c r="BB502" s="78">
        <f t="shared" si="515"/>
        <v>2</v>
      </c>
      <c r="BC502" s="2">
        <f t="shared" si="484"/>
        <v>0.85061075114236839</v>
      </c>
      <c r="BD502" s="2">
        <f t="shared" si="485"/>
        <v>-2.159404678595314</v>
      </c>
      <c r="BE502" s="67">
        <f t="shared" si="516"/>
        <v>2</v>
      </c>
      <c r="BF502" s="2">
        <v>76</v>
      </c>
      <c r="BG502" s="2">
        <v>-2.6852953312045291</v>
      </c>
      <c r="BH502" s="2">
        <f t="shared" si="486"/>
        <v>0.16895533974923968</v>
      </c>
      <c r="BI502" s="2">
        <f t="shared" si="487"/>
        <v>-2.6852953312045291</v>
      </c>
      <c r="BJ502" s="67">
        <f t="shared" si="488"/>
        <v>6</v>
      </c>
      <c r="BK502" s="2">
        <v>8000</v>
      </c>
      <c r="BL502" s="2">
        <v>-4.541326354006709</v>
      </c>
      <c r="BM502" s="77">
        <f t="shared" si="517"/>
        <v>-0.53132635400670924</v>
      </c>
      <c r="BN502" s="77">
        <f t="shared" si="518"/>
        <v>-1</v>
      </c>
      <c r="BO502" s="2">
        <f t="shared" si="489"/>
        <v>0.39253446947982146</v>
      </c>
      <c r="BP502" s="2">
        <f t="shared" si="490"/>
        <v>-4.541326354006709</v>
      </c>
      <c r="BQ502" s="67">
        <f t="shared" si="519"/>
        <v>3</v>
      </c>
      <c r="BR502" s="5">
        <v>-0.72916774657289518</v>
      </c>
      <c r="BS502" s="75">
        <f t="shared" si="520"/>
        <v>1.4302369320224189</v>
      </c>
      <c r="BT502" s="75">
        <f t="shared" si="521"/>
        <v>2</v>
      </c>
      <c r="BU502" s="5" t="str">
        <f>IF(G507&gt;=36, IF(AND(NOT(ISBLANK(CM:CM)), NOT(ISBLANK(BD:BD))), (CM:CM-BD:BD)/2, ""), "UF")</f>
        <v>UF</v>
      </c>
      <c r="BV502" s="5">
        <f t="shared" si="491"/>
        <v>-0.72916774657289518</v>
      </c>
      <c r="BW502" s="69">
        <f t="shared" si="492"/>
        <v>7</v>
      </c>
      <c r="BX502" s="2">
        <v>82</v>
      </c>
      <c r="BY502" s="5">
        <v>-3.1831339807522809</v>
      </c>
      <c r="BZ502" s="74">
        <f t="shared" si="531"/>
        <v>1.3581923732544281</v>
      </c>
      <c r="CA502" s="74">
        <f t="shared" si="523"/>
        <v>2</v>
      </c>
      <c r="CB502" s="5" t="str">
        <f t="shared" si="493"/>
        <v/>
      </c>
      <c r="CC502" s="5">
        <f t="shared" si="494"/>
        <v>-3.1831339807522809</v>
      </c>
      <c r="CD502" s="2">
        <f t="shared" si="495"/>
        <v>-0.49783864954775181</v>
      </c>
      <c r="CE502" s="69">
        <f t="shared" si="496"/>
        <v>5</v>
      </c>
      <c r="CF502" s="5">
        <v>10000</v>
      </c>
      <c r="CG502" s="5">
        <v>-3.3123965915605358</v>
      </c>
      <c r="CH502" s="72">
        <f t="shared" si="524"/>
        <v>1.2289297624461732</v>
      </c>
      <c r="CI502" s="72">
        <f t="shared" si="525"/>
        <v>2</v>
      </c>
      <c r="CJ502" s="5" t="str">
        <f t="shared" si="497"/>
        <v/>
      </c>
      <c r="CK502" s="5">
        <f t="shared" si="498"/>
        <v>-3.3123965915605358</v>
      </c>
      <c r="CL502" s="69">
        <f t="shared" si="499"/>
        <v>3</v>
      </c>
      <c r="CN502" s="70" t="str">
        <f t="shared" si="500"/>
        <v/>
      </c>
      <c r="CO502" s="5" t="str">
        <f t="shared" si="501"/>
        <v>UF</v>
      </c>
      <c r="CP502" s="5" t="str">
        <f>IF(G502&lt;48,"UF", IF(NOT(ISBLANK(CM:CM)), CM:CM, IF(BW:BW=1, BV:BV+Sheet2!B206, IF(Sheet1!BW:BW=2, Sheet1!BV:BV+Sheet2!B207, IF(Sheet1!BW:BW=7, Sheet1!BV:BV+Sheet2!B208,"")))))</f>
        <v>UF</v>
      </c>
      <c r="CQ502" s="69" t="str">
        <f t="shared" si="526"/>
        <v/>
      </c>
      <c r="CR502" s="5" t="s">
        <v>12</v>
      </c>
      <c r="CT502" s="5" t="str">
        <f t="shared" si="502"/>
        <v/>
      </c>
      <c r="CU502" s="80" t="str">
        <f t="shared" si="503"/>
        <v>UF</v>
      </c>
      <c r="CV502" s="80" t="str">
        <f t="shared" si="504"/>
        <v>UF</v>
      </c>
      <c r="CW502" s="20" t="str">
        <f>IF(G502&lt;48,"UF", IF(NOT(ISBLANK(CS502)), CS502, IF(CE502=5, CC502+Sheet2!B195, IF(CE502=6, CC502+Sheet2!B196, IF(CE502=7, CC502+Sheet2!B197,"")))))</f>
        <v>UF</v>
      </c>
      <c r="CX502" s="68" t="str">
        <f t="shared" si="527"/>
        <v/>
      </c>
      <c r="CY502" s="5" t="s">
        <v>12</v>
      </c>
      <c r="DA502" s="5" t="str">
        <f t="shared" si="505"/>
        <v>UF</v>
      </c>
      <c r="DB502" s="73" t="str">
        <f t="shared" si="506"/>
        <v>UF</v>
      </c>
      <c r="DC502" s="73" t="str">
        <f t="shared" si="507"/>
        <v>UF</v>
      </c>
      <c r="DD502" s="5" t="str">
        <f>IF(G502&lt;48,"UF", IF(NOT(ISBLANK(CZ:CZ)), CZ:CZ, IF(CL:CL=3, CK:CK+Sheet2!B200, IF(CL:CL=4, CK:CK+Sheet2!B201, IF(CL:CL=7, CK:CK+Sheet2!B202,"")))))</f>
        <v>UF</v>
      </c>
      <c r="DE502" s="69" t="str">
        <f t="shared" si="532"/>
        <v/>
      </c>
      <c r="DF502" s="2">
        <v>1</v>
      </c>
      <c r="DG502" s="2">
        <v>34</v>
      </c>
      <c r="DH502" s="2">
        <v>1</v>
      </c>
      <c r="DI502" s="2">
        <v>2</v>
      </c>
      <c r="DJ502" s="2">
        <v>2</v>
      </c>
      <c r="DK502" s="2" t="s">
        <v>12</v>
      </c>
      <c r="DL502" s="2" t="s">
        <v>12</v>
      </c>
      <c r="DM502" s="2">
        <v>60</v>
      </c>
      <c r="DN502" s="2">
        <v>90</v>
      </c>
      <c r="DO502" s="2">
        <v>60</v>
      </c>
      <c r="DP502" s="2">
        <v>100</v>
      </c>
      <c r="DQ502" s="2">
        <v>1</v>
      </c>
      <c r="DR502" s="2">
        <v>38</v>
      </c>
      <c r="DS502" s="2">
        <v>1</v>
      </c>
      <c r="DT502" s="2">
        <v>99</v>
      </c>
      <c r="DU502" s="2">
        <v>76</v>
      </c>
      <c r="DV502" s="2">
        <v>2</v>
      </c>
      <c r="DW502" s="2">
        <v>2</v>
      </c>
      <c r="DX502" s="2">
        <v>4</v>
      </c>
      <c r="DY502" s="2">
        <v>2</v>
      </c>
      <c r="DZ502" s="2">
        <v>33.5</v>
      </c>
      <c r="EA502" s="2">
        <v>34.5</v>
      </c>
      <c r="EB502" s="2">
        <v>43.5</v>
      </c>
      <c r="EC502" s="2">
        <v>1</v>
      </c>
      <c r="ED502" s="2">
        <v>4</v>
      </c>
    </row>
    <row r="503" spans="1:134" x14ac:dyDescent="0.25">
      <c r="A503" t="s">
        <v>77</v>
      </c>
      <c r="C503" s="8" t="s">
        <v>78</v>
      </c>
      <c r="D503" s="12" t="s">
        <v>79</v>
      </c>
      <c r="E503" s="2" t="s">
        <v>528</v>
      </c>
      <c r="F503" s="2">
        <v>1</v>
      </c>
      <c r="G503" s="2">
        <v>37</v>
      </c>
      <c r="H503" s="2">
        <v>-1.4531923774712969</v>
      </c>
      <c r="I503" s="2">
        <v>49</v>
      </c>
      <c r="J503" s="2">
        <v>-7.9294265603816944E-2</v>
      </c>
      <c r="K503" s="5">
        <v>2800</v>
      </c>
      <c r="L503" s="2">
        <v>-0.98574519678023331</v>
      </c>
      <c r="M503" s="2">
        <v>-2.3029999999999999</v>
      </c>
      <c r="N503" s="2">
        <f t="shared" si="467"/>
        <v>-0.89890381126435148</v>
      </c>
      <c r="O503" s="2">
        <f t="shared" si="468"/>
        <v>-2.3029999999999999</v>
      </c>
      <c r="P503" s="2">
        <v>66</v>
      </c>
      <c r="Q503" s="2">
        <v>0.11</v>
      </c>
      <c r="R503" s="5">
        <f t="shared" si="469"/>
        <v>0.23464713280190846</v>
      </c>
      <c r="S503" s="5">
        <f t="shared" si="470"/>
        <v>0.11</v>
      </c>
      <c r="T503" s="2">
        <v>6000</v>
      </c>
      <c r="U503" s="2">
        <v>-1.62</v>
      </c>
      <c r="V503" s="2">
        <f t="shared" si="471"/>
        <v>-0.53212740160988325</v>
      </c>
      <c r="W503" s="2">
        <f t="shared" si="472"/>
        <v>-1.62</v>
      </c>
      <c r="X503" s="2">
        <v>-3.2509999999999999</v>
      </c>
      <c r="Y503" s="76">
        <f t="shared" si="508"/>
        <v>-1.797807622528703</v>
      </c>
      <c r="Z503" s="76">
        <f t="shared" si="509"/>
        <v>-2</v>
      </c>
      <c r="AA503" s="2">
        <f t="shared" si="473"/>
        <v>-1.2984</v>
      </c>
      <c r="AB503" s="2">
        <f t="shared" si="474"/>
        <v>-3.2509999999999999</v>
      </c>
      <c r="AC503" s="2">
        <v>75</v>
      </c>
      <c r="AD503" s="2">
        <v>0.39</v>
      </c>
      <c r="AE503" s="79">
        <f t="shared" si="510"/>
        <v>0.46929426560381693</v>
      </c>
      <c r="AF503" s="79">
        <f t="shared" si="511"/>
        <v>1</v>
      </c>
      <c r="AG503" s="2">
        <f t="shared" si="530"/>
        <v>-0.52</v>
      </c>
      <c r="AH503" s="2">
        <f t="shared" si="475"/>
        <v>0.39</v>
      </c>
      <c r="AI503" s="2">
        <v>7000</v>
      </c>
      <c r="AJ503" s="2">
        <v>-2.0499999999999998</v>
      </c>
      <c r="AK503" s="76">
        <f t="shared" si="512"/>
        <v>-1.0642548032197665</v>
      </c>
      <c r="AL503" s="76">
        <f t="shared" si="513"/>
        <v>-2</v>
      </c>
      <c r="AM503" s="2">
        <f t="shared" si="476"/>
        <v>-0.33499999999999996</v>
      </c>
      <c r="AN503" s="2">
        <f t="shared" si="477"/>
        <v>-2.0499999999999998</v>
      </c>
      <c r="AO503" s="2">
        <v>-2.4868000000000001</v>
      </c>
      <c r="AP503" s="2" t="str">
        <f t="shared" si="478"/>
        <v/>
      </c>
      <c r="AQ503" s="2">
        <f t="shared" si="479"/>
        <v>-2.4868000000000001</v>
      </c>
      <c r="AR503" s="2">
        <v>78</v>
      </c>
      <c r="AS503" s="2">
        <v>-0.93</v>
      </c>
      <c r="AT503" s="2" t="str">
        <f t="shared" si="480"/>
        <v/>
      </c>
      <c r="AU503" s="2">
        <f t="shared" si="481"/>
        <v>-0.93</v>
      </c>
      <c r="AV503" s="2">
        <v>7800</v>
      </c>
      <c r="AW503" s="2">
        <v>-2.29</v>
      </c>
      <c r="AX503" s="2" t="str">
        <f t="shared" si="482"/>
        <v/>
      </c>
      <c r="AY503" s="2">
        <f t="shared" si="483"/>
        <v>-2.29</v>
      </c>
      <c r="BA503" s="78">
        <f t="shared" si="514"/>
        <v>0.61896196646482826</v>
      </c>
      <c r="BB503" s="78">
        <f t="shared" si="515"/>
        <v>1</v>
      </c>
      <c r="BC503" s="2">
        <f t="shared" si="484"/>
        <v>-0.14523803353517137</v>
      </c>
      <c r="BD503" s="2">
        <f t="shared" si="485"/>
        <v>-2.6320380335351716</v>
      </c>
      <c r="BE503" s="67">
        <f t="shared" si="516"/>
        <v>2</v>
      </c>
      <c r="BF503" s="2" t="s">
        <v>12</v>
      </c>
      <c r="BH503" s="2">
        <f t="shared" si="486"/>
        <v>0.29202501789939556</v>
      </c>
      <c r="BI503" s="2">
        <f t="shared" si="487"/>
        <v>-0.63797498210060444</v>
      </c>
      <c r="BJ503" s="67">
        <f t="shared" si="488"/>
        <v>7</v>
      </c>
      <c r="BK503" s="2" t="s">
        <v>12</v>
      </c>
      <c r="BM503" s="77">
        <f t="shared" si="517"/>
        <v>-7.0250359159131026E-2</v>
      </c>
      <c r="BN503" s="77">
        <f t="shared" si="518"/>
        <v>-1</v>
      </c>
      <c r="BO503" s="2">
        <f t="shared" si="489"/>
        <v>0.16974964084086933</v>
      </c>
      <c r="BP503" s="2">
        <f t="shared" si="490"/>
        <v>-2.1202503591591308</v>
      </c>
      <c r="BQ503" s="67">
        <f t="shared" si="519"/>
        <v>4</v>
      </c>
      <c r="BR503" s="5">
        <v>-2.9225141006055142</v>
      </c>
      <c r="BS503" s="75">
        <f t="shared" si="520"/>
        <v>-0.29047606707034257</v>
      </c>
      <c r="BT503" s="75">
        <f t="shared" si="521"/>
        <v>-1</v>
      </c>
      <c r="BU503" s="5" t="str">
        <f>IF(G509&gt;=36, IF(AND(NOT(ISBLANK(CM:CM)), NOT(ISBLANK(BD:BD))), (CM:CM-BD:BD)/2, ""), "UF")</f>
        <v>UF</v>
      </c>
      <c r="BV503" s="5">
        <f t="shared" si="491"/>
        <v>-2.9225141006055142</v>
      </c>
      <c r="BW503" s="69">
        <f t="shared" si="492"/>
        <v>2</v>
      </c>
      <c r="BX503" s="2">
        <v>94</v>
      </c>
      <c r="BY503" s="5">
        <v>-5.3924946301813291E-2</v>
      </c>
      <c r="BZ503" s="74">
        <f t="shared" si="531"/>
        <v>2.0663254128573176</v>
      </c>
      <c r="CA503" s="74">
        <f t="shared" si="523"/>
        <v>2</v>
      </c>
      <c r="CB503" s="5" t="str">
        <f t="shared" si="493"/>
        <v/>
      </c>
      <c r="CC503" s="5">
        <f t="shared" si="494"/>
        <v>-5.3924946301813291E-2</v>
      </c>
      <c r="CD503" s="2">
        <f t="shared" si="495"/>
        <v>0.58405003579879111</v>
      </c>
      <c r="CE503" s="69">
        <f t="shared" si="496"/>
        <v>7</v>
      </c>
      <c r="CF503" s="5">
        <v>11500</v>
      </c>
      <c r="CG503" s="5">
        <v>-1.780751077477392</v>
      </c>
      <c r="CH503" s="72">
        <f t="shared" si="524"/>
        <v>0.33949928168173882</v>
      </c>
      <c r="CI503" s="72">
        <f t="shared" si="525"/>
        <v>1</v>
      </c>
      <c r="CJ503" s="5" t="str">
        <f t="shared" si="497"/>
        <v/>
      </c>
      <c r="CK503" s="5">
        <f t="shared" si="498"/>
        <v>-1.780751077477392</v>
      </c>
      <c r="CL503" s="69">
        <f t="shared" si="499"/>
        <v>7</v>
      </c>
      <c r="CN503" s="70" t="str">
        <f t="shared" si="500"/>
        <v/>
      </c>
      <c r="CO503" s="5" t="str">
        <f t="shared" si="501"/>
        <v>UF</v>
      </c>
      <c r="CP503" s="5" t="str">
        <f>IF(G503&lt;48,"UF", IF(NOT(ISBLANK(CM:CM)), CM:CM, IF(BW:BW=1, BV:BV+Sheet2!B93, IF(Sheet1!BW:BW=2, Sheet1!BV:BV+Sheet2!B94, IF(Sheet1!BW:BW=7, Sheet1!BV:BV+Sheet2!B95,"")))))</f>
        <v>UF</v>
      </c>
      <c r="CQ503" s="69" t="str">
        <f t="shared" si="526"/>
        <v/>
      </c>
      <c r="CR503" s="5" t="s">
        <v>12</v>
      </c>
      <c r="CT503" s="5" t="str">
        <f t="shared" si="502"/>
        <v/>
      </c>
      <c r="CU503" s="80" t="str">
        <f t="shared" si="503"/>
        <v>UF</v>
      </c>
      <c r="CV503" s="80" t="str">
        <f t="shared" si="504"/>
        <v>UF</v>
      </c>
      <c r="CW503" s="20" t="str">
        <f>IF(G503&lt;48,"UF", IF(NOT(ISBLANK(CS503)), CS503, IF(CE503=5, CC503+Sheet2!B82, IF(CE503=6, CC503+Sheet2!B83, IF(CE503=7, CC503+Sheet2!B84,"")))))</f>
        <v>UF</v>
      </c>
      <c r="CX503" s="68" t="str">
        <f t="shared" si="527"/>
        <v/>
      </c>
      <c r="CY503" s="5" t="s">
        <v>12</v>
      </c>
      <c r="DA503" s="5" t="str">
        <f t="shared" si="505"/>
        <v>UF</v>
      </c>
      <c r="DB503" s="73" t="str">
        <f t="shared" si="506"/>
        <v>UF</v>
      </c>
      <c r="DC503" s="73" t="str">
        <f t="shared" si="507"/>
        <v>UF</v>
      </c>
      <c r="DD503" s="5" t="str">
        <f>IF(G503&lt;48,"UF", IF(NOT(ISBLANK(CZ:CZ)), CZ:CZ, IF(CL:CL=3, CK:CK+Sheet2!B87, IF(CL:CL=4, CK:CK+Sheet2!B88, IF(CL:CL=7, CK:CK+Sheet2!B89,"")))))</f>
        <v>UF</v>
      </c>
      <c r="DE503" s="69" t="str">
        <f t="shared" si="532"/>
        <v/>
      </c>
      <c r="DF503" s="2">
        <v>3</v>
      </c>
      <c r="DG503" s="2">
        <v>36</v>
      </c>
      <c r="DH503" s="2">
        <v>2</v>
      </c>
      <c r="DI503" s="2">
        <v>2</v>
      </c>
      <c r="DJ503" s="2">
        <v>2</v>
      </c>
      <c r="DK503" s="2">
        <v>60</v>
      </c>
      <c r="DL503" s="2">
        <v>10</v>
      </c>
      <c r="DM503" s="2" t="s">
        <v>12</v>
      </c>
      <c r="DN503" s="2" t="s">
        <v>12</v>
      </c>
      <c r="DO503" s="2" t="s">
        <v>12</v>
      </c>
      <c r="DP503" s="2" t="s">
        <v>12</v>
      </c>
      <c r="DQ503" s="2">
        <v>2</v>
      </c>
      <c r="DR503" s="2">
        <v>39</v>
      </c>
      <c r="DS503" s="2">
        <v>1</v>
      </c>
      <c r="DT503" s="2">
        <v>95</v>
      </c>
      <c r="DU503" s="2">
        <v>75</v>
      </c>
      <c r="DV503" s="2">
        <v>4</v>
      </c>
      <c r="DW503" s="2">
        <v>2</v>
      </c>
      <c r="DX503" s="2">
        <v>4</v>
      </c>
      <c r="DY503" s="2">
        <v>1</v>
      </c>
      <c r="DZ503" s="2">
        <v>32</v>
      </c>
      <c r="EA503" s="2">
        <v>34</v>
      </c>
      <c r="EB503" s="2">
        <v>42.5</v>
      </c>
      <c r="EC503" s="2">
        <v>1</v>
      </c>
      <c r="ED503" s="2">
        <v>4</v>
      </c>
    </row>
    <row r="504" spans="1:134" x14ac:dyDescent="0.25">
      <c r="A504" t="s">
        <v>72</v>
      </c>
      <c r="C504" s="11" t="s">
        <v>73</v>
      </c>
      <c r="D504" s="12" t="s">
        <v>74</v>
      </c>
      <c r="E504" s="2" t="s">
        <v>542</v>
      </c>
      <c r="F504" s="2">
        <v>1</v>
      </c>
      <c r="G504" s="2">
        <v>36</v>
      </c>
      <c r="H504" s="2">
        <v>-0.45479180846480971</v>
      </c>
      <c r="I504" s="2">
        <v>49</v>
      </c>
      <c r="J504" s="2">
        <v>-7.9294265603816944E-2</v>
      </c>
      <c r="K504" s="5">
        <v>3070</v>
      </c>
      <c r="L504" s="2">
        <v>-0.35977615561212423</v>
      </c>
      <c r="M504" s="2">
        <v>-1.4306000000000001</v>
      </c>
      <c r="N504" s="2">
        <f t="shared" si="467"/>
        <v>-0.73100409576759517</v>
      </c>
      <c r="O504" s="2">
        <f t="shared" si="468"/>
        <v>-1.4306000000000001</v>
      </c>
      <c r="P504" s="2">
        <v>55</v>
      </c>
      <c r="Q504" s="2">
        <v>-4.74</v>
      </c>
      <c r="R504" s="5">
        <f t="shared" si="469"/>
        <v>-2.6803528671980916</v>
      </c>
      <c r="S504" s="5">
        <f t="shared" si="470"/>
        <v>-4.74</v>
      </c>
      <c r="T504" s="2">
        <v>4500</v>
      </c>
      <c r="U504" s="2">
        <v>-3.91</v>
      </c>
      <c r="V504" s="2">
        <f t="shared" si="471"/>
        <v>-2.150111922193938</v>
      </c>
      <c r="W504" s="2">
        <f t="shared" si="472"/>
        <v>-3.91</v>
      </c>
      <c r="X504" s="2">
        <v>-1.9168000000000001</v>
      </c>
      <c r="Y504" s="76">
        <f t="shared" si="508"/>
        <v>-1.4620081915351903</v>
      </c>
      <c r="Z504" s="76">
        <f t="shared" si="509"/>
        <v>-2</v>
      </c>
      <c r="AA504" s="2">
        <f t="shared" si="473"/>
        <v>1.4240000000000002</v>
      </c>
      <c r="AB504" s="2">
        <f t="shared" si="474"/>
        <v>-1.9168000000000001</v>
      </c>
      <c r="AC504" s="2">
        <v>60</v>
      </c>
      <c r="AD504" s="2">
        <v>-5.44</v>
      </c>
      <c r="AE504" s="79">
        <f t="shared" si="510"/>
        <v>-5.3607057343961833</v>
      </c>
      <c r="AF504" s="79">
        <f t="shared" si="511"/>
        <v>-2</v>
      </c>
      <c r="AG504" s="2">
        <f t="shared" si="530"/>
        <v>-1.0249999999999999</v>
      </c>
      <c r="AH504" s="2">
        <f t="shared" si="475"/>
        <v>-5.44</v>
      </c>
      <c r="AI504" s="2">
        <v>5000</v>
      </c>
      <c r="AJ504" s="2">
        <v>-4.66</v>
      </c>
      <c r="AK504" s="76">
        <f t="shared" si="512"/>
        <v>-4.300223844387876</v>
      </c>
      <c r="AL504" s="76">
        <f t="shared" si="513"/>
        <v>-2</v>
      </c>
      <c r="AM504" s="2">
        <f t="shared" si="476"/>
        <v>-0.81</v>
      </c>
      <c r="AN504" s="2">
        <f t="shared" si="477"/>
        <v>-4.66</v>
      </c>
      <c r="AO504" s="2">
        <v>-1.8919999999999999</v>
      </c>
      <c r="AP504" s="2">
        <f t="shared" si="478"/>
        <v>3.0744580402848696</v>
      </c>
      <c r="AQ504" s="2">
        <f t="shared" si="479"/>
        <v>-1.8919999999999999</v>
      </c>
      <c r="AR504" s="2">
        <v>61</v>
      </c>
      <c r="AS504" s="2">
        <v>-6.79</v>
      </c>
      <c r="AT504" s="2">
        <f t="shared" si="480"/>
        <v>-0.25403350473142439</v>
      </c>
      <c r="AU504" s="2">
        <f t="shared" si="481"/>
        <v>-6.79</v>
      </c>
      <c r="AV504" s="2">
        <v>5000</v>
      </c>
      <c r="AW504" s="2">
        <v>-5.53</v>
      </c>
      <c r="AX504" s="2">
        <f t="shared" si="482"/>
        <v>1.5504129414641921</v>
      </c>
      <c r="AY504" s="2">
        <f t="shared" si="483"/>
        <v>-5.53</v>
      </c>
      <c r="AZ504" s="2">
        <v>4.2321160805697389</v>
      </c>
      <c r="BA504" s="78">
        <f t="shared" si="514"/>
        <v>6.1489160805697392</v>
      </c>
      <c r="BB504" s="78">
        <f t="shared" si="515"/>
        <v>2</v>
      </c>
      <c r="BC504" s="2">
        <f t="shared" si="484"/>
        <v>0.163829054538667</v>
      </c>
      <c r="BD504" s="2">
        <f t="shared" si="485"/>
        <v>4.2321160805697389</v>
      </c>
      <c r="BE504" s="67" t="str">
        <f t="shared" si="516"/>
        <v/>
      </c>
      <c r="BF504" s="2">
        <v>64.5</v>
      </c>
      <c r="BG504" s="2">
        <v>-5.9480670094628492</v>
      </c>
      <c r="BH504" s="2">
        <f t="shared" si="486"/>
        <v>1.0218074791073926</v>
      </c>
      <c r="BI504" s="2">
        <f t="shared" si="487"/>
        <v>-5.9480670094628492</v>
      </c>
      <c r="BJ504" s="67">
        <f t="shared" si="488"/>
        <v>5</v>
      </c>
      <c r="BK504" s="2">
        <v>5400</v>
      </c>
      <c r="BL504" s="2">
        <v>-1.559174117071616</v>
      </c>
      <c r="BM504" s="77">
        <f t="shared" si="517"/>
        <v>3.1008258829283841</v>
      </c>
      <c r="BN504" s="77">
        <f t="shared" si="518"/>
        <v>2</v>
      </c>
      <c r="BO504" s="2">
        <f t="shared" si="489"/>
        <v>0.35098015251075854</v>
      </c>
      <c r="BP504" s="2">
        <f t="shared" si="490"/>
        <v>-1.559174117071616</v>
      </c>
      <c r="BQ504" s="67">
        <f t="shared" si="519"/>
        <v>7</v>
      </c>
      <c r="BR504" s="5">
        <v>-1.4005128363839989</v>
      </c>
      <c r="BS504" s="75">
        <f t="shared" si="520"/>
        <v>-5.6326289169537382</v>
      </c>
      <c r="BT504" s="75">
        <f t="shared" si="521"/>
        <v>-2</v>
      </c>
      <c r="BU504" s="5" t="str">
        <f>IF(G511&gt;=36, IF(AND(NOT(ISBLANK(CM:CM)), NOT(ISBLANK(BD:BD))), (CM:CM-BD:BD)/2, ""), "UF")</f>
        <v>UF</v>
      </c>
      <c r="BV504" s="5">
        <f t="shared" si="491"/>
        <v>-1.4005128363839989</v>
      </c>
      <c r="BW504" s="69">
        <f t="shared" si="492"/>
        <v>7</v>
      </c>
      <c r="BX504" s="2">
        <v>80</v>
      </c>
      <c r="BY504" s="5">
        <v>-3.7245775626778221</v>
      </c>
      <c r="BZ504" s="74">
        <f t="shared" si="531"/>
        <v>-2.1654034456062061</v>
      </c>
      <c r="CA504" s="74">
        <f t="shared" si="523"/>
        <v>-2</v>
      </c>
      <c r="CB504" s="5" t="str">
        <f t="shared" si="493"/>
        <v/>
      </c>
      <c r="CC504" s="5">
        <f t="shared" si="494"/>
        <v>-3.7245775626778221</v>
      </c>
      <c r="CD504" s="2">
        <f t="shared" si="495"/>
        <v>2.223489446785027</v>
      </c>
      <c r="CE504" s="69">
        <f t="shared" si="496"/>
        <v>5</v>
      </c>
      <c r="CF504" s="5">
        <v>9100</v>
      </c>
      <c r="CG504" s="5">
        <v>-4.4770595424677246</v>
      </c>
      <c r="CH504" s="72">
        <f t="shared" si="524"/>
        <v>-2.9178854253961086</v>
      </c>
      <c r="CI504" s="72">
        <f t="shared" si="525"/>
        <v>-2</v>
      </c>
      <c r="CJ504" s="5" t="str">
        <f t="shared" si="497"/>
        <v/>
      </c>
      <c r="CK504" s="5">
        <f t="shared" si="498"/>
        <v>-4.4770595424677246</v>
      </c>
      <c r="CL504" s="69">
        <f t="shared" si="499"/>
        <v>3</v>
      </c>
      <c r="CN504" s="70" t="str">
        <f t="shared" si="500"/>
        <v/>
      </c>
      <c r="CO504" s="5" t="str">
        <f t="shared" si="501"/>
        <v>UF</v>
      </c>
      <c r="CP504" s="5" t="str">
        <f>IF(G504&lt;48,"UF", IF(NOT(ISBLANK(CM:CM)), CM:CM, IF(BW:BW=1, BV:BV+Sheet2!B86, IF(Sheet1!BW:BW=2, Sheet1!BV:BV+Sheet2!B87, IF(Sheet1!BW:BW=7, Sheet1!BV:BV+Sheet2!B88,"")))))</f>
        <v>UF</v>
      </c>
      <c r="CQ504" s="69" t="str">
        <f t="shared" si="526"/>
        <v/>
      </c>
      <c r="CR504" s="5" t="s">
        <v>12</v>
      </c>
      <c r="CT504" s="5" t="str">
        <f t="shared" si="502"/>
        <v/>
      </c>
      <c r="CU504" s="80" t="str">
        <f t="shared" si="503"/>
        <v>UF</v>
      </c>
      <c r="CV504" s="80" t="str">
        <f t="shared" si="504"/>
        <v>UF</v>
      </c>
      <c r="CW504" s="20" t="str">
        <f>IF(G504&lt;48,"UF", IF(NOT(ISBLANK(CS504)), CS504, IF(CE504=5, CC504+Sheet2!B75, IF(CE504=6, CC504+Sheet2!B76, IF(CE504=7, CC504+Sheet2!B77,"")))))</f>
        <v>UF</v>
      </c>
      <c r="CX504" s="68" t="str">
        <f t="shared" si="527"/>
        <v/>
      </c>
      <c r="CY504" s="5" t="s">
        <v>12</v>
      </c>
      <c r="DA504" s="5" t="str">
        <f t="shared" si="505"/>
        <v>UF</v>
      </c>
      <c r="DB504" s="73" t="str">
        <f t="shared" si="506"/>
        <v>UF</v>
      </c>
      <c r="DC504" s="73" t="str">
        <f t="shared" si="507"/>
        <v>UF</v>
      </c>
      <c r="DD504" s="5" t="str">
        <f>IF(G504&lt;48,"UF", IF(NOT(ISBLANK(CZ:CZ)), CZ:CZ, IF(CL:CL=3, CK:CK+Sheet2!B80, IF(CL:CL=4, CK:CK+Sheet2!B81, IF(CL:CL=7, CK:CK+Sheet2!B82,"")))))</f>
        <v>UF</v>
      </c>
      <c r="DE504" s="69" t="str">
        <f t="shared" si="532"/>
        <v/>
      </c>
      <c r="DF504" s="2">
        <v>1</v>
      </c>
      <c r="DG504" s="2">
        <v>31</v>
      </c>
      <c r="DH504" s="2">
        <v>1</v>
      </c>
      <c r="DI504" s="2">
        <v>2</v>
      </c>
      <c r="DJ504" s="2">
        <v>2</v>
      </c>
      <c r="DK504" s="2">
        <v>70</v>
      </c>
      <c r="DL504" s="2">
        <v>110</v>
      </c>
      <c r="DM504" s="2" t="s">
        <v>12</v>
      </c>
      <c r="DN504" s="2" t="s">
        <v>12</v>
      </c>
      <c r="DO504" s="2" t="s">
        <v>12</v>
      </c>
      <c r="DP504" s="2" t="s">
        <v>12</v>
      </c>
      <c r="DQ504" s="2">
        <v>2</v>
      </c>
      <c r="DR504" s="2">
        <v>39</v>
      </c>
      <c r="DS504" s="2">
        <v>2</v>
      </c>
      <c r="DT504" s="2">
        <v>82</v>
      </c>
      <c r="DU504" s="2">
        <v>78</v>
      </c>
      <c r="DV504" s="2">
        <v>4</v>
      </c>
      <c r="DW504" s="2">
        <v>2</v>
      </c>
      <c r="DX504" s="2">
        <v>4</v>
      </c>
      <c r="DY504" s="2">
        <v>2</v>
      </c>
      <c r="DZ504" s="2">
        <v>33</v>
      </c>
      <c r="EA504" s="2">
        <v>34.5</v>
      </c>
      <c r="EB504" s="2">
        <v>42</v>
      </c>
      <c r="EC504" s="2">
        <v>1</v>
      </c>
      <c r="ED504" s="2">
        <v>1</v>
      </c>
    </row>
    <row r="505" spans="1:134" x14ac:dyDescent="0.25">
      <c r="A505" s="2" t="s">
        <v>82</v>
      </c>
      <c r="B505" s="2"/>
      <c r="C505" s="11" t="s">
        <v>83</v>
      </c>
      <c r="D505" s="12" t="s">
        <v>84</v>
      </c>
      <c r="E505" s="2">
        <v>2</v>
      </c>
      <c r="F505" s="2">
        <v>2</v>
      </c>
      <c r="G505" s="2">
        <v>28</v>
      </c>
      <c r="H505" s="2">
        <v>-2.7441295895777018</v>
      </c>
      <c r="I505" s="2">
        <v>48</v>
      </c>
      <c r="J505" s="2">
        <v>-0.99529637274036198</v>
      </c>
      <c r="K505" s="5">
        <v>2400</v>
      </c>
      <c r="L505" s="2">
        <v>-2.14952703839145</v>
      </c>
      <c r="M505" s="2">
        <v>-2.5891000000000002</v>
      </c>
      <c r="N505" s="2">
        <f t="shared" si="467"/>
        <v>-2.5835205211149015E-2</v>
      </c>
      <c r="O505" s="2">
        <f t="shared" si="468"/>
        <v>-2.5891000000000002</v>
      </c>
      <c r="P505" s="2">
        <v>69</v>
      </c>
      <c r="Q505" s="2">
        <v>0.63</v>
      </c>
      <c r="R505" s="5">
        <f t="shared" si="469"/>
        <v>0.97264818637018102</v>
      </c>
      <c r="S505" s="5">
        <f t="shared" si="470"/>
        <v>0.63</v>
      </c>
      <c r="T505" s="2">
        <v>6700</v>
      </c>
      <c r="U505" s="2">
        <v>-1.53</v>
      </c>
      <c r="V505" s="2">
        <f t="shared" si="471"/>
        <v>0.36476351919572503</v>
      </c>
      <c r="W505" s="2">
        <f t="shared" si="472"/>
        <v>-1.53</v>
      </c>
      <c r="X505" s="2">
        <v>-2.7957999999999998</v>
      </c>
      <c r="Y505" s="76">
        <f t="shared" si="508"/>
        <v>-5.167041042229803E-2</v>
      </c>
      <c r="Z505" s="76">
        <f t="shared" si="509"/>
        <v>-1</v>
      </c>
      <c r="AA505" s="2" t="str">
        <f t="shared" si="473"/>
        <v/>
      </c>
      <c r="AB505" s="2">
        <f t="shared" si="474"/>
        <v>-2.7957999999999998</v>
      </c>
      <c r="AC505" s="2">
        <v>78</v>
      </c>
      <c r="AD505" s="2">
        <v>0.95</v>
      </c>
      <c r="AE505" s="79">
        <f t="shared" si="510"/>
        <v>1.945296372740362</v>
      </c>
      <c r="AF505" s="79">
        <f t="shared" si="511"/>
        <v>2</v>
      </c>
      <c r="AG505" s="2" t="str">
        <f t="shared" si="530"/>
        <v/>
      </c>
      <c r="AH505" s="2">
        <f t="shared" si="475"/>
        <v>0.95</v>
      </c>
      <c r="AI505" s="2">
        <v>8250</v>
      </c>
      <c r="AJ505" s="2">
        <v>-1.42</v>
      </c>
      <c r="AK505" s="76">
        <f t="shared" si="512"/>
        <v>0.72952703839145006</v>
      </c>
      <c r="AL505" s="76">
        <f t="shared" si="513"/>
        <v>2</v>
      </c>
      <c r="AM505" s="2" t="str">
        <f t="shared" si="476"/>
        <v/>
      </c>
      <c r="AN505" s="2">
        <f t="shared" si="477"/>
        <v>-1.42</v>
      </c>
      <c r="AP505" s="2">
        <f t="shared" si="478"/>
        <v>-0.11184278470214415</v>
      </c>
      <c r="AQ505" s="2">
        <f t="shared" si="479"/>
        <v>-2.9076427847021442</v>
      </c>
      <c r="AR505" s="2" t="s">
        <v>12</v>
      </c>
      <c r="AT505" s="2">
        <f t="shared" si="480"/>
        <v>-2.7729064855926355E-2</v>
      </c>
      <c r="AU505" s="2">
        <f t="shared" si="481"/>
        <v>0.92227093514407366</v>
      </c>
      <c r="AV505" s="2" t="s">
        <v>12</v>
      </c>
      <c r="AX505" s="2">
        <f t="shared" si="482"/>
        <v>1.9691280614988926E-2</v>
      </c>
      <c r="AY505" s="2">
        <f t="shared" si="483"/>
        <v>-1.400308719385011</v>
      </c>
      <c r="AZ505" s="2">
        <v>-3.0194855694042881</v>
      </c>
      <c r="BA505" s="78">
        <f t="shared" si="514"/>
        <v>-0.2236855694042883</v>
      </c>
      <c r="BB505" s="78">
        <f t="shared" si="515"/>
        <v>-1</v>
      </c>
      <c r="BC505" s="2" t="str">
        <f t="shared" si="484"/>
        <v/>
      </c>
      <c r="BD505" s="2">
        <f t="shared" si="485"/>
        <v>-3.0194855694042881</v>
      </c>
      <c r="BE505" s="67">
        <f t="shared" si="516"/>
        <v>1</v>
      </c>
      <c r="BF505" s="2">
        <v>90</v>
      </c>
      <c r="BG505" s="2">
        <v>0.89454187028814725</v>
      </c>
      <c r="BH505" s="2" t="str">
        <f t="shared" si="486"/>
        <v/>
      </c>
      <c r="BI505" s="2">
        <f t="shared" si="487"/>
        <v>0.89454187028814725</v>
      </c>
      <c r="BJ505" s="67">
        <f t="shared" si="488"/>
        <v>7</v>
      </c>
      <c r="BK505" s="2">
        <v>11000</v>
      </c>
      <c r="BL505" s="2">
        <v>-1.3806174387700221</v>
      </c>
      <c r="BM505" s="77">
        <f t="shared" si="517"/>
        <v>3.9382561229977853E-2</v>
      </c>
      <c r="BN505" s="77">
        <f t="shared" si="518"/>
        <v>1</v>
      </c>
      <c r="BO505" s="2" t="str">
        <f t="shared" si="489"/>
        <v/>
      </c>
      <c r="BP505" s="2">
        <f t="shared" si="490"/>
        <v>-1.3806174387700221</v>
      </c>
      <c r="BQ505" s="67">
        <f t="shared" si="519"/>
        <v>7</v>
      </c>
      <c r="BS505" s="75" t="str">
        <f t="shared" si="520"/>
        <v>UF</v>
      </c>
      <c r="BT505" s="75" t="str">
        <f t="shared" si="521"/>
        <v>UF</v>
      </c>
      <c r="BU505" s="5" t="str">
        <f>IF(G514&gt;=36, IF(AND(NOT(ISBLANK(CM:CM)), NOT(ISBLANK(BD:BD))), (CM:CM-BD:BD)/2, ""), "UF")</f>
        <v>UF</v>
      </c>
      <c r="BV505" s="5" t="str">
        <f t="shared" si="491"/>
        <v>UF</v>
      </c>
      <c r="BW505" s="69" t="str">
        <f t="shared" si="492"/>
        <v/>
      </c>
      <c r="BX505" s="2" t="s">
        <v>12</v>
      </c>
      <c r="BZ505" s="74" t="str">
        <f t="shared" si="531"/>
        <v>UF</v>
      </c>
      <c r="CA505" s="74" t="str">
        <f t="shared" si="523"/>
        <v>UF</v>
      </c>
      <c r="CB505" s="5" t="str">
        <f t="shared" si="493"/>
        <v>UF</v>
      </c>
      <c r="CC505" s="5" t="str">
        <f t="shared" si="494"/>
        <v>UF</v>
      </c>
      <c r="CD505" s="2" t="e">
        <f t="shared" si="495"/>
        <v>#VALUE!</v>
      </c>
      <c r="CE505" s="69" t="str">
        <f t="shared" si="496"/>
        <v/>
      </c>
      <c r="CF505" s="5" t="s">
        <v>12</v>
      </c>
      <c r="CH505" s="72" t="str">
        <f t="shared" si="524"/>
        <v>UF</v>
      </c>
      <c r="CI505" s="72" t="str">
        <f t="shared" si="525"/>
        <v>UF</v>
      </c>
      <c r="CJ505" s="5" t="str">
        <f t="shared" si="497"/>
        <v>UF</v>
      </c>
      <c r="CK505" s="5" t="str">
        <f t="shared" si="498"/>
        <v>UF</v>
      </c>
      <c r="CL505" s="69" t="str">
        <f t="shared" si="499"/>
        <v/>
      </c>
      <c r="CN505" s="70" t="str">
        <f t="shared" si="500"/>
        <v/>
      </c>
      <c r="CO505" s="5" t="str">
        <f t="shared" si="501"/>
        <v>UF</v>
      </c>
      <c r="CP505" s="5" t="str">
        <f>IF(G505&lt;48,"UF", IF(NOT(ISBLANK(CM:CM)), CM:CM, IF(BW:BW=1, BV:BV+Sheet2!B95, IF(Sheet1!BW:BW=2, Sheet1!BV:BV+Sheet2!B96, IF(Sheet1!BW:BW=7, Sheet1!BV:BV+Sheet2!B97,"")))))</f>
        <v>UF</v>
      </c>
      <c r="CQ505" s="69" t="str">
        <f t="shared" si="526"/>
        <v/>
      </c>
      <c r="CR505" s="5" t="s">
        <v>12</v>
      </c>
      <c r="CT505" s="5" t="str">
        <f t="shared" si="502"/>
        <v/>
      </c>
      <c r="CU505" s="80" t="str">
        <f t="shared" si="503"/>
        <v>UF</v>
      </c>
      <c r="CV505" s="80" t="str">
        <f t="shared" si="504"/>
        <v>UF</v>
      </c>
      <c r="CW505" s="20" t="str">
        <f>IF(G505&lt;48,"UF", IF(NOT(ISBLANK(CS505)), CS505, IF(CE505=5, CC505+Sheet2!B84, IF(CE505=6, CC505+Sheet2!B85, IF(CE505=7, CC505+Sheet2!B86,"")))))</f>
        <v>UF</v>
      </c>
      <c r="CX505" s="68" t="str">
        <f t="shared" si="527"/>
        <v/>
      </c>
      <c r="CY505" s="5" t="s">
        <v>12</v>
      </c>
      <c r="DA505" s="5" t="str">
        <f t="shared" si="505"/>
        <v>UF</v>
      </c>
      <c r="DB505" s="73" t="str">
        <f t="shared" si="506"/>
        <v>UF</v>
      </c>
      <c r="DC505" s="73" t="str">
        <f t="shared" si="507"/>
        <v>UF</v>
      </c>
      <c r="DD505" s="5" t="str">
        <f>IF(G505&lt;48,"UF", IF(NOT(ISBLANK(CZ:CZ)), CZ:CZ, IF(CL:CL=3, CK:CK+Sheet2!B89, IF(CL:CL=4, CK:CK+Sheet2!B90, IF(CL:CL=7, CK:CK+Sheet2!B91,"")))))</f>
        <v>UF</v>
      </c>
      <c r="DE505" s="69" t="str">
        <f t="shared" si="532"/>
        <v/>
      </c>
      <c r="DF505" s="2">
        <v>4</v>
      </c>
      <c r="DG505" s="2">
        <v>32</v>
      </c>
      <c r="DH505" s="2">
        <v>1</v>
      </c>
      <c r="DI505" s="2">
        <v>2</v>
      </c>
      <c r="DJ505" s="2">
        <v>3</v>
      </c>
      <c r="DK505" s="2" t="s">
        <v>12</v>
      </c>
      <c r="DL505" s="2" t="s">
        <v>12</v>
      </c>
      <c r="DM505" s="2" t="s">
        <v>12</v>
      </c>
      <c r="DN505" s="2" t="s">
        <v>12</v>
      </c>
      <c r="DO505" s="2" t="s">
        <v>12</v>
      </c>
      <c r="DP505" s="2" t="s">
        <v>12</v>
      </c>
      <c r="DQ505" s="2">
        <v>2</v>
      </c>
      <c r="DR505" s="2">
        <v>36</v>
      </c>
      <c r="DS505" s="2">
        <v>2</v>
      </c>
      <c r="DT505" s="2" t="s">
        <v>12</v>
      </c>
      <c r="DU505" s="2" t="s">
        <v>12</v>
      </c>
      <c r="DV505" s="2">
        <v>2</v>
      </c>
      <c r="DW505" s="2">
        <v>3</v>
      </c>
      <c r="DX505" s="2">
        <v>2</v>
      </c>
      <c r="DY505" s="2">
        <v>2</v>
      </c>
      <c r="DZ505" s="2">
        <v>32</v>
      </c>
      <c r="EA505" s="2">
        <v>34</v>
      </c>
      <c r="EB505" s="2">
        <v>44.5</v>
      </c>
      <c r="EC505" s="2">
        <v>1</v>
      </c>
      <c r="ED505" s="2">
        <v>1</v>
      </c>
    </row>
    <row r="506" spans="1:134" x14ac:dyDescent="0.25">
      <c r="D506" s="8"/>
      <c r="E506" s="3"/>
      <c r="AM506" s="2" t="str">
        <f t="shared" si="476"/>
        <v/>
      </c>
      <c r="AU506" s="2" t="str">
        <f t="shared" si="481"/>
        <v/>
      </c>
      <c r="AX506" s="2" t="str">
        <f t="shared" si="482"/>
        <v/>
      </c>
      <c r="AY506" s="2" t="str">
        <f t="shared" si="483"/>
        <v/>
      </c>
      <c r="BD506" s="2" t="str">
        <f t="shared" si="485"/>
        <v/>
      </c>
      <c r="BH506" s="2" t="str">
        <f t="shared" si="486"/>
        <v/>
      </c>
      <c r="BO506" s="2" t="str">
        <f t="shared" si="489"/>
        <v/>
      </c>
      <c r="CD506" s="2" t="str">
        <f t="shared" si="495"/>
        <v/>
      </c>
      <c r="CS506" s="2"/>
      <c r="CW506" s="20"/>
      <c r="CX506" s="68"/>
    </row>
    <row r="507" spans="1:134" x14ac:dyDescent="0.25">
      <c r="BD507" s="2" t="str">
        <f t="shared" si="485"/>
        <v/>
      </c>
      <c r="BO507" s="2" t="str">
        <f t="shared" si="489"/>
        <v/>
      </c>
      <c r="BP507" s="2" t="str">
        <f>IF(NOT(ISBLANK(BL507)), BL507, IF(AND(NOT(ISBLANK(AY507)), NOT(ISBLANK(BO507))),AY507 + BO507, ""))</f>
        <v/>
      </c>
    </row>
    <row r="508" spans="1:134" x14ac:dyDescent="0.25">
      <c r="BD508" s="2" t="str">
        <f t="shared" si="485"/>
        <v/>
      </c>
      <c r="BP508" s="2" t="str">
        <f>IF(NOT(ISBLANK(BL508)), BL508, IF(AND(NOT(ISBLANK(AY508)), NOT(ISBLANK(BO508))),AY508 + BO508, ""))</f>
        <v/>
      </c>
    </row>
    <row r="509" spans="1:134" x14ac:dyDescent="0.25">
      <c r="BD509" s="2" t="str">
        <f t="shared" si="485"/>
        <v/>
      </c>
    </row>
    <row r="510" spans="1:134" x14ac:dyDescent="0.25">
      <c r="BD510" s="2" t="str">
        <f t="shared" si="485"/>
        <v/>
      </c>
    </row>
    <row r="511" spans="1:134" x14ac:dyDescent="0.25">
      <c r="BD511" s="2" t="str">
        <f t="shared" si="485"/>
        <v/>
      </c>
    </row>
  </sheetData>
  <sortState xmlns:xlrd2="http://schemas.microsoft.com/office/spreadsheetml/2017/richdata2" ref="A2:DE652">
    <sortCondition ref="D2:D652"/>
  </sortState>
  <conditionalFormatting sqref="D1:D483 D503:D509 D514:D1048576">
    <cfRule type="expression" priority="815">
      <formula>$A1=$D$321</formula>
    </cfRule>
  </conditionalFormatting>
  <conditionalFormatting sqref="D1:D1048576">
    <cfRule type="duplicateValues" dxfId="318" priority="1"/>
  </conditionalFormatting>
  <conditionalFormatting sqref="D2">
    <cfRule type="duplicateValues" dxfId="317" priority="342"/>
    <cfRule type="duplicateValues" dxfId="316" priority="344" stopIfTrue="1"/>
    <cfRule type="duplicateValues" dxfId="315" priority="343" stopIfTrue="1"/>
    <cfRule type="duplicateValues" dxfId="314" priority="345"/>
    <cfRule type="duplicateValues" dxfId="313" priority="341"/>
  </conditionalFormatting>
  <conditionalFormatting sqref="D3">
    <cfRule type="duplicateValues" dxfId="312" priority="352"/>
    <cfRule type="duplicateValues" dxfId="311" priority="351"/>
  </conditionalFormatting>
  <conditionalFormatting sqref="D4">
    <cfRule type="duplicateValues" dxfId="310" priority="337"/>
    <cfRule type="duplicateValues" dxfId="309" priority="338"/>
  </conditionalFormatting>
  <conditionalFormatting sqref="D6">
    <cfRule type="duplicateValues" dxfId="308" priority="359"/>
    <cfRule type="duplicateValues" dxfId="307" priority="360"/>
  </conditionalFormatting>
  <conditionalFormatting sqref="D7">
    <cfRule type="duplicateValues" dxfId="306" priority="356"/>
    <cfRule type="duplicateValues" dxfId="305" priority="355"/>
  </conditionalFormatting>
  <conditionalFormatting sqref="D8">
    <cfRule type="duplicateValues" dxfId="304" priority="358"/>
    <cfRule type="duplicateValues" dxfId="303" priority="357"/>
  </conditionalFormatting>
  <conditionalFormatting sqref="D15">
    <cfRule type="duplicateValues" dxfId="302" priority="336"/>
  </conditionalFormatting>
  <conditionalFormatting sqref="D23">
    <cfRule type="duplicateValues" dxfId="301" priority="361"/>
  </conditionalFormatting>
  <conditionalFormatting sqref="D24">
    <cfRule type="duplicateValues" dxfId="300" priority="105"/>
    <cfRule type="duplicateValues" dxfId="299" priority="106"/>
    <cfRule type="duplicateValues" dxfId="298" priority="107"/>
  </conditionalFormatting>
  <conditionalFormatting sqref="D25">
    <cfRule type="duplicateValues" dxfId="297" priority="20" stopIfTrue="1"/>
    <cfRule type="duplicateValues" dxfId="296" priority="19" stopIfTrue="1"/>
    <cfRule type="duplicateValues" dxfId="295" priority="18"/>
    <cfRule type="duplicateValues" dxfId="294" priority="17"/>
    <cfRule type="duplicateValues" dxfId="293" priority="16"/>
  </conditionalFormatting>
  <conditionalFormatting sqref="D26">
    <cfRule type="duplicateValues" dxfId="292" priority="110"/>
    <cfRule type="duplicateValues" dxfId="291" priority="108"/>
    <cfRule type="duplicateValues" dxfId="290" priority="109"/>
  </conditionalFormatting>
  <conditionalFormatting sqref="D27">
    <cfRule type="duplicateValues" dxfId="289" priority="32"/>
    <cfRule type="duplicateValues" dxfId="288" priority="31"/>
  </conditionalFormatting>
  <conditionalFormatting sqref="D64">
    <cfRule type="duplicateValues" dxfId="287" priority="353"/>
  </conditionalFormatting>
  <conditionalFormatting sqref="D70">
    <cfRule type="duplicateValues" dxfId="286" priority="419"/>
    <cfRule type="duplicateValues" dxfId="285" priority="420" stopIfTrue="1"/>
    <cfRule type="duplicateValues" dxfId="284" priority="421" stopIfTrue="1"/>
  </conditionalFormatting>
  <conditionalFormatting sqref="D71">
    <cfRule type="duplicateValues" dxfId="283" priority="416" stopIfTrue="1"/>
    <cfRule type="duplicateValues" dxfId="282" priority="415"/>
    <cfRule type="duplicateValues" dxfId="281" priority="417" stopIfTrue="1"/>
  </conditionalFormatting>
  <conditionalFormatting sqref="D74">
    <cfRule type="duplicateValues" dxfId="280" priority="385" stopIfTrue="1"/>
    <cfRule type="duplicateValues" dxfId="279" priority="384" stopIfTrue="1"/>
    <cfRule type="duplicateValues" dxfId="278" priority="383"/>
  </conditionalFormatting>
  <conditionalFormatting sqref="D75">
    <cfRule type="duplicateValues" dxfId="277" priority="335"/>
  </conditionalFormatting>
  <conditionalFormatting sqref="D76">
    <cfRule type="duplicateValues" dxfId="276" priority="377" stopIfTrue="1"/>
    <cfRule type="duplicateValues" dxfId="275" priority="376" stopIfTrue="1"/>
    <cfRule type="duplicateValues" dxfId="274" priority="375"/>
  </conditionalFormatting>
  <conditionalFormatting sqref="D77">
    <cfRule type="duplicateValues" dxfId="273" priority="339"/>
  </conditionalFormatting>
  <conditionalFormatting sqref="D86">
    <cfRule type="duplicateValues" dxfId="272" priority="87"/>
    <cfRule type="duplicateValues" dxfId="271" priority="88"/>
    <cfRule type="duplicateValues" dxfId="270" priority="89"/>
  </conditionalFormatting>
  <conditionalFormatting sqref="D87">
    <cfRule type="duplicateValues" dxfId="269" priority="131"/>
    <cfRule type="duplicateValues" dxfId="268" priority="130"/>
    <cfRule type="duplicateValues" dxfId="267" priority="129"/>
  </conditionalFormatting>
  <conditionalFormatting sqref="D90">
    <cfRule type="duplicateValues" dxfId="266" priority="60"/>
    <cfRule type="duplicateValues" dxfId="265" priority="59"/>
  </conditionalFormatting>
  <conditionalFormatting sqref="D91">
    <cfRule type="duplicateValues" dxfId="264" priority="56"/>
    <cfRule type="duplicateValues" dxfId="263" priority="55"/>
    <cfRule type="duplicateValues" dxfId="262" priority="54"/>
  </conditionalFormatting>
  <conditionalFormatting sqref="D93">
    <cfRule type="duplicateValues" dxfId="261" priority="77"/>
    <cfRule type="duplicateValues" dxfId="260" priority="78"/>
  </conditionalFormatting>
  <conditionalFormatting sqref="D94">
    <cfRule type="duplicateValues" dxfId="259" priority="79"/>
    <cfRule type="duplicateValues" dxfId="258" priority="80"/>
  </conditionalFormatting>
  <conditionalFormatting sqref="D96">
    <cfRule type="duplicateValues" dxfId="257" priority="81"/>
    <cfRule type="duplicateValues" dxfId="256" priority="82"/>
  </conditionalFormatting>
  <conditionalFormatting sqref="D98">
    <cfRule type="duplicateValues" dxfId="255" priority="379"/>
    <cfRule type="duplicateValues" dxfId="254" priority="380" stopIfTrue="1"/>
    <cfRule type="duplicateValues" dxfId="253" priority="381" stopIfTrue="1"/>
  </conditionalFormatting>
  <conditionalFormatting sqref="D101:D105 D70:D71 D5 D73:D74 D76 D65:D68 D78:D84 D9:D13 D17:D22 D29:D46 D48:D51 D53:D61 D63 D97:D99">
    <cfRule type="duplicateValues" dxfId="252" priority="460"/>
  </conditionalFormatting>
  <conditionalFormatting sqref="D106">
    <cfRule type="duplicateValues" dxfId="251" priority="85"/>
    <cfRule type="duplicateValues" dxfId="250" priority="86"/>
  </conditionalFormatting>
  <conditionalFormatting sqref="D109">
    <cfRule type="duplicateValues" dxfId="249" priority="185"/>
  </conditionalFormatting>
  <conditionalFormatting sqref="D117">
    <cfRule type="duplicateValues" dxfId="248" priority="179"/>
  </conditionalFormatting>
  <conditionalFormatting sqref="D141">
    <cfRule type="duplicateValues" dxfId="247" priority="189"/>
  </conditionalFormatting>
  <conditionalFormatting sqref="D144">
    <cfRule type="duplicateValues" dxfId="246" priority="96"/>
    <cfRule type="duplicateValues" dxfId="245" priority="97"/>
    <cfRule type="duplicateValues" dxfId="244" priority="98"/>
  </conditionalFormatting>
  <conditionalFormatting sqref="D159">
    <cfRule type="duplicateValues" dxfId="243" priority="220"/>
    <cfRule type="duplicateValues" dxfId="242" priority="222" stopIfTrue="1"/>
    <cfRule type="duplicateValues" dxfId="241" priority="221" stopIfTrue="1"/>
  </conditionalFormatting>
  <conditionalFormatting sqref="D160">
    <cfRule type="duplicateValues" dxfId="240" priority="211"/>
    <cfRule type="duplicateValues" dxfId="239" priority="212" stopIfTrue="1"/>
    <cfRule type="duplicateValues" dxfId="238" priority="213" stopIfTrue="1"/>
  </conditionalFormatting>
  <conditionalFormatting sqref="D162">
    <cfRule type="duplicateValues" dxfId="237" priority="200" stopIfTrue="1"/>
    <cfRule type="duplicateValues" dxfId="236" priority="201" stopIfTrue="1"/>
    <cfRule type="duplicateValues" dxfId="235" priority="199"/>
  </conditionalFormatting>
  <conditionalFormatting sqref="D163">
    <cfRule type="duplicateValues" dxfId="234" priority="192" stopIfTrue="1"/>
    <cfRule type="duplicateValues" dxfId="233" priority="190"/>
    <cfRule type="duplicateValues" dxfId="232" priority="191" stopIfTrue="1"/>
  </conditionalFormatting>
  <conditionalFormatting sqref="D168">
    <cfRule type="duplicateValues" dxfId="231" priority="33"/>
    <cfRule type="duplicateValues" dxfId="230" priority="34"/>
    <cfRule type="duplicateValues" dxfId="229" priority="35"/>
  </conditionalFormatting>
  <conditionalFormatting sqref="D170">
    <cfRule type="duplicateValues" dxfId="228" priority="73"/>
    <cfRule type="duplicateValues" dxfId="227" priority="74"/>
  </conditionalFormatting>
  <conditionalFormatting sqref="D171">
    <cfRule type="duplicateValues" dxfId="226" priority="63"/>
    <cfRule type="duplicateValues" dxfId="225" priority="64"/>
  </conditionalFormatting>
  <conditionalFormatting sqref="D172">
    <cfRule type="duplicateValues" dxfId="224" priority="58"/>
    <cfRule type="duplicateValues" dxfId="223" priority="57"/>
  </conditionalFormatting>
  <conditionalFormatting sqref="D173">
    <cfRule type="duplicateValues" dxfId="222" priority="44"/>
    <cfRule type="duplicateValues" dxfId="221" priority="43"/>
    <cfRule type="duplicateValues" dxfId="220" priority="42"/>
  </conditionalFormatting>
  <conditionalFormatting sqref="D174">
    <cfRule type="duplicateValues" dxfId="219" priority="45"/>
    <cfRule type="duplicateValues" dxfId="218" priority="46"/>
    <cfRule type="duplicateValues" dxfId="217" priority="47"/>
  </conditionalFormatting>
  <conditionalFormatting sqref="D175">
    <cfRule type="duplicateValues" dxfId="216" priority="67"/>
    <cfRule type="duplicateValues" dxfId="215" priority="68"/>
  </conditionalFormatting>
  <conditionalFormatting sqref="D176">
    <cfRule type="duplicateValues" dxfId="214" priority="71"/>
    <cfRule type="duplicateValues" dxfId="213" priority="72"/>
  </conditionalFormatting>
  <conditionalFormatting sqref="D177">
    <cfRule type="duplicateValues" dxfId="212" priority="75"/>
    <cfRule type="duplicateValues" dxfId="211" priority="76"/>
  </conditionalFormatting>
  <conditionalFormatting sqref="D179">
    <cfRule type="duplicateValues" dxfId="210" priority="48"/>
    <cfRule type="duplicateValues" dxfId="209" priority="49"/>
    <cfRule type="duplicateValues" dxfId="208" priority="50"/>
  </conditionalFormatting>
  <conditionalFormatting sqref="D180">
    <cfRule type="duplicateValues" dxfId="207" priority="53"/>
    <cfRule type="duplicateValues" dxfId="206" priority="51"/>
    <cfRule type="duplicateValues" dxfId="205" priority="52"/>
  </conditionalFormatting>
  <conditionalFormatting sqref="D183">
    <cfRule type="duplicateValues" dxfId="204" priority="9"/>
    <cfRule type="duplicateValues" dxfId="203" priority="8"/>
  </conditionalFormatting>
  <conditionalFormatting sqref="D186">
    <cfRule type="duplicateValues" dxfId="202" priority="1856"/>
  </conditionalFormatting>
  <conditionalFormatting sqref="D188">
    <cfRule type="duplicateValues" dxfId="201" priority="170"/>
  </conditionalFormatting>
  <conditionalFormatting sqref="D189">
    <cfRule type="duplicateValues" dxfId="200" priority="180"/>
  </conditionalFormatting>
  <conditionalFormatting sqref="D190">
    <cfRule type="duplicateValues" dxfId="199" priority="144"/>
  </conditionalFormatting>
  <conditionalFormatting sqref="D194">
    <cfRule type="duplicateValues" dxfId="198" priority="155"/>
    <cfRule type="duplicateValues" dxfId="197" priority="156" stopIfTrue="1"/>
    <cfRule type="duplicateValues" dxfId="196" priority="157" stopIfTrue="1"/>
  </conditionalFormatting>
  <conditionalFormatting sqref="D197">
    <cfRule type="duplicateValues" dxfId="195" priority="1867"/>
  </conditionalFormatting>
  <conditionalFormatting sqref="D198">
    <cfRule type="duplicateValues" dxfId="194" priority="172"/>
  </conditionalFormatting>
  <conditionalFormatting sqref="D201">
    <cfRule type="duplicateValues" dxfId="193" priority="168"/>
  </conditionalFormatting>
  <conditionalFormatting sqref="D203">
    <cfRule type="duplicateValues" dxfId="192" priority="126"/>
    <cfRule type="duplicateValues" dxfId="191" priority="127"/>
    <cfRule type="duplicateValues" dxfId="190" priority="128"/>
  </conditionalFormatting>
  <conditionalFormatting sqref="D205">
    <cfRule type="duplicateValues" dxfId="189" priority="124"/>
    <cfRule type="duplicateValues" dxfId="188" priority="123"/>
    <cfRule type="duplicateValues" dxfId="187" priority="125"/>
  </conditionalFormatting>
  <conditionalFormatting sqref="D206">
    <cfRule type="duplicateValues" dxfId="186" priority="41"/>
    <cfRule type="duplicateValues" dxfId="185" priority="40"/>
    <cfRule type="duplicateValues" dxfId="184" priority="39"/>
  </conditionalFormatting>
  <conditionalFormatting sqref="D207 D169">
    <cfRule type="duplicateValues" dxfId="183" priority="883"/>
    <cfRule type="duplicateValues" dxfId="182" priority="881"/>
    <cfRule type="duplicateValues" dxfId="181" priority="884"/>
  </conditionalFormatting>
  <conditionalFormatting sqref="D208:D209 D88">
    <cfRule type="duplicateValues" dxfId="180" priority="111"/>
    <cfRule type="duplicateValues" dxfId="179" priority="113"/>
    <cfRule type="duplicateValues" dxfId="178" priority="112"/>
  </conditionalFormatting>
  <conditionalFormatting sqref="D211">
    <cfRule type="duplicateValues" dxfId="177" priority="22"/>
    <cfRule type="duplicateValues" dxfId="176" priority="23"/>
    <cfRule type="duplicateValues" dxfId="175" priority="24"/>
    <cfRule type="duplicateValues" dxfId="174" priority="25" stopIfTrue="1"/>
    <cfRule type="duplicateValues" dxfId="173" priority="26" stopIfTrue="1"/>
  </conditionalFormatting>
  <conditionalFormatting sqref="D213:D214">
    <cfRule type="duplicateValues" dxfId="172" priority="895"/>
  </conditionalFormatting>
  <conditionalFormatting sqref="D215">
    <cfRule type="duplicateValues" dxfId="171" priority="162"/>
  </conditionalFormatting>
  <conditionalFormatting sqref="D216">
    <cfRule type="duplicateValues" dxfId="170" priority="160"/>
  </conditionalFormatting>
  <conditionalFormatting sqref="D219:D221">
    <cfRule type="duplicateValues" dxfId="169" priority="178"/>
  </conditionalFormatting>
  <conditionalFormatting sqref="D224">
    <cfRule type="duplicateValues" dxfId="168" priority="152" stopIfTrue="1"/>
    <cfRule type="duplicateValues" dxfId="167" priority="151" stopIfTrue="1"/>
    <cfRule type="duplicateValues" dxfId="166" priority="150"/>
  </conditionalFormatting>
  <conditionalFormatting sqref="D225">
    <cfRule type="duplicateValues" dxfId="165" priority="210" stopIfTrue="1"/>
    <cfRule type="duplicateValues" dxfId="164" priority="209" stopIfTrue="1"/>
    <cfRule type="duplicateValues" dxfId="163" priority="208"/>
  </conditionalFormatting>
  <conditionalFormatting sqref="D226">
    <cfRule type="duplicateValues" dxfId="162" priority="207" stopIfTrue="1"/>
    <cfRule type="duplicateValues" dxfId="161" priority="206" stopIfTrue="1"/>
    <cfRule type="duplicateValues" dxfId="160" priority="205"/>
  </conditionalFormatting>
  <conditionalFormatting sqref="D227">
    <cfRule type="duplicateValues" dxfId="159" priority="148"/>
  </conditionalFormatting>
  <conditionalFormatting sqref="D228">
    <cfRule type="duplicateValues" dxfId="158" priority="198" stopIfTrue="1"/>
    <cfRule type="duplicateValues" dxfId="157" priority="197" stopIfTrue="1"/>
    <cfRule type="duplicateValues" dxfId="156" priority="196"/>
  </conditionalFormatting>
  <conditionalFormatting sqref="D229">
    <cfRule type="duplicateValues" dxfId="155" priority="906"/>
  </conditionalFormatting>
  <conditionalFormatting sqref="D232 D191">
    <cfRule type="duplicateValues" dxfId="154" priority="224"/>
  </conditionalFormatting>
  <conditionalFormatting sqref="D233">
    <cfRule type="duplicateValues" dxfId="153" priority="174"/>
  </conditionalFormatting>
  <conditionalFormatting sqref="D241">
    <cfRule type="duplicateValues" dxfId="152" priority="186"/>
  </conditionalFormatting>
  <conditionalFormatting sqref="D243">
    <cfRule type="duplicateValues" dxfId="151" priority="142"/>
  </conditionalFormatting>
  <conditionalFormatting sqref="D244 D242 D202 D107:D108 D234:D235 D110:D116 D222:D223 D199:D200 D217:D218 D230:D231 D192:D193 D225:D226 D195:D196 D187 D228 D118:D143 D247:D250 D147:D166">
    <cfRule type="duplicateValues" dxfId="150" priority="688"/>
  </conditionalFormatting>
  <conditionalFormatting sqref="D245:D246">
    <cfRule type="duplicateValues" dxfId="149" priority="140"/>
  </conditionalFormatting>
  <conditionalFormatting sqref="D247 D202 D242 D107:D108 D234:D235 D110:D116 D222:D223 D199:D200 D217:D218 D244 D230:D231 D192:D193 D225:D226 D195:D196 D187 D228 D118:D143 D155:D166 D147:D149">
    <cfRule type="duplicateValues" dxfId="148" priority="226"/>
  </conditionalFormatting>
  <conditionalFormatting sqref="D251:D253 D237:D240 D204 D95 D28 D178 D89 D85 D210 D145:D146 D212 D167 D92 D184:D185 D181:D182">
    <cfRule type="duplicateValues" dxfId="147" priority="783"/>
    <cfRule type="duplicateValues" dxfId="146" priority="784"/>
  </conditionalFormatting>
  <conditionalFormatting sqref="D254">
    <cfRule type="duplicateValues" dxfId="145" priority="514"/>
  </conditionalFormatting>
  <conditionalFormatting sqref="D255:D457">
    <cfRule type="duplicateValues" dxfId="144" priority="1701"/>
    <cfRule type="duplicateValues" dxfId="143" priority="1700"/>
  </conditionalFormatting>
  <conditionalFormatting sqref="D461:D469 D458:D459">
    <cfRule type="duplicateValues" dxfId="142" priority="1769"/>
    <cfRule type="duplicateValues" dxfId="141" priority="1770"/>
  </conditionalFormatting>
  <conditionalFormatting sqref="D490">
    <cfRule type="duplicateValues" dxfId="140" priority="2"/>
    <cfRule type="duplicateValues" dxfId="139" priority="3"/>
    <cfRule type="duplicateValues" dxfId="138" priority="4"/>
  </conditionalFormatting>
  <conditionalFormatting sqref="D491:D502 D484:D489">
    <cfRule type="duplicateValues" dxfId="137" priority="1844"/>
    <cfRule type="duplicateValues" dxfId="136" priority="1845"/>
  </conditionalFormatting>
  <conditionalFormatting sqref="D507:D509 D1 D5 D9:D14 D16:D22 D76 D78:D84 D65:D74 D29:D63 D97:D105 D514:D1048576">
    <cfRule type="duplicateValues" dxfId="135" priority="479"/>
  </conditionalFormatting>
  <dataValidations disablePrompts="1" count="6">
    <dataValidation showInputMessage="1" showErrorMessage="1" sqref="F1 F72 F75 F471 F4:F24 F26:F69 F77:F97 F474:F1048576 F212:F254 F195:F210 F100:F193" xr:uid="{00000000-0002-0000-0000-000000000000}"/>
    <dataValidation type="list" allowBlank="1" showInputMessage="1" showErrorMessage="1" sqref="DS1" xr:uid="{00000000-0002-0000-0000-000001000000}">
      <formula1>"1,2,3"</formula1>
    </dataValidation>
    <dataValidation type="list" showInputMessage="1" showErrorMessage="1" sqref="F255:F287" xr:uid="{00000000-0002-0000-0000-000002000000}">
      <formula1>"1,2"</formula1>
    </dataValidation>
    <dataValidation type="custom" allowBlank="1" showInputMessage="1" showErrorMessage="1" sqref="ED255:ED457" xr:uid="{00000000-0002-0000-0000-000003000000}">
      <formula1>"1,2,3,4"</formula1>
    </dataValidation>
    <dataValidation type="custom" allowBlank="1" showInputMessage="1" showErrorMessage="1" sqref="D1:D11 D484:D502 D507:D509 D514:D1048576 D13:D235 D237:D254" xr:uid="{00000000-0002-0000-0000-000004000000}">
      <formula1>COUNTIF(D:D,D1)=1</formula1>
    </dataValidation>
    <dataValidation type="custom" allowBlank="1" showInputMessage="1" showErrorMessage="1" sqref="D12" xr:uid="{00000000-0002-0000-0000-000005000000}">
      <formula1>COUNTIF(D:D,D1)=1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O27"/>
  <sheetViews>
    <sheetView workbookViewId="0">
      <selection activeCell="O9" sqref="O9"/>
    </sheetView>
  </sheetViews>
  <sheetFormatPr defaultRowHeight="15" x14ac:dyDescent="0.25"/>
  <cols>
    <col min="1" max="1" width="15.5703125" customWidth="1"/>
    <col min="2" max="3" width="11" customWidth="1"/>
    <col min="4" max="4" width="11.5703125" bestFit="1" customWidth="1"/>
    <col min="6" max="6" width="6.42578125" customWidth="1"/>
  </cols>
  <sheetData>
    <row r="3" spans="2:15" x14ac:dyDescent="0.25">
      <c r="C3" t="s">
        <v>526</v>
      </c>
      <c r="G3" t="s">
        <v>525</v>
      </c>
    </row>
    <row r="5" spans="2:15" x14ac:dyDescent="0.25">
      <c r="B5">
        <f>AVERAGEIFS(Sheet1!CT:CT,Sheet1!CE:CE,5)</f>
        <v>2.0085005533075249</v>
      </c>
      <c r="C5">
        <v>5</v>
      </c>
      <c r="G5">
        <f>AVERAGE(IF((Sheet1!BJ2:BJ483=5)*(ISNUMBER(Sheet1!CD2:CD483)),Sheet1!CD2:CD483))</f>
        <v>0</v>
      </c>
    </row>
    <row r="6" spans="2:15" x14ac:dyDescent="0.25">
      <c r="B6">
        <f>AVERAGEIFS(Sheet1!CT:CT,Sheet1!CE:CE,6)</f>
        <v>0.16503538919480251</v>
      </c>
      <c r="C6">
        <v>6</v>
      </c>
    </row>
    <row r="7" spans="2:15" x14ac:dyDescent="0.25">
      <c r="B7">
        <f>AVERAGEIFS(Sheet1!CT:CT,Sheet1!CE:CE,7)</f>
        <v>-8.2654241959696534E-2</v>
      </c>
      <c r="C7">
        <v>7</v>
      </c>
    </row>
    <row r="9" spans="2:15" x14ac:dyDescent="0.25">
      <c r="C9" t="s">
        <v>523</v>
      </c>
      <c r="N9" s="2" t="s">
        <v>396</v>
      </c>
      <c r="O9" s="2">
        <f>COUNTIFS(Sheet1!E:E,7,Sheet1!F:F,2)</f>
        <v>131</v>
      </c>
    </row>
    <row r="10" spans="2:15" x14ac:dyDescent="0.25">
      <c r="B10" t="e">
        <f>AVERAGEIFS(Sheet1!#REF!,Sheet1!CL:CL,3)</f>
        <v>#REF!</v>
      </c>
      <c r="C10">
        <v>3</v>
      </c>
      <c r="J10">
        <v>1</v>
      </c>
      <c r="K10" s="2">
        <f>COUNTIF(Sheet1!E:E, 1)</f>
        <v>3</v>
      </c>
      <c r="N10" s="2" t="s">
        <v>397</v>
      </c>
      <c r="O10" s="2">
        <f>COUNTIFS(Sheet1!E:E, 7,Sheet1!F:F,1)</f>
        <v>162</v>
      </c>
    </row>
    <row r="11" spans="2:15" x14ac:dyDescent="0.25">
      <c r="B11" t="e">
        <f>AVERAGEIFS(Sheet1!#REF!,Sheet1!CL:CL,4)</f>
        <v>#REF!</v>
      </c>
      <c r="C11">
        <v>4</v>
      </c>
      <c r="J11">
        <v>2</v>
      </c>
      <c r="K11" s="2">
        <f>COUNTIF(Sheet1!E:E, 2)</f>
        <v>45</v>
      </c>
      <c r="N11" s="2" t="s">
        <v>398</v>
      </c>
      <c r="O11" s="2">
        <f>COUNTIFS(Sheet1!F:F, 2, Sheet1!E:E, "&lt;7")</f>
        <v>59</v>
      </c>
    </row>
    <row r="12" spans="2:15" x14ac:dyDescent="0.25">
      <c r="B12" t="e">
        <f>AVERAGEIFS(Sheet1!#REF!,Sheet1!CL2:CL483,7)</f>
        <v>#REF!</v>
      </c>
      <c r="C12">
        <v>7</v>
      </c>
      <c r="J12">
        <v>3</v>
      </c>
      <c r="K12" s="2">
        <f>COUNTIF(Sheet1!E:E, 3)</f>
        <v>0</v>
      </c>
      <c r="N12" s="2" t="s">
        <v>399</v>
      </c>
      <c r="O12" s="2">
        <f>COUNTIFS(Sheet1!F:F,1, Sheet1!E:E, "&lt;7")</f>
        <v>47</v>
      </c>
    </row>
    <row r="13" spans="2:15" x14ac:dyDescent="0.25">
      <c r="J13">
        <v>4</v>
      </c>
      <c r="K13" s="2">
        <f>COUNTIF(Sheet1!E:E, 4)</f>
        <v>28</v>
      </c>
    </row>
    <row r="14" spans="2:15" x14ac:dyDescent="0.25">
      <c r="J14">
        <v>5</v>
      </c>
      <c r="K14" s="2">
        <f>COUNTIF(Sheet1!E:E, 5)</f>
        <v>3</v>
      </c>
    </row>
    <row r="15" spans="2:15" x14ac:dyDescent="0.25">
      <c r="C15" t="s">
        <v>503</v>
      </c>
      <c r="J15">
        <v>6</v>
      </c>
      <c r="K15" s="2">
        <f>COUNTIF(Sheet1!E:E,6)</f>
        <v>27</v>
      </c>
    </row>
    <row r="16" spans="2:15" x14ac:dyDescent="0.25">
      <c r="B16">
        <f>AVERAGEIFS(Sheet1!CN:CN, Sheet1!BW:BW,1)</f>
        <v>0.85145127498915008</v>
      </c>
      <c r="C16">
        <v>1</v>
      </c>
      <c r="J16">
        <v>7</v>
      </c>
      <c r="K16" s="2">
        <f>COUNTIF(Sheet1!E:E, 7)</f>
        <v>293</v>
      </c>
    </row>
    <row r="17" spans="2:5" x14ac:dyDescent="0.25">
      <c r="B17">
        <f>AVERAGEIFS(Sheet1!CN:CN, Sheet1!BW:BW,2)</f>
        <v>0.42219498013714346</v>
      </c>
      <c r="C17">
        <v>2</v>
      </c>
    </row>
    <row r="18" spans="2:5" x14ac:dyDescent="0.25">
      <c r="B18">
        <f>AVERAGEIFS(Sheet1!CN:CN, Sheet1!BW:BW,7)</f>
        <v>-0.1504588615658109</v>
      </c>
      <c r="C18">
        <v>7</v>
      </c>
    </row>
    <row r="20" spans="2:5" x14ac:dyDescent="0.25">
      <c r="B20" s="50" t="s">
        <v>512</v>
      </c>
      <c r="C20" s="50" t="s">
        <v>513</v>
      </c>
      <c r="D20" s="50" t="s">
        <v>514</v>
      </c>
      <c r="E20" s="50" t="s">
        <v>520</v>
      </c>
    </row>
    <row r="21" spans="2:5" x14ac:dyDescent="0.25">
      <c r="B21" s="51" t="s">
        <v>515</v>
      </c>
      <c r="C21" s="51">
        <f>COUNT(Sheet1!J2:J483)/ROWS(Sheet1!J2:J483)</f>
        <v>1</v>
      </c>
      <c r="D21" s="51">
        <f>COUNT(Sheet1!L2:L483)/ROWS(Sheet1!J2:L483)</f>
        <v>1</v>
      </c>
    </row>
    <row r="22" spans="2:5" x14ac:dyDescent="0.25">
      <c r="B22" s="51" t="s">
        <v>516</v>
      </c>
      <c r="C22" s="51">
        <f>COUNT(Sheet1!S2:S483)/ROWS(Sheet1!S2:S483)</f>
        <v>0.95850622406639008</v>
      </c>
      <c r="D22" s="51">
        <f>COUNT(Sheet1!W2:W483)/ROWS(Sheet1!W2:W483)</f>
        <v>0.96058091286307057</v>
      </c>
    </row>
    <row r="23" spans="2:5" x14ac:dyDescent="0.25">
      <c r="B23" s="51" t="s">
        <v>517</v>
      </c>
      <c r="C23" s="51">
        <f>COUNT(Sheet1!AH2:AH483)/ROWS(Sheet1!AH2:AH483)</f>
        <v>0.93360995850622408</v>
      </c>
      <c r="D23" s="51">
        <f>COUNT(Sheet1!AN2:AN483)/ROWS(Sheet1!AN2:AN483)</f>
        <v>0.93568464730290457</v>
      </c>
    </row>
    <row r="24" spans="2:5" x14ac:dyDescent="0.25">
      <c r="B24" s="51" t="s">
        <v>518</v>
      </c>
      <c r="C24" s="51">
        <f>COUNT(Sheet1!AU2:AU483)/ROWS(Sheet1!AU2:AU483)</f>
        <v>0.89626556016597514</v>
      </c>
      <c r="D24" s="51">
        <f>COUNT(Sheet1!AY2:AY483)/ROWS(Sheet1!AY2:AY483)</f>
        <v>0.89626556016597514</v>
      </c>
    </row>
    <row r="25" spans="2:5" x14ac:dyDescent="0.25">
      <c r="B25" s="51" t="s">
        <v>519</v>
      </c>
      <c r="C25" s="51">
        <f>COUNT(Sheet1!BI2:BI483)/ROWS(Sheet1!BI2:BI483)</f>
        <v>0.73651452282157681</v>
      </c>
      <c r="D25" s="51">
        <f>COUNT(Sheet1!BP2:BP483)/ROWS(Sheet1!BP2:BP483)</f>
        <v>0.73029045643153523</v>
      </c>
    </row>
    <row r="26" spans="2:5" x14ac:dyDescent="0.25">
      <c r="B26" s="51" t="s">
        <v>521</v>
      </c>
      <c r="C26">
        <f>SUMPRODUCT((Sheet1!G2:G483&gt;=36)*(ISNUMBER(Sheet1!CC2:CC483))) / SUMPRODUCT(--(Sheet1!G2:G483&gt;=36))</f>
        <v>0.70863309352517989</v>
      </c>
      <c r="D26">
        <f>SUMPRODUCT((Sheet1!G2:G483&gt;=36)*(ISNUMBER(Sheet1!CK2:CK483))) / SUMPRODUCT(--(Sheet1!G2:G483&gt;=36))</f>
        <v>0.70863309352517989</v>
      </c>
    </row>
    <row r="27" spans="2:5" x14ac:dyDescent="0.25">
      <c r="B27" s="51" t="s">
        <v>522</v>
      </c>
      <c r="C27">
        <f>SUMPRODUCT((Sheet1!G2:G483&gt;=48)*(ISNUMBER(Sheet1!CW2:CW483))) / SUMPRODUCT(--(Sheet1!G2:G483&gt;=48))</f>
        <v>0.82894736842105265</v>
      </c>
      <c r="D27">
        <f>SUMPRODUCT((Sheet1!G2:G483&gt;=48)*(ISNUMBER(Sheet1!DD2:DD483))) / SUMPRODUCT(--(Sheet1!G2:G483&gt;=48))</f>
        <v>0.80921052631578949</v>
      </c>
    </row>
  </sheetData>
  <conditionalFormatting sqref="O9:O12">
    <cfRule type="expression" priority="2">
      <formula>$A9=$D$401</formula>
    </cfRule>
  </conditionalFormatting>
  <conditionalFormatting sqref="O10:O12">
    <cfRule type="duplicateValues" dxfId="134" priority="1"/>
  </conditionalFormatting>
  <dataValidations count="1">
    <dataValidation type="custom" allowBlank="1" showInputMessage="1" showErrorMessage="1" sqref="O10:O12" xr:uid="{00000000-0002-0000-0100-000000000000}">
      <formula1>COUNTIF(O:O,O10)=1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Ateeq_co</dc:creator>
  <cp:lastModifiedBy>Reza Nobakht</cp:lastModifiedBy>
  <dcterms:created xsi:type="dcterms:W3CDTF">2025-01-07T20:49:42Z</dcterms:created>
  <dcterms:modified xsi:type="dcterms:W3CDTF">2026-07-18T17:44:46Z</dcterms:modified>
</cp:coreProperties>
</file>